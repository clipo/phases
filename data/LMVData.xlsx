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ipo/Library/Containers/com.apple.mail/Data/Library/Mail Downloads/BBF2DBEB-0164-47A3-92F9-685D097F1642/"/>
    </mc:Choice>
  </mc:AlternateContent>
  <xr:revisionPtr revIDLastSave="0" documentId="13_ncr:1_{07507B87-8664-F645-91F3-6AD0231CC3EB}" xr6:coauthVersionLast="47" xr6:coauthVersionMax="47" xr10:uidLastSave="{00000000-0000-0000-0000-000000000000}"/>
  <bookViews>
    <workbookView xWindow="360" yWindow="660" windowWidth="23580" windowHeight="16120" xr2:uid="{00000000-000D-0000-FFFF-FFFF00000000}"/>
  </bookViews>
  <sheets>
    <sheet name="Locations-Zone-15" sheetId="1" r:id="rId1"/>
    <sheet name="LMS Locations" sheetId="2" r:id="rId2"/>
    <sheet name="Locations-Zone-16" sheetId="3" r:id="rId3"/>
  </sheets>
  <externalReferences>
    <externalReference r:id="rId4"/>
  </externalReferences>
  <definedNames>
    <definedName name="_xlnm._FilterDatabase" localSheetId="1" hidden="1">'LMS Locations'!$B$1:$B$3286</definedName>
    <definedName name="_xlnm._FilterDatabase" localSheetId="0" hidden="1">'Locations-Zone-15'!$A$1:$BJ$1755</definedName>
    <definedName name="_xlnm._FilterDatabase" localSheetId="2" hidden="1">'Locations-Zone-16'!$A$1:$BJ$1277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479" i="1" l="1"/>
  <c r="BI479" i="1" s="1"/>
  <c r="BJ479" i="1" s="1"/>
  <c r="BI480" i="1"/>
  <c r="BJ480" i="1"/>
  <c r="BI481" i="1"/>
  <c r="BJ481" i="1"/>
  <c r="BI482" i="1"/>
  <c r="BJ482" i="1"/>
  <c r="BI495" i="1"/>
  <c r="BJ495" i="1"/>
  <c r="BI500" i="1"/>
  <c r="BJ500" i="1"/>
  <c r="BI502" i="1"/>
  <c r="BJ502" i="1"/>
  <c r="BI509" i="1"/>
  <c r="BJ509" i="1"/>
  <c r="BI511" i="1"/>
  <c r="BJ511" i="1"/>
  <c r="BI513" i="1"/>
  <c r="BJ513" i="1"/>
  <c r="BI515" i="1"/>
  <c r="BJ515" i="1"/>
  <c r="BI517" i="1"/>
  <c r="BJ517" i="1"/>
  <c r="BI520" i="1"/>
  <c r="BJ520" i="1"/>
  <c r="BF587" i="1"/>
  <c r="BI587" i="1"/>
  <c r="BJ587" i="1" s="1"/>
  <c r="BF600" i="1"/>
  <c r="BI600" i="1" s="1"/>
  <c r="BJ600" i="1" s="1"/>
  <c r="BF603" i="1"/>
  <c r="BI603" i="1"/>
  <c r="BJ603" i="1" s="1"/>
  <c r="BE606" i="1"/>
  <c r="A619" i="1"/>
  <c r="A620" i="1"/>
  <c r="AD620" i="1"/>
  <c r="A622" i="1"/>
  <c r="AD627" i="1"/>
  <c r="BF631" i="1"/>
  <c r="BI631" i="1" s="1"/>
  <c r="BJ631" i="1" s="1"/>
  <c r="A634" i="1"/>
  <c r="AD634" i="1"/>
  <c r="A649" i="1"/>
  <c r="BD665" i="1"/>
  <c r="BF665" i="1"/>
  <c r="BI665" i="1" s="1"/>
  <c r="BJ665" i="1" s="1"/>
  <c r="BG665" i="1"/>
  <c r="BH665" i="1"/>
  <c r="AD666" i="1"/>
  <c r="AE666" i="1"/>
  <c r="BF667" i="1"/>
  <c r="BI667" i="1"/>
  <c r="BJ667" i="1" s="1"/>
  <c r="BD668" i="1"/>
  <c r="BF668" i="1"/>
  <c r="BI668" i="1" s="1"/>
  <c r="BJ668" i="1" s="1"/>
  <c r="AD675" i="1"/>
  <c r="AD678" i="1"/>
  <c r="BF679" i="1"/>
  <c r="BI679" i="1" s="1"/>
  <c r="BJ679" i="1" s="1"/>
  <c r="AD696" i="1"/>
  <c r="AD697" i="1"/>
  <c r="AE697" i="1"/>
  <c r="AD698" i="1"/>
  <c r="AE704" i="1"/>
  <c r="AF704" i="1"/>
  <c r="AD761" i="1"/>
  <c r="AE761" i="1"/>
  <c r="AF765" i="1"/>
  <c r="AE768" i="1"/>
  <c r="AE769" i="1"/>
  <c r="A774" i="1"/>
  <c r="AD774" i="1"/>
  <c r="AE774" i="1"/>
  <c r="A789" i="1"/>
  <c r="AD1569" i="1"/>
  <c r="BD1569" i="1"/>
  <c r="AE1584" i="1"/>
  <c r="AE1585" i="1"/>
  <c r="AE1586" i="1"/>
  <c r="AE1587" i="1"/>
  <c r="AD1589" i="1"/>
  <c r="AE1589" i="1"/>
  <c r="AD1591" i="1"/>
  <c r="AD1592" i="1"/>
  <c r="AE1595" i="1"/>
  <c r="AD1597" i="1"/>
  <c r="AD1598" i="1"/>
  <c r="AD1600" i="1"/>
  <c r="AD1604" i="1"/>
  <c r="AD1607" i="1"/>
  <c r="L1613" i="1"/>
  <c r="M1613" i="1"/>
  <c r="AE1614" i="1"/>
  <c r="AD1615" i="1"/>
  <c r="AF1617" i="1"/>
  <c r="AE1618" i="1"/>
  <c r="AF1618" i="1"/>
  <c r="AF1619" i="1"/>
  <c r="AD1620" i="1"/>
  <c r="AE1620" i="1"/>
  <c r="AF1620" i="1"/>
  <c r="AE1621" i="1"/>
  <c r="AE1624" i="1"/>
  <c r="AD1625" i="1"/>
  <c r="AE1625" i="1"/>
  <c r="AE1626" i="1"/>
  <c r="AD1628" i="1"/>
  <c r="AE1629" i="1"/>
  <c r="AE1632" i="1"/>
  <c r="AF1632" i="1"/>
  <c r="AE1634" i="1"/>
  <c r="AF1634" i="1"/>
  <c r="AE1635" i="1"/>
  <c r="AF1635" i="1"/>
  <c r="AD1636" i="1"/>
  <c r="AE1636" i="1"/>
  <c r="AF1636" i="1"/>
  <c r="AE1637" i="1"/>
  <c r="AF1637" i="1"/>
  <c r="BF1656" i="1"/>
  <c r="BI1656" i="1"/>
  <c r="BJ1656" i="1" s="1"/>
  <c r="BF1661" i="1"/>
  <c r="BI1661" i="1" s="1"/>
  <c r="BJ1661" i="1" s="1"/>
  <c r="BF1662" i="1"/>
  <c r="BI1662" i="1" s="1"/>
  <c r="BJ1662" i="1" s="1"/>
  <c r="BI1663" i="1"/>
  <c r="BJ1663" i="1" s="1"/>
  <c r="BI1664" i="1"/>
  <c r="BJ1664" i="1" s="1"/>
  <c r="BI1665" i="1"/>
  <c r="BJ1665" i="1" s="1"/>
  <c r="BI1666" i="1"/>
  <c r="BJ1666" i="1" s="1"/>
  <c r="BF1667" i="1"/>
  <c r="BI1667" i="1" s="1"/>
  <c r="BJ1667" i="1" s="1"/>
  <c r="BF1679" i="1"/>
  <c r="BI1679" i="1"/>
  <c r="BJ1679" i="1" s="1"/>
  <c r="BF1723" i="1"/>
  <c r="BF1724" i="1"/>
  <c r="BF1733" i="1"/>
  <c r="BF1735" i="1"/>
  <c r="BF1737" i="1"/>
  <c r="BF1740" i="1"/>
  <c r="BF1742" i="1"/>
  <c r="BF1743" i="1"/>
  <c r="BF1745" i="1"/>
  <c r="BF1746" i="1"/>
  <c r="BF1747" i="1"/>
  <c r="BF1748" i="1"/>
  <c r="BF1749" i="1"/>
  <c r="BF1750" i="1"/>
  <c r="AB3" i="1"/>
  <c r="AC3" i="1"/>
  <c r="AB4" i="1"/>
  <c r="AD4" i="1"/>
  <c r="AC5" i="1"/>
  <c r="AD5" i="1"/>
  <c r="BI6" i="1"/>
  <c r="BJ6" i="1" s="1"/>
  <c r="Z8" i="1"/>
  <c r="AA8" i="1"/>
  <c r="AC9" i="1"/>
  <c r="AD9" i="1"/>
  <c r="AG10" i="1"/>
  <c r="BI10" i="1"/>
  <c r="BJ10" i="1" s="1"/>
  <c r="AC11" i="1"/>
  <c r="AD11" i="1"/>
  <c r="AB13" i="1"/>
  <c r="AC13" i="1"/>
  <c r="BI15" i="1"/>
  <c r="BJ15" i="1" s="1"/>
  <c r="AB16" i="1"/>
  <c r="AD16" i="1"/>
  <c r="BI16" i="1"/>
  <c r="BJ16" i="1" s="1"/>
  <c r="AF17" i="1"/>
  <c r="AG17" i="1"/>
  <c r="AB18" i="1"/>
  <c r="AD18" i="1"/>
  <c r="AC19" i="1"/>
  <c r="AD19" i="1"/>
  <c r="BI19" i="1"/>
  <c r="BJ19" i="1" s="1"/>
  <c r="AB20" i="1"/>
  <c r="AC20" i="1"/>
  <c r="AF21" i="1"/>
  <c r="AG21" i="1"/>
  <c r="AB22" i="1"/>
  <c r="AE22" i="1"/>
  <c r="AC23" i="1"/>
  <c r="AG23" i="1"/>
  <c r="BI23" i="1"/>
  <c r="BJ23" i="1" s="1"/>
  <c r="BI24" i="1"/>
  <c r="BJ24" i="1" s="1"/>
  <c r="AC26" i="1"/>
  <c r="AD26" i="1"/>
  <c r="AD27" i="1"/>
  <c r="AE27" i="1"/>
  <c r="BI27" i="1"/>
  <c r="BJ27" i="1" s="1"/>
  <c r="AE28" i="1"/>
  <c r="BI28" i="1"/>
  <c r="BJ28" i="1" s="1"/>
  <c r="AB30" i="1"/>
  <c r="AD30" i="1"/>
  <c r="AC31" i="1"/>
  <c r="AD31" i="1"/>
  <c r="AF32" i="1"/>
  <c r="AG32" i="1"/>
  <c r="AB33" i="1"/>
  <c r="AC33" i="1"/>
  <c r="AF34" i="1"/>
  <c r="AG34" i="1"/>
  <c r="Z35" i="1"/>
  <c r="AA35" i="1"/>
  <c r="BI35" i="1"/>
  <c r="BJ35" i="1" s="1"/>
  <c r="AC36" i="1"/>
  <c r="AD36" i="1"/>
  <c r="AC38" i="1"/>
  <c r="AD38" i="1"/>
  <c r="AB39" i="1"/>
  <c r="AD39" i="1"/>
  <c r="BI40" i="1"/>
  <c r="BJ40" i="1" s="1"/>
  <c r="AE42" i="1"/>
  <c r="AF42" i="1"/>
  <c r="AF43" i="1"/>
  <c r="AG43" i="1"/>
  <c r="BI43" i="1"/>
  <c r="BJ43" i="1" s="1"/>
  <c r="BI46" i="1"/>
  <c r="BJ46" i="1" s="1"/>
  <c r="BI47" i="1"/>
  <c r="BJ47" i="1" s="1"/>
  <c r="AB48" i="1"/>
  <c r="AC48" i="1"/>
  <c r="BI48" i="1"/>
  <c r="BJ48" i="1" s="1"/>
  <c r="BI49" i="1"/>
  <c r="BJ49" i="1" s="1"/>
  <c r="AE51" i="1"/>
  <c r="AG51" i="1"/>
  <c r="BI51" i="1"/>
  <c r="BJ51" i="1" s="1"/>
  <c r="BI52" i="1"/>
  <c r="BJ52" i="1" s="1"/>
  <c r="BI53" i="1"/>
  <c r="BJ53" i="1" s="1"/>
  <c r="Z54" i="1"/>
  <c r="AG54" i="1"/>
  <c r="BI54" i="1"/>
  <c r="BJ54" i="1" s="1"/>
  <c r="Z55" i="1"/>
  <c r="AG55" i="1"/>
  <c r="BE55" i="1"/>
  <c r="AB56" i="1"/>
  <c r="AD56" i="1"/>
  <c r="AC57" i="1"/>
  <c r="AG57" i="1"/>
  <c r="AC58" i="1"/>
  <c r="AD58" i="1"/>
  <c r="AA59" i="1"/>
  <c r="AD59" i="1"/>
  <c r="AC60" i="1"/>
  <c r="AE60" i="1"/>
  <c r="BI60" i="1"/>
  <c r="BJ60" i="1" s="1"/>
  <c r="AB61" i="1"/>
  <c r="AC61" i="1"/>
  <c r="AF62" i="1"/>
  <c r="AG62" i="1"/>
  <c r="AB63" i="1"/>
  <c r="AE63" i="1"/>
  <c r="Z64" i="1"/>
  <c r="AG64" i="1"/>
  <c r="AC65" i="1"/>
  <c r="AD65" i="1"/>
  <c r="AD67" i="1"/>
  <c r="AE67" i="1"/>
  <c r="BI67" i="1"/>
  <c r="BJ67" i="1" s="1"/>
  <c r="AB68" i="1"/>
  <c r="AD68" i="1"/>
  <c r="Z69" i="1"/>
  <c r="AA69" i="1"/>
  <c r="AC70" i="1"/>
  <c r="AD70" i="1"/>
  <c r="BI71" i="1"/>
  <c r="BJ71" i="1" s="1"/>
  <c r="AC72" i="1"/>
  <c r="AD72" i="1"/>
  <c r="AC73" i="1"/>
  <c r="AD73" i="1"/>
  <c r="BI73" i="1"/>
  <c r="BJ73" i="1" s="1"/>
  <c r="AC74" i="1"/>
  <c r="AD74" i="1"/>
  <c r="AC75" i="1"/>
  <c r="AD75" i="1"/>
  <c r="BI75" i="1"/>
  <c r="BJ75" i="1" s="1"/>
  <c r="AC76" i="1"/>
  <c r="AD76" i="1"/>
  <c r="AC77" i="1"/>
  <c r="AD77" i="1"/>
  <c r="AB78" i="1"/>
  <c r="AC78" i="1"/>
  <c r="BI78" i="1"/>
  <c r="BJ78" i="1" s="1"/>
  <c r="AA79" i="1"/>
  <c r="AC79" i="1"/>
  <c r="AB80" i="1"/>
  <c r="AG80" i="1"/>
  <c r="AF81" i="1"/>
  <c r="AG81" i="1"/>
  <c r="AA82" i="1"/>
  <c r="AF82" i="1"/>
  <c r="AD83" i="1"/>
  <c r="AF83" i="1"/>
  <c r="BI83" i="1"/>
  <c r="BJ83" i="1" s="1"/>
  <c r="AB84" i="1"/>
  <c r="AG84" i="1"/>
  <c r="BI84" i="1"/>
  <c r="BJ84" i="1" s="1"/>
  <c r="AG86" i="1"/>
  <c r="BI86" i="1"/>
  <c r="BJ86" i="1" s="1"/>
  <c r="AB87" i="1"/>
  <c r="AE88" i="1"/>
  <c r="AF88" i="1"/>
  <c r="AE89" i="1"/>
  <c r="AF89" i="1"/>
  <c r="BI89" i="1"/>
  <c r="BJ89" i="1" s="1"/>
  <c r="AB90" i="1"/>
  <c r="AF90" i="1"/>
  <c r="BD90" i="1"/>
  <c r="BI90" i="1" s="1"/>
  <c r="BJ90" i="1" s="1"/>
  <c r="BI91" i="1"/>
  <c r="BJ91" i="1" s="1"/>
  <c r="BI92" i="1"/>
  <c r="BJ92" i="1" s="1"/>
  <c r="AC93" i="1"/>
  <c r="AD93" i="1"/>
  <c r="AA94" i="1"/>
  <c r="AC94" i="1"/>
  <c r="AC95" i="1"/>
  <c r="AF95" i="1"/>
  <c r="AB96" i="1"/>
  <c r="AC96" i="1"/>
  <c r="AB97" i="1"/>
  <c r="AC97" i="1"/>
  <c r="AD98" i="1"/>
  <c r="AE98" i="1"/>
  <c r="AC99" i="1"/>
  <c r="AD99" i="1"/>
  <c r="AD102" i="1"/>
  <c r="AF102" i="1"/>
  <c r="AC105" i="1"/>
  <c r="AD105" i="1"/>
  <c r="BI105" i="1"/>
  <c r="BJ105" i="1" s="1"/>
  <c r="BI106" i="1"/>
  <c r="BJ106" i="1" s="1"/>
  <c r="BI107" i="1"/>
  <c r="BJ107" i="1" s="1"/>
  <c r="Z109" i="1"/>
  <c r="AB109" i="1"/>
  <c r="BI109" i="1"/>
  <c r="BJ109" i="1" s="1"/>
  <c r="AD110" i="1"/>
  <c r="AE110" i="1"/>
  <c r="AD111" i="1"/>
  <c r="AE111" i="1"/>
  <c r="BI111" i="1"/>
  <c r="BJ111" i="1" s="1"/>
  <c r="BF120" i="1"/>
  <c r="BI120" i="1" s="1"/>
  <c r="BJ120" i="1" s="1"/>
  <c r="BF121" i="1"/>
  <c r="BI121" i="1" s="1"/>
  <c r="BJ121" i="1" s="1"/>
  <c r="BF126" i="1"/>
  <c r="BI126" i="1" s="1"/>
  <c r="BJ126" i="1" s="1"/>
  <c r="BF127" i="1"/>
  <c r="BI127" i="1" s="1"/>
  <c r="BJ127" i="1" s="1"/>
  <c r="BF128" i="1"/>
  <c r="BI128" i="1" s="1"/>
  <c r="BJ128" i="1" s="1"/>
  <c r="BF131" i="1"/>
  <c r="BI131" i="1" s="1"/>
  <c r="BJ131" i="1" s="1"/>
  <c r="BF135" i="1"/>
  <c r="BI135" i="1" s="1"/>
  <c r="BJ135" i="1" s="1"/>
  <c r="BF139" i="1"/>
  <c r="BI139" i="1" s="1"/>
  <c r="BJ139" i="1" s="1"/>
  <c r="BF140" i="1"/>
  <c r="BI140" i="1" s="1"/>
  <c r="BJ140" i="1" s="1"/>
  <c r="BF143" i="1"/>
  <c r="BI143" i="1" s="1"/>
  <c r="BJ143" i="1" s="1"/>
  <c r="BF149" i="1"/>
  <c r="BI149" i="1" s="1"/>
  <c r="BJ149" i="1" s="1"/>
  <c r="BF154" i="1"/>
  <c r="BI154" i="1" s="1"/>
  <c r="BJ154" i="1" s="1"/>
  <c r="BF160" i="1"/>
  <c r="BI160" i="1" s="1"/>
  <c r="BJ160" i="1" s="1"/>
  <c r="BF161" i="1"/>
  <c r="BI161" i="1" s="1"/>
  <c r="BJ161" i="1" s="1"/>
  <c r="BF173" i="1"/>
  <c r="BI173" i="1" s="1"/>
  <c r="BJ173" i="1" s="1"/>
  <c r="BF177" i="1"/>
  <c r="BI177" i="1" s="1"/>
  <c r="BJ177" i="1" s="1"/>
  <c r="BF182" i="1"/>
  <c r="BI182" i="1" s="1"/>
  <c r="BJ182" i="1" s="1"/>
  <c r="BF206" i="1"/>
  <c r="BI206" i="1" s="1"/>
  <c r="BJ206" i="1" s="1"/>
  <c r="BF207" i="1"/>
  <c r="BI207" i="1" s="1"/>
  <c r="BJ207" i="1" s="1"/>
  <c r="BF219" i="1"/>
  <c r="BI219" i="1" s="1"/>
  <c r="BJ219" i="1" s="1"/>
  <c r="BF230" i="1"/>
  <c r="BI230" i="1" s="1"/>
  <c r="BJ230" i="1" s="1"/>
  <c r="BF241" i="1"/>
  <c r="BI241" i="1" s="1"/>
  <c r="BJ241" i="1" s="1"/>
  <c r="BF249" i="1"/>
  <c r="BI249" i="1" s="1"/>
  <c r="BJ249" i="1" s="1"/>
  <c r="BF264" i="1"/>
  <c r="BI264" i="1" s="1"/>
  <c r="BJ264" i="1" s="1"/>
  <c r="BF266" i="1"/>
  <c r="BI266" i="1" s="1"/>
  <c r="BJ266" i="1" s="1"/>
  <c r="BF267" i="1"/>
  <c r="BI267" i="1" s="1"/>
  <c r="BJ267" i="1" s="1"/>
  <c r="BF274" i="1"/>
  <c r="BI274" i="1" s="1"/>
  <c r="BJ274" i="1" s="1"/>
  <c r="BF278" i="1"/>
  <c r="BI278" i="1" s="1"/>
  <c r="BJ278" i="1" s="1"/>
  <c r="BE281" i="1"/>
  <c r="BF283" i="1"/>
  <c r="BI283" i="1" s="1"/>
  <c r="BJ283" i="1" s="1"/>
  <c r="BF285" i="1"/>
  <c r="BI285" i="1" s="1"/>
  <c r="BJ285" i="1" s="1"/>
  <c r="BF294" i="1"/>
  <c r="BI294" i="1" s="1"/>
  <c r="BJ294" i="1" s="1"/>
  <c r="BF296" i="1"/>
  <c r="BI296" i="1" s="1"/>
  <c r="BJ296" i="1" s="1"/>
  <c r="BF299" i="1"/>
  <c r="BI299" i="1" s="1"/>
  <c r="BJ299" i="1" s="1"/>
  <c r="BF312" i="1"/>
  <c r="BI312" i="1" s="1"/>
  <c r="BJ312" i="1" s="1"/>
  <c r="BF320" i="1"/>
  <c r="BI320" i="1" s="1"/>
  <c r="BJ320" i="1" s="1"/>
  <c r="BF323" i="1"/>
  <c r="BI323" i="1" s="1"/>
  <c r="BJ323" i="1" s="1"/>
  <c r="BF324" i="1"/>
  <c r="BI324" i="1" s="1"/>
  <c r="BJ324" i="1" s="1"/>
  <c r="BF327" i="1"/>
  <c r="BI327" i="1" s="1"/>
  <c r="BJ327" i="1" s="1"/>
  <c r="BF331" i="1"/>
  <c r="BI331" i="1" s="1"/>
  <c r="BJ331" i="1" s="1"/>
  <c r="BF334" i="1"/>
  <c r="BI334" i="1" s="1"/>
  <c r="BJ334" i="1" s="1"/>
  <c r="BF348" i="1"/>
  <c r="BI348" i="1" s="1"/>
  <c r="BJ348" i="1" s="1"/>
  <c r="BF359" i="1"/>
  <c r="BI359" i="1" s="1"/>
  <c r="BJ359" i="1" s="1"/>
  <c r="BF360" i="1"/>
  <c r="BI360" i="1" s="1"/>
  <c r="BJ360" i="1" s="1"/>
  <c r="BF382" i="1"/>
  <c r="BI382" i="1" s="1"/>
  <c r="BJ382" i="1" s="1"/>
  <c r="BF383" i="1"/>
  <c r="BI383" i="1" s="1"/>
  <c r="BJ383" i="1" s="1"/>
  <c r="BF385" i="1"/>
  <c r="BI385" i="1" s="1"/>
  <c r="BJ385" i="1" s="1"/>
  <c r="BF392" i="1"/>
  <c r="BI392" i="1" s="1"/>
  <c r="BJ392" i="1" s="1"/>
  <c r="BF395" i="1"/>
  <c r="BI395" i="1" s="1"/>
  <c r="BJ395" i="1" s="1"/>
  <c r="BF399" i="1"/>
  <c r="BI399" i="1" s="1"/>
  <c r="BJ399" i="1" s="1"/>
  <c r="BF412" i="1"/>
  <c r="BI412" i="1" s="1"/>
  <c r="BJ412" i="1" s="1"/>
  <c r="BF414" i="1"/>
  <c r="BI414" i="1" s="1"/>
  <c r="BJ414" i="1" s="1"/>
  <c r="BF418" i="1"/>
  <c r="BI418" i="1" s="1"/>
  <c r="BJ418" i="1" s="1"/>
  <c r="BF423" i="1"/>
  <c r="BI423" i="1" s="1"/>
  <c r="BJ423" i="1" s="1"/>
  <c r="BF435" i="1"/>
  <c r="BF438" i="1"/>
  <c r="BI438" i="1" s="1"/>
  <c r="BJ438" i="1" s="1"/>
  <c r="BF440" i="1"/>
  <c r="BI440" i="1" s="1"/>
  <c r="BJ440" i="1" s="1"/>
  <c r="BF441" i="1"/>
  <c r="BF444" i="1"/>
  <c r="BI444" i="1" s="1"/>
  <c r="BJ444" i="1" s="1"/>
  <c r="BF446" i="1"/>
  <c r="BI446" i="1" s="1"/>
  <c r="BJ446" i="1" s="1"/>
  <c r="BF451" i="1"/>
  <c r="BI451" i="1" s="1"/>
  <c r="BJ451" i="1" s="1"/>
  <c r="BF455" i="1"/>
  <c r="BF457" i="1"/>
  <c r="BI457" i="1" s="1"/>
  <c r="BJ457" i="1" s="1"/>
  <c r="BF458" i="1"/>
  <c r="BF461" i="1"/>
  <c r="BF462" i="1"/>
  <c r="BF463" i="1"/>
  <c r="BI463" i="1" s="1"/>
  <c r="BJ463" i="1" s="1"/>
  <c r="BF465" i="1"/>
  <c r="BI465" i="1" s="1"/>
  <c r="BJ465" i="1" s="1"/>
  <c r="BF466" i="1"/>
  <c r="BI466" i="1" s="1"/>
  <c r="BJ466" i="1" s="1"/>
  <c r="BF467" i="1"/>
  <c r="BI467" i="1" s="1"/>
  <c r="BJ467" i="1" s="1"/>
  <c r="BF468" i="1"/>
  <c r="BF469" i="1"/>
  <c r="BI469" i="1" s="1"/>
  <c r="BJ469" i="1" s="1"/>
  <c r="BF470" i="1"/>
  <c r="BI470" i="1" s="1"/>
  <c r="BJ470" i="1" s="1"/>
  <c r="BF471" i="1"/>
  <c r="BF472" i="1"/>
  <c r="BF474" i="1"/>
  <c r="BI474" i="1" s="1"/>
  <c r="BJ474" i="1" s="1"/>
  <c r="BF475" i="1"/>
  <c r="BI475" i="1" s="1"/>
  <c r="BJ475" i="1" s="1"/>
  <c r="BF476" i="1"/>
  <c r="BF477" i="1"/>
  <c r="BI477" i="1" s="1"/>
  <c r="BJ47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 Lipo</author>
  </authors>
  <commentList>
    <comment ref="A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Carl Lipo:</t>
        </r>
        <r>
          <rPr>
            <sz val="8"/>
            <color indexed="81"/>
            <rFont val="Tahoma"/>
            <family val="2"/>
          </rPr>
          <t xml:space="preserve">
Number of mounds recorded 
1+ + more than one
2+ more than two
N = number recorded
? = unknown number
</t>
        </r>
      </text>
    </comment>
    <comment ref="A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Carl Lipo:</t>
        </r>
        <r>
          <rPr>
            <sz val="8"/>
            <color indexed="81"/>
            <rFont val="Tahoma"/>
            <family val="2"/>
          </rPr>
          <t xml:space="preserve">
Maximum # of mounds reported = minimum number of mounds present (could be more)
</t>
        </r>
      </text>
    </comment>
    <comment ref="AJ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Carl Lipo:</t>
        </r>
        <r>
          <rPr>
            <sz val="8"/>
            <color indexed="81"/>
            <rFont val="Tahoma"/>
            <family val="2"/>
          </rPr>
          <t xml:space="preserve">
0 = no mounds listed or described
1 = at least one mound listed in description
Note: defintion of mound is problematic. Not consistent… could be high ground, could be constructed, could be midden, etc.
</t>
        </r>
      </text>
    </comment>
    <comment ref="AO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Carl Lipo:</t>
        </r>
        <r>
          <rPr>
            <sz val="8"/>
            <color indexed="81"/>
            <rFont val="Tahoma"/>
            <family val="2"/>
          </rPr>
          <t xml:space="preserve">
One or more metion of "step" for the mounds
1= step
0 = no step (or no mention)</t>
        </r>
      </text>
    </comment>
    <comment ref="AX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Carl Lipo:</t>
        </r>
        <r>
          <rPr>
            <sz val="8"/>
            <color indexed="81"/>
            <rFont val="Tahoma"/>
            <family val="2"/>
          </rPr>
          <t xml:space="preserve">
0 = no mention of shell midden
1 = shell midden mentioned in description.
Note that there is an ambiguity here as to what makes a "shell midden" -- some deposits have "substantial shell" but its unclear if it consititutes a "midden or not".  The Phillips 1970 recording of shell (in this spreadsheet) indicates mention of shell as part of the deposit (not as stringent as the 1 or 0 here)</t>
        </r>
      </text>
    </comment>
    <comment ref="AY1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Carl Lipo:</t>
        </r>
        <r>
          <rPr>
            <sz val="8"/>
            <color indexed="81"/>
            <rFont val="Tahoma"/>
            <family val="2"/>
          </rPr>
          <t xml:space="preserve">
1= cemetery listed in description
0 = no mention of cemetery in description
</t>
        </r>
      </text>
    </comment>
    <comment ref="BD1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Carl Lipo:</t>
        </r>
        <r>
          <rPr>
            <sz val="8"/>
            <color indexed="81"/>
            <rFont val="Tahoma"/>
            <family val="2"/>
          </rPr>
          <t xml:space="preserve">
Maximum recorded size of mound (in feet)</t>
        </r>
      </text>
    </comment>
    <comment ref="BE1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Carl Lipo:</t>
        </r>
        <r>
          <rPr>
            <sz val="8"/>
            <color indexed="81"/>
            <rFont val="Tahoma"/>
            <family val="2"/>
          </rPr>
          <t xml:space="preserve">
Recorded Plaza size (in feet)</t>
        </r>
      </text>
    </comment>
    <comment ref="BF1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Carl Lipo:</t>
        </r>
        <r>
          <rPr>
            <sz val="8"/>
            <color indexed="81"/>
            <rFont val="Tahoma"/>
            <family val="2"/>
          </rPr>
          <t xml:space="preserve">
Max ma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 Lipo</author>
  </authors>
  <commentList>
    <comment ref="AH1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Carl Lipo:</t>
        </r>
        <r>
          <rPr>
            <sz val="8"/>
            <color indexed="81"/>
            <rFont val="Tahoma"/>
            <family val="2"/>
          </rPr>
          <t xml:space="preserve">
Number of mounds recorded 
1+ + more than one
2+ more than two
N = number recorded
? = unknown number
</t>
        </r>
      </text>
    </comment>
    <comment ref="AI1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Carl Lipo:</t>
        </r>
        <r>
          <rPr>
            <sz val="8"/>
            <color indexed="81"/>
            <rFont val="Tahoma"/>
            <family val="2"/>
          </rPr>
          <t xml:space="preserve">
Maximum # of mounds reported = minimum number of mounds present (could be more)
</t>
        </r>
      </text>
    </comment>
    <comment ref="AJ1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Carl Lipo:</t>
        </r>
        <r>
          <rPr>
            <sz val="8"/>
            <color indexed="81"/>
            <rFont val="Tahoma"/>
            <family val="2"/>
          </rPr>
          <t xml:space="preserve">
0 = no mounds listed or described
1 = at least one mound listed in description
Note: defintion of mound is problematic. Not consistent… could be high ground, could be constructed, could be midden, etc.
</t>
        </r>
      </text>
    </comment>
    <comment ref="AO1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>Carl Lipo:</t>
        </r>
        <r>
          <rPr>
            <sz val="8"/>
            <color indexed="81"/>
            <rFont val="Tahoma"/>
            <family val="2"/>
          </rPr>
          <t xml:space="preserve">
One or more metion of "step" for the mounds
1= step
0 = no step (or no mention)</t>
        </r>
      </text>
    </comment>
    <comment ref="AX1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Carl Lipo:</t>
        </r>
        <r>
          <rPr>
            <sz val="8"/>
            <color indexed="81"/>
            <rFont val="Tahoma"/>
            <family val="2"/>
          </rPr>
          <t xml:space="preserve">
0 = no mention of shell midden
1 = shell midden mentioned in description.
Note that there is an ambiguity here as to what makes a "shell midden" -- some deposits have "substantial shell" but its unclear if it consititutes a "midden or not".  The Phillips 1970 recording of shell (in this spreadsheet) indicates mention of shell as part of the deposit (not as stringent as the 1 or 0 here)</t>
        </r>
      </text>
    </comment>
    <comment ref="AY1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>Carl Lipo:</t>
        </r>
        <r>
          <rPr>
            <sz val="8"/>
            <color indexed="81"/>
            <rFont val="Tahoma"/>
            <family val="2"/>
          </rPr>
          <t xml:space="preserve">
1= cemetery listed in description
0 = no mention of cemetery in description
</t>
        </r>
      </text>
    </comment>
    <comment ref="BD1" authorId="0" shapeId="0" xr:uid="{00000000-0006-0000-0200-000007000000}">
      <text>
        <r>
          <rPr>
            <b/>
            <sz val="8"/>
            <color indexed="81"/>
            <rFont val="Tahoma"/>
            <family val="2"/>
          </rPr>
          <t>Carl Lipo:</t>
        </r>
        <r>
          <rPr>
            <sz val="8"/>
            <color indexed="81"/>
            <rFont val="Tahoma"/>
            <family val="2"/>
          </rPr>
          <t xml:space="preserve">
Maximum recorded size of mound (in feet)</t>
        </r>
      </text>
    </comment>
    <comment ref="BE1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>Carl Lipo:</t>
        </r>
        <r>
          <rPr>
            <sz val="8"/>
            <color indexed="81"/>
            <rFont val="Tahoma"/>
            <family val="2"/>
          </rPr>
          <t xml:space="preserve">
Recorded Plaza size (in feet)</t>
        </r>
      </text>
    </comment>
    <comment ref="BF1" authorId="0" shapeId="0" xr:uid="{00000000-0006-0000-0200-000009000000}">
      <text>
        <r>
          <rPr>
            <b/>
            <sz val="8"/>
            <color indexed="81"/>
            <rFont val="Tahoma"/>
            <family val="2"/>
          </rPr>
          <t>Carl Lipo:</t>
        </r>
        <r>
          <rPr>
            <sz val="8"/>
            <color indexed="81"/>
            <rFont val="Tahoma"/>
            <family val="2"/>
          </rPr>
          <t xml:space="preserve">
Max ma</t>
        </r>
      </text>
    </comment>
  </commentList>
</comments>
</file>

<file path=xl/sharedStrings.xml><?xml version="1.0" encoding="utf-8"?>
<sst xmlns="http://schemas.openxmlformats.org/spreadsheetml/2006/main" count="26546" uniqueCount="8888">
  <si>
    <t>20-O-9  </t>
  </si>
  <si>
    <t>20-O-10  </t>
  </si>
  <si>
    <t>20-O-11  </t>
  </si>
  <si>
    <t>20-O-12  </t>
  </si>
  <si>
    <t>20-O-13  </t>
  </si>
  <si>
    <t>20-O-14  </t>
  </si>
  <si>
    <t>20-O-15  </t>
  </si>
  <si>
    <t>20-O-16  </t>
  </si>
  <si>
    <t>20-O-17  </t>
  </si>
  <si>
    <t>20-O-18  </t>
  </si>
  <si>
    <t>20-O-19  </t>
  </si>
  <si>
    <t>20-O-20  </t>
  </si>
  <si>
    <t>20-O-21  </t>
  </si>
  <si>
    <t>20-O-22  </t>
  </si>
  <si>
    <t>20-O-23  </t>
  </si>
  <si>
    <t>20-O-24  </t>
  </si>
  <si>
    <t>20-P-1  </t>
  </si>
  <si>
    <t>20-P-2  </t>
  </si>
  <si>
    <t>20-P-3  </t>
  </si>
  <si>
    <t>20-P-4  </t>
  </si>
  <si>
    <t>20-P-5  </t>
  </si>
  <si>
    <t>20-P-6  </t>
  </si>
  <si>
    <t>20-P-7  </t>
  </si>
  <si>
    <t>20-P-8  </t>
  </si>
  <si>
    <t>20-P-9  </t>
  </si>
  <si>
    <t>Rectangular midden</t>
  </si>
  <si>
    <t>Rectangular village (mississippian and woodland ceramics)</t>
  </si>
  <si>
    <t>Bradbury</t>
  </si>
  <si>
    <t>Rectangular village (mississippian)</t>
  </si>
  <si>
    <t>19-N-7  </t>
  </si>
  <si>
    <t>19-N-8  </t>
  </si>
  <si>
    <t>19-N-9  </t>
  </si>
  <si>
    <t>19-N-10  </t>
  </si>
  <si>
    <t>19-N-11  </t>
  </si>
  <si>
    <t>19-N-12  </t>
  </si>
  <si>
    <t>19-N-14  </t>
  </si>
  <si>
    <t>19-N-15  </t>
  </si>
  <si>
    <t>19-N-16  </t>
  </si>
  <si>
    <t>19-N-17  </t>
  </si>
  <si>
    <t>19-N-18  </t>
  </si>
  <si>
    <t>19-N-19  </t>
  </si>
  <si>
    <t>19-N-20  </t>
  </si>
  <si>
    <t>19-N-21  </t>
  </si>
  <si>
    <t>19-N-22  </t>
  </si>
  <si>
    <t>19-N-23  </t>
  </si>
  <si>
    <t>19-N-24  </t>
  </si>
  <si>
    <t>19-N-25  </t>
  </si>
  <si>
    <t>19-O-1  </t>
  </si>
  <si>
    <t>19-O-2  </t>
  </si>
  <si>
    <t>19-O-3  </t>
  </si>
  <si>
    <t>19-O-4  </t>
  </si>
  <si>
    <t>19-O-5  </t>
  </si>
  <si>
    <t>19-O-6  </t>
  </si>
  <si>
    <t>19-O-7  </t>
  </si>
  <si>
    <t>19-O-8  </t>
  </si>
  <si>
    <t>19-O-9  </t>
  </si>
  <si>
    <t>19-O-10  </t>
  </si>
  <si>
    <t>19-O-11  </t>
  </si>
  <si>
    <t>19-O-12  </t>
  </si>
  <si>
    <t>19-O-13  </t>
  </si>
  <si>
    <t>19-O-14  </t>
  </si>
  <si>
    <t>19-O-15  </t>
  </si>
  <si>
    <t>19-O-16  </t>
  </si>
  <si>
    <t>19-O-17  </t>
  </si>
  <si>
    <t>19-O-18  </t>
  </si>
  <si>
    <t>19-O-19  </t>
  </si>
  <si>
    <t>19-O-20  </t>
  </si>
  <si>
    <t>19-O-21  </t>
  </si>
  <si>
    <t>19-O-22  </t>
  </si>
  <si>
    <t>19-O-23  </t>
  </si>
  <si>
    <t>19-O-24  </t>
  </si>
  <si>
    <t>19-O-25  </t>
  </si>
  <si>
    <t>19-O-26  </t>
  </si>
  <si>
    <t>19-O-27  </t>
  </si>
  <si>
    <t>19-O-28  </t>
  </si>
  <si>
    <t>19-O-29  </t>
  </si>
  <si>
    <t>19-P-1  </t>
  </si>
  <si>
    <t>19-P-2  </t>
  </si>
  <si>
    <t>19-P-3  </t>
  </si>
  <si>
    <t>19-P-4  </t>
  </si>
  <si>
    <t>19-P-5  </t>
  </si>
  <si>
    <t>19-P-6  </t>
  </si>
  <si>
    <t>19-P-7  </t>
  </si>
  <si>
    <t>19-P-8  </t>
  </si>
  <si>
    <t>19-P-9  </t>
  </si>
  <si>
    <t>19-P-10  </t>
  </si>
  <si>
    <t>19-P-11  </t>
  </si>
  <si>
    <t>19-P-12  </t>
  </si>
  <si>
    <t>19-P-13  </t>
  </si>
  <si>
    <t>19-P-14  </t>
  </si>
  <si>
    <t>19-P-15  </t>
  </si>
  <si>
    <t>20-H-1  </t>
  </si>
  <si>
    <t>20-H-2  </t>
  </si>
  <si>
    <t>20-H-3  </t>
  </si>
  <si>
    <t>20-H-4  </t>
  </si>
  <si>
    <t>20-H-5  </t>
  </si>
  <si>
    <t>20-H-6  </t>
  </si>
  <si>
    <t>20-H-7  </t>
  </si>
  <si>
    <t>20-H-8  </t>
  </si>
  <si>
    <t>20-H-9  </t>
  </si>
  <si>
    <t>20-H-10  </t>
  </si>
  <si>
    <t>20-H-11  </t>
  </si>
  <si>
    <t>20-H-12  </t>
  </si>
  <si>
    <t>20-H-13  </t>
  </si>
  <si>
    <t>20-H-14  </t>
  </si>
  <si>
    <t>20-J-1  </t>
  </si>
  <si>
    <t>20-J-2  </t>
  </si>
  <si>
    <t>20-J-3  </t>
  </si>
  <si>
    <t>20-J-4  </t>
  </si>
  <si>
    <t>20-J-5  </t>
  </si>
  <si>
    <t>20-J-6  </t>
  </si>
  <si>
    <t>20-J-7  </t>
  </si>
  <si>
    <t>20-J-8  </t>
  </si>
  <si>
    <t>20-K-1  </t>
  </si>
  <si>
    <t>20-K-2  </t>
  </si>
  <si>
    <t>20-K-3  </t>
  </si>
  <si>
    <t>20-K-4  </t>
  </si>
  <si>
    <t>20-K-5  </t>
  </si>
  <si>
    <t>20-K-6  </t>
  </si>
  <si>
    <t>20-K-7  </t>
  </si>
  <si>
    <t>20-K-8  </t>
  </si>
  <si>
    <t>20-K-9  </t>
  </si>
  <si>
    <t>20-K-10  </t>
  </si>
  <si>
    <t>20-K-11  </t>
  </si>
  <si>
    <t>20-K-12  </t>
  </si>
  <si>
    <t>20-K-13  </t>
  </si>
  <si>
    <t>20-K-14  </t>
  </si>
  <si>
    <t>20-K-15  </t>
  </si>
  <si>
    <t>20-K-16  </t>
  </si>
  <si>
    <t>20-K-17  </t>
  </si>
  <si>
    <t>20-L-1  </t>
  </si>
  <si>
    <t>20-L-2  </t>
  </si>
  <si>
    <t>20-L-3  </t>
  </si>
  <si>
    <t>20-L-4  </t>
  </si>
  <si>
    <t>20-L-5  </t>
  </si>
  <si>
    <t>20-L-6  </t>
  </si>
  <si>
    <t>20-L-7  </t>
  </si>
  <si>
    <t>20-L-8  </t>
  </si>
  <si>
    <t>20-L-9  </t>
  </si>
  <si>
    <t>20-L-10  </t>
  </si>
  <si>
    <t>20-L-11  </t>
  </si>
  <si>
    <t>20-L-12  </t>
  </si>
  <si>
    <t>20-L-13  </t>
  </si>
  <si>
    <t>20-L-14  </t>
  </si>
  <si>
    <t>20-L-15  </t>
  </si>
  <si>
    <t>20-M-1  </t>
  </si>
  <si>
    <t>20-M-2  </t>
  </si>
  <si>
    <t>20-M-3  </t>
  </si>
  <si>
    <t>20-M-4  </t>
  </si>
  <si>
    <t>20-M-5  </t>
  </si>
  <si>
    <t>20-M-6  </t>
  </si>
  <si>
    <t>20-M-7  </t>
  </si>
  <si>
    <t>20-M-8  </t>
  </si>
  <si>
    <t>20-M-9  </t>
  </si>
  <si>
    <t>20-M-10  </t>
  </si>
  <si>
    <t>20-M-11  </t>
  </si>
  <si>
    <t>20-M-12  </t>
  </si>
  <si>
    <t>20-M-13  </t>
  </si>
  <si>
    <t>20-M-14  </t>
  </si>
  <si>
    <t>20-M-15  </t>
  </si>
  <si>
    <t>20-N-1  </t>
  </si>
  <si>
    <t>20-N-2  </t>
  </si>
  <si>
    <t>20-N-3  </t>
  </si>
  <si>
    <t>20-N-4  </t>
  </si>
  <si>
    <t>20-N-5  </t>
  </si>
  <si>
    <t>20-N-6  </t>
  </si>
  <si>
    <t>20-N-7  </t>
  </si>
  <si>
    <t>20-N-8  </t>
  </si>
  <si>
    <t>20-N-9  </t>
  </si>
  <si>
    <t>20-N-10  </t>
  </si>
  <si>
    <t>20-N-11  </t>
  </si>
  <si>
    <t>20-N-12  </t>
  </si>
  <si>
    <t>20-O-1  </t>
  </si>
  <si>
    <t>20-O-2  </t>
  </si>
  <si>
    <t>20-O-3  </t>
  </si>
  <si>
    <t>20-O-4  </t>
  </si>
  <si>
    <t>20-O-5  </t>
  </si>
  <si>
    <t>20-O-6  </t>
  </si>
  <si>
    <t>20-O-7  </t>
  </si>
  <si>
    <t>20-O-8  </t>
  </si>
  <si>
    <t>Round Island</t>
  </si>
  <si>
    <t>Little Lake Long</t>
  </si>
  <si>
    <t>Fish Island</t>
  </si>
  <si>
    <t>Jeanerette Canal</t>
  </si>
  <si>
    <t>South Eagle Point</t>
  </si>
  <si>
    <t>Ib49</t>
  </si>
  <si>
    <t>Alligator Hole</t>
  </si>
  <si>
    <t>Burk Hill</t>
  </si>
  <si>
    <t>Little Goddel Bayou</t>
  </si>
  <si>
    <t>Hirschfield</t>
  </si>
  <si>
    <t>Big Bayou Pigeon Canal</t>
  </si>
  <si>
    <t>Hooppole Bayou</t>
  </si>
  <si>
    <t>Blind Hooppole Bayou</t>
  </si>
  <si>
    <t>Big Goddel Bayou</t>
  </si>
  <si>
    <t>Smith Bayou</t>
  </si>
  <si>
    <t>Bayou Latania</t>
  </si>
  <si>
    <t>Cypress Pass</t>
  </si>
  <si>
    <t>Willow Cove</t>
  </si>
  <si>
    <t>Belle River</t>
  </si>
  <si>
    <t>Goddel Ridge</t>
  </si>
  <si>
    <t>Pierre Bayou</t>
  </si>
  <si>
    <t>Shell Point</t>
  </si>
  <si>
    <t>Bayou Milhomme</t>
  </si>
  <si>
    <t>Intercoastal C.</t>
  </si>
  <si>
    <t>Bayou Cherami</t>
  </si>
  <si>
    <t>Simon Pass #2</t>
  </si>
  <si>
    <t>Simon Pass #1</t>
  </si>
  <si>
    <t>Pierce Pass</t>
  </si>
  <si>
    <t>Bonnet Bayou</t>
  </si>
  <si>
    <t>N.W. Lake Verret</t>
  </si>
  <si>
    <t>Bayou Gros Bec #2</t>
  </si>
  <si>
    <t>Lake Verret</t>
  </si>
  <si>
    <t>Pierre Pass</t>
  </si>
  <si>
    <t>Bayou Gros Bec</t>
  </si>
  <si>
    <t>Thibodaux</t>
  </si>
  <si>
    <t>Bayou Chactimahan</t>
  </si>
  <si>
    <t>Bite a Mer</t>
  </si>
  <si>
    <t>Sims Place [Sills]</t>
  </si>
  <si>
    <t>Bayou Petit</t>
  </si>
  <si>
    <t>Bayou des Allemands</t>
  </si>
  <si>
    <t>Bayou Gauche</t>
  </si>
  <si>
    <t>Bouquet des Chenes</t>
  </si>
  <si>
    <t>Southern R.R.</t>
  </si>
  <si>
    <t>Metairie Road</t>
  </si>
  <si>
    <t>Crown Point</t>
  </si>
  <si>
    <t>Bayou Bordeaux</t>
  </si>
  <si>
    <t>Eighty Arpent</t>
  </si>
  <si>
    <t>Dupre</t>
  </si>
  <si>
    <t>Reggio</t>
  </si>
  <si>
    <t>Kenilworth Canal</t>
  </si>
  <si>
    <t>Shell Beach Bayou</t>
  </si>
  <si>
    <t>Bayou Terre aux Boeufs</t>
  </si>
  <si>
    <t>Delacroix #2</t>
  </si>
  <si>
    <t>Scarsdale</t>
  </si>
  <si>
    <t>Delacroix #1</t>
  </si>
  <si>
    <t>Lake Lery</t>
  </si>
  <si>
    <t>Bayou Guyago</t>
  </si>
  <si>
    <t>Bayou Biloxi</t>
  </si>
  <si>
    <t>Shotgun Shell</t>
  </si>
  <si>
    <t>Lane Tree Hill</t>
  </si>
  <si>
    <t>Magnolia Mound</t>
  </si>
  <si>
    <t>North of Cut</t>
  </si>
  <si>
    <t>S.W. of Cut</t>
  </si>
  <si>
    <t>Bayou St. Malo</t>
  </si>
  <si>
    <t>Shell Beach</t>
  </si>
  <si>
    <t>Bayou Yscloskey</t>
  </si>
  <si>
    <t>Doulluts Canal</t>
  </si>
  <si>
    <t>Yscloskey</t>
  </si>
  <si>
    <t>Kerchimbo Bay</t>
  </si>
  <si>
    <t>Pirate Point</t>
  </si>
  <si>
    <t>Lawson Bay</t>
  </si>
  <si>
    <t>Bayou Eloi</t>
  </si>
  <si>
    <t>Lake of the Mound</t>
  </si>
  <si>
    <t>Bayou Petre</t>
  </si>
  <si>
    <t>Twilight Harbor</t>
  </si>
  <si>
    <t>Elephant Point Pass</t>
  </si>
  <si>
    <t>Rollover Bayou</t>
  </si>
  <si>
    <t>Swiere</t>
  </si>
  <si>
    <t>North Island</t>
  </si>
  <si>
    <t>Little Pecan Island</t>
  </si>
  <si>
    <t>Six Mile Canal</t>
  </si>
  <si>
    <t>Hock</t>
  </si>
  <si>
    <t>Veazey</t>
  </si>
  <si>
    <t>Agee</t>
  </si>
  <si>
    <t>Coupe Ridge</t>
  </si>
  <si>
    <t>Astor</t>
  </si>
  <si>
    <t>Copell</t>
  </si>
  <si>
    <t>Cobb Mound</t>
  </si>
  <si>
    <t>Southwest Pass</t>
  </si>
  <si>
    <t>Lee's Ridge</t>
  </si>
  <si>
    <t>Coxan Shell Bank</t>
  </si>
  <si>
    <t>Belle Isle Ridge</t>
  </si>
  <si>
    <t>North Lake #1</t>
  </si>
  <si>
    <t>North Lake #2</t>
  </si>
  <si>
    <t>Louisiana Fur Company Canal</t>
  </si>
  <si>
    <t>Cheniere au Tigre</t>
  </si>
  <si>
    <t>Belle Isle Bayou</t>
  </si>
  <si>
    <t>Onion Bayou Canal</t>
  </si>
  <si>
    <t>Hell Hole</t>
  </si>
  <si>
    <t>Lege</t>
  </si>
  <si>
    <t>Audubon</t>
  </si>
  <si>
    <t>McIlhenny Camp</t>
  </si>
  <si>
    <t>Redfish Point</t>
  </si>
  <si>
    <t>Deadman Island</t>
  </si>
  <si>
    <t>Dead Cypress Point</t>
  </si>
  <si>
    <t>Oyster Bayou</t>
  </si>
  <si>
    <t>Bayou Cypremort</t>
  </si>
  <si>
    <t>Chenier La Croix</t>
  </si>
  <si>
    <t>Crawford Point</t>
  </si>
  <si>
    <t>Quintana Canal</t>
  </si>
  <si>
    <t>19-N-2  </t>
  </si>
  <si>
    <t>19-N-3  </t>
  </si>
  <si>
    <t>19-N-4  </t>
  </si>
  <si>
    <t>19-N-5  </t>
  </si>
  <si>
    <t>19-N-6  </t>
  </si>
  <si>
    <t>Grand Pass #2</t>
  </si>
  <si>
    <t>Door Point</t>
  </si>
  <si>
    <t>Northwest Jack Williams Bay</t>
  </si>
  <si>
    <t>East Pass [Sabine]</t>
  </si>
  <si>
    <t>Sabine Lake</t>
  </si>
  <si>
    <t>Five Lakes</t>
  </si>
  <si>
    <t>Eagle Island</t>
  </si>
  <si>
    <t>Greens Bayou</t>
  </si>
  <si>
    <t>Smith Ridge</t>
  </si>
  <si>
    <t>Long Point Bayou</t>
  </si>
  <si>
    <t>Bayou Bois Connine</t>
  </si>
  <si>
    <t>Sweet Lake</t>
  </si>
  <si>
    <t>Oak Grove Ridge</t>
  </si>
  <si>
    <t>Grand Bayou</t>
  </si>
  <si>
    <t>"Chenier"</t>
  </si>
  <si>
    <t>Little Pecan Isle</t>
  </si>
  <si>
    <t>Little Pecan Bayou</t>
  </si>
  <si>
    <t>Catfish Bayou</t>
  </si>
  <si>
    <t>Tebo Point</t>
  </si>
  <si>
    <t>Mermentau River</t>
  </si>
  <si>
    <t>Little Cheniere</t>
  </si>
  <si>
    <t>Little Chenier</t>
  </si>
  <si>
    <t>Chenier Perdue</t>
  </si>
  <si>
    <t>Grand Cheniere</t>
  </si>
  <si>
    <t>Flea Hill</t>
  </si>
  <si>
    <t>Indian Point</t>
  </si>
  <si>
    <t>Latania Hill</t>
  </si>
  <si>
    <t>Latania Bayou</t>
  </si>
  <si>
    <t>Nigger Island</t>
  </si>
  <si>
    <t>Lacassine Bayou</t>
  </si>
  <si>
    <t>Onion Hill</t>
  </si>
  <si>
    <t>High Island</t>
  </si>
  <si>
    <t>Price</t>
  </si>
  <si>
    <t>Chenier Du Fond</t>
  </si>
  <si>
    <t>Gueydan Canal</t>
  </si>
  <si>
    <t>Cullicon Lake</t>
  </si>
  <si>
    <t>Mallard Bay Isle</t>
  </si>
  <si>
    <t>Rabbit Isle</t>
  </si>
  <si>
    <t>Umbrella Bay</t>
  </si>
  <si>
    <t>Alligator Mound</t>
  </si>
  <si>
    <t>Square Hill</t>
  </si>
  <si>
    <t>Sledge Canal</t>
  </si>
  <si>
    <t>Intracoastal City</t>
  </si>
  <si>
    <t>S. of Onion Lake</t>
  </si>
  <si>
    <t>Onion Lake</t>
  </si>
  <si>
    <t>Lake L'Isle a Pete</t>
  </si>
  <si>
    <t>Onion Bayou 1</t>
  </si>
  <si>
    <t>Vermilion Bayou</t>
  </si>
  <si>
    <t>Shell Island</t>
  </si>
  <si>
    <t>Vermilion River GIWW1</t>
  </si>
  <si>
    <t>Vermilion River GIWW2</t>
  </si>
  <si>
    <t>Vm104</t>
  </si>
  <si>
    <t>Caldwell Camp</t>
  </si>
  <si>
    <t>Cock Island</t>
  </si>
  <si>
    <t>Onion Bayou 2</t>
  </si>
  <si>
    <t>Vermilion River Cutoff</t>
  </si>
  <si>
    <t>Cock Lake</t>
  </si>
  <si>
    <t>Bayou Hebert</t>
  </si>
  <si>
    <t>Weeks Island</t>
  </si>
  <si>
    <t>Salt Mine Valley</t>
  </si>
  <si>
    <t>Banana Bayou Mound</t>
  </si>
  <si>
    <t>Devince's Pond</t>
  </si>
  <si>
    <t>Hayes Pond Ridge</t>
  </si>
  <si>
    <t>Prospect Hill</t>
  </si>
  <si>
    <t>Banana Bayou Midden</t>
  </si>
  <si>
    <t>Vaughn's Clearing</t>
  </si>
  <si>
    <t>Palmetto Branch</t>
  </si>
  <si>
    <t>Shortrack</t>
  </si>
  <si>
    <t>Morningside</t>
  </si>
  <si>
    <t>Residence Hill</t>
  </si>
  <si>
    <t>Fiddler's Green</t>
  </si>
  <si>
    <t>Ib16</t>
  </si>
  <si>
    <t>Bayou Cassmer</t>
  </si>
  <si>
    <t>GIWW Bend</t>
  </si>
  <si>
    <t>North Hill</t>
  </si>
  <si>
    <t>Old Channel Bayou Cypremort</t>
  </si>
  <si>
    <t>Lake Peigneur</t>
  </si>
  <si>
    <t>Lyons</t>
  </si>
  <si>
    <t>Ib121</t>
  </si>
  <si>
    <t>Ib101</t>
  </si>
  <si>
    <t>Bayou Carlin</t>
  </si>
  <si>
    <t>Slim Pickings</t>
  </si>
  <si>
    <t>Triple Ridge</t>
  </si>
  <si>
    <t>Sugar House</t>
  </si>
  <si>
    <t>Cherry Hill Bottom</t>
  </si>
  <si>
    <t>Middle Gate Bottom</t>
  </si>
  <si>
    <t>Tung Oil</t>
  </si>
  <si>
    <t>Magnolia Bridge</t>
  </si>
  <si>
    <t>Stumpy Bayou</t>
  </si>
  <si>
    <t>Black's Bottom Hill</t>
  </si>
  <si>
    <t>Bamboo Spring</t>
  </si>
  <si>
    <t>Ringle</t>
  </si>
  <si>
    <t>Three Bayou</t>
  </si>
  <si>
    <t>Yellow Hills</t>
  </si>
  <si>
    <t>Toy Soldier</t>
  </si>
  <si>
    <t>Bottlewash</t>
  </si>
  <si>
    <t>Plantation Lake</t>
  </si>
  <si>
    <t>Shellbank</t>
  </si>
  <si>
    <t>Two Mouth Bayou</t>
  </si>
  <si>
    <t>Jefferson Canal</t>
  </si>
  <si>
    <t>Malam</t>
  </si>
  <si>
    <t>Fleur</t>
  </si>
  <si>
    <t>LeMaire</t>
  </si>
  <si>
    <t>Warren</t>
  </si>
  <si>
    <t>Bourgeois Landing</t>
  </si>
  <si>
    <t>Cemetaire or Cenetaire</t>
  </si>
  <si>
    <t>Grand Avoille Cove #1</t>
  </si>
  <si>
    <t>Grand Avoille Cove #2</t>
  </si>
  <si>
    <t>Lake Fausse Point</t>
  </si>
  <si>
    <t>Bayou Jean Lewis</t>
  </si>
  <si>
    <t>Charenton Beach</t>
  </si>
  <si>
    <t>Shaw Island</t>
  </si>
  <si>
    <t>24-K-38  </t>
  </si>
  <si>
    <t>24-L-1  </t>
  </si>
  <si>
    <t>24-L-2  </t>
  </si>
  <si>
    <t>24-L-3  </t>
  </si>
  <si>
    <t>24-L-5  </t>
  </si>
  <si>
    <t>24-L-6  </t>
  </si>
  <si>
    <t>24-L-7  </t>
  </si>
  <si>
    <t>24-L-8  </t>
  </si>
  <si>
    <t>24-L-9  </t>
  </si>
  <si>
    <t>24-L-10  </t>
  </si>
  <si>
    <t>24-L-11  </t>
  </si>
  <si>
    <t>24-L-12  </t>
  </si>
  <si>
    <t>24-L-13  </t>
  </si>
  <si>
    <t>24-L-14  </t>
  </si>
  <si>
    <t>24-L-15  </t>
  </si>
  <si>
    <t>24-L-16  </t>
  </si>
  <si>
    <t>24-L-17  </t>
  </si>
  <si>
    <t>24-L-18  </t>
  </si>
  <si>
    <t>24-L-19  </t>
  </si>
  <si>
    <t>24-L-20  </t>
  </si>
  <si>
    <t>24-L-21  </t>
  </si>
  <si>
    <t>24-L-22  </t>
  </si>
  <si>
    <t>24-L-26  </t>
  </si>
  <si>
    <t>24-L-27  </t>
  </si>
  <si>
    <t>24-L-28  </t>
  </si>
  <si>
    <t>24-M-1  </t>
  </si>
  <si>
    <t>24-M-2  </t>
  </si>
  <si>
    <t>24-M-3  </t>
  </si>
  <si>
    <t>24-M-4  </t>
  </si>
  <si>
    <t>24-M-5  </t>
  </si>
  <si>
    <t>24-M-6  </t>
  </si>
  <si>
    <t>24-M-7  </t>
  </si>
  <si>
    <t>24-M-8  </t>
  </si>
  <si>
    <t>24-M-9  </t>
  </si>
  <si>
    <t>24-M-10  </t>
  </si>
  <si>
    <t>24-M-11  </t>
  </si>
  <si>
    <t>24-M-12  </t>
  </si>
  <si>
    <t>24-M-13  </t>
  </si>
  <si>
    <t>24-M-14  </t>
  </si>
  <si>
    <t>24-M-15  </t>
  </si>
  <si>
    <t>25-I-1  </t>
  </si>
  <si>
    <t>25-I-2  </t>
  </si>
  <si>
    <t>25-I-3  </t>
  </si>
  <si>
    <t>25-I-4  </t>
  </si>
  <si>
    <t>25-I-5  </t>
  </si>
  <si>
    <t>25-I-6  </t>
  </si>
  <si>
    <t>25-I-7  </t>
  </si>
  <si>
    <t>25-I-8  </t>
  </si>
  <si>
    <t>25-I-9  </t>
  </si>
  <si>
    <t>25-I-10  </t>
  </si>
  <si>
    <t>25-I-11  </t>
  </si>
  <si>
    <t>25-I-12  </t>
  </si>
  <si>
    <t>25-I-13  </t>
  </si>
  <si>
    <t>25-I-14  </t>
  </si>
  <si>
    <t>25-I-15  </t>
  </si>
  <si>
    <t>25-I-16  </t>
  </si>
  <si>
    <t>25-I-17  </t>
  </si>
  <si>
    <t>25-I-18  </t>
  </si>
  <si>
    <t>25-I-19  </t>
  </si>
  <si>
    <t>25-I-20  </t>
  </si>
  <si>
    <t>25-I-21  </t>
  </si>
  <si>
    <t>25-I-22  </t>
  </si>
  <si>
    <t>25-I-25  </t>
  </si>
  <si>
    <t>25-I-26  </t>
  </si>
  <si>
    <t>25-I-27  </t>
  </si>
  <si>
    <t>25-I-28  </t>
  </si>
  <si>
    <t>25-I-29  </t>
  </si>
  <si>
    <t>25-I-30  </t>
  </si>
  <si>
    <t>25-I-31  </t>
  </si>
  <si>
    <t>25-I-32  </t>
  </si>
  <si>
    <t>25-I-33  </t>
  </si>
  <si>
    <t>25-I-34  </t>
  </si>
  <si>
    <t>25-I-35  </t>
  </si>
  <si>
    <t>25-I-36  </t>
  </si>
  <si>
    <t>25-I-37  </t>
  </si>
  <si>
    <t>25-I-38  </t>
  </si>
  <si>
    <t>25-I-39  </t>
  </si>
  <si>
    <t>25-I-40  </t>
  </si>
  <si>
    <t>25-I-41  </t>
  </si>
  <si>
    <t>25-I-42  </t>
  </si>
  <si>
    <t>25-I-43  </t>
  </si>
  <si>
    <t>25-I-44  </t>
  </si>
  <si>
    <t>25-J-1  </t>
  </si>
  <si>
    <t>25-J-2  </t>
  </si>
  <si>
    <t>25-J-3  </t>
  </si>
  <si>
    <t>25-J-4  </t>
  </si>
  <si>
    <t>25-J-5  </t>
  </si>
  <si>
    <t>25-J-6  </t>
  </si>
  <si>
    <t>25-J-7  </t>
  </si>
  <si>
    <t>25-J-8  </t>
  </si>
  <si>
    <t>25-J-9  </t>
  </si>
  <si>
    <t>25-J-10  </t>
  </si>
  <si>
    <t>25-J-11  </t>
  </si>
  <si>
    <t>25-J-12  </t>
  </si>
  <si>
    <t>25-J-13  </t>
  </si>
  <si>
    <t>25-J-14  </t>
  </si>
  <si>
    <t>25-J-15  </t>
  </si>
  <si>
    <t>25-J-16  </t>
  </si>
  <si>
    <t>25-J-17  </t>
  </si>
  <si>
    <t>25-J-18  </t>
  </si>
  <si>
    <t>25-J-19  </t>
  </si>
  <si>
    <t>25-K-2  </t>
  </si>
  <si>
    <t>25-K-3  </t>
  </si>
  <si>
    <t>25-K-4  </t>
  </si>
  <si>
    <t>25-K-5  </t>
  </si>
  <si>
    <t>25-K-6  </t>
  </si>
  <si>
    <t>25-K-7  </t>
  </si>
  <si>
    <t>25-K-8  </t>
  </si>
  <si>
    <t>25-K-9  </t>
  </si>
  <si>
    <t>25-K-10  </t>
  </si>
  <si>
    <t>25-K-11  </t>
  </si>
  <si>
    <t>25-K-12  </t>
  </si>
  <si>
    <t>25-K-13  </t>
  </si>
  <si>
    <t>25-K-14  </t>
  </si>
  <si>
    <t>25-K-15  </t>
  </si>
  <si>
    <t>25-K-16  </t>
  </si>
  <si>
    <t>25-K-17  </t>
  </si>
  <si>
    <t>25-K-18  </t>
  </si>
  <si>
    <t>25-K-19  </t>
  </si>
  <si>
    <t>25-K-20  </t>
  </si>
  <si>
    <t>25-K-21  </t>
  </si>
  <si>
    <t>25-K-22  </t>
  </si>
  <si>
    <t>Truloix Point</t>
  </si>
  <si>
    <t>Lake St. Catherine</t>
  </si>
  <si>
    <t>Rabbit Island</t>
  </si>
  <si>
    <t>Little Rigolets</t>
  </si>
  <si>
    <t>Bayou Trois Chenes</t>
  </si>
  <si>
    <t>Baldwin Landing</t>
  </si>
  <si>
    <t>Mulatto Bayou</t>
  </si>
  <si>
    <t>Bayou Isle aux Bois</t>
  </si>
  <si>
    <t>Garcia [Bay Jaune Point]</t>
  </si>
  <si>
    <t>S. of Lake Borgne</t>
  </si>
  <si>
    <t>Lake Borgne</t>
  </si>
  <si>
    <t>Three Mile Bay</t>
  </si>
  <si>
    <t>Malheureux Point</t>
  </si>
  <si>
    <t>Nigger Point</t>
  </si>
  <si>
    <t>Johnson Bayou</t>
  </si>
  <si>
    <t>Heron Bay [Shell Island]</t>
  </si>
  <si>
    <t>Isle au Pitre</t>
  </si>
  <si>
    <t>Grand Pass #1</t>
  </si>
  <si>
    <t>24-I-11  </t>
  </si>
  <si>
    <t>24-I-12  </t>
  </si>
  <si>
    <t>24-I-13  </t>
  </si>
  <si>
    <t>24-I-14  </t>
  </si>
  <si>
    <t>24-I-15  </t>
  </si>
  <si>
    <t>24-I-16  </t>
  </si>
  <si>
    <t>24-I-17  </t>
  </si>
  <si>
    <t>24-I-18  </t>
  </si>
  <si>
    <t>24-I-19  </t>
  </si>
  <si>
    <t>24-I-20  </t>
  </si>
  <si>
    <t>24-I-21  </t>
  </si>
  <si>
    <t>24-I-22  </t>
  </si>
  <si>
    <t>24-I-23  </t>
  </si>
  <si>
    <t>24-I-24  </t>
  </si>
  <si>
    <t>24-I-25  </t>
  </si>
  <si>
    <t>24-I-26  </t>
  </si>
  <si>
    <t>24-I-27  </t>
  </si>
  <si>
    <t>24-I-28  </t>
  </si>
  <si>
    <t>24-I-29  </t>
  </si>
  <si>
    <t>24-I-30  </t>
  </si>
  <si>
    <t>24-I-31  </t>
  </si>
  <si>
    <t>24-I-32  </t>
  </si>
  <si>
    <t>24-I-33  </t>
  </si>
  <si>
    <t>24-I-34  </t>
  </si>
  <si>
    <t>24-I-35  </t>
  </si>
  <si>
    <t>24-I-36  </t>
  </si>
  <si>
    <t>24-I-37  </t>
  </si>
  <si>
    <t>24-I-38  </t>
  </si>
  <si>
    <t>24-I-39  </t>
  </si>
  <si>
    <t>24-I-40  </t>
  </si>
  <si>
    <t>24-I-41  </t>
  </si>
  <si>
    <t>24-I-42  </t>
  </si>
  <si>
    <t>24-I-43  </t>
  </si>
  <si>
    <t>24-I-44  </t>
  </si>
  <si>
    <t>24-I-45  </t>
  </si>
  <si>
    <t>24-I-46  </t>
  </si>
  <si>
    <t>24-I-47  </t>
  </si>
  <si>
    <t>24-I-48  </t>
  </si>
  <si>
    <t>24-I-49  </t>
  </si>
  <si>
    <t>24-I-50  </t>
  </si>
  <si>
    <t>24-I-51  </t>
  </si>
  <si>
    <t>24-I-52  </t>
  </si>
  <si>
    <t>24-I-53  </t>
  </si>
  <si>
    <t>24-I-54  </t>
  </si>
  <si>
    <t>24-I-55  </t>
  </si>
  <si>
    <t>24-I-56  </t>
  </si>
  <si>
    <t>24-I-57  </t>
  </si>
  <si>
    <t>24-I-58  </t>
  </si>
  <si>
    <t>24-I-59  </t>
  </si>
  <si>
    <t>24-I-60  </t>
  </si>
  <si>
    <t>24-I-61  </t>
  </si>
  <si>
    <t>24-I-62  </t>
  </si>
  <si>
    <t>24-I-63  </t>
  </si>
  <si>
    <t>24-I-64  </t>
  </si>
  <si>
    <t>24-I-65  </t>
  </si>
  <si>
    <t>24-I-66  </t>
  </si>
  <si>
    <t>24-I-67  </t>
  </si>
  <si>
    <t>24-I-68  </t>
  </si>
  <si>
    <t>24-J-1  </t>
  </si>
  <si>
    <t>24-J-2  </t>
  </si>
  <si>
    <t>24-J-3  </t>
  </si>
  <si>
    <t>24-J-4  </t>
  </si>
  <si>
    <t>24-J-5  </t>
  </si>
  <si>
    <t>24-J-6  </t>
  </si>
  <si>
    <t>24-J-7  </t>
  </si>
  <si>
    <t>24-J-8  </t>
  </si>
  <si>
    <t>24-J-9  </t>
  </si>
  <si>
    <t>24-J-10  </t>
  </si>
  <si>
    <t>24-J-11  </t>
  </si>
  <si>
    <t>24-J-12  </t>
  </si>
  <si>
    <t>24-J-13  </t>
  </si>
  <si>
    <t>24-J-14  </t>
  </si>
  <si>
    <t>24-J-15  </t>
  </si>
  <si>
    <t>24-J-16  </t>
  </si>
  <si>
    <t>24-J-17  </t>
  </si>
  <si>
    <t>24-J-18  </t>
  </si>
  <si>
    <t>24-J-19  </t>
  </si>
  <si>
    <t>24-J-20  </t>
  </si>
  <si>
    <t>24-J-24  </t>
  </si>
  <si>
    <t>24-J-25  </t>
  </si>
  <si>
    <t>24-J-26  </t>
  </si>
  <si>
    <t>24-J-27  </t>
  </si>
  <si>
    <t>24-J-29  </t>
  </si>
  <si>
    <t>24-J-30  </t>
  </si>
  <si>
    <t>24-J-31  </t>
  </si>
  <si>
    <t>24-J-32  </t>
  </si>
  <si>
    <t>24-J-33  </t>
  </si>
  <si>
    <t>24-J-34  </t>
  </si>
  <si>
    <t>24-J-35  </t>
  </si>
  <si>
    <t>24-J-36  </t>
  </si>
  <si>
    <t>24-J-37  </t>
  </si>
  <si>
    <t>24-J-38  </t>
  </si>
  <si>
    <t>24-J-39  </t>
  </si>
  <si>
    <t>24-J-40  </t>
  </si>
  <si>
    <t>24-J-42  </t>
  </si>
  <si>
    <t>24-J-43  </t>
  </si>
  <si>
    <t>24-J-44  </t>
  </si>
  <si>
    <t>24-J-45  </t>
  </si>
  <si>
    <t>24-J-46  </t>
  </si>
  <si>
    <t>24-J-47  </t>
  </si>
  <si>
    <t>24-J-48  </t>
  </si>
  <si>
    <t>24-J-49  </t>
  </si>
  <si>
    <t>24-J-50  </t>
  </si>
  <si>
    <t>24-J-51  </t>
  </si>
  <si>
    <t>24-J-52  </t>
  </si>
  <si>
    <t>24-J-53  </t>
  </si>
  <si>
    <t>24-J-55  </t>
  </si>
  <si>
    <t>24-J-56  </t>
  </si>
  <si>
    <t>24-J-57  </t>
  </si>
  <si>
    <t>24-J-58  </t>
  </si>
  <si>
    <t>24-J-59  </t>
  </si>
  <si>
    <t>24-J-60  </t>
  </si>
  <si>
    <t>24-J-61  </t>
  </si>
  <si>
    <t>24-J-62  </t>
  </si>
  <si>
    <t>24-J-63  </t>
  </si>
  <si>
    <t>24-K-1  </t>
  </si>
  <si>
    <t>24-K-2  </t>
  </si>
  <si>
    <t>24-K-3  </t>
  </si>
  <si>
    <t>24-K-4  </t>
  </si>
  <si>
    <t>24-K-5  </t>
  </si>
  <si>
    <t>24-K-6  </t>
  </si>
  <si>
    <t>24-K-7  </t>
  </si>
  <si>
    <t>24-K-8  </t>
  </si>
  <si>
    <t>24-K-9  </t>
  </si>
  <si>
    <t>24-K-10  </t>
  </si>
  <si>
    <t>24-K-11  </t>
  </si>
  <si>
    <t>24-K-12  </t>
  </si>
  <si>
    <t>24-K-13  </t>
  </si>
  <si>
    <t>24-K-14  </t>
  </si>
  <si>
    <t>24-K-15  </t>
  </si>
  <si>
    <t>24-K-16  </t>
  </si>
  <si>
    <t>24-K-17  </t>
  </si>
  <si>
    <t>24-K-18  </t>
  </si>
  <si>
    <t>24-K-19  </t>
  </si>
  <si>
    <t>24-K-20  </t>
  </si>
  <si>
    <t>24-K-21  </t>
  </si>
  <si>
    <t>24-K-23  </t>
  </si>
  <si>
    <t>24-K-29  </t>
  </si>
  <si>
    <t>24-K-30  </t>
  </si>
  <si>
    <t>24-K-31  </t>
  </si>
  <si>
    <t>24-K-32  </t>
  </si>
  <si>
    <t>24-K-33  </t>
  </si>
  <si>
    <t>24-K-34  </t>
  </si>
  <si>
    <t>24-K-35  </t>
  </si>
  <si>
    <t>24-K-36  </t>
  </si>
  <si>
    <t>24-K-37  </t>
  </si>
  <si>
    <t>Village site with small mound; compact village midden, 1 meter high mound</t>
  </si>
  <si>
    <t>13-N-7</t>
  </si>
  <si>
    <t>3LE11</t>
  </si>
  <si>
    <t>Clay Hill</t>
  </si>
  <si>
    <t>Large village site with small mounds; St. Francis village, 2 small mounds</t>
  </si>
  <si>
    <t>13-N-8</t>
  </si>
  <si>
    <t>Findley</t>
  </si>
  <si>
    <t>Small village site</t>
  </si>
  <si>
    <t>13-N-9</t>
  </si>
  <si>
    <t>3LE13</t>
  </si>
  <si>
    <t>Red Oak</t>
  </si>
  <si>
    <t>Small village site; Sparse Mississppian Occupation</t>
  </si>
  <si>
    <t>13-O-1</t>
  </si>
  <si>
    <t>3LE3</t>
  </si>
  <si>
    <t>Barrett</t>
  </si>
  <si>
    <t>Large village site with large rectangular mound and small mounds; 2 large mounds, 2 small mounds</t>
  </si>
  <si>
    <t>13-O-10</t>
  </si>
  <si>
    <t>Hollywood</t>
  </si>
  <si>
    <t>Large village site with large rectangular platform mound and small mounds in plaza arrangement</t>
  </si>
  <si>
    <t>Large Ceremonial Center</t>
  </si>
  <si>
    <t>13-O-11</t>
  </si>
  <si>
    <t>Commerce</t>
  </si>
  <si>
    <t>Large rectangular platform mound and small mounds</t>
  </si>
  <si>
    <t>13-O-12</t>
  </si>
  <si>
    <t>Indian Creek</t>
  </si>
  <si>
    <t>Large village site</t>
  </si>
  <si>
    <t>13-O-13</t>
  </si>
  <si>
    <t>Crystal Spring Mound</t>
  </si>
  <si>
    <t>13-O-14</t>
  </si>
  <si>
    <t>Sledge (Royal)</t>
  </si>
  <si>
    <t>13-O-2</t>
  </si>
  <si>
    <t>Green River Plantation</t>
  </si>
  <si>
    <t>Village site with large rectangular mound and small mounds</t>
  </si>
  <si>
    <t>13-O-3</t>
  </si>
  <si>
    <t>Huber</t>
  </si>
  <si>
    <t>Village site with mound</t>
  </si>
  <si>
    <t>13-O-4</t>
  </si>
  <si>
    <t>Nickey Mound</t>
  </si>
  <si>
    <t>Village site with large mound</t>
  </si>
  <si>
    <t>13-O-5</t>
  </si>
  <si>
    <t>23-K-31  </t>
  </si>
  <si>
    <t>23-K-32  </t>
  </si>
  <si>
    <t>23-K-33  </t>
  </si>
  <si>
    <t>23-K-34  </t>
  </si>
  <si>
    <t>23-K-35  </t>
  </si>
  <si>
    <t>23-K-36  </t>
  </si>
  <si>
    <t>23-K-37  </t>
  </si>
  <si>
    <t>23-K-38  </t>
  </si>
  <si>
    <t>23-K-39  </t>
  </si>
  <si>
    <t>23-L-1  </t>
  </si>
  <si>
    <t>23-L-2  </t>
  </si>
  <si>
    <t>23-L-3  </t>
  </si>
  <si>
    <t>23-L-4  </t>
  </si>
  <si>
    <t>23-L-5  </t>
  </si>
  <si>
    <t>23-L-6  </t>
  </si>
  <si>
    <t>23-L-7  </t>
  </si>
  <si>
    <t>23-L-8  </t>
  </si>
  <si>
    <t>23-L-9  </t>
  </si>
  <si>
    <t>23-L-10  </t>
  </si>
  <si>
    <t>23-L-11  </t>
  </si>
  <si>
    <t>23-L-12  </t>
  </si>
  <si>
    <t>23-L-13  </t>
  </si>
  <si>
    <t>23-L-14  </t>
  </si>
  <si>
    <t>23-L-15  </t>
  </si>
  <si>
    <t>23-L-16  </t>
  </si>
  <si>
    <t>23-L-17  </t>
  </si>
  <si>
    <t>23-L-20  </t>
  </si>
  <si>
    <t>23-L-21  </t>
  </si>
  <si>
    <t>23-L-22  </t>
  </si>
  <si>
    <t>23-L-23  </t>
  </si>
  <si>
    <t>23-L-27  </t>
  </si>
  <si>
    <t>23-L-28  </t>
  </si>
  <si>
    <t>23-M-1  </t>
  </si>
  <si>
    <t>23-M-2  </t>
  </si>
  <si>
    <t>23-M-3  </t>
  </si>
  <si>
    <t>23-M-4  </t>
  </si>
  <si>
    <t>23-M-5  </t>
  </si>
  <si>
    <t>23-M-6  </t>
  </si>
  <si>
    <t>23-M-7  </t>
  </si>
  <si>
    <t>23-M-8  </t>
  </si>
  <si>
    <t>23-M-9  </t>
  </si>
  <si>
    <t>23-M-10  </t>
  </si>
  <si>
    <t>23-M-11  </t>
  </si>
  <si>
    <t>23-M-12  </t>
  </si>
  <si>
    <t>23-M-13  </t>
  </si>
  <si>
    <t>23-M-14  </t>
  </si>
  <si>
    <t>23-M-15  </t>
  </si>
  <si>
    <t>23-N-1  </t>
  </si>
  <si>
    <t>23-N-2  </t>
  </si>
  <si>
    <t>23-O-1  </t>
  </si>
  <si>
    <t>23-O-2  </t>
  </si>
  <si>
    <t>24-H-1/4  </t>
  </si>
  <si>
    <t>24-H-2  </t>
  </si>
  <si>
    <t>24-H-3  </t>
  </si>
  <si>
    <t>24-H-5  </t>
  </si>
  <si>
    <t>24-H-6  </t>
  </si>
  <si>
    <t>24-H-7  </t>
  </si>
  <si>
    <t>24-H-8  </t>
  </si>
  <si>
    <t>24-H-9  </t>
  </si>
  <si>
    <t>24-H-10  </t>
  </si>
  <si>
    <t>24-H-11  </t>
  </si>
  <si>
    <t>24-H-12  </t>
  </si>
  <si>
    <t>24-H-13  </t>
  </si>
  <si>
    <t>24-H-14  </t>
  </si>
  <si>
    <t>24-I-1  </t>
  </si>
  <si>
    <t>24-I-2  </t>
  </si>
  <si>
    <t>24-I-3  </t>
  </si>
  <si>
    <t>24-I-4  </t>
  </si>
  <si>
    <t>24-I-5  </t>
  </si>
  <si>
    <t>24-I-6  </t>
  </si>
  <si>
    <t>24-I-7  </t>
  </si>
  <si>
    <t>24-I-8  </t>
  </si>
  <si>
    <t>24-I-9  </t>
  </si>
  <si>
    <t>24-I-10  </t>
  </si>
  <si>
    <t>29-J-8  </t>
  </si>
  <si>
    <t>29-J-9  </t>
  </si>
  <si>
    <t>29-J-10  </t>
  </si>
  <si>
    <t>29-J-11  </t>
  </si>
  <si>
    <t>29-J-12  </t>
  </si>
  <si>
    <t>29-J-13  </t>
  </si>
  <si>
    <t>29-J-14  </t>
  </si>
  <si>
    <t>29-J-15  </t>
  </si>
  <si>
    <t>29-J-16  </t>
  </si>
  <si>
    <t>22-J-41  </t>
  </si>
  <si>
    <t>22-J-42  </t>
  </si>
  <si>
    <t>22-J-43  </t>
  </si>
  <si>
    <t>22-J-44  </t>
  </si>
  <si>
    <t>22-J-45  </t>
  </si>
  <si>
    <t>22-J-46  </t>
  </si>
  <si>
    <t>22-J-47  </t>
  </si>
  <si>
    <t>22-J-48  </t>
  </si>
  <si>
    <t>22-J-49  </t>
  </si>
  <si>
    <t>22-J-50  </t>
  </si>
  <si>
    <t>22-J-51  </t>
  </si>
  <si>
    <t>22-J-52  </t>
  </si>
  <si>
    <t>22-J-53  </t>
  </si>
  <si>
    <t>22-J-54  </t>
  </si>
  <si>
    <t>22-J-55  </t>
  </si>
  <si>
    <t>22-J-56  </t>
  </si>
  <si>
    <t>22-J-57  </t>
  </si>
  <si>
    <t>22-J-58  </t>
  </si>
  <si>
    <t>22-K-1  </t>
  </si>
  <si>
    <t>22-K-2  </t>
  </si>
  <si>
    <t>22-K-3  </t>
  </si>
  <si>
    <t>22-K-4  </t>
  </si>
  <si>
    <t>22-K-5  </t>
  </si>
  <si>
    <t>22-K-6  </t>
  </si>
  <si>
    <t>22-K-7  </t>
  </si>
  <si>
    <t>22-K-8  </t>
  </si>
  <si>
    <t>22-K-9  </t>
  </si>
  <si>
    <t>22-K-10  </t>
  </si>
  <si>
    <t>22-K-11  </t>
  </si>
  <si>
    <t>22-K-12  </t>
  </si>
  <si>
    <t>22-K-13  </t>
  </si>
  <si>
    <t>22-K-14  </t>
  </si>
  <si>
    <t>22-K-15  </t>
  </si>
  <si>
    <t>22-K-16  </t>
  </si>
  <si>
    <t>22-K-17  </t>
  </si>
  <si>
    <t>22-K-19  </t>
  </si>
  <si>
    <t>22-K-20  </t>
  </si>
  <si>
    <t>22-K-21  </t>
  </si>
  <si>
    <t>22-K-23  </t>
  </si>
  <si>
    <t>22-K-24  </t>
  </si>
  <si>
    <t>22-K-25  </t>
  </si>
  <si>
    <t>22-K-26  </t>
  </si>
  <si>
    <t>Large village site with large rectangular mound and small mounds. House 1991 calls this "Walnut Bend", Remendant of linear midden, former small mounds</t>
  </si>
  <si>
    <t>13-N-13</t>
  </si>
  <si>
    <t>Rawlinson</t>
  </si>
  <si>
    <t>13-N-14</t>
  </si>
  <si>
    <t>3LE18</t>
  </si>
  <si>
    <t>Conner Place</t>
  </si>
  <si>
    <t>Village site; Compact village midden, outlying artifact scatters</t>
  </si>
  <si>
    <t>13-N-15</t>
  </si>
  <si>
    <t>Nickel</t>
  </si>
  <si>
    <t>Large village site with large rectangular mound and small mounds</t>
  </si>
  <si>
    <t>13-N-16</t>
  </si>
  <si>
    <t>3LE17</t>
  </si>
  <si>
    <t>Starkley</t>
  </si>
  <si>
    <t>Village site with large mound; St. Francis type village, 3 meter high mound</t>
  </si>
  <si>
    <t>13-N-17</t>
  </si>
  <si>
    <t>3LE24</t>
  </si>
  <si>
    <t>Greer</t>
  </si>
  <si>
    <t>Village site with large rectangular platform mound; 4 meter high mound, possible small mounds, sparse surface artifacts</t>
  </si>
  <si>
    <t>13-N-18</t>
  </si>
  <si>
    <t>Lakeside</t>
  </si>
  <si>
    <t>13-N-19</t>
  </si>
  <si>
    <t>Riverside</t>
  </si>
  <si>
    <t>Small Mound</t>
  </si>
  <si>
    <t>13-N-2</t>
  </si>
  <si>
    <t>Alligator Bayou</t>
  </si>
  <si>
    <t>13-N-20</t>
  </si>
  <si>
    <t>Hargrave</t>
  </si>
  <si>
    <t>13-N-21</t>
  </si>
  <si>
    <t>Castile Landing</t>
  </si>
  <si>
    <t>13-N-3</t>
  </si>
  <si>
    <t>3LE7</t>
  </si>
  <si>
    <t>Mound Cemetery</t>
  </si>
  <si>
    <t>Village site with large rectangular platform mound and small mound; 7 meter high mound</t>
  </si>
  <si>
    <t>13-N-4</t>
  </si>
  <si>
    <t>3LE8</t>
  </si>
  <si>
    <t>Kent</t>
  </si>
  <si>
    <t>Large village site with large platform mound and small mound; St. Francis type village, 5 meter high mound, at center of linear village midden</t>
  </si>
  <si>
    <t>E + B-A</t>
  </si>
  <si>
    <t>13-N-5</t>
  </si>
  <si>
    <t>3LE9</t>
  </si>
  <si>
    <t>Davis</t>
  </si>
  <si>
    <t>Village site with mound; village midden, 1 former mound and 1 mound remnant in linear artifact scatter</t>
  </si>
  <si>
    <t>13-N-6</t>
  </si>
  <si>
    <t>3LE10</t>
  </si>
  <si>
    <t>Jerusalem Church</t>
  </si>
  <si>
    <t>12-N-6</t>
  </si>
  <si>
    <t>Westmorland</t>
  </si>
  <si>
    <t>12-N-7</t>
  </si>
  <si>
    <t>Lansing</t>
  </si>
  <si>
    <t>Many</t>
  </si>
  <si>
    <t>12-N-8</t>
  </si>
  <si>
    <t>Beckles</t>
  </si>
  <si>
    <t>Small mound</t>
  </si>
  <si>
    <t>12-N-9</t>
  </si>
  <si>
    <t>Burns</t>
  </si>
  <si>
    <t>12-O-1</t>
  </si>
  <si>
    <t>Turner Place</t>
  </si>
  <si>
    <t>12-O-2</t>
  </si>
  <si>
    <t>Pouncey</t>
  </si>
  <si>
    <t>Large village site with large platform mounds and small mounds in plaza arrangement</t>
  </si>
  <si>
    <t>12-O-3</t>
  </si>
  <si>
    <t>Thompson Lake</t>
  </si>
  <si>
    <t>Village site with large and small platform mounds</t>
  </si>
  <si>
    <t>12-O-4</t>
  </si>
  <si>
    <t>Davis Place</t>
  </si>
  <si>
    <t>Village site with large and small mounds</t>
  </si>
  <si>
    <t>12-O-5</t>
  </si>
  <si>
    <t>Cramor Place</t>
  </si>
  <si>
    <t>St. Francis type site</t>
  </si>
  <si>
    <t>12-O-6</t>
  </si>
  <si>
    <t>Brackenseed Place</t>
  </si>
  <si>
    <t>Village site with large rectangular platform mound and small mounds</t>
  </si>
  <si>
    <t>12-P-1</t>
  </si>
  <si>
    <t>Mound Place</t>
  </si>
  <si>
    <t>Village site with large platform mounds</t>
  </si>
  <si>
    <t>12-P-2</t>
  </si>
  <si>
    <t>Shelby/Chuckalissa</t>
  </si>
  <si>
    <t>Ruth Canal</t>
  </si>
  <si>
    <t>Tchula, fiber tempered ceramics</t>
  </si>
  <si>
    <t>Phillips 1970:883</t>
  </si>
  <si>
    <t>29-I-1</t>
  </si>
  <si>
    <t>Bayou Rouge</t>
  </si>
  <si>
    <t>Phillips 1970:882; Ford and Quimby 1945</t>
  </si>
  <si>
    <t>31-I-2</t>
  </si>
  <si>
    <t>Unnamed</t>
  </si>
  <si>
    <t>4-R-1</t>
  </si>
  <si>
    <t>5-T-6  </t>
  </si>
  <si>
    <t>5-T-7  </t>
  </si>
  <si>
    <t>6-N-1  </t>
  </si>
  <si>
    <t>6-O-1  </t>
  </si>
  <si>
    <t>6-P-1  </t>
  </si>
  <si>
    <t>6-P-2  </t>
  </si>
  <si>
    <t>6-P-3  </t>
  </si>
  <si>
    <t>6-P-4  </t>
  </si>
  <si>
    <t>6-Q-1  </t>
  </si>
  <si>
    <t>6-Q-2  </t>
  </si>
  <si>
    <t>6-Q-3  </t>
  </si>
  <si>
    <t>6-Q-4  </t>
  </si>
  <si>
    <t>6-Q-5  </t>
  </si>
  <si>
    <t>6-Q-13  </t>
  </si>
  <si>
    <t>6-R-1  </t>
  </si>
  <si>
    <t>6-R-2  </t>
  </si>
  <si>
    <t>6-R-3  </t>
  </si>
  <si>
    <t>6-R-7  </t>
  </si>
  <si>
    <t>6-R-8  </t>
  </si>
  <si>
    <t>6-R-10  </t>
  </si>
  <si>
    <t>6-S-1  </t>
  </si>
  <si>
    <t>6-S-2  </t>
  </si>
  <si>
    <t>6-S-3  </t>
  </si>
  <si>
    <t>6-S-4  </t>
  </si>
  <si>
    <t>6-S-5  </t>
  </si>
  <si>
    <t>6-S-6  </t>
  </si>
  <si>
    <t>6-S-13  </t>
  </si>
  <si>
    <t>6-S-15  </t>
  </si>
  <si>
    <t>6-S-16  </t>
  </si>
  <si>
    <t>6-S-17  </t>
  </si>
  <si>
    <t>6-T-1  </t>
  </si>
  <si>
    <t>6-T-2  </t>
  </si>
  <si>
    <t>6-T-3  </t>
  </si>
  <si>
    <t>6-T-4  </t>
  </si>
  <si>
    <t>6-T-5  </t>
  </si>
  <si>
    <t>6-T-6  </t>
  </si>
  <si>
    <t>6-T-9  </t>
  </si>
  <si>
    <t>6-T-10  </t>
  </si>
  <si>
    <t>6-T-11  </t>
  </si>
  <si>
    <t>7-N-1  </t>
  </si>
  <si>
    <t>7-P-1  </t>
  </si>
  <si>
    <t>7-P-2  </t>
  </si>
  <si>
    <t>7-P-3  </t>
  </si>
  <si>
    <t>7-P-4  </t>
  </si>
  <si>
    <t>7-P-7  </t>
  </si>
  <si>
    <t>7-Q-1  </t>
  </si>
  <si>
    <t>7-Q-2  </t>
  </si>
  <si>
    <t>7-Q-3  </t>
  </si>
  <si>
    <t>7-Q-4  </t>
  </si>
  <si>
    <t>7-Q-11  </t>
  </si>
  <si>
    <t>7-Q-12  </t>
  </si>
  <si>
    <t>7-R-1  </t>
  </si>
  <si>
    <t>7-R-2  </t>
  </si>
  <si>
    <t>7-R-3  </t>
  </si>
  <si>
    <t>7-R-4  </t>
  </si>
  <si>
    <t>7-R-5  </t>
  </si>
  <si>
    <t>7-R-6  </t>
  </si>
  <si>
    <t>7-R-7  </t>
  </si>
  <si>
    <t>7-R-8  </t>
  </si>
  <si>
    <t>7-R-9  </t>
  </si>
  <si>
    <t>7-R-10  </t>
  </si>
  <si>
    <t>7-R-11  </t>
  </si>
  <si>
    <t>8-O-1  </t>
  </si>
  <si>
    <t>8-O-2  </t>
  </si>
  <si>
    <t>8-O-3  </t>
  </si>
  <si>
    <t>8-O-4  </t>
  </si>
  <si>
    <t>8-O-5  </t>
  </si>
  <si>
    <t>8-O-6  </t>
  </si>
  <si>
    <t>8-P-1  </t>
  </si>
  <si>
    <t>8-P-2  </t>
  </si>
  <si>
    <t>8-P-3  </t>
  </si>
  <si>
    <t>8-P-5  </t>
  </si>
  <si>
    <t>8-P-6  </t>
  </si>
  <si>
    <t>28-J-6  </t>
  </si>
  <si>
    <t>28-J-7  </t>
  </si>
  <si>
    <t>28-J-8  </t>
  </si>
  <si>
    <t>28-J-9  </t>
  </si>
  <si>
    <t>28-J-10  </t>
  </si>
  <si>
    <t>28-J-11  </t>
  </si>
  <si>
    <t>28-J-12  </t>
  </si>
  <si>
    <t>28-J-13  </t>
  </si>
  <si>
    <t>28-J-14  </t>
  </si>
  <si>
    <t>28-J-15  </t>
  </si>
  <si>
    <t>28-J-16  </t>
  </si>
  <si>
    <t>28-K-1  </t>
  </si>
  <si>
    <t>29-G-1  </t>
  </si>
  <si>
    <t>29-I-1  </t>
  </si>
  <si>
    <t>29-I-2  </t>
  </si>
  <si>
    <t>29-I-3  </t>
  </si>
  <si>
    <t>29-J-1  </t>
  </si>
  <si>
    <t>29-J-2  </t>
  </si>
  <si>
    <t>29-J-3  </t>
  </si>
  <si>
    <t>29-J-4  </t>
  </si>
  <si>
    <t>29-J-5  </t>
  </si>
  <si>
    <t>29-J-7  </t>
  </si>
  <si>
    <t>Twist Plantation No. 1</t>
  </si>
  <si>
    <t>Small village without mounds</t>
  </si>
  <si>
    <t>11-N-15</t>
  </si>
  <si>
    <t>3CS71</t>
  </si>
  <si>
    <t>Fortune Mound</t>
  </si>
  <si>
    <t>Small St. Francis type site</t>
  </si>
  <si>
    <t>11-N-16</t>
  </si>
  <si>
    <t>Twist Group</t>
  </si>
  <si>
    <t>Small conical mounds</t>
  </si>
  <si>
    <t>40+</t>
  </si>
  <si>
    <t>11-N-2</t>
  </si>
  <si>
    <t>Rogers Place</t>
  </si>
  <si>
    <t>11-N-3</t>
  </si>
  <si>
    <t>Roberts</t>
  </si>
  <si>
    <t>Small mounds</t>
  </si>
  <si>
    <t>11-N-4</t>
  </si>
  <si>
    <t>3CS24</t>
  </si>
  <si>
    <t>Neeley's Ferry</t>
  </si>
  <si>
    <t>Large St. Francis type site with large platform mounds</t>
  </si>
  <si>
    <t>11-N-6</t>
  </si>
  <si>
    <t>Block</t>
  </si>
  <si>
    <t>St. Francis type site with large platform mound and plaza arrangement</t>
  </si>
  <si>
    <t>Small Ceremonial Center</t>
  </si>
  <si>
    <t>11-N-8</t>
  </si>
  <si>
    <t>Williams</t>
  </si>
  <si>
    <t>Village site with mounds</t>
  </si>
  <si>
    <t>11-N-9</t>
  </si>
  <si>
    <t>3CS25</t>
  </si>
  <si>
    <t>Vernon Paul</t>
  </si>
  <si>
    <t>Large St. Francis type site with large platform mounds and plaza arrangement</t>
  </si>
  <si>
    <t>11-O-1</t>
  </si>
  <si>
    <t>Pittman</t>
  </si>
  <si>
    <t>11-O-10</t>
  </si>
  <si>
    <t>3CT18</t>
  </si>
  <si>
    <t>Barton Ranch</t>
  </si>
  <si>
    <t>11-O-11</t>
  </si>
  <si>
    <t>Prosperity</t>
  </si>
  <si>
    <t>Village Site with small mounds</t>
  </si>
  <si>
    <t>11-O-2</t>
  </si>
  <si>
    <t>Webster Cemetery</t>
  </si>
  <si>
    <t>Small conical mound</t>
  </si>
  <si>
    <t>11-O-3</t>
  </si>
  <si>
    <t>Emrich Place</t>
  </si>
  <si>
    <t>Two small mounds</t>
  </si>
  <si>
    <t>2</t>
  </si>
  <si>
    <t>11-O-4</t>
  </si>
  <si>
    <t>3PO5</t>
  </si>
  <si>
    <t>Cummings</t>
  </si>
  <si>
    <t>Village site with small mounds</t>
  </si>
  <si>
    <t>11-O-5</t>
  </si>
  <si>
    <t>Emory</t>
  </si>
  <si>
    <t>11-O-6</t>
  </si>
  <si>
    <t>Pinkston</t>
  </si>
  <si>
    <t>Small village site with small conical mound</t>
  </si>
  <si>
    <t>11-O-7</t>
  </si>
  <si>
    <t>Lewis Place</t>
  </si>
  <si>
    <t>11-O-8</t>
  </si>
  <si>
    <t>3CT22</t>
  </si>
  <si>
    <t>Richard's Bridge</t>
  </si>
  <si>
    <t>Small St. Francis type site with small mound</t>
  </si>
  <si>
    <t>11-O-9</t>
  </si>
  <si>
    <t>Gilliland</t>
  </si>
  <si>
    <t>Small village site with small mounds</t>
  </si>
  <si>
    <t>11-P-1</t>
  </si>
  <si>
    <t>Shawnee Village</t>
  </si>
  <si>
    <t>11-P-2</t>
  </si>
  <si>
    <t>Bradley</t>
  </si>
  <si>
    <t>Village site with platform mounds</t>
  </si>
  <si>
    <t>11-P-3</t>
  </si>
  <si>
    <t>Golightly Place</t>
  </si>
  <si>
    <t>Village site with rectangular platform Mound</t>
  </si>
  <si>
    <t>11-P-4</t>
  </si>
  <si>
    <t>Pacific</t>
  </si>
  <si>
    <t>Mounds - Unknown</t>
  </si>
  <si>
    <t>11-P-5</t>
  </si>
  <si>
    <t>Lambethville Cemetery</t>
  </si>
  <si>
    <t>12-N-10</t>
  </si>
  <si>
    <t>DeRossetts Place</t>
  </si>
  <si>
    <t>Village site with large conical mound</t>
  </si>
  <si>
    <t>12-N-11</t>
  </si>
  <si>
    <t>12-N-12</t>
  </si>
  <si>
    <t>Widener Cemetery</t>
  </si>
  <si>
    <t>12-N-13</t>
  </si>
  <si>
    <t>Parks</t>
  </si>
  <si>
    <t>12-N-14</t>
  </si>
  <si>
    <t>Crow Creek</t>
  </si>
  <si>
    <t>PFG 1951; Phillips 1970</t>
  </si>
  <si>
    <t>12-N-15</t>
  </si>
  <si>
    <t>Swan Place</t>
  </si>
  <si>
    <t>Small conical mond</t>
  </si>
  <si>
    <t>12-N-16</t>
  </si>
  <si>
    <t>Dent</t>
  </si>
  <si>
    <t>2+</t>
  </si>
  <si>
    <t>12-N-2</t>
  </si>
  <si>
    <t>Manly</t>
  </si>
  <si>
    <t>Village site</t>
  </si>
  <si>
    <t>12-N-3</t>
  </si>
  <si>
    <t>3CS27</t>
  </si>
  <si>
    <t>Rose Mound</t>
  </si>
  <si>
    <t>Large St. Francis type site</t>
  </si>
  <si>
    <t>12-N-4</t>
  </si>
  <si>
    <t>3SF9</t>
  </si>
  <si>
    <t>Big Eddy</t>
  </si>
  <si>
    <t>St. Francis type site with small mounds</t>
  </si>
  <si>
    <t>12-N-5</t>
  </si>
  <si>
    <t>Welshans Place</t>
  </si>
  <si>
    <t>Village site with large platform mound and small mounds</t>
  </si>
  <si>
    <t>34-L-4  </t>
  </si>
  <si>
    <t>34-L-5  </t>
  </si>
  <si>
    <t>34-L-6  </t>
  </si>
  <si>
    <t>34-L-7  </t>
  </si>
  <si>
    <t>34-L-8  </t>
  </si>
  <si>
    <t>34-L-9  </t>
  </si>
  <si>
    <t>34-L-10  </t>
  </si>
  <si>
    <t>34-M-1  </t>
  </si>
  <si>
    <t>34-M-2  </t>
  </si>
  <si>
    <t>34-M-3  </t>
  </si>
  <si>
    <t>34-M-4  </t>
  </si>
  <si>
    <t>34-M-5  </t>
  </si>
  <si>
    <t>34-M-6  </t>
  </si>
  <si>
    <t>34-N-1  </t>
  </si>
  <si>
    <t>34-N-2  </t>
  </si>
  <si>
    <t>34-N-3  </t>
  </si>
  <si>
    <t>34-N-4  </t>
  </si>
  <si>
    <t>34-N-5  </t>
  </si>
  <si>
    <t>34-N-6  </t>
  </si>
  <si>
    <t>34-N-7  </t>
  </si>
  <si>
    <t>34-N-8  </t>
  </si>
  <si>
    <t>34-O-1  </t>
  </si>
  <si>
    <t>34-O-2  </t>
  </si>
  <si>
    <t>34-O-3  </t>
  </si>
  <si>
    <t>34-O-4  </t>
  </si>
  <si>
    <t>34-O-5  </t>
  </si>
  <si>
    <t>34-O-6  </t>
  </si>
  <si>
    <t>34-O-7  </t>
  </si>
  <si>
    <t>34-O-8  </t>
  </si>
  <si>
    <t>34-O-9  </t>
  </si>
  <si>
    <t>34-O-10  </t>
  </si>
  <si>
    <t>34-O-11  </t>
  </si>
  <si>
    <t>34-O-12  </t>
  </si>
  <si>
    <t>34-O-13  </t>
  </si>
  <si>
    <t>34-O-14  </t>
  </si>
  <si>
    <t>34-O-15  </t>
  </si>
  <si>
    <t>34-O-16  </t>
  </si>
  <si>
    <t>34-O-17  </t>
  </si>
  <si>
    <t>34-O-18  </t>
  </si>
  <si>
    <t>34-P-1  </t>
  </si>
  <si>
    <t>34-P-2  </t>
  </si>
  <si>
    <t>34-P-3  </t>
  </si>
  <si>
    <t>34-P-4  </t>
  </si>
  <si>
    <t>34-P-5  </t>
  </si>
  <si>
    <t>34-P-6  </t>
  </si>
  <si>
    <t>34-P-7  </t>
  </si>
  <si>
    <t>34-P-8  </t>
  </si>
  <si>
    <t>34-P-9  </t>
  </si>
  <si>
    <t>34-P-10  </t>
  </si>
  <si>
    <t>34-P-11  </t>
  </si>
  <si>
    <t>34-P-12  </t>
  </si>
  <si>
    <t>34-P-13  </t>
  </si>
  <si>
    <t>34-P-14  </t>
  </si>
  <si>
    <t>34-P-15  </t>
  </si>
  <si>
    <t>34-P-16  </t>
  </si>
  <si>
    <t>34-P-17  </t>
  </si>
  <si>
    <t>34-P-18  </t>
  </si>
  <si>
    <t>34-P-19  </t>
  </si>
  <si>
    <t>34-P-20  </t>
  </si>
  <si>
    <t>34-P-21  </t>
  </si>
  <si>
    <t>34-P-22  </t>
  </si>
  <si>
    <t>34-P-23  </t>
  </si>
  <si>
    <t>34-P-24  </t>
  </si>
  <si>
    <t>34-P-25  </t>
  </si>
  <si>
    <t>34-P-26  </t>
  </si>
  <si>
    <t>34-P-27  </t>
  </si>
  <si>
    <t>34-P-28  </t>
  </si>
  <si>
    <t>34-P-29  </t>
  </si>
  <si>
    <t>34-P-30  </t>
  </si>
  <si>
    <t>34-P-31  </t>
  </si>
  <si>
    <t>34-P-32  </t>
  </si>
  <si>
    <t>34-P-33  </t>
  </si>
  <si>
    <t>34-P-34  </t>
  </si>
  <si>
    <t>34-Q-2  </t>
  </si>
  <si>
    <t>34-Q-3  </t>
  </si>
  <si>
    <t>34-Q-4  </t>
  </si>
  <si>
    <t>34-Q-5  </t>
  </si>
  <si>
    <t>34-Q-6  </t>
  </si>
  <si>
    <t>34-Q-7  </t>
  </si>
  <si>
    <t>34-Q-8  </t>
  </si>
  <si>
    <t>34-R-1  </t>
  </si>
  <si>
    <t>34-R-2  </t>
  </si>
  <si>
    <t>34-R-3  </t>
  </si>
  <si>
    <t>34-R-4  </t>
  </si>
  <si>
    <t>34-R-5  </t>
  </si>
  <si>
    <t>34-R-6  </t>
  </si>
  <si>
    <t>34-R-7  </t>
  </si>
  <si>
    <t>34-R-8  </t>
  </si>
  <si>
    <t>34-S-1  </t>
  </si>
  <si>
    <t>34-S-2  </t>
  </si>
  <si>
    <t>34-S-3  </t>
  </si>
  <si>
    <t>34-S-4  </t>
  </si>
  <si>
    <t>34-S-5  </t>
  </si>
  <si>
    <t>35-I-1  </t>
  </si>
  <si>
    <t>35-K-1  </t>
  </si>
  <si>
    <t>35-L-1  </t>
  </si>
  <si>
    <t>35-L-2  </t>
  </si>
  <si>
    <t>35-L-3  </t>
  </si>
  <si>
    <t>35-L-4  </t>
  </si>
  <si>
    <t>35-L-5  </t>
  </si>
  <si>
    <t>35-L-6  </t>
  </si>
  <si>
    <t>35-L-7  </t>
  </si>
  <si>
    <t>35-L-8  </t>
  </si>
  <si>
    <t>35-L-9  </t>
  </si>
  <si>
    <t>35-M-1  </t>
  </si>
  <si>
    <t>35-M-2  </t>
  </si>
  <si>
    <t>35-M-3  </t>
  </si>
  <si>
    <t>35-M-4  </t>
  </si>
  <si>
    <t>35-M-5  </t>
  </si>
  <si>
    <t>35-M-6  </t>
  </si>
  <si>
    <t>35-M-7  </t>
  </si>
  <si>
    <t>35-M-8  </t>
  </si>
  <si>
    <t>35-M-9  </t>
  </si>
  <si>
    <t>35-M-10  </t>
  </si>
  <si>
    <t>35-M-11  </t>
  </si>
  <si>
    <t>35-M-12  </t>
  </si>
  <si>
    <t>35-M-13  </t>
  </si>
  <si>
    <t>35-M-14  </t>
  </si>
  <si>
    <t>35-M-15  </t>
  </si>
  <si>
    <t>35-M-16  </t>
  </si>
  <si>
    <t>35-M-17  </t>
  </si>
  <si>
    <t>35-M-18  </t>
  </si>
  <si>
    <t>35-M-19  </t>
  </si>
  <si>
    <t>35-M-20  </t>
  </si>
  <si>
    <t>35-M-21  </t>
  </si>
  <si>
    <t>35-M-22  </t>
  </si>
  <si>
    <t>35-M-23  </t>
  </si>
  <si>
    <t>35-M-24  </t>
  </si>
  <si>
    <t>35-M-25  </t>
  </si>
  <si>
    <t>35-M-26  </t>
  </si>
  <si>
    <t>35-M-27  </t>
  </si>
  <si>
    <t>35-M-28  </t>
  </si>
  <si>
    <t>35-M-29  </t>
  </si>
  <si>
    <t>35-M-30  </t>
  </si>
  <si>
    <t>35-M-31  </t>
  </si>
  <si>
    <t>35-M-32  </t>
  </si>
  <si>
    <t>35-M-33  </t>
  </si>
  <si>
    <t>35-N-2  </t>
  </si>
  <si>
    <t>35-N-3  </t>
  </si>
  <si>
    <t>35-N-4  </t>
  </si>
  <si>
    <t>Sandy Bumps</t>
  </si>
  <si>
    <t>woodland pottery on sandy high points.</t>
  </si>
  <si>
    <t>St. Francis type site with platform mounds in plaza arrangement</t>
  </si>
  <si>
    <t>11-N-14</t>
  </si>
  <si>
    <t>3CS78</t>
  </si>
  <si>
    <t>33-L-5  </t>
  </si>
  <si>
    <t>33-L-6  </t>
  </si>
  <si>
    <t>33-L-7  </t>
  </si>
  <si>
    <t>33-L-8  </t>
  </si>
  <si>
    <t>33-L-9  </t>
  </si>
  <si>
    <t>33-L-10  </t>
  </si>
  <si>
    <t>33-L-11  </t>
  </si>
  <si>
    <t>33-L-12  </t>
  </si>
  <si>
    <t>33-L-13  </t>
  </si>
  <si>
    <t>33-L-14  </t>
  </si>
  <si>
    <t>33-L-15  </t>
  </si>
  <si>
    <t>33-L-16  </t>
  </si>
  <si>
    <t>33-L-17  </t>
  </si>
  <si>
    <t>33-L-18  </t>
  </si>
  <si>
    <t>33-L-19  </t>
  </si>
  <si>
    <t>33-L-20  </t>
  </si>
  <si>
    <t>33-M-1  </t>
  </si>
  <si>
    <t>33-N-1  </t>
  </si>
  <si>
    <t>33-N-2  </t>
  </si>
  <si>
    <t>33-N-3  </t>
  </si>
  <si>
    <t>33-O-1  </t>
  </si>
  <si>
    <t>33-O-2  </t>
  </si>
  <si>
    <t>33-O-3  </t>
  </si>
  <si>
    <t>33-O-4  </t>
  </si>
  <si>
    <t>33-O-5  </t>
  </si>
  <si>
    <t>33-P-1  </t>
  </si>
  <si>
    <t>33-P-2  </t>
  </si>
  <si>
    <t>33-P-3  </t>
  </si>
  <si>
    <t>33-P-4  </t>
  </si>
  <si>
    <t>33-P-5  </t>
  </si>
  <si>
    <t>33-Q-1  </t>
  </si>
  <si>
    <t>33-Q-2  </t>
  </si>
  <si>
    <t>33-Q-3  </t>
  </si>
  <si>
    <t>33-Q-4  </t>
  </si>
  <si>
    <t>33-Q-5  </t>
  </si>
  <si>
    <t>33-Q-6  </t>
  </si>
  <si>
    <t>33-Q-7  </t>
  </si>
  <si>
    <t>33-Q-8  </t>
  </si>
  <si>
    <t>33-Q-9  </t>
  </si>
  <si>
    <t>33-Q-10  </t>
  </si>
  <si>
    <t>33-Q-11  </t>
  </si>
  <si>
    <t>33-R-1  </t>
  </si>
  <si>
    <t>33-R-2  </t>
  </si>
  <si>
    <t>33-R-3  </t>
  </si>
  <si>
    <t>33-R-4  </t>
  </si>
  <si>
    <t>33-R-5  </t>
  </si>
  <si>
    <t>33-R-6  </t>
  </si>
  <si>
    <t>33-R-7  </t>
  </si>
  <si>
    <t>33-R-8  </t>
  </si>
  <si>
    <t>33-R-9  </t>
  </si>
  <si>
    <t>33-R-10  </t>
  </si>
  <si>
    <t>33-R-11  </t>
  </si>
  <si>
    <t>33-R-12  </t>
  </si>
  <si>
    <t>33-R-13  </t>
  </si>
  <si>
    <t>33-R-14  </t>
  </si>
  <si>
    <t>33-R-15  </t>
  </si>
  <si>
    <t>33-R-16  </t>
  </si>
  <si>
    <t>33-R-17  </t>
  </si>
  <si>
    <t>33-R-18  </t>
  </si>
  <si>
    <t>33-S-1  </t>
  </si>
  <si>
    <t>33-S-2  </t>
  </si>
  <si>
    <t>33-S-3  </t>
  </si>
  <si>
    <t>33-S-4  </t>
  </si>
  <si>
    <t>33-S-5  </t>
  </si>
  <si>
    <t>33-S-6  </t>
  </si>
  <si>
    <t>33-S-7  </t>
  </si>
  <si>
    <t>33-T-1  </t>
  </si>
  <si>
    <t>34-E-1  </t>
  </si>
  <si>
    <t>34-F-1  </t>
  </si>
  <si>
    <t>34-F-2  </t>
  </si>
  <si>
    <t>34-F-3  </t>
  </si>
  <si>
    <t>34-F-4  </t>
  </si>
  <si>
    <t>34-G-1  </t>
  </si>
  <si>
    <t>34-G-2  </t>
  </si>
  <si>
    <t>34-G-3  </t>
  </si>
  <si>
    <t>34-G-4  </t>
  </si>
  <si>
    <t>34-G-5  </t>
  </si>
  <si>
    <t>34-G-6  </t>
  </si>
  <si>
    <t>34-G-7  </t>
  </si>
  <si>
    <t>34-G-8  </t>
  </si>
  <si>
    <t>34-G-9  </t>
  </si>
  <si>
    <t>34-G-10  </t>
  </si>
  <si>
    <t>34-G-11  </t>
  </si>
  <si>
    <t>34-H-1  </t>
  </si>
  <si>
    <t>34-H-2  </t>
  </si>
  <si>
    <t>34-H-3  </t>
  </si>
  <si>
    <t>34-H-4  </t>
  </si>
  <si>
    <t>34-H-5  </t>
  </si>
  <si>
    <t>34-H-6  </t>
  </si>
  <si>
    <t>34-H-7  </t>
  </si>
  <si>
    <t>34-H-8  </t>
  </si>
  <si>
    <t>34-H-9  </t>
  </si>
  <si>
    <t>34-H-10  </t>
  </si>
  <si>
    <t>34-H-11  </t>
  </si>
  <si>
    <t>34-H-12  </t>
  </si>
  <si>
    <t>34-H-13  </t>
  </si>
  <si>
    <t>34-H-14  </t>
  </si>
  <si>
    <t>34-H-15  </t>
  </si>
  <si>
    <t>34-H-16  </t>
  </si>
  <si>
    <t>34-H-17  </t>
  </si>
  <si>
    <t>34-H-18  </t>
  </si>
  <si>
    <t>34-I-1  </t>
  </si>
  <si>
    <t>34-I-2  </t>
  </si>
  <si>
    <t>34-I-3  </t>
  </si>
  <si>
    <t>34-I-4  </t>
  </si>
  <si>
    <t>34-I-5  </t>
  </si>
  <si>
    <t>34-I-6  </t>
  </si>
  <si>
    <t>34-I-7  </t>
  </si>
  <si>
    <t>34-I-8  </t>
  </si>
  <si>
    <t>34-I-9  </t>
  </si>
  <si>
    <t>34-I-10  </t>
  </si>
  <si>
    <t>34-J-1  </t>
  </si>
  <si>
    <t>34-J-2  </t>
  </si>
  <si>
    <t>34-J-3  </t>
  </si>
  <si>
    <t>34-J-4  </t>
  </si>
  <si>
    <t>34-J-5  </t>
  </si>
  <si>
    <t>34-J-6  </t>
  </si>
  <si>
    <t>34-J-7  </t>
  </si>
  <si>
    <t>34-J-8  </t>
  </si>
  <si>
    <t>34-J-9  </t>
  </si>
  <si>
    <t>34-J-10  </t>
  </si>
  <si>
    <t>34-J-11  </t>
  </si>
  <si>
    <t>34-J-12  </t>
  </si>
  <si>
    <t>34-J-13  </t>
  </si>
  <si>
    <t>34-J-14  </t>
  </si>
  <si>
    <t>34-K-1  </t>
  </si>
  <si>
    <t>34-K-2  </t>
  </si>
  <si>
    <t>34-K-3  </t>
  </si>
  <si>
    <t>34-K-4  </t>
  </si>
  <si>
    <t>34-K-5  </t>
  </si>
  <si>
    <t>34-K-6  </t>
  </si>
  <si>
    <t>34-K-7  </t>
  </si>
  <si>
    <t>34-K-8  </t>
  </si>
  <si>
    <t>34-K-9  </t>
  </si>
  <si>
    <t>34-K-10  </t>
  </si>
  <si>
    <t>34-K-11  </t>
  </si>
  <si>
    <t>34-K-12  </t>
  </si>
  <si>
    <t>34-K-13  </t>
  </si>
  <si>
    <t>34-K-14  </t>
  </si>
  <si>
    <t>34-K-15  </t>
  </si>
  <si>
    <t>34-K-16  </t>
  </si>
  <si>
    <t>34-K-17  </t>
  </si>
  <si>
    <t>34-K-18  </t>
  </si>
  <si>
    <t>34-K-19  </t>
  </si>
  <si>
    <t>34-K-25  </t>
  </si>
  <si>
    <t>34-K-26  </t>
  </si>
  <si>
    <t>34-K-27  </t>
  </si>
  <si>
    <t>34-K-28  </t>
  </si>
  <si>
    <t>34-K-29  </t>
  </si>
  <si>
    <t>34-L-1  </t>
  </si>
  <si>
    <t>34-L-2  </t>
  </si>
  <si>
    <t>34-L-3  </t>
  </si>
  <si>
    <t>St. Mary</t>
  </si>
  <si>
    <t>Turtle</t>
  </si>
  <si>
    <t>Batchelor</t>
  </si>
  <si>
    <t>Givens</t>
  </si>
  <si>
    <t>J. W. Copes</t>
  </si>
  <si>
    <t>16EC11</t>
  </si>
  <si>
    <t>16EC12</t>
  </si>
  <si>
    <t>16EC13</t>
  </si>
  <si>
    <t>16EC14</t>
  </si>
  <si>
    <t>16MA61</t>
  </si>
  <si>
    <t>Julice Mound</t>
  </si>
  <si>
    <t>Brunswick</t>
  </si>
  <si>
    <t>Hagaman</t>
  </si>
  <si>
    <t>Five Mile</t>
  </si>
  <si>
    <t>Hollybrook</t>
  </si>
  <si>
    <t>Rowe</t>
  </si>
  <si>
    <t>Burroughs</t>
  </si>
  <si>
    <t>Mile Post 24</t>
  </si>
  <si>
    <t>Portland</t>
  </si>
  <si>
    <t>Bluebird</t>
  </si>
  <si>
    <t>Thunder Road</t>
  </si>
  <si>
    <t>Wright's Bluff</t>
  </si>
  <si>
    <t>Anglo</t>
  </si>
  <si>
    <t>Lockguard</t>
  </si>
  <si>
    <t>Leist #1</t>
  </si>
  <si>
    <t>Leist Landing</t>
  </si>
  <si>
    <t>Enola Landing</t>
  </si>
  <si>
    <t>Satartia</t>
  </si>
  <si>
    <t>Trammell</t>
  </si>
  <si>
    <t>Little Spanish Fort [Thompson]</t>
  </si>
  <si>
    <t>Hollis (Anderson Landing)</t>
  </si>
  <si>
    <t>Billy Evans</t>
  </si>
  <si>
    <t>Tully</t>
  </si>
  <si>
    <t>Purvis</t>
  </si>
  <si>
    <t>Anderson Landing</t>
  </si>
  <si>
    <t>Salem Plantation</t>
  </si>
  <si>
    <t>King Mounds</t>
  </si>
  <si>
    <t>Hancock [Jack Laseter]</t>
  </si>
  <si>
    <t>Melrose</t>
  </si>
  <si>
    <t>Yucatan Plantation</t>
  </si>
  <si>
    <t>Belle Yazoo</t>
  </si>
  <si>
    <t>Hearn</t>
  </si>
  <si>
    <t>Bonney</t>
  </si>
  <si>
    <t>Bachelor's Retreat</t>
  </si>
  <si>
    <t>Coody</t>
  </si>
  <si>
    <t>Mile Post 11</t>
  </si>
  <si>
    <t>Mile Post 7</t>
  </si>
  <si>
    <t>Mile Post 16</t>
  </si>
  <si>
    <t>Mile Post 18</t>
  </si>
  <si>
    <t>Mile Post 21</t>
  </si>
  <si>
    <t>Dean</t>
  </si>
  <si>
    <t>Johnson Inlet</t>
  </si>
  <si>
    <t>Old Basin</t>
  </si>
  <si>
    <t>Grassy Lake</t>
  </si>
  <si>
    <t>Phoenix</t>
  </si>
  <si>
    <t>Pekin</t>
  </si>
  <si>
    <t>Turtle?</t>
  </si>
  <si>
    <t>Hansen</t>
  </si>
  <si>
    <t>Indian Village</t>
  </si>
  <si>
    <t>Cut</t>
  </si>
  <si>
    <t>Logtown</t>
  </si>
  <si>
    <t>Myatt's Landing</t>
  </si>
  <si>
    <t>Denning</t>
  </si>
  <si>
    <t>Gentry</t>
  </si>
  <si>
    <t>Pine Bluff Landing</t>
  </si>
  <si>
    <t>Belle Cote</t>
  </si>
  <si>
    <t>Hannah Landing</t>
  </si>
  <si>
    <t>Lake Lafitta</t>
  </si>
  <si>
    <t>South of Lake Lafitta</t>
  </si>
  <si>
    <t>Westside Landing</t>
  </si>
  <si>
    <t>Riser</t>
  </si>
  <si>
    <t>Petticoat Bayou</t>
  </si>
  <si>
    <t>Lapiniere Landing</t>
  </si>
  <si>
    <t>Ragland</t>
  </si>
  <si>
    <t>Hood</t>
  </si>
  <si>
    <t>Bayou Lapine</t>
  </si>
  <si>
    <t>Philpot</t>
  </si>
  <si>
    <t>Knight</t>
  </si>
  <si>
    <t>Irvin</t>
  </si>
  <si>
    <t>Gains</t>
  </si>
  <si>
    <t>Prairion</t>
  </si>
  <si>
    <t>River Road</t>
  </si>
  <si>
    <t>Live Oak</t>
  </si>
  <si>
    <t>Pecan</t>
  </si>
  <si>
    <t>Caldwell</t>
  </si>
  <si>
    <t>Glenn</t>
  </si>
  <si>
    <t>Pine Bend</t>
  </si>
  <si>
    <t>Jones House</t>
  </si>
  <si>
    <t>Moses' Place</t>
  </si>
  <si>
    <t>Blue Runner</t>
  </si>
  <si>
    <t>Corps Bridge</t>
  </si>
  <si>
    <t>George Brinson</t>
  </si>
  <si>
    <t>Huey Lenard</t>
  </si>
  <si>
    <t>Cheniere Pavillion</t>
  </si>
  <si>
    <t>Cheniere Area 4</t>
  </si>
  <si>
    <t>Cheniere Area 6</t>
  </si>
  <si>
    <t>Hawk</t>
  </si>
  <si>
    <t>Riser Cemetery</t>
  </si>
  <si>
    <t>Trichell</t>
  </si>
  <si>
    <t>Monte</t>
  </si>
  <si>
    <t>Gar</t>
  </si>
  <si>
    <t>Hamp Faust School</t>
  </si>
  <si>
    <t>Filhiol Mound [Gerson]</t>
  </si>
  <si>
    <t>McHenry</t>
  </si>
  <si>
    <t>Faulk Cemetery</t>
  </si>
  <si>
    <t>Anding</t>
  </si>
  <si>
    <t>Bawcomville Mound</t>
  </si>
  <si>
    <t>Steve Lenard</t>
  </si>
  <si>
    <t>Bamburg</t>
  </si>
  <si>
    <t>Mitchell Mound</t>
  </si>
  <si>
    <t>T. E. Salsbury</t>
  </si>
  <si>
    <t>Carrol Anne</t>
  </si>
  <si>
    <t>McColough</t>
  </si>
  <si>
    <t>Cardian Banks Place</t>
  </si>
  <si>
    <t>Rhymes</t>
  </si>
  <si>
    <t>Purvis Place</t>
  </si>
  <si>
    <t>Masoney</t>
  </si>
  <si>
    <t>Webb Hill</t>
  </si>
  <si>
    <t>33-J-16  </t>
  </si>
  <si>
    <t>33-J-17  </t>
  </si>
  <si>
    <t>33-K-1  </t>
  </si>
  <si>
    <t>33-K-2  </t>
  </si>
  <si>
    <t>33-K-3  </t>
  </si>
  <si>
    <t>33-K-4  </t>
  </si>
  <si>
    <t>33-K-5  </t>
  </si>
  <si>
    <t>33-K-6  </t>
  </si>
  <si>
    <t>33-K-7  </t>
  </si>
  <si>
    <t>33-K-8  </t>
  </si>
  <si>
    <t>33-K-9  </t>
  </si>
  <si>
    <t>33-K-10  </t>
  </si>
  <si>
    <t>33-K-11  </t>
  </si>
  <si>
    <t>33-L-1  </t>
  </si>
  <si>
    <t>33-L-2  </t>
  </si>
  <si>
    <t>33-L-3  </t>
  </si>
  <si>
    <t>33-L-4  </t>
  </si>
  <si>
    <t>Lake Providence</t>
  </si>
  <si>
    <t>Wilson Bayou</t>
  </si>
  <si>
    <t>Lebanon</t>
  </si>
  <si>
    <t>Flannagin</t>
  </si>
  <si>
    <t>Chipman [Hale]</t>
  </si>
  <si>
    <t>Guiding Star</t>
  </si>
  <si>
    <t>Lane</t>
  </si>
  <si>
    <t>Crippen Point [Savory]</t>
  </si>
  <si>
    <t>Sleepy Hollow</t>
  </si>
  <si>
    <t>Erickson [Lake View]</t>
  </si>
  <si>
    <t>Loch Lomond</t>
  </si>
  <si>
    <t>Robinson [Rialto]</t>
  </si>
  <si>
    <t>Kincaid [Pipeline Home]</t>
  </si>
  <si>
    <t>Lindsey [Jerusalem]</t>
  </si>
  <si>
    <t>Greenhill Plantation</t>
  </si>
  <si>
    <t>Ramaa</t>
  </si>
  <si>
    <t>Clark's Ferry [Schaeffer's or Tokeba]</t>
  </si>
  <si>
    <t>York Hill</t>
  </si>
  <si>
    <t>Caruthers</t>
  </si>
  <si>
    <t>Mound Ridge Valley</t>
  </si>
  <si>
    <t>Koalunsa Plantation</t>
  </si>
  <si>
    <t>Fouche Place</t>
  </si>
  <si>
    <t>Fouce Cedar Hill Mound</t>
  </si>
  <si>
    <t>Hollingsworth</t>
  </si>
  <si>
    <t>Zelleria</t>
  </si>
  <si>
    <t>Smith Estate</t>
  </si>
  <si>
    <t>Shurley</t>
  </si>
  <si>
    <t>Dew Place</t>
  </si>
  <si>
    <t>Old Latimer Place</t>
  </si>
  <si>
    <t>Shannon Place</t>
  </si>
  <si>
    <t>Johnson Place</t>
  </si>
  <si>
    <t>Dry Run</t>
  </si>
  <si>
    <t>Lang</t>
  </si>
  <si>
    <t>Piney Creek</t>
  </si>
  <si>
    <t>Ingham</t>
  </si>
  <si>
    <t>Upper Zelleria</t>
  </si>
  <si>
    <t>Hurd</t>
  </si>
  <si>
    <t>Monroe [McGuire]</t>
  </si>
  <si>
    <t>Pargoud</t>
  </si>
  <si>
    <t>Glendora</t>
  </si>
  <si>
    <t>Sycamore Landing</t>
  </si>
  <si>
    <t>Keno</t>
  </si>
  <si>
    <t>Rock Row Fish Weir</t>
  </si>
  <si>
    <t>Zeigen Point</t>
  </si>
  <si>
    <t>Moon Lake</t>
  </si>
  <si>
    <t>Sandige</t>
  </si>
  <si>
    <t>McGuire Lakes</t>
  </si>
  <si>
    <t>Halley</t>
  </si>
  <si>
    <t>Fairbanks Mound</t>
  </si>
  <si>
    <t>Coles Point [Lea]</t>
  </si>
  <si>
    <t>Fairbanks</t>
  </si>
  <si>
    <t>Rock Row Landing</t>
  </si>
  <si>
    <t>16OU42</t>
  </si>
  <si>
    <t>16OU113</t>
  </si>
  <si>
    <t>Jordan</t>
  </si>
  <si>
    <t>Cedar Grove</t>
  </si>
  <si>
    <t>Nolan</t>
  </si>
  <si>
    <t>Joe Cooper Rolfe</t>
  </si>
  <si>
    <t>Wathen House</t>
  </si>
  <si>
    <t>Miss Kat</t>
  </si>
  <si>
    <t>Abell</t>
  </si>
  <si>
    <t>Flake Point</t>
  </si>
  <si>
    <t>Wham Brake</t>
  </si>
  <si>
    <t>Brake View</t>
  </si>
  <si>
    <t>Stink Creek</t>
  </si>
  <si>
    <t>Pine Hill</t>
  </si>
  <si>
    <t>Diesel Tank</t>
  </si>
  <si>
    <t>Washout</t>
  </si>
  <si>
    <t>Admiral</t>
  </si>
  <si>
    <t>Doll Head</t>
  </si>
  <si>
    <t>Robert's House</t>
  </si>
  <si>
    <t>McAlister</t>
  </si>
  <si>
    <t>Shanks</t>
  </si>
  <si>
    <t>Bear Skin</t>
  </si>
  <si>
    <t>Gwen</t>
  </si>
  <si>
    <t>McKnight Cemetery</t>
  </si>
  <si>
    <t>Daltons</t>
  </si>
  <si>
    <t>Boggy Bayou</t>
  </si>
  <si>
    <t>Neathey</t>
  </si>
  <si>
    <t>Cypress Creek</t>
  </si>
  <si>
    <t>Oiley Place</t>
  </si>
  <si>
    <t>Shady Grove Church</t>
  </si>
  <si>
    <t>Ratley</t>
  </si>
  <si>
    <t>Halloway</t>
  </si>
  <si>
    <t>Wimberly Barn [Henry Smith]</t>
  </si>
  <si>
    <t>Book Shepard [Old Hathcock Place]</t>
  </si>
  <si>
    <t>Greene Place</t>
  </si>
  <si>
    <t>Parks [The Deadening]</t>
  </si>
  <si>
    <t>Colewa</t>
  </si>
  <si>
    <t>Denler</t>
  </si>
  <si>
    <t>Peeyocee</t>
  </si>
  <si>
    <t>Gin</t>
  </si>
  <si>
    <t>Henry Earl</t>
  </si>
  <si>
    <t>Silk</t>
  </si>
  <si>
    <t>Peoples</t>
  </si>
  <si>
    <t>Bap Arnold</t>
  </si>
  <si>
    <t>Petrified Wood</t>
  </si>
  <si>
    <t>Cold Front</t>
  </si>
  <si>
    <t>Carroll</t>
  </si>
  <si>
    <t>Driven Off</t>
  </si>
  <si>
    <t>Sand Pit</t>
  </si>
  <si>
    <t>Pugh</t>
  </si>
  <si>
    <t>Grasshopper</t>
  </si>
  <si>
    <t>16MO47</t>
  </si>
  <si>
    <t>16MO48</t>
  </si>
  <si>
    <t>16MO49</t>
  </si>
  <si>
    <t>Trio Plantation</t>
  </si>
  <si>
    <t>East Fork</t>
  </si>
  <si>
    <t>Boeuf River Church</t>
  </si>
  <si>
    <t>Barham Home Field</t>
  </si>
  <si>
    <t>Mile 165</t>
  </si>
  <si>
    <t>Horseshoe Church</t>
  </si>
  <si>
    <t>Pasture Cut</t>
  </si>
  <si>
    <t>O'Neal</t>
  </si>
  <si>
    <t>East Fork Creek</t>
  </si>
  <si>
    <t>Wimberly Cemetery</t>
  </si>
  <si>
    <t>16RI163</t>
  </si>
  <si>
    <t>Buck</t>
  </si>
  <si>
    <t>Jackson</t>
  </si>
  <si>
    <t>Raffman</t>
  </si>
  <si>
    <t>Manning</t>
  </si>
  <si>
    <t>Troutman</t>
  </si>
  <si>
    <t>McNeal</t>
  </si>
  <si>
    <t>Crowfoot</t>
  </si>
  <si>
    <t>Richardson</t>
  </si>
  <si>
    <t>Epps Mound</t>
  </si>
  <si>
    <t>Mcgee, W.M. Place</t>
  </si>
  <si>
    <t>3CG0009</t>
  </si>
  <si>
    <t>Mcfarland Place</t>
  </si>
  <si>
    <t>3CG0013</t>
  </si>
  <si>
    <t>Roberson Place</t>
  </si>
  <si>
    <t>3CG0015</t>
  </si>
  <si>
    <t>Lawrence, Geneva</t>
  </si>
  <si>
    <t>3CG0033</t>
  </si>
  <si>
    <t>Fields Place</t>
  </si>
  <si>
    <t>3CG0380</t>
  </si>
  <si>
    <t>3CG0374</t>
  </si>
  <si>
    <t>3CG0382</t>
  </si>
  <si>
    <t>Floatin Bridge (W/49&amp;50)</t>
  </si>
  <si>
    <t>3CG0037</t>
  </si>
  <si>
    <t>Weist</t>
  </si>
  <si>
    <t>3CG0038</t>
  </si>
  <si>
    <t>Hergett</t>
  </si>
  <si>
    <t>3CG0040</t>
  </si>
  <si>
    <t>Baker</t>
  </si>
  <si>
    <t>3CG0044</t>
  </si>
  <si>
    <t>3CG0045</t>
  </si>
  <si>
    <t>3CG0046</t>
  </si>
  <si>
    <t>3CG0047</t>
  </si>
  <si>
    <t>3CG0049</t>
  </si>
  <si>
    <t>Gibson #2</t>
  </si>
  <si>
    <t>3CG0050</t>
  </si>
  <si>
    <t>Gibson #3</t>
  </si>
  <si>
    <t>3CG0035</t>
  </si>
  <si>
    <t>Cowles</t>
  </si>
  <si>
    <t>3CG0041</t>
  </si>
  <si>
    <t>Old Town Ridge</t>
  </si>
  <si>
    <t>3CG0355</t>
  </si>
  <si>
    <t>3CG0362</t>
  </si>
  <si>
    <t>3CG0368</t>
  </si>
  <si>
    <t>Dalton, Jolly</t>
  </si>
  <si>
    <t>3CG0314</t>
  </si>
  <si>
    <t>Wright, Kelly</t>
  </si>
  <si>
    <t>3CG0319</t>
  </si>
  <si>
    <t>Dryden #1</t>
  </si>
  <si>
    <t>3CG0323</t>
  </si>
  <si>
    <t>3CG0325</t>
  </si>
  <si>
    <t>3CG0218</t>
  </si>
  <si>
    <t>Burris #2</t>
  </si>
  <si>
    <t>3CG0220</t>
  </si>
  <si>
    <t>Burris #4</t>
  </si>
  <si>
    <t>3CG0222</t>
  </si>
  <si>
    <t>3CG0224</t>
  </si>
  <si>
    <t>3CG0225</t>
  </si>
  <si>
    <t>3CG0347</t>
  </si>
  <si>
    <t>3CG0052</t>
  </si>
  <si>
    <t>3CG0054</t>
  </si>
  <si>
    <t>Frierson #2</t>
  </si>
  <si>
    <t>3CG0079</t>
  </si>
  <si>
    <t>3CG0089</t>
  </si>
  <si>
    <t>3CG0105</t>
  </si>
  <si>
    <t>Union Grove</t>
  </si>
  <si>
    <t>3CG0106</t>
  </si>
  <si>
    <t>South - West Of Big Creek</t>
  </si>
  <si>
    <t>3CG0127</t>
  </si>
  <si>
    <t>3CG0297</t>
  </si>
  <si>
    <t>West #1</t>
  </si>
  <si>
    <t>3CG0236</t>
  </si>
  <si>
    <t>3CG0244</t>
  </si>
  <si>
    <t>3CG0281</t>
  </si>
  <si>
    <t>Ozbun</t>
  </si>
  <si>
    <t>3CG0292</t>
  </si>
  <si>
    <t>3CG0168</t>
  </si>
  <si>
    <t>Scott, Richard Mac Farm</t>
  </si>
  <si>
    <t>3CG0056</t>
  </si>
  <si>
    <t>Frierson #4</t>
  </si>
  <si>
    <t>3CG0057</t>
  </si>
  <si>
    <t>3CG0059</t>
  </si>
  <si>
    <t>3CG0061</t>
  </si>
  <si>
    <t>3CG0071</t>
  </si>
  <si>
    <t>3CG0072</t>
  </si>
  <si>
    <t>3CG0073</t>
  </si>
  <si>
    <t>3CG0074</t>
  </si>
  <si>
    <t>Lane Farm</t>
  </si>
  <si>
    <t>3CG0078</t>
  </si>
  <si>
    <t>Pierre Cache</t>
  </si>
  <si>
    <t>3CG0140</t>
  </si>
  <si>
    <t>Tate #1</t>
  </si>
  <si>
    <t>3CG0141</t>
  </si>
  <si>
    <t>Tate #3</t>
  </si>
  <si>
    <t>3CG0143</t>
  </si>
  <si>
    <t>3CG0526</t>
  </si>
  <si>
    <t>3CG0639</t>
  </si>
  <si>
    <t>3CG0640</t>
  </si>
  <si>
    <t>3CG0660</t>
  </si>
  <si>
    <t>3CG0438</t>
  </si>
  <si>
    <t>3CG0016</t>
  </si>
  <si>
    <t>Gamble</t>
  </si>
  <si>
    <t>3CG0456</t>
  </si>
  <si>
    <t>Seven Pines</t>
  </si>
  <si>
    <t>Ward</t>
  </si>
  <si>
    <t>Ragweed</t>
  </si>
  <si>
    <t>Little Home Place</t>
  </si>
  <si>
    <t>Larche</t>
  </si>
  <si>
    <t>Coulee Bayou</t>
  </si>
  <si>
    <t>State Cooperage</t>
  </si>
  <si>
    <t>Linn Grove</t>
  </si>
  <si>
    <t>Watt</t>
  </si>
  <si>
    <t>Cherry Hill [Little Crane Lake]</t>
  </si>
  <si>
    <t>Wolf Mounds</t>
  </si>
  <si>
    <t>McCarty Mound</t>
  </si>
  <si>
    <t>Neimeyer</t>
  </si>
  <si>
    <t>Abrough</t>
  </si>
  <si>
    <t>Mallard</t>
  </si>
  <si>
    <t>Inner Brake</t>
  </si>
  <si>
    <t>Brake Ridge</t>
  </si>
  <si>
    <t>Laark</t>
  </si>
  <si>
    <t>Primm</t>
  </si>
  <si>
    <t>Proper</t>
  </si>
  <si>
    <t>Iverson</t>
  </si>
  <si>
    <t>Tubbs</t>
  </si>
  <si>
    <t>Skull Bone Ridge</t>
  </si>
  <si>
    <t>16MO33</t>
  </si>
  <si>
    <t>Wilson Field</t>
  </si>
  <si>
    <t>16MO37</t>
  </si>
  <si>
    <t>Daniels</t>
  </si>
  <si>
    <t>16MO39</t>
  </si>
  <si>
    <t>16MO44</t>
  </si>
  <si>
    <t>Defreese</t>
  </si>
  <si>
    <t>16MO46</t>
  </si>
  <si>
    <t>Janes</t>
  </si>
  <si>
    <t>Earthen Dam</t>
  </si>
  <si>
    <t>High Tension</t>
  </si>
  <si>
    <t>Paucity</t>
  </si>
  <si>
    <t>Porter Ridge</t>
  </si>
  <si>
    <t>Wright</t>
  </si>
  <si>
    <t>Few Flakes</t>
  </si>
  <si>
    <t>Flume</t>
  </si>
  <si>
    <t>Benton</t>
  </si>
  <si>
    <t>Lawson Chapel</t>
  </si>
  <si>
    <t>Ted Adams</t>
  </si>
  <si>
    <t>Yustabee</t>
  </si>
  <si>
    <t>Rowin</t>
  </si>
  <si>
    <t>Galloway</t>
  </si>
  <si>
    <t>Tensas Bayou</t>
  </si>
  <si>
    <t>Lewis</t>
  </si>
  <si>
    <t>Schrock</t>
  </si>
  <si>
    <t>R. Carr</t>
  </si>
  <si>
    <t>Horton</t>
  </si>
  <si>
    <t>L. Carter</t>
  </si>
  <si>
    <t>Bethlehem</t>
  </si>
  <si>
    <t>East Carroll</t>
  </si>
  <si>
    <t>Hill Bayou</t>
  </si>
  <si>
    <t>Rose Hill [Panola]</t>
  </si>
  <si>
    <t>Capps</t>
  </si>
  <si>
    <t>Tom Smith</t>
  </si>
  <si>
    <t>Grittman</t>
  </si>
  <si>
    <t>Tidmore</t>
  </si>
  <si>
    <t>Lick Skillet</t>
  </si>
  <si>
    <t>W. E. Smith</t>
  </si>
  <si>
    <t>Simmon Grove</t>
  </si>
  <si>
    <t>Dugan Bayou</t>
  </si>
  <si>
    <t>Smitheast</t>
  </si>
  <si>
    <t>Snow Brake</t>
  </si>
  <si>
    <t>Sandy Bayou</t>
  </si>
  <si>
    <t>New Zion</t>
  </si>
  <si>
    <t>Sturdevant</t>
  </si>
  <si>
    <t>Wild Bill</t>
  </si>
  <si>
    <t>Townes</t>
  </si>
  <si>
    <t>Charleston Group</t>
  </si>
  <si>
    <t>Dave Gay</t>
  </si>
  <si>
    <t>Stainback #1</t>
  </si>
  <si>
    <t>Hampton Lake</t>
  </si>
  <si>
    <t>Ascalmore</t>
  </si>
  <si>
    <t>Blackhawk</t>
  </si>
  <si>
    <t>Hard Time</t>
  </si>
  <si>
    <t>Macel</t>
  </si>
  <si>
    <t>Yonkapin</t>
  </si>
  <si>
    <t>Matthews Bayou</t>
  </si>
  <si>
    <t>Tillar Farms</t>
  </si>
  <si>
    <t>3SF0002</t>
  </si>
  <si>
    <t>3CS0058</t>
  </si>
  <si>
    <t>Harper, J.L. 2</t>
  </si>
  <si>
    <t>3CS0091</t>
  </si>
  <si>
    <t>3CS0145</t>
  </si>
  <si>
    <t>3CS0148</t>
  </si>
  <si>
    <t>Hess, Albert Place 1</t>
  </si>
  <si>
    <t>3CG0890</t>
  </si>
  <si>
    <t>3CG0921</t>
  </si>
  <si>
    <t>3CG0930</t>
  </si>
  <si>
    <t>Bridger</t>
  </si>
  <si>
    <t>3CG0932</t>
  </si>
  <si>
    <t>3CG0933</t>
  </si>
  <si>
    <t>3PO0506</t>
  </si>
  <si>
    <t>Weona #1</t>
  </si>
  <si>
    <t>3PO0507</t>
  </si>
  <si>
    <t>Weona #2</t>
  </si>
  <si>
    <t>3PO0508</t>
  </si>
  <si>
    <t>Stewart #2</t>
  </si>
  <si>
    <t>3PO0509</t>
  </si>
  <si>
    <t>3CG0939</t>
  </si>
  <si>
    <t>Betty Brown</t>
  </si>
  <si>
    <t>3PO0488</t>
  </si>
  <si>
    <t>3CG0949</t>
  </si>
  <si>
    <t>Schug #2, Sonny</t>
  </si>
  <si>
    <t>3CG0950</t>
  </si>
  <si>
    <t>Mcnatt Site #1</t>
  </si>
  <si>
    <t>3PO0515</t>
  </si>
  <si>
    <t>Newground</t>
  </si>
  <si>
    <t>3LE0142</t>
  </si>
  <si>
    <t>3LE0218</t>
  </si>
  <si>
    <t>3LE0194</t>
  </si>
  <si>
    <t>3LE0205</t>
  </si>
  <si>
    <t>3PO0528</t>
  </si>
  <si>
    <t>3SF0271</t>
  </si>
  <si>
    <t>3CS0205</t>
  </si>
  <si>
    <t>3CS0204</t>
  </si>
  <si>
    <t>3CS0193</t>
  </si>
  <si>
    <t>3CS0202</t>
  </si>
  <si>
    <t>3LE0001</t>
  </si>
  <si>
    <t>Freeland</t>
  </si>
  <si>
    <t>3PO0534</t>
  </si>
  <si>
    <t>3CS0006</t>
  </si>
  <si>
    <t>3CS0013</t>
  </si>
  <si>
    <t>Francis</t>
  </si>
  <si>
    <t>3CS0017</t>
  </si>
  <si>
    <t>Holt, R.T. Place</t>
  </si>
  <si>
    <t>3CS0041</t>
  </si>
  <si>
    <t>Perkins, Vance Place</t>
  </si>
  <si>
    <t>3CS0043</t>
  </si>
  <si>
    <t>Peeler, C.W. Place</t>
  </si>
  <si>
    <t>3CS0003</t>
  </si>
  <si>
    <t>Hunt, Sam</t>
  </si>
  <si>
    <t>3CS0018</t>
  </si>
  <si>
    <t>Mosley Place</t>
  </si>
  <si>
    <t>3CS0085</t>
  </si>
  <si>
    <t>Shaver, Whit.</t>
  </si>
  <si>
    <t>3CS0100</t>
  </si>
  <si>
    <t>Tyer</t>
  </si>
  <si>
    <t>3CS0131</t>
  </si>
  <si>
    <t>3CS0147</t>
  </si>
  <si>
    <t>Hess, Albert Place 2</t>
  </si>
  <si>
    <t>3CS0105</t>
  </si>
  <si>
    <t>3CS0023</t>
  </si>
  <si>
    <t>Bostick, L.E. Place</t>
  </si>
  <si>
    <t>3CS0086</t>
  </si>
  <si>
    <t>3CS0118</t>
  </si>
  <si>
    <t>Wampler #3</t>
  </si>
  <si>
    <t>3CS0184</t>
  </si>
  <si>
    <t>3CS0146</t>
  </si>
  <si>
    <t>Brown, Charlie</t>
  </si>
  <si>
    <t>3CS0150</t>
  </si>
  <si>
    <t>Hess, Albert 3</t>
  </si>
  <si>
    <t>3CS0151</t>
  </si>
  <si>
    <t>Ellis Chapel Cemetery (By</t>
  </si>
  <si>
    <t>3CS0223</t>
  </si>
  <si>
    <t>3MS0351</t>
  </si>
  <si>
    <t>Steele</t>
  </si>
  <si>
    <t>3MS0044</t>
  </si>
  <si>
    <t>3SF0095</t>
  </si>
  <si>
    <t>3PO0058</t>
  </si>
  <si>
    <t>3PO0055</t>
  </si>
  <si>
    <t>Harlan #1</t>
  </si>
  <si>
    <t>3PO0060</t>
  </si>
  <si>
    <t>Stuckey #1</t>
  </si>
  <si>
    <t>3PO0270</t>
  </si>
  <si>
    <t>Ditch #9 #1</t>
  </si>
  <si>
    <t>3PO0164</t>
  </si>
  <si>
    <t>Rabey #1</t>
  </si>
  <si>
    <t>3PO0172</t>
  </si>
  <si>
    <t>3PO0175</t>
  </si>
  <si>
    <t>3PO0241</t>
  </si>
  <si>
    <t>Henderson #4</t>
  </si>
  <si>
    <t>3PO0234</t>
  </si>
  <si>
    <t>3PO0236</t>
  </si>
  <si>
    <t>3PO0204</t>
  </si>
  <si>
    <t>3PO0207</t>
  </si>
  <si>
    <t>Hicklin</t>
  </si>
  <si>
    <t>3PO0104</t>
  </si>
  <si>
    <t>Shephard #3</t>
  </si>
  <si>
    <t>3PO0079</t>
  </si>
  <si>
    <t>Stuckey #8</t>
  </si>
  <si>
    <t>3PO0084</t>
  </si>
  <si>
    <t>Buhrmeister #1</t>
  </si>
  <si>
    <t>3PO0081</t>
  </si>
  <si>
    <t>Hyneman #4</t>
  </si>
  <si>
    <t>3PO0125</t>
  </si>
  <si>
    <t>Stuckey #10</t>
  </si>
  <si>
    <t>3PO0210</t>
  </si>
  <si>
    <t>Houston #1</t>
  </si>
  <si>
    <t>3PO0224</t>
  </si>
  <si>
    <t>Pickle</t>
  </si>
  <si>
    <t>3PO0242</t>
  </si>
  <si>
    <t>Pipkin, Monis</t>
  </si>
  <si>
    <t>3PO0243</t>
  </si>
  <si>
    <t>Cummins, Gordon</t>
  </si>
  <si>
    <t>3PO0304</t>
  </si>
  <si>
    <t>3PO0394</t>
  </si>
  <si>
    <t>3PO0474</t>
  </si>
  <si>
    <t>3CG0006</t>
  </si>
  <si>
    <t>Rice Place</t>
  </si>
  <si>
    <t>3PH0023</t>
  </si>
  <si>
    <t>Willie</t>
  </si>
  <si>
    <t>3PH0029</t>
  </si>
  <si>
    <t>3PH0114</t>
  </si>
  <si>
    <t>Mimosa</t>
  </si>
  <si>
    <t>3PH0082</t>
  </si>
  <si>
    <t>Tractor,Evelyn S. Cooke</t>
  </si>
  <si>
    <t>3PH0137</t>
  </si>
  <si>
    <t>Posted</t>
  </si>
  <si>
    <t>3PO0476</t>
  </si>
  <si>
    <t>3CG0003</t>
  </si>
  <si>
    <t>3CG0012</t>
  </si>
  <si>
    <t>Grimes, Conley</t>
  </si>
  <si>
    <t>3CG0014</t>
  </si>
  <si>
    <t>Crews, Bert Place</t>
  </si>
  <si>
    <t>3CG0017</t>
  </si>
  <si>
    <t>Crabtree (1)</t>
  </si>
  <si>
    <t>3CG0019</t>
  </si>
  <si>
    <t>Wallace, T.A. Place</t>
  </si>
  <si>
    <t>3CG0022</t>
  </si>
  <si>
    <t>States, Mrs. Joann Pl. 1</t>
  </si>
  <si>
    <t>Single mound</t>
  </si>
  <si>
    <t>Low conical mound, other mounds possible</t>
  </si>
  <si>
    <t>5-T-2</t>
  </si>
  <si>
    <t>Brewer Lake</t>
  </si>
  <si>
    <t>5-T-3</t>
  </si>
  <si>
    <t>Rush Ridge</t>
  </si>
  <si>
    <t xml:space="preserve">14 mounds, 600 ft square, 4 feet high, second mound on top - 200 feet in diameter and 10 feet high., another mound on top of this - 25 feet in diameter and 5 feet high. </t>
  </si>
  <si>
    <t>4-R-3</t>
  </si>
  <si>
    <t>4-R-4</t>
  </si>
  <si>
    <t>4-R-5</t>
  </si>
  <si>
    <t>4-R-6</t>
  </si>
  <si>
    <t>4-R-7</t>
  </si>
  <si>
    <t>4-R-8</t>
  </si>
  <si>
    <t>4-R-9</t>
  </si>
  <si>
    <t>4-R-10</t>
  </si>
  <si>
    <t>4-R-11</t>
  </si>
  <si>
    <t>4-R-12</t>
  </si>
  <si>
    <t>4-R-13</t>
  </si>
  <si>
    <t>4-R-14</t>
  </si>
  <si>
    <t>4-R-15</t>
  </si>
  <si>
    <t>4-R-17</t>
  </si>
  <si>
    <t>5-S-9</t>
  </si>
  <si>
    <t>5-S-13</t>
  </si>
  <si>
    <t>5-S-14</t>
  </si>
  <si>
    <t>5-S-15</t>
  </si>
  <si>
    <t>5-S-16</t>
  </si>
  <si>
    <t>5-S-17</t>
  </si>
  <si>
    <t>5-S-18</t>
  </si>
  <si>
    <t>5-S-19</t>
  </si>
  <si>
    <t>6-P-5</t>
  </si>
  <si>
    <t>6-P-6</t>
  </si>
  <si>
    <t>6-Q-6</t>
  </si>
  <si>
    <t>6-Q-7</t>
  </si>
  <si>
    <t>6-Q-8</t>
  </si>
  <si>
    <t>6-Q-9</t>
  </si>
  <si>
    <t>6-Q-10</t>
  </si>
  <si>
    <t>6-Q-11</t>
  </si>
  <si>
    <t>6-Q-12</t>
  </si>
  <si>
    <t>6-Q-14</t>
  </si>
  <si>
    <t>6-Q-15</t>
  </si>
  <si>
    <t>6-Q-16</t>
  </si>
  <si>
    <t>6-Q-17</t>
  </si>
  <si>
    <t>6-Q-18</t>
  </si>
  <si>
    <t>6-Q-19</t>
  </si>
  <si>
    <t>6-R-4</t>
  </si>
  <si>
    <t>6-R-5</t>
  </si>
  <si>
    <t>6-R-6</t>
  </si>
  <si>
    <t>6-R-9</t>
  </si>
  <si>
    <t>6-R-11</t>
  </si>
  <si>
    <t>6-R-12</t>
  </si>
  <si>
    <t>6-R-13</t>
  </si>
  <si>
    <t>6-R-14</t>
  </si>
  <si>
    <t>6-R-15</t>
  </si>
  <si>
    <t>6-S-7</t>
  </si>
  <si>
    <t>6-S-8</t>
  </si>
  <si>
    <t>6-S-9</t>
  </si>
  <si>
    <t>6-S-10</t>
  </si>
  <si>
    <t>6-S-11</t>
  </si>
  <si>
    <t>6-S-12</t>
  </si>
  <si>
    <t>6-S-14</t>
  </si>
  <si>
    <t>6-T-7</t>
  </si>
  <si>
    <t>6-T-8</t>
  </si>
  <si>
    <t>6-T-12</t>
  </si>
  <si>
    <t>7-P-5</t>
  </si>
  <si>
    <t>7-P-6</t>
  </si>
  <si>
    <t>7-Q-5</t>
  </si>
  <si>
    <t>7-Q-6</t>
  </si>
  <si>
    <t>7-Q-7</t>
  </si>
  <si>
    <t>7-Q-8</t>
  </si>
  <si>
    <t>7-Q-9</t>
  </si>
  <si>
    <t>7-Q-10</t>
  </si>
  <si>
    <t>series of ill defined mouns, cemetery and village</t>
  </si>
  <si>
    <t>Baker 1930: "remains of early indian life undearth near sikeston" sikeston herald, july 24, 1930; Adams and Walker 1942:11</t>
  </si>
  <si>
    <t>23-Nm-70</t>
  </si>
  <si>
    <t xml:space="preserve">Walker and Adams </t>
  </si>
  <si>
    <t>5-S-3</t>
  </si>
  <si>
    <t xml:space="preserve">Low rect flattop mound with historic cemetery. Ca 1.5 meters high, 10 meter x 10 meter. </t>
  </si>
  <si>
    <t>18-L-7</t>
  </si>
  <si>
    <t>LMS</t>
  </si>
  <si>
    <t>2 mounds, 15 feet high, probably early mississippian)</t>
  </si>
  <si>
    <t>Arkansas City</t>
  </si>
  <si>
    <t>AR</t>
  </si>
  <si>
    <t>Mound - 72x108 feet, 12 feet high</t>
  </si>
  <si>
    <t>Choctaw Mound</t>
  </si>
  <si>
    <t>Twin Trees</t>
  </si>
  <si>
    <t>Eureka</t>
  </si>
  <si>
    <t>Walnut Lake Station</t>
  </si>
  <si>
    <t>Rohwer</t>
  </si>
  <si>
    <t>Tonginga</t>
  </si>
  <si>
    <t>Fort Desha</t>
  </si>
  <si>
    <t>Boykin Bogue [Boykin Bayou]</t>
  </si>
  <si>
    <t>Malone [Monroe]</t>
  </si>
  <si>
    <t>Pearson</t>
  </si>
  <si>
    <t>Malvina</t>
  </si>
  <si>
    <t>Symonds</t>
  </si>
  <si>
    <t>Wigley</t>
  </si>
  <si>
    <t>Sunset</t>
  </si>
  <si>
    <t>Shotgun</t>
  </si>
  <si>
    <t>Armstrong</t>
  </si>
  <si>
    <t>L. L. Vance</t>
  </si>
  <si>
    <t>Stevens</t>
  </si>
  <si>
    <t>"49"</t>
  </si>
  <si>
    <t>Five Ditches [Carney]</t>
  </si>
  <si>
    <t>Gobler</t>
  </si>
  <si>
    <t>Persimmon Grove [Kersey]</t>
  </si>
  <si>
    <t>Holland [Maclin]</t>
  </si>
  <si>
    <t>McKay</t>
  </si>
  <si>
    <t>Cooter [Campbell]</t>
  </si>
  <si>
    <t>Frakes [Flowers]</t>
  </si>
  <si>
    <t>Covingotn</t>
  </si>
  <si>
    <t>Blazer [Watkins]</t>
  </si>
  <si>
    <t>Caruthersville [Stanley]</t>
  </si>
  <si>
    <t>Kinfolk Ridge [Medlin]</t>
  </si>
  <si>
    <t>Chute [McCoy]</t>
  </si>
  <si>
    <t>Webb</t>
  </si>
  <si>
    <t>Carpenter's Landing</t>
  </si>
  <si>
    <t>Cane Island</t>
  </si>
  <si>
    <t>Shugtown</t>
  </si>
  <si>
    <t>Dell</t>
  </si>
  <si>
    <t>Walnut Mound</t>
  </si>
  <si>
    <t>Jackson Mounds</t>
  </si>
  <si>
    <t>Rice Landing</t>
  </si>
  <si>
    <t>Buckeye Landing</t>
  </si>
  <si>
    <t>Chickasawba</t>
  </si>
  <si>
    <t>Armorel</t>
  </si>
  <si>
    <t>Huffman</t>
  </si>
  <si>
    <t>Potter Place</t>
  </si>
  <si>
    <t>Stott [Lepanto]</t>
  </si>
  <si>
    <t>Thornton</t>
  </si>
  <si>
    <t>Warren Mound</t>
  </si>
  <si>
    <t>Gant</t>
  </si>
  <si>
    <t>Wildy</t>
  </si>
  <si>
    <t>John Edrington?</t>
  </si>
  <si>
    <t>Joiner</t>
  </si>
  <si>
    <t>Shelby Place</t>
  </si>
  <si>
    <t>Holden Bayou [Wilson]</t>
  </si>
  <si>
    <t>Golden Lake [Rhodes]</t>
  </si>
  <si>
    <t>Middle Nodena</t>
  </si>
  <si>
    <t>Island 35</t>
  </si>
  <si>
    <t>Richardson Landing</t>
  </si>
  <si>
    <t>Bishop Place</t>
  </si>
  <si>
    <t>Togo [Neeley's Ferry]</t>
  </si>
  <si>
    <t>Harold</t>
  </si>
  <si>
    <t>Vernon Paul Place [Jones &amp; Borum Place]</t>
  </si>
  <si>
    <t>Turkey Island [Twist Plantation #1]</t>
  </si>
  <si>
    <t>Twist #2 [Twist Group]</t>
  </si>
  <si>
    <t>Bay Village</t>
  </si>
  <si>
    <t>Catfish Mounds</t>
  </si>
  <si>
    <t>Log Landing</t>
  </si>
  <si>
    <t>Lindsay</t>
  </si>
  <si>
    <t>Woods Bend</t>
  </si>
  <si>
    <t>Old Fort</t>
  </si>
  <si>
    <t>Emrich Place [East Cemetery]</t>
  </si>
  <si>
    <t>Cummins [Cumming Place]</t>
  </si>
  <si>
    <t>Richard Bridge</t>
  </si>
  <si>
    <t>Black Oak Church</t>
  </si>
  <si>
    <t>Tyronza Station</t>
  </si>
  <si>
    <t>Bradley [Banks &amp; Danner]</t>
  </si>
  <si>
    <t>Pecan Point</t>
  </si>
  <si>
    <t>Friends</t>
  </si>
  <si>
    <t>3CG0865</t>
  </si>
  <si>
    <t>Meager 2</t>
  </si>
  <si>
    <t>SEMO/NEAR</t>
  </si>
  <si>
    <t>Dalton</t>
  </si>
  <si>
    <t>AAS Records; Redfield 1972; Morse 19XX</t>
  </si>
  <si>
    <t>K-J</t>
  </si>
  <si>
    <t>K</t>
  </si>
  <si>
    <t>J</t>
  </si>
  <si>
    <t>3CS0030</t>
  </si>
  <si>
    <t>Brocket, Marshall Place</t>
  </si>
  <si>
    <t>3CS0036</t>
  </si>
  <si>
    <t>Brown</t>
  </si>
  <si>
    <t>3CS0045</t>
  </si>
  <si>
    <t>Bostick, Ralph Place</t>
  </si>
  <si>
    <t>3CS0130</t>
  </si>
  <si>
    <t>Foltz</t>
  </si>
  <si>
    <t>3PO0027</t>
  </si>
  <si>
    <t>Scott Place</t>
  </si>
  <si>
    <t>3PO0045</t>
  </si>
  <si>
    <t>Languille Hunting Club</t>
  </si>
  <si>
    <t>3PO0009</t>
  </si>
  <si>
    <t>Pierce, Old Ben Place</t>
  </si>
  <si>
    <t>3PO0318</t>
  </si>
  <si>
    <t>3SF0014</t>
  </si>
  <si>
    <t>Clegg, Richard</t>
  </si>
  <si>
    <t>3CG0031</t>
  </si>
  <si>
    <t>Taylor Place</t>
  </si>
  <si>
    <t>3CG0066</t>
  </si>
  <si>
    <t>Davis #1</t>
  </si>
  <si>
    <t>3CG0335</t>
  </si>
  <si>
    <t>3CG0859</t>
  </si>
  <si>
    <t>Little Bay #1</t>
  </si>
  <si>
    <t>3CH0016</t>
  </si>
  <si>
    <t>Earl</t>
  </si>
  <si>
    <t>3CH0028</t>
  </si>
  <si>
    <t>Verser Ridge</t>
  </si>
  <si>
    <t>3CS0047</t>
  </si>
  <si>
    <t>East, Charles</t>
  </si>
  <si>
    <t>3CS0053</t>
  </si>
  <si>
    <t>Barnes, Walter 1</t>
  </si>
  <si>
    <t>3PH0130</t>
  </si>
  <si>
    <t>Tobe, Goldsmith Farm</t>
  </si>
  <si>
    <t>3PO0042</t>
  </si>
  <si>
    <t>Reddmann, J.B.</t>
  </si>
  <si>
    <t>3PO0097</t>
  </si>
  <si>
    <t>Smith, Ramond</t>
  </si>
  <si>
    <t>3PO0415</t>
  </si>
  <si>
    <t>Claypool Reservoir</t>
  </si>
  <si>
    <t>3PO0469</t>
  </si>
  <si>
    <t>3PO0017</t>
  </si>
  <si>
    <t>Lace Place</t>
  </si>
  <si>
    <t>3PO0157</t>
  </si>
  <si>
    <t>3CG0936</t>
  </si>
  <si>
    <t>Craighead Lake</t>
  </si>
  <si>
    <t>3CG0902</t>
  </si>
  <si>
    <t>Milner</t>
  </si>
  <si>
    <t>3AR0016</t>
  </si>
  <si>
    <t>Mitchell Farm</t>
  </si>
  <si>
    <t>3AR0017</t>
  </si>
  <si>
    <t>Mccauley Farm</t>
  </si>
  <si>
    <t>3MO0023</t>
  </si>
  <si>
    <t>Rigdon #2</t>
  </si>
  <si>
    <t>3PH0022</t>
  </si>
  <si>
    <t>35-N-8  </t>
  </si>
  <si>
    <t>35-N-10  </t>
  </si>
  <si>
    <t>35-N-12  </t>
  </si>
  <si>
    <t>35-O-1  </t>
  </si>
  <si>
    <t>35-O-2  </t>
  </si>
  <si>
    <t>35-O-3  </t>
  </si>
  <si>
    <t>35-P-1  </t>
  </si>
  <si>
    <t>35-P-2  </t>
  </si>
  <si>
    <t>35-Q-1  </t>
  </si>
  <si>
    <t>35-Q-2  </t>
  </si>
  <si>
    <t>35-Q-3  </t>
  </si>
  <si>
    <t>35-Q-4  </t>
  </si>
  <si>
    <t>35-Q-5  </t>
  </si>
  <si>
    <t>35-Q-6  </t>
  </si>
  <si>
    <t>35-Q-7  </t>
  </si>
  <si>
    <t>35-Q-8  </t>
  </si>
  <si>
    <t>35-Q-9  </t>
  </si>
  <si>
    <t>35-Q-10  </t>
  </si>
  <si>
    <t>35-R-1  </t>
  </si>
  <si>
    <t>35-R-2  </t>
  </si>
  <si>
    <t>35-R-3  </t>
  </si>
  <si>
    <t>36-N-1 NE  </t>
  </si>
  <si>
    <t>36-N-1 NW  </t>
  </si>
  <si>
    <t>36-N-2 NW  </t>
  </si>
  <si>
    <t>36-N-3 NW  </t>
  </si>
  <si>
    <t>36-N-4 NW  </t>
  </si>
  <si>
    <t>36-N-5 NW  </t>
  </si>
  <si>
    <t>36-N-6 NW  </t>
  </si>
  <si>
    <t>36-N-7 NW  </t>
  </si>
  <si>
    <t>36-N-8 NW  </t>
  </si>
  <si>
    <t>36-N-9 NW  </t>
  </si>
  <si>
    <t>36-N-10 NW  </t>
  </si>
  <si>
    <t>36-P-1  </t>
  </si>
  <si>
    <t>36-P-2  </t>
  </si>
  <si>
    <t>36-P-3  </t>
  </si>
  <si>
    <t>36-P-4  </t>
  </si>
  <si>
    <t>36-P-5  </t>
  </si>
  <si>
    <t>36-P-6  </t>
  </si>
  <si>
    <t>36-P-7  </t>
  </si>
  <si>
    <t>Big Mound Field</t>
  </si>
  <si>
    <t>Base Line</t>
  </si>
  <si>
    <t>Sample's Place</t>
  </si>
  <si>
    <t>Bird's Place</t>
  </si>
  <si>
    <t>Obeunann</t>
  </si>
  <si>
    <t>Twin Mounds [Terrell Place]</t>
  </si>
  <si>
    <t>Mocassin Ridge [Middleton]</t>
  </si>
  <si>
    <t>Howell School [Edwards]</t>
  </si>
  <si>
    <t>Panther Swamp</t>
  </si>
  <si>
    <t>Ardeola</t>
  </si>
  <si>
    <t>Sikeston [Potter Settlement "C"]</t>
  </si>
  <si>
    <t>East Lake [Potter Settlement "D"]</t>
  </si>
  <si>
    <t>Matthews [Potter Settlement "A"]</t>
  </si>
  <si>
    <t>Matthews #2</t>
  </si>
  <si>
    <t>Morehouse [Rauch]</t>
  </si>
  <si>
    <t>Charleston [Fairfield Farm]</t>
  </si>
  <si>
    <t>Goodin Place</t>
  </si>
  <si>
    <t>Wickliffe ["Ancient Buried City"]</t>
  </si>
  <si>
    <t>Power's Fort</t>
  </si>
  <si>
    <t>Harviell</t>
  </si>
  <si>
    <t>Stewart's Spring</t>
  </si>
  <si>
    <t>Whittaker</t>
  </si>
  <si>
    <t>Tompkins</t>
  </si>
  <si>
    <t>Risco [Blough]</t>
  </si>
  <si>
    <t>Broadwater [Crosby]</t>
  </si>
  <si>
    <t>Lilboum</t>
  </si>
  <si>
    <t>Noxall</t>
  </si>
  <si>
    <t>Otter Slough</t>
  </si>
  <si>
    <t>Marston</t>
  </si>
  <si>
    <t>Neumann</t>
  </si>
  <si>
    <t>East Bayou [Scott Farm]</t>
  </si>
  <si>
    <t>Barnes Ridge [La Plant Farm]</t>
  </si>
  <si>
    <t>Eagle Knoll Mound</t>
  </si>
  <si>
    <t>St. Johns</t>
  </si>
  <si>
    <t>Sassafras Ridge</t>
  </si>
  <si>
    <t>O'Byan's Fort [McLeod Bluff]</t>
  </si>
  <si>
    <t>McCard's Bluff</t>
  </si>
  <si>
    <t>Gum Tree Mound</t>
  </si>
  <si>
    <t>Baker's Mound</t>
  </si>
  <si>
    <t>Beckwith's Ranch</t>
  </si>
  <si>
    <t>Adams</t>
  </si>
  <si>
    <t>Hickman</t>
  </si>
  <si>
    <t>Corning</t>
  </si>
  <si>
    <t>Holcomb [Vancil]</t>
  </si>
  <si>
    <t>Spence</t>
  </si>
  <si>
    <t>Chalk Bluff</t>
  </si>
  <si>
    <t>Wardell [Wallace]</t>
  </si>
  <si>
    <t>Pascola [Cole]</t>
  </si>
  <si>
    <t>Wilbur [Shrader]</t>
  </si>
  <si>
    <t>Ingram Ridge</t>
  </si>
  <si>
    <t>Tallapoosa</t>
  </si>
  <si>
    <t>Hartzell [Bond]</t>
  </si>
  <si>
    <t>Stancill Bayou</t>
  </si>
  <si>
    <t>Open Bay</t>
  </si>
  <si>
    <t>Stewart</t>
  </si>
  <si>
    <t>Brinkerhoff</t>
  </si>
  <si>
    <t>Portage [Penman]</t>
  </si>
  <si>
    <t>Reaves [Rogers]</t>
  </si>
  <si>
    <t>Martins Chapel</t>
  </si>
  <si>
    <t>Moore's Hunter Place [Williams Store]</t>
  </si>
  <si>
    <t>Gold Fields</t>
  </si>
  <si>
    <t>Cockrum Landing [Morrett]</t>
  </si>
  <si>
    <t>Wilkin's Island [Summitt]</t>
  </si>
  <si>
    <t>Gum Island [Bell Farm]</t>
  </si>
  <si>
    <t>Ladd</t>
  </si>
  <si>
    <t>Seneca Slough [Killian]</t>
  </si>
  <si>
    <t>Old Varney River [Duke]</t>
  </si>
  <si>
    <t>Kennett [Cummins]</t>
  </si>
  <si>
    <t>Langdon [Cotton Plant]</t>
  </si>
  <si>
    <t>Treasure Island</t>
  </si>
  <si>
    <t>Johnson Island [Holmes]</t>
  </si>
  <si>
    <t>Cypress Point</t>
  </si>
  <si>
    <t>Collector Field</t>
  </si>
  <si>
    <t>DeBlieux</t>
  </si>
  <si>
    <t>Two Pecans</t>
  </si>
  <si>
    <t>Crop Duster</t>
  </si>
  <si>
    <t>Weed Field</t>
  </si>
  <si>
    <t>Mourning Dove</t>
  </si>
  <si>
    <t>Royal Lake</t>
  </si>
  <si>
    <t>Richmond</t>
  </si>
  <si>
    <t>Hays</t>
  </si>
  <si>
    <t>Burned Field</t>
  </si>
  <si>
    <t>North End</t>
  </si>
  <si>
    <t>West Turkey Creek</t>
  </si>
  <si>
    <t>Bare Field</t>
  </si>
  <si>
    <t>Rolling Ridge</t>
  </si>
  <si>
    <t>Snyder</t>
  </si>
  <si>
    <t>Brannin</t>
  </si>
  <si>
    <t>C. C. Hill</t>
  </si>
  <si>
    <t>Grovell Place</t>
  </si>
  <si>
    <t>Dean Lake</t>
  </si>
  <si>
    <t>Hickingbottom</t>
  </si>
  <si>
    <t>Turkey Point Landing</t>
  </si>
  <si>
    <t>Canebrake Mounds</t>
  </si>
  <si>
    <t>Ferris Place</t>
  </si>
  <si>
    <t>Flat Parker</t>
  </si>
  <si>
    <t>Spenser [Plainview]</t>
  </si>
  <si>
    <t>Como</t>
  </si>
  <si>
    <t>Leake Place</t>
  </si>
  <si>
    <t>Shelton</t>
  </si>
  <si>
    <t>Erwin</t>
  </si>
  <si>
    <t>Tom Carter</t>
  </si>
  <si>
    <t>Preston</t>
  </si>
  <si>
    <t>Laborde</t>
  </si>
  <si>
    <t>Chelly Landing</t>
  </si>
  <si>
    <t>Ulmer</t>
  </si>
  <si>
    <t>MacMurray</t>
  </si>
  <si>
    <t>Frog Pond</t>
  </si>
  <si>
    <t>Jumping Calf</t>
  </si>
  <si>
    <t>Macon Bend</t>
  </si>
  <si>
    <t>Okra Leaf</t>
  </si>
  <si>
    <t>Turkey Loop</t>
  </si>
  <si>
    <t>Hidden</t>
  </si>
  <si>
    <t>Heelskin</t>
  </si>
  <si>
    <t>Hollywood Lake</t>
  </si>
  <si>
    <t>Midden Bluff</t>
  </si>
  <si>
    <t>Beeler Lake</t>
  </si>
  <si>
    <t>Salters Bayou</t>
  </si>
  <si>
    <t>Stillhouse Creek</t>
  </si>
  <si>
    <t>Dickey Landing</t>
  </si>
  <si>
    <t>Flat Top</t>
  </si>
  <si>
    <t>Liles</t>
  </si>
  <si>
    <t>Gar Scale</t>
  </si>
  <si>
    <t>Bead Blank</t>
  </si>
  <si>
    <t>Wooded Draw</t>
  </si>
  <si>
    <t>Shingle Mill</t>
  </si>
  <si>
    <t>Turkey Bluff</t>
  </si>
  <si>
    <t>Bringle</t>
  </si>
  <si>
    <t>Hooker</t>
  </si>
  <si>
    <t>Ag Station</t>
  </si>
  <si>
    <t>Chase Cemetery</t>
  </si>
  <si>
    <t>Berry Bush</t>
  </si>
  <si>
    <t>Experimental Field</t>
  </si>
  <si>
    <t>Passion Flower</t>
  </si>
  <si>
    <t>Bates Place</t>
  </si>
  <si>
    <t>Fool River</t>
  </si>
  <si>
    <t>Spring Bayou</t>
  </si>
  <si>
    <t>Shackleford Church</t>
  </si>
  <si>
    <t>Jacoby [GeColby Place]</t>
  </si>
  <si>
    <t>Enfinger</t>
  </si>
  <si>
    <t>Blanche</t>
  </si>
  <si>
    <t>Du Rosset</t>
  </si>
  <si>
    <t>Fisher</t>
  </si>
  <si>
    <t>Guthrie</t>
  </si>
  <si>
    <t>Bayou</t>
  </si>
  <si>
    <t>Osceola</t>
  </si>
  <si>
    <t>Westwood</t>
  </si>
  <si>
    <t>Dearbon or Dearborn</t>
  </si>
  <si>
    <t>Dutch Gardens</t>
  </si>
  <si>
    <t>McVey</t>
  </si>
  <si>
    <t>Patrick</t>
  </si>
  <si>
    <t>Frisby</t>
  </si>
  <si>
    <t>Perritt</t>
  </si>
  <si>
    <t>McLemore</t>
  </si>
  <si>
    <t>Clydesdale</t>
  </si>
  <si>
    <t>Hopaka Lake</t>
  </si>
  <si>
    <t>Marydale</t>
  </si>
  <si>
    <t>Blackwater</t>
  </si>
  <si>
    <t>Panola Company</t>
  </si>
  <si>
    <t>Jolly</t>
  </si>
  <si>
    <t>Saddletree Bridge</t>
  </si>
  <si>
    <t>West Dearborn</t>
  </si>
  <si>
    <t>Emerson</t>
  </si>
  <si>
    <t>Somerset</t>
  </si>
  <si>
    <t>Knowles Mound [Neitzel]</t>
  </si>
  <si>
    <t>Muir</t>
  </si>
  <si>
    <t>Quimby</t>
  </si>
  <si>
    <t>Routh [Hilly Grove]</t>
  </si>
  <si>
    <t>Palmyra Lake</t>
  </si>
  <si>
    <t>Clark Bayou</t>
  </si>
  <si>
    <t>Foster Plantation</t>
  </si>
  <si>
    <t>Solomon Church</t>
  </si>
  <si>
    <t>New Ground</t>
  </si>
  <si>
    <t>Elk Ridge</t>
  </si>
  <si>
    <t>Beasley</t>
  </si>
  <si>
    <t>Ione Plantation</t>
  </si>
  <si>
    <t>Davis Island</t>
  </si>
  <si>
    <t>Balmoral East</t>
  </si>
  <si>
    <t>Grand Gulf</t>
  </si>
  <si>
    <t>Military Park</t>
  </si>
  <si>
    <t>Willy</t>
  </si>
  <si>
    <t>Stuck</t>
  </si>
  <si>
    <t>Relief</t>
  </si>
  <si>
    <t>Tullis</t>
  </si>
  <si>
    <t>Lake St. Joseph</t>
  </si>
  <si>
    <t>Wilkerson</t>
  </si>
  <si>
    <t>Bogue Desha</t>
  </si>
  <si>
    <t>Josephine</t>
  </si>
  <si>
    <t>Ring</t>
  </si>
  <si>
    <t>Burthe [Bluff]</t>
  </si>
  <si>
    <t>Oak Bend Landing</t>
  </si>
  <si>
    <t>St. Albans</t>
  </si>
  <si>
    <t>Yawn</t>
  </si>
  <si>
    <t>Hard Day's Night</t>
  </si>
  <si>
    <t>Farm Land #2</t>
  </si>
  <si>
    <t>Farm Land #1</t>
  </si>
  <si>
    <t>Cotton Mound</t>
  </si>
  <si>
    <t>Booth Landing</t>
  </si>
  <si>
    <t>McGuffee [McDuffy]</t>
  </si>
  <si>
    <t>Harrelson</t>
  </si>
  <si>
    <t>35-N-5  </t>
  </si>
  <si>
    <t>35-N-6  </t>
  </si>
  <si>
    <t>35-N-7  </t>
  </si>
  <si>
    <t>Idano</t>
  </si>
  <si>
    <t>Willow</t>
  </si>
  <si>
    <t>Turkey Fork</t>
  </si>
  <si>
    <t>Cardinal</t>
  </si>
  <si>
    <t>Williams Field</t>
  </si>
  <si>
    <t>Rowing Bayou</t>
  </si>
  <si>
    <t>Storm Ridge</t>
  </si>
  <si>
    <t>Kildeer</t>
  </si>
  <si>
    <t>Cobb</t>
  </si>
  <si>
    <t>Fuller</t>
  </si>
  <si>
    <t>Biggs</t>
  </si>
  <si>
    <t>Hope Landing</t>
  </si>
  <si>
    <t>Stevens Place</t>
  </si>
  <si>
    <t>Cook Place</t>
  </si>
  <si>
    <t>Tendal</t>
  </si>
  <si>
    <t>Mount Nebo</t>
  </si>
  <si>
    <t>Lucille Mound</t>
  </si>
  <si>
    <t>Taxodium</t>
  </si>
  <si>
    <t>Joe's Bayou</t>
  </si>
  <si>
    <t>Ogden</t>
  </si>
  <si>
    <t>Tucoowe</t>
  </si>
  <si>
    <t>River Bend</t>
  </si>
  <si>
    <t>Pilgrim's Church</t>
  </si>
  <si>
    <t>Dead River</t>
  </si>
  <si>
    <t>Tate</t>
  </si>
  <si>
    <t>Whires Mound</t>
  </si>
  <si>
    <t>Dogit Lake</t>
  </si>
  <si>
    <t>Mower</t>
  </si>
  <si>
    <t>L. C. Parker</t>
  </si>
  <si>
    <t>Horseshoe Hunting Club</t>
  </si>
  <si>
    <t>Rainy Lake</t>
  </si>
  <si>
    <t>Donaldson Road</t>
  </si>
  <si>
    <t>Nolan Mound</t>
  </si>
  <si>
    <t>Despair Lake</t>
  </si>
  <si>
    <t>Killingsworth Cistern</t>
  </si>
  <si>
    <t>Killingsworth Shell Midden</t>
  </si>
  <si>
    <t>Fitzhugh [Harper]</t>
  </si>
  <si>
    <t>Sevier</t>
  </si>
  <si>
    <t>Roundaway Bayou</t>
  </si>
  <si>
    <t>Sevier Place</t>
  </si>
  <si>
    <t>Yerger</t>
  </si>
  <si>
    <t>Compton Lake</t>
  </si>
  <si>
    <t>Willow Lake</t>
  </si>
  <si>
    <t>Folk</t>
  </si>
  <si>
    <t>Alligator Lake</t>
  </si>
  <si>
    <t>Old 65</t>
  </si>
  <si>
    <t>Oakdale</t>
  </si>
  <si>
    <t>Willow Bayou</t>
  </si>
  <si>
    <t>Ashly</t>
  </si>
  <si>
    <t>Malcolm</t>
  </si>
  <si>
    <t>Mansford Plantation</t>
  </si>
  <si>
    <t>Sevier Field</t>
  </si>
  <si>
    <t>Stan Morgan</t>
  </si>
  <si>
    <t>Ferris</t>
  </si>
  <si>
    <t>Johnson Mound</t>
  </si>
  <si>
    <t>Fort St. Pierre</t>
  </si>
  <si>
    <t>Duck Lake</t>
  </si>
  <si>
    <t>Mitchell Martin</t>
  </si>
  <si>
    <t>Fields [formerly Johnson]</t>
  </si>
  <si>
    <t>Little Bull</t>
  </si>
  <si>
    <t>Cistern</t>
  </si>
  <si>
    <t>Lonely Frenchman</t>
  </si>
  <si>
    <t>Billy Goats Bluff</t>
  </si>
  <si>
    <t>Dachshund</t>
  </si>
  <si>
    <t>McRaven</t>
  </si>
  <si>
    <t>Perry Richardson</t>
  </si>
  <si>
    <t>Hogan Landing [McKeithen]</t>
  </si>
  <si>
    <t>Wade Landing</t>
  </si>
  <si>
    <t>Billy Landing</t>
  </si>
  <si>
    <t>Tarpley</t>
  </si>
  <si>
    <t>Ferrend Lake</t>
  </si>
  <si>
    <t>Minden Hall Landing</t>
  </si>
  <si>
    <t>Davis Lake</t>
  </si>
  <si>
    <t>Beaver Brake</t>
  </si>
  <si>
    <t>Brandon Lake</t>
  </si>
  <si>
    <t>Cane Hill</t>
  </si>
  <si>
    <t>Easton Farm</t>
  </si>
  <si>
    <t>NLU</t>
  </si>
  <si>
    <t>Marshall Landing</t>
  </si>
  <si>
    <t>Barfield</t>
  </si>
  <si>
    <t>Forest Lake</t>
  </si>
  <si>
    <t>White Oak</t>
  </si>
  <si>
    <t>Bayou Boeuf</t>
  </si>
  <si>
    <t>Hebert</t>
  </si>
  <si>
    <t>Swett Landing</t>
  </si>
  <si>
    <t>Desha</t>
  </si>
  <si>
    <t>Newton</t>
  </si>
  <si>
    <t>Smith Cemetery</t>
  </si>
  <si>
    <t>Hatton Place</t>
  </si>
  <si>
    <t>Beard</t>
  </si>
  <si>
    <t>Gold Mine</t>
  </si>
  <si>
    <t>Racoon Drain</t>
  </si>
  <si>
    <t>Sand Mound</t>
  </si>
  <si>
    <t>Hales Ridge</t>
  </si>
  <si>
    <t>Pump Woods</t>
  </si>
  <si>
    <t>Fortenberry</t>
  </si>
  <si>
    <t>Bennett Field</t>
  </si>
  <si>
    <t>Polk Field #1</t>
  </si>
  <si>
    <t>Plum Thicket</t>
  </si>
  <si>
    <t>Marble</t>
  </si>
  <si>
    <t>East of Plum Thicket #1</t>
  </si>
  <si>
    <t>East of Plum Thicket #2</t>
  </si>
  <si>
    <t>Moss Bank</t>
  </si>
  <si>
    <t>Manockanut</t>
  </si>
  <si>
    <t>Brockner</t>
  </si>
  <si>
    <t>Leroy Clarke</t>
  </si>
  <si>
    <t>Gunby Dam South</t>
  </si>
  <si>
    <t>Cat Island</t>
  </si>
  <si>
    <t>Morengo Lake</t>
  </si>
  <si>
    <t>Clayton's Mound</t>
  </si>
  <si>
    <t>Lizenby</t>
  </si>
  <si>
    <t>Cedric Bennett</t>
  </si>
  <si>
    <t>Etier</t>
  </si>
  <si>
    <t>Olwee Rivers Bridge [Three Rivers Bridge]</t>
  </si>
  <si>
    <t>Woolen Lake</t>
  </si>
  <si>
    <t>Lot Seventeen</t>
  </si>
  <si>
    <t>Gunby Dam East</t>
  </si>
  <si>
    <t>Lafourche Refuge</t>
  </si>
  <si>
    <t>Duncan Bend</t>
  </si>
  <si>
    <t>Robinson</t>
  </si>
  <si>
    <t>Pine Flat Slough</t>
  </si>
  <si>
    <t>Pine Bayou</t>
  </si>
  <si>
    <t>Pardue School</t>
  </si>
  <si>
    <t>3CN0246</t>
  </si>
  <si>
    <t>3CN0247</t>
  </si>
  <si>
    <t>3CN0248</t>
  </si>
  <si>
    <t>3CN0249</t>
  </si>
  <si>
    <t>3CN0250</t>
  </si>
  <si>
    <t>3MO0065</t>
  </si>
  <si>
    <t>Shell Button Site</t>
  </si>
  <si>
    <t>3PR0174</t>
  </si>
  <si>
    <t>3PR0175</t>
  </si>
  <si>
    <t>3PR0176</t>
  </si>
  <si>
    <t>3PL0747</t>
  </si>
  <si>
    <t>3PL0748</t>
  </si>
  <si>
    <t>3PR0177</t>
  </si>
  <si>
    <t>3PL0749</t>
  </si>
  <si>
    <t>3PL0750</t>
  </si>
  <si>
    <t>3PL0751</t>
  </si>
  <si>
    <t>3PL0752</t>
  </si>
  <si>
    <t>3PL0753</t>
  </si>
  <si>
    <t>3PL0754</t>
  </si>
  <si>
    <t>3PL0755</t>
  </si>
  <si>
    <t>3PL0756</t>
  </si>
  <si>
    <t>3PL0757</t>
  </si>
  <si>
    <t>3PL0758</t>
  </si>
  <si>
    <t>3PR0178</t>
  </si>
  <si>
    <t>3MN1577</t>
  </si>
  <si>
    <t>3PR0179</t>
  </si>
  <si>
    <t>3PR0180</t>
  </si>
  <si>
    <t>3PR0181</t>
  </si>
  <si>
    <t>3PR0182</t>
  </si>
  <si>
    <t>3PL0734</t>
  </si>
  <si>
    <t>3PR0183</t>
  </si>
  <si>
    <t>3PR0184</t>
  </si>
  <si>
    <t>3MO0066</t>
  </si>
  <si>
    <t>3PR0185</t>
  </si>
  <si>
    <t>3MN1584</t>
  </si>
  <si>
    <t>3MN1585</t>
  </si>
  <si>
    <t>3MN1586</t>
  </si>
  <si>
    <t>3MN1587</t>
  </si>
  <si>
    <t>3MN1588</t>
  </si>
  <si>
    <t>3MN1589</t>
  </si>
  <si>
    <t>3MN1590</t>
  </si>
  <si>
    <t>3PR0186</t>
  </si>
  <si>
    <t>3MN1583</t>
  </si>
  <si>
    <t>3MN1581</t>
  </si>
  <si>
    <t>3MN1582</t>
  </si>
  <si>
    <t>3PL0735</t>
  </si>
  <si>
    <t>3SC1290</t>
  </si>
  <si>
    <t>3PL0736</t>
  </si>
  <si>
    <t>3MO0067</t>
  </si>
  <si>
    <t>3MN1578</t>
  </si>
  <si>
    <t>3MN1579</t>
  </si>
  <si>
    <t>3MN1580</t>
  </si>
  <si>
    <t>3PR0191</t>
  </si>
  <si>
    <t>3MN1592</t>
  </si>
  <si>
    <t>3PR0187</t>
  </si>
  <si>
    <t>3MN1593</t>
  </si>
  <si>
    <t>3MN1591</t>
  </si>
  <si>
    <t>3PR0192</t>
  </si>
  <si>
    <t>3YE0708</t>
  </si>
  <si>
    <t>3PR0188</t>
  </si>
  <si>
    <t>3PR0189</t>
  </si>
  <si>
    <t>3MN1594</t>
  </si>
  <si>
    <t>3PR0190</t>
  </si>
  <si>
    <t>3SC1237</t>
  </si>
  <si>
    <t>3PR0193</t>
  </si>
  <si>
    <t>3MN1595</t>
  </si>
  <si>
    <t>3PR0172</t>
  </si>
  <si>
    <t>3FR0363</t>
  </si>
  <si>
    <t>3AS0219</t>
  </si>
  <si>
    <t>Reid</t>
  </si>
  <si>
    <t>3CY0008</t>
  </si>
  <si>
    <t>Colette</t>
  </si>
  <si>
    <t>3CY0025</t>
  </si>
  <si>
    <t>3CY0073</t>
  </si>
  <si>
    <t>3CY0211</t>
  </si>
  <si>
    <t>3DR0146</t>
  </si>
  <si>
    <t>3GE0094</t>
  </si>
  <si>
    <t>Dalton Field, Sloan</t>
  </si>
  <si>
    <t>3GE0275</t>
  </si>
  <si>
    <t>3GE0315</t>
  </si>
  <si>
    <t>3LI0043</t>
  </si>
  <si>
    <t>Turtle Creek</t>
  </si>
  <si>
    <t>3LI0044</t>
  </si>
  <si>
    <t>White Cemetery</t>
  </si>
  <si>
    <t>3LI0071</t>
  </si>
  <si>
    <t>Appleby</t>
  </si>
  <si>
    <t>3LI0085</t>
  </si>
  <si>
    <t>Ables Creek Terrace</t>
  </si>
  <si>
    <t>3GE0026</t>
  </si>
  <si>
    <t>Beech Grove</t>
  </si>
  <si>
    <t>3AS0040</t>
  </si>
  <si>
    <t>Evans Place Field</t>
  </si>
  <si>
    <t>3DR0036</t>
  </si>
  <si>
    <t>3DR0009</t>
  </si>
  <si>
    <t>Dripping Springs</t>
  </si>
  <si>
    <t>3CY0019</t>
  </si>
  <si>
    <t>Howell</t>
  </si>
  <si>
    <t>3CY0020</t>
  </si>
  <si>
    <t>Furtrell</t>
  </si>
  <si>
    <t>3CY0033</t>
  </si>
  <si>
    <t>Teasley Place</t>
  </si>
  <si>
    <t>3CY0036</t>
  </si>
  <si>
    <t>Woods Place</t>
  </si>
  <si>
    <t>3CY0038</t>
  </si>
  <si>
    <t>Mathis Place</t>
  </si>
  <si>
    <t>3CY0044</t>
  </si>
  <si>
    <t>Bradshaw Place</t>
  </si>
  <si>
    <t>3CY0084</t>
  </si>
  <si>
    <t>Allen Cemetery</t>
  </si>
  <si>
    <t>3CY0109</t>
  </si>
  <si>
    <t>Huggins</t>
  </si>
  <si>
    <t>3CY0168</t>
  </si>
  <si>
    <t>Clovis</t>
  </si>
  <si>
    <t>3GE0003</t>
  </si>
  <si>
    <t>Forkum Place</t>
  </si>
  <si>
    <t>3GE0007</t>
  </si>
  <si>
    <t>Delaney Place</t>
  </si>
  <si>
    <t>3GE0019</t>
  </si>
  <si>
    <t>Crew Lake</t>
  </si>
  <si>
    <t>Walters</t>
  </si>
  <si>
    <t>McPhail</t>
  </si>
  <si>
    <t>Little Bit</t>
  </si>
  <si>
    <t>Sunshine Church</t>
  </si>
  <si>
    <t>Compton</t>
  </si>
  <si>
    <t>Nuthin</t>
  </si>
  <si>
    <t>Next To Nuthin</t>
  </si>
  <si>
    <t>Holly Ridge</t>
  </si>
  <si>
    <t>Stark</t>
  </si>
  <si>
    <t>Dehlco</t>
  </si>
  <si>
    <t>Frey</t>
  </si>
  <si>
    <t>Greengrove</t>
  </si>
  <si>
    <t>Buckner</t>
  </si>
  <si>
    <t>Sapp</t>
  </si>
  <si>
    <t>Start</t>
  </si>
  <si>
    <t>Thames</t>
  </si>
  <si>
    <t>Cotton Shower</t>
  </si>
  <si>
    <t>McManus Mound</t>
  </si>
  <si>
    <t>Totum</t>
  </si>
  <si>
    <t>Evans #2</t>
  </si>
  <si>
    <t>Goodwin or Goodman Mounds</t>
  </si>
  <si>
    <t>Chapman</t>
  </si>
  <si>
    <t>Bakers</t>
  </si>
  <si>
    <t>Pepper</t>
  </si>
  <si>
    <t>MacAure</t>
  </si>
  <si>
    <t>Radu</t>
  </si>
  <si>
    <t>Frank Place</t>
  </si>
  <si>
    <t>Cupp Place</t>
  </si>
  <si>
    <t>Bryan</t>
  </si>
  <si>
    <t>Lonnie</t>
  </si>
  <si>
    <t>Antley</t>
  </si>
  <si>
    <t>Honey Ridge</t>
  </si>
  <si>
    <t>Old Evans Place</t>
  </si>
  <si>
    <t>Highboy</t>
  </si>
  <si>
    <t>Cow Bayou</t>
  </si>
  <si>
    <t>Sport</t>
  </si>
  <si>
    <t>Wooley</t>
  </si>
  <si>
    <t>3LA0319</t>
  </si>
  <si>
    <t>3LA0320</t>
  </si>
  <si>
    <t>3LA0321</t>
  </si>
  <si>
    <t>3LA0322</t>
  </si>
  <si>
    <t>3LA0323</t>
  </si>
  <si>
    <t>3LA0324</t>
  </si>
  <si>
    <t>3LA0325</t>
  </si>
  <si>
    <t>3LA0326</t>
  </si>
  <si>
    <t>3LA0327</t>
  </si>
  <si>
    <t>3LA0328</t>
  </si>
  <si>
    <t>3LA0329</t>
  </si>
  <si>
    <t>3LA0330</t>
  </si>
  <si>
    <t>3LA0331</t>
  </si>
  <si>
    <t>3LA0332</t>
  </si>
  <si>
    <t>3BA0260</t>
  </si>
  <si>
    <t>3BA0261</t>
  </si>
  <si>
    <t>3BA0262</t>
  </si>
  <si>
    <t>3BA0263</t>
  </si>
  <si>
    <t>3BA0264</t>
  </si>
  <si>
    <t>3AR0137</t>
  </si>
  <si>
    <t>3AR0138</t>
  </si>
  <si>
    <t>3AR0139</t>
  </si>
  <si>
    <t>3AR0140</t>
  </si>
  <si>
    <t>3AR0141</t>
  </si>
  <si>
    <t>3AR0142</t>
  </si>
  <si>
    <t>C.P. Vittitow Barn</t>
  </si>
  <si>
    <t>3AR0143</t>
  </si>
  <si>
    <t>3AR0144</t>
  </si>
  <si>
    <t>3AR0145</t>
  </si>
  <si>
    <t>Caney Hunting Club</t>
  </si>
  <si>
    <t>3AR0146</t>
  </si>
  <si>
    <t>Elmo Rogers House</t>
  </si>
  <si>
    <t>3AR0147</t>
  </si>
  <si>
    <t>Scott Farm Barn, Granary</t>
  </si>
  <si>
    <t>3AR0148</t>
  </si>
  <si>
    <t>John Alter Farm</t>
  </si>
  <si>
    <t>3MN1554</t>
  </si>
  <si>
    <t>3PR0142</t>
  </si>
  <si>
    <t>3PR0143</t>
  </si>
  <si>
    <t>3PR0144</t>
  </si>
  <si>
    <t>3PR0145</t>
  </si>
  <si>
    <t>3MN1473</t>
  </si>
  <si>
    <t>3AR0149</t>
  </si>
  <si>
    <t>Clearpoint School Site</t>
  </si>
  <si>
    <t>3AR0150</t>
  </si>
  <si>
    <t>3AR0151</t>
  </si>
  <si>
    <t>3AR0152</t>
  </si>
  <si>
    <t>3AR0153</t>
  </si>
  <si>
    <t>3AR0154</t>
  </si>
  <si>
    <t>3AR0155</t>
  </si>
  <si>
    <t>3AR0161</t>
  </si>
  <si>
    <t>South Of The Briar</t>
  </si>
  <si>
    <t>3AR0157</t>
  </si>
  <si>
    <t>The Never Ending Site</t>
  </si>
  <si>
    <t>3AR0166</t>
  </si>
  <si>
    <t>3PR0146</t>
  </si>
  <si>
    <t>3PR0147</t>
  </si>
  <si>
    <t>3AR0164</t>
  </si>
  <si>
    <t>3AR0163</t>
  </si>
  <si>
    <t>Road Dump</t>
  </si>
  <si>
    <t>3PL0733</t>
  </si>
  <si>
    <t>3HS0449</t>
  </si>
  <si>
    <t>3AR0162</t>
  </si>
  <si>
    <t>Campbell Homestead</t>
  </si>
  <si>
    <t>3AR0173</t>
  </si>
  <si>
    <t>3AR0165</t>
  </si>
  <si>
    <t>Hog Farm</t>
  </si>
  <si>
    <t>3SB1024</t>
  </si>
  <si>
    <t>3PP0448</t>
  </si>
  <si>
    <t>3AR0156</t>
  </si>
  <si>
    <t>Rawls Store</t>
  </si>
  <si>
    <t>3AR0158</t>
  </si>
  <si>
    <t>3AR0159</t>
  </si>
  <si>
    <t>Granny Green</t>
  </si>
  <si>
    <t>3AR0160</t>
  </si>
  <si>
    <t>3MN1573</t>
  </si>
  <si>
    <t>3MN1574</t>
  </si>
  <si>
    <t>3MN1575</t>
  </si>
  <si>
    <t>3MN1576</t>
  </si>
  <si>
    <t>3PR0161</t>
  </si>
  <si>
    <t>3WA1015</t>
  </si>
  <si>
    <t>3PR0160</t>
  </si>
  <si>
    <t>3AR0167</t>
  </si>
  <si>
    <t>Earl George House</t>
  </si>
  <si>
    <t>3AR0168</t>
  </si>
  <si>
    <t>John Leder House</t>
  </si>
  <si>
    <t>3PR0151</t>
  </si>
  <si>
    <t>3PR0153</t>
  </si>
  <si>
    <t>3PR0159</t>
  </si>
  <si>
    <t>3PR0158</t>
  </si>
  <si>
    <t>3PR0157</t>
  </si>
  <si>
    <t>3PR0152</t>
  </si>
  <si>
    <t>3PR0150</t>
  </si>
  <si>
    <t>3PR0154</t>
  </si>
  <si>
    <t>3PR0149</t>
  </si>
  <si>
    <t>3PR0155</t>
  </si>
  <si>
    <t>3PR0156</t>
  </si>
  <si>
    <t>3PR0162</t>
  </si>
  <si>
    <t>3AR0169</t>
  </si>
  <si>
    <t>Otto Rubach House</t>
  </si>
  <si>
    <t>3AR0170</t>
  </si>
  <si>
    <t>Ida Marlowe House</t>
  </si>
  <si>
    <t>3AR0171</t>
  </si>
  <si>
    <t>Bennett House</t>
  </si>
  <si>
    <t>3AR0172</t>
  </si>
  <si>
    <t>Relvea Barns</t>
  </si>
  <si>
    <t>3MN1601</t>
  </si>
  <si>
    <t>3PR0163</t>
  </si>
  <si>
    <t>3PR0170</t>
  </si>
  <si>
    <t>3ST0232</t>
  </si>
  <si>
    <t>3PR0171</t>
  </si>
  <si>
    <t>3ST0233</t>
  </si>
  <si>
    <t>3ST0234</t>
  </si>
  <si>
    <t>3ST0235</t>
  </si>
  <si>
    <t>3ST0236</t>
  </si>
  <si>
    <t>3ST0237</t>
  </si>
  <si>
    <t>3ST0238</t>
  </si>
  <si>
    <t>3ST0239</t>
  </si>
  <si>
    <t>3HS0450</t>
  </si>
  <si>
    <t>3BA0265</t>
  </si>
  <si>
    <t>3PR0164</t>
  </si>
  <si>
    <t>3PR0165</t>
  </si>
  <si>
    <t>3PR0166</t>
  </si>
  <si>
    <t>3PR0167</t>
  </si>
  <si>
    <t>3PR0168</t>
  </si>
  <si>
    <t>3HS0448</t>
  </si>
  <si>
    <t>3PR0169</t>
  </si>
  <si>
    <t>3PL0737</t>
  </si>
  <si>
    <t>3PL0738</t>
  </si>
  <si>
    <t>3PL0739</t>
  </si>
  <si>
    <t>3PL0740</t>
  </si>
  <si>
    <t>3PL0741</t>
  </si>
  <si>
    <t>3PL0742</t>
  </si>
  <si>
    <t>3PL0743</t>
  </si>
  <si>
    <t>3PL0744</t>
  </si>
  <si>
    <t>3PL0745</t>
  </si>
  <si>
    <t>3PL0746</t>
  </si>
  <si>
    <t>3AR0134</t>
  </si>
  <si>
    <t>3AR0135</t>
  </si>
  <si>
    <t>3AR0136</t>
  </si>
  <si>
    <t>3SV0290</t>
  </si>
  <si>
    <t>3PU0458</t>
  </si>
  <si>
    <t>3MO0064</t>
  </si>
  <si>
    <t>3PO0590</t>
  </si>
  <si>
    <t>3PL0759</t>
  </si>
  <si>
    <t>3PL0760</t>
  </si>
  <si>
    <t>3PL0761</t>
  </si>
  <si>
    <t>3PL0762</t>
  </si>
  <si>
    <t>3PL0763</t>
  </si>
  <si>
    <t>3PL0764</t>
  </si>
  <si>
    <t>3PP0449</t>
  </si>
  <si>
    <t>3PR0173</t>
  </si>
  <si>
    <t>3CN0243</t>
  </si>
  <si>
    <t>3CN0244</t>
  </si>
  <si>
    <t>3CN0245</t>
  </si>
  <si>
    <t>Patterson Lakes</t>
  </si>
  <si>
    <t>Agar Lake</t>
  </si>
  <si>
    <t>Brushy Bayou</t>
  </si>
  <si>
    <t>Oakland</t>
  </si>
  <si>
    <t>Tillar Mound</t>
  </si>
  <si>
    <t>3PO0180</t>
  </si>
  <si>
    <t>3PO0215</t>
  </si>
  <si>
    <t>Harlan, Crawford #2</t>
  </si>
  <si>
    <t>3PO0244</t>
  </si>
  <si>
    <t>Promised Land</t>
  </si>
  <si>
    <t>3PO0245</t>
  </si>
  <si>
    <t>3PO0246</t>
  </si>
  <si>
    <t>3PO0107</t>
  </si>
  <si>
    <t>Condra #2</t>
  </si>
  <si>
    <t>3PO0050</t>
  </si>
  <si>
    <t>Cart's Camp</t>
  </si>
  <si>
    <t>3PO0078</t>
  </si>
  <si>
    <t>Stuckey #7</t>
  </si>
  <si>
    <t>3PO0229</t>
  </si>
  <si>
    <t>Maddox</t>
  </si>
  <si>
    <t>3PO0437</t>
  </si>
  <si>
    <t>3CS0001</t>
  </si>
  <si>
    <t>Burns, Roscoe</t>
  </si>
  <si>
    <t>3CS0004</t>
  </si>
  <si>
    <t>Crouch Place</t>
  </si>
  <si>
    <t>3CS0005</t>
  </si>
  <si>
    <t>Bollinger Place</t>
  </si>
  <si>
    <t>3CS0009</t>
  </si>
  <si>
    <t>Clara</t>
  </si>
  <si>
    <t>3CS0016</t>
  </si>
  <si>
    <t>Hunt, Mrs. Jess Place</t>
  </si>
  <si>
    <t>3CS0040</t>
  </si>
  <si>
    <t>Cherry Valley Mound Group</t>
  </si>
  <si>
    <t>3CS0042</t>
  </si>
  <si>
    <t>Robinson, Harry Place</t>
  </si>
  <si>
    <t>3CS0082</t>
  </si>
  <si>
    <t>Flossie Davis Place</t>
  </si>
  <si>
    <t>1000AD</t>
  </si>
  <si>
    <t>1 large rectangular pyramid mound, plaqamine</t>
  </si>
  <si>
    <t>Catahoula</t>
  </si>
  <si>
    <t>9-10 mounds, conicals, flattop, ditch, embankment, rectangular</t>
  </si>
  <si>
    <t>3CG0484</t>
  </si>
  <si>
    <t>3CG0487</t>
  </si>
  <si>
    <t>3CG0491</t>
  </si>
  <si>
    <t>3CG0080</t>
  </si>
  <si>
    <t>Sand Hill</t>
  </si>
  <si>
    <t>3CG0039</t>
  </si>
  <si>
    <t>Gibson</t>
  </si>
  <si>
    <t>3CG0060</t>
  </si>
  <si>
    <t>3CG0048</t>
  </si>
  <si>
    <t>Gibson #1</t>
  </si>
  <si>
    <t>3CG0063</t>
  </si>
  <si>
    <t>3CG0081</t>
  </si>
  <si>
    <t>West Fish Pond</t>
  </si>
  <si>
    <t>3CG0086</t>
  </si>
  <si>
    <t>3CG0088</t>
  </si>
  <si>
    <t>3CG0090</t>
  </si>
  <si>
    <t>3CG0092</t>
  </si>
  <si>
    <t>3CG0093</t>
  </si>
  <si>
    <t>3CG0094</t>
  </si>
  <si>
    <t>3CG0097</t>
  </si>
  <si>
    <t>3CG0108</t>
  </si>
  <si>
    <t>3CG0118</t>
  </si>
  <si>
    <t>3CG0120</t>
  </si>
  <si>
    <t>3CG0124</t>
  </si>
  <si>
    <t>3CG0082</t>
  </si>
  <si>
    <t>Old House Place</t>
  </si>
  <si>
    <t>3CG0131</t>
  </si>
  <si>
    <t>Stevens #1</t>
  </si>
  <si>
    <t>3CG0138</t>
  </si>
  <si>
    <t>Stevens #8</t>
  </si>
  <si>
    <t>3CG0139</t>
  </si>
  <si>
    <t>Tate #2</t>
  </si>
  <si>
    <t>3CG0187</t>
  </si>
  <si>
    <t>Stevens #9</t>
  </si>
  <si>
    <t>3CG0223</t>
  </si>
  <si>
    <t>3CG0228</t>
  </si>
  <si>
    <t>Mcdaniel, Old Farm</t>
  </si>
  <si>
    <t>3CG0274</t>
  </si>
  <si>
    <t>3CG0280</t>
  </si>
  <si>
    <t>Cole</t>
  </si>
  <si>
    <t>3CG0286</t>
  </si>
  <si>
    <t>Gravel #1</t>
  </si>
  <si>
    <t>3CG0287</t>
  </si>
  <si>
    <t>Between Gravel Catch #1&amp;2</t>
  </si>
  <si>
    <t>3CG0300</t>
  </si>
  <si>
    <t>3CG0381</t>
  </si>
  <si>
    <t>3CG0384</t>
  </si>
  <si>
    <t>3CG0407</t>
  </si>
  <si>
    <t>Barnett #1</t>
  </si>
  <si>
    <t>3CG0409</t>
  </si>
  <si>
    <t>Barnett #2</t>
  </si>
  <si>
    <t>3CG0453</t>
  </si>
  <si>
    <t>Krebs Place</t>
  </si>
  <si>
    <t>3CG0461</t>
  </si>
  <si>
    <t>3CG0525</t>
  </si>
  <si>
    <t>3CG0486</t>
  </si>
  <si>
    <t>3CG0490</t>
  </si>
  <si>
    <t>3CG0536</t>
  </si>
  <si>
    <t>3CG0584</t>
  </si>
  <si>
    <t>3CG0841</t>
  </si>
  <si>
    <t>3CG0863</t>
  </si>
  <si>
    <t>3CS0229</t>
  </si>
  <si>
    <t>3CG0972</t>
  </si>
  <si>
    <t>3CG0967</t>
  </si>
  <si>
    <t>3MS0541</t>
  </si>
  <si>
    <t>3CG0242</t>
  </si>
  <si>
    <t>3SF0106</t>
  </si>
  <si>
    <t>3CG0988</t>
  </si>
  <si>
    <t>3CG0993</t>
  </si>
  <si>
    <t>3CG0994</t>
  </si>
  <si>
    <t>3CG0990</t>
  </si>
  <si>
    <t>3PO0580</t>
  </si>
  <si>
    <t>3PO0581</t>
  </si>
  <si>
    <t>3CG1016</t>
  </si>
  <si>
    <t>Johnson, George Farm</t>
  </si>
  <si>
    <t>3CG1023</t>
  </si>
  <si>
    <t>3CG1024</t>
  </si>
  <si>
    <t>3CG1027</t>
  </si>
  <si>
    <t>3CG1025</t>
  </si>
  <si>
    <t>3CG1049</t>
  </si>
  <si>
    <t>3CG1042</t>
  </si>
  <si>
    <t>3CG1068</t>
  </si>
  <si>
    <t>3PO0595</t>
  </si>
  <si>
    <t>3PH0342</t>
  </si>
  <si>
    <t>Jim Johnson, Madonia 10</t>
  </si>
  <si>
    <t>3PH0343</t>
  </si>
  <si>
    <t>Ned Young, Madonia 65</t>
  </si>
  <si>
    <t>3SF0394</t>
  </si>
  <si>
    <t>3CS0279</t>
  </si>
  <si>
    <t>3CS0280</t>
  </si>
  <si>
    <t>3PO0601</t>
  </si>
  <si>
    <t>3SF0416</t>
  </si>
  <si>
    <t>3CG1097</t>
  </si>
  <si>
    <t>Ledbetter</t>
  </si>
  <si>
    <t>3CG1101</t>
  </si>
  <si>
    <t>3CG1102</t>
  </si>
  <si>
    <t>3SC1235</t>
  </si>
  <si>
    <t>3SC1236</t>
  </si>
  <si>
    <t>3CW0852</t>
  </si>
  <si>
    <t>3LA0317</t>
  </si>
  <si>
    <t>3LA0318</t>
  </si>
  <si>
    <t>Robinson Deadening</t>
  </si>
  <si>
    <t>20-M-1</t>
  </si>
  <si>
    <t>Arcola</t>
  </si>
  <si>
    <t>20-M-2</t>
  </si>
  <si>
    <t>Deer Creek</t>
  </si>
  <si>
    <t>20-M-3</t>
  </si>
  <si>
    <t>Panther Burn</t>
  </si>
  <si>
    <t>20-M-4</t>
  </si>
  <si>
    <t>Lessiedell</t>
  </si>
  <si>
    <t>20-M-5</t>
  </si>
  <si>
    <t>Swan Lake</t>
  </si>
  <si>
    <t>Small Ceremonial Center; Poverty Point</t>
  </si>
  <si>
    <t>20-M-6</t>
  </si>
  <si>
    <t>Clower</t>
  </si>
  <si>
    <t>20-N-1</t>
  </si>
  <si>
    <t>Midnight</t>
  </si>
  <si>
    <t>20-N-2</t>
  </si>
  <si>
    <t>Summerfield</t>
  </si>
  <si>
    <t>20-N-3</t>
  </si>
  <si>
    <t>Straight Bayou</t>
  </si>
  <si>
    <t>20-N-4</t>
  </si>
  <si>
    <t>Kongo</t>
  </si>
  <si>
    <t>Large and small mounds</t>
  </si>
  <si>
    <t>20-O-1</t>
  </si>
  <si>
    <t>Jaketown</t>
  </si>
  <si>
    <t>Large village site with large and small mounds, semicircular deposit</t>
  </si>
  <si>
    <t>PFG 1951; Phillips 1970; Webb 1977</t>
  </si>
  <si>
    <t xml:space="preserve">H-G + C-B </t>
  </si>
  <si>
    <t>5-S-7</t>
  </si>
  <si>
    <t>5-S-8</t>
  </si>
  <si>
    <t>5-S-10</t>
  </si>
  <si>
    <t>5-S-11</t>
  </si>
  <si>
    <t>5-S-12</t>
  </si>
  <si>
    <t>Old John Short</t>
  </si>
  <si>
    <t>Hensen</t>
  </si>
  <si>
    <t>17E</t>
  </si>
  <si>
    <t>18 mounds</t>
  </si>
  <si>
    <t>14</t>
  </si>
  <si>
    <t>16E</t>
  </si>
  <si>
    <t>22-MI-23</t>
  </si>
  <si>
    <t>23-Mi-21</t>
  </si>
  <si>
    <t>5-S-31</t>
  </si>
  <si>
    <t>"Rectangular Village</t>
  </si>
  <si>
    <t>Rectangular village with mound</t>
  </si>
  <si>
    <t>Village site with low mounds</t>
  </si>
  <si>
    <t>23-MI-32</t>
  </si>
  <si>
    <t>Rockwood Point</t>
  </si>
  <si>
    <t>Butler</t>
  </si>
  <si>
    <t>Mounds, circular, 30-50ft in diameter, 3 to 4 feet high.</t>
  </si>
  <si>
    <t>5-O-5</t>
  </si>
  <si>
    <t>Lithics</t>
  </si>
  <si>
    <t>Mengo Mounds</t>
  </si>
  <si>
    <t>5-P-1</t>
  </si>
  <si>
    <t>5-P-2</t>
  </si>
  <si>
    <t>Moccassin Ridge</t>
  </si>
  <si>
    <t>Book</t>
  </si>
  <si>
    <t>Kinney</t>
  </si>
  <si>
    <t>Howell School</t>
  </si>
  <si>
    <t>Cypress Lateral</t>
  </si>
  <si>
    <t>Saddlers Church</t>
  </si>
  <si>
    <t>Spring Creek</t>
  </si>
  <si>
    <t>5-P-3</t>
  </si>
  <si>
    <t>5-P-4</t>
  </si>
  <si>
    <t>5-P-5</t>
  </si>
  <si>
    <t>5-P-6</t>
  </si>
  <si>
    <t>5-P-7</t>
  </si>
  <si>
    <t>5-P-8</t>
  </si>
  <si>
    <t>18</t>
  </si>
  <si>
    <t>25</t>
  </si>
  <si>
    <t>25N</t>
  </si>
  <si>
    <t>5-Q-1</t>
  </si>
  <si>
    <t>5-Q-2</t>
  </si>
  <si>
    <t>Culbertson</t>
  </si>
  <si>
    <t>Panthor Swamp</t>
  </si>
  <si>
    <t>23-So-16</t>
  </si>
  <si>
    <t>13</t>
  </si>
  <si>
    <t>Williams 1954, LMS Records</t>
  </si>
  <si>
    <t>13, 24</t>
  </si>
  <si>
    <t>5-R-4</t>
  </si>
  <si>
    <t>5-R-5</t>
  </si>
  <si>
    <t>5-R-6</t>
  </si>
  <si>
    <t>5-R-7</t>
  </si>
  <si>
    <t>5-R-9</t>
  </si>
  <si>
    <t>5-R-10</t>
  </si>
  <si>
    <t>5-R-11</t>
  </si>
  <si>
    <t>5-R-12</t>
  </si>
  <si>
    <t>5-R-13</t>
  </si>
  <si>
    <t>5-R-14</t>
  </si>
  <si>
    <t>5-R-15</t>
  </si>
  <si>
    <t>5-R-16</t>
  </si>
  <si>
    <t>5-R-17</t>
  </si>
  <si>
    <t>5-R-18</t>
  </si>
  <si>
    <t>5-R-19</t>
  </si>
  <si>
    <t>5-R-20</t>
  </si>
  <si>
    <t>Bowman</t>
  </si>
  <si>
    <t>Dump</t>
  </si>
  <si>
    <t>Vanduser Mound</t>
  </si>
  <si>
    <t>New Madrid</t>
  </si>
  <si>
    <t>Mississippi</t>
  </si>
  <si>
    <t>31</t>
  </si>
  <si>
    <t>34</t>
  </si>
  <si>
    <t>10</t>
  </si>
  <si>
    <t>11</t>
  </si>
  <si>
    <t>26N</t>
  </si>
  <si>
    <t>24N</t>
  </si>
  <si>
    <t>5-R-21</t>
  </si>
  <si>
    <t>5-R-22</t>
  </si>
  <si>
    <t>5-R-23</t>
  </si>
  <si>
    <t>5-R-24</t>
  </si>
  <si>
    <t>5-R-25</t>
  </si>
  <si>
    <t>Beeson</t>
  </si>
  <si>
    <t>17</t>
  </si>
  <si>
    <t>21</t>
  </si>
  <si>
    <t>32</t>
  </si>
  <si>
    <t>Roachdale</t>
  </si>
  <si>
    <t>Sunflower Landing</t>
  </si>
  <si>
    <t>Dorr [Clark]</t>
  </si>
  <si>
    <t>Clarksdale</t>
  </si>
  <si>
    <t>Smith</t>
  </si>
  <si>
    <t>Oakhurst</t>
  </si>
  <si>
    <t>Black</t>
  </si>
  <si>
    <t>Hopson Village</t>
  </si>
  <si>
    <t>Paul Clark</t>
  </si>
  <si>
    <t>Durham #2</t>
  </si>
  <si>
    <t>Dogwood Lake</t>
  </si>
  <si>
    <t>Green Grove</t>
  </si>
  <si>
    <t>Spendthrift</t>
  </si>
  <si>
    <t>Longstreet</t>
  </si>
  <si>
    <t>Yandle</t>
  </si>
  <si>
    <t>Yarbrough</t>
  </si>
  <si>
    <t>Melton</t>
  </si>
  <si>
    <t>Hony</t>
  </si>
  <si>
    <t>Devil's Racetrack</t>
  </si>
  <si>
    <t>Haynes</t>
  </si>
  <si>
    <t>Hiram</t>
  </si>
  <si>
    <t>Sturdevant Chapel</t>
  </si>
  <si>
    <t>Brazil</t>
  </si>
  <si>
    <t>Cassidy Curve</t>
  </si>
  <si>
    <t>Carrnichael</t>
  </si>
  <si>
    <t>Cambell White</t>
  </si>
  <si>
    <t>McCollar</t>
  </si>
  <si>
    <t>Chapel</t>
  </si>
  <si>
    <t>Croudip Lake</t>
  </si>
  <si>
    <t>James</t>
  </si>
  <si>
    <t>Conical mound</t>
  </si>
  <si>
    <t>17-O-3</t>
  </si>
  <si>
    <t>Petty</t>
  </si>
  <si>
    <t>Village site with large mounds</t>
  </si>
  <si>
    <t>17-O-4</t>
  </si>
  <si>
    <t>Flaut</t>
  </si>
  <si>
    <t>17-O-5</t>
  </si>
  <si>
    <t>King Mound Group</t>
  </si>
  <si>
    <t>17-O-6</t>
  </si>
  <si>
    <t>Jernberg</t>
  </si>
  <si>
    <t>Village site and small mounds</t>
  </si>
  <si>
    <t>17-O-7</t>
  </si>
  <si>
    <t>Jacobs</t>
  </si>
  <si>
    <t>17-O-8</t>
  </si>
  <si>
    <t>Falls</t>
  </si>
  <si>
    <t>Village site with small mounds; with poverty point</t>
  </si>
  <si>
    <t>H-D</t>
  </si>
  <si>
    <t>17-O-9</t>
  </si>
  <si>
    <t>Powell Bayou</t>
  </si>
  <si>
    <t>17-P-1</t>
  </si>
  <si>
    <t>Tippo Bayou</t>
  </si>
  <si>
    <t>17-P-2</t>
  </si>
  <si>
    <t>Cason</t>
  </si>
  <si>
    <t>18-K-1</t>
  </si>
  <si>
    <t>Hogg Lake</t>
  </si>
  <si>
    <t>Village site with small rectangular platform mound and small mounds</t>
  </si>
  <si>
    <t>18-K-2</t>
  </si>
  <si>
    <t>Westlake</t>
  </si>
  <si>
    <t>18-L-1</t>
  </si>
  <si>
    <t>Neblett Landing</t>
  </si>
  <si>
    <t>Village site with large and small rectangular platform mounds</t>
  </si>
  <si>
    <t>18-M-1</t>
  </si>
  <si>
    <t>Porter Bayou</t>
  </si>
  <si>
    <t>Large village with with large and small mounds</t>
  </si>
  <si>
    <t>18-M-2</t>
  </si>
  <si>
    <t>Noble</t>
  </si>
  <si>
    <t>18-M-3</t>
  </si>
  <si>
    <t>Stringtown</t>
  </si>
  <si>
    <t>18-M-4</t>
  </si>
  <si>
    <t>Lipe</t>
  </si>
  <si>
    <t>18-M-5</t>
  </si>
  <si>
    <t>18-M-6</t>
  </si>
  <si>
    <t>Choctaw</t>
  </si>
  <si>
    <t>Small Ceremonial Center; Poverty Point as well</t>
  </si>
  <si>
    <t>18-M-7</t>
  </si>
  <si>
    <t>Priscilla</t>
  </si>
  <si>
    <t>18-N-1</t>
  </si>
  <si>
    <t>Barlow</t>
  </si>
  <si>
    <t>Small rectangular mound</t>
  </si>
  <si>
    <t>18-N-10</t>
  </si>
  <si>
    <t>Gillfield</t>
  </si>
  <si>
    <t>18-N-2</t>
  </si>
  <si>
    <t>Marlow Cemeter</t>
  </si>
  <si>
    <t>18-N-3</t>
  </si>
  <si>
    <t>Cooper</t>
  </si>
  <si>
    <t>18-N-4</t>
  </si>
  <si>
    <t>Steiner</t>
  </si>
  <si>
    <t>18-N-5</t>
  </si>
  <si>
    <t>Moorhead Bayou</t>
  </si>
  <si>
    <t>18-N-6</t>
  </si>
  <si>
    <t>Anderson</t>
  </si>
  <si>
    <t>18-N-7</t>
  </si>
  <si>
    <t>18-N-8</t>
  </si>
  <si>
    <t>MacGregor</t>
  </si>
  <si>
    <t>Small shell midden</t>
  </si>
  <si>
    <t>18-N-9</t>
  </si>
  <si>
    <t>Eastland</t>
  </si>
  <si>
    <t>Shell midden</t>
  </si>
  <si>
    <t>18-O-1</t>
  </si>
  <si>
    <t>18-O-2</t>
  </si>
  <si>
    <t>Garrard</t>
  </si>
  <si>
    <t>18-P-1</t>
  </si>
  <si>
    <t>Lester Way</t>
  </si>
  <si>
    <t>18-P-2</t>
  </si>
  <si>
    <t>Whaley</t>
  </si>
  <si>
    <t>19-L-1</t>
  </si>
  <si>
    <t>Winterville</t>
  </si>
  <si>
    <t>19-L-2</t>
  </si>
  <si>
    <t>Bachelor Bend</t>
  </si>
  <si>
    <t>19-L-3</t>
  </si>
  <si>
    <t>Ely</t>
  </si>
  <si>
    <t>19-L-4</t>
  </si>
  <si>
    <t>Deer City</t>
  </si>
  <si>
    <t>19-L-5</t>
  </si>
  <si>
    <t>Ireland</t>
  </si>
  <si>
    <t>19-L-6</t>
  </si>
  <si>
    <t>Refuge</t>
  </si>
  <si>
    <t>19-L-7</t>
  </si>
  <si>
    <t>Ash Bayou</t>
  </si>
  <si>
    <t>19-M-1</t>
  </si>
  <si>
    <t>Leland</t>
  </si>
  <si>
    <t>19-M-2</t>
  </si>
  <si>
    <t>Sheldon</t>
  </si>
  <si>
    <t>19-M-3</t>
  </si>
  <si>
    <t>Stoneville</t>
  </si>
  <si>
    <t>19-M-4</t>
  </si>
  <si>
    <t>Dunleith</t>
  </si>
  <si>
    <t>19-M-5</t>
  </si>
  <si>
    <t>Hollyknowe</t>
  </si>
  <si>
    <t>19-M-6</t>
  </si>
  <si>
    <t>Arcola High School</t>
  </si>
  <si>
    <t>19-M-7</t>
  </si>
  <si>
    <t>19-N-1</t>
  </si>
  <si>
    <t>Kinlock</t>
  </si>
  <si>
    <t>H-G + B-A</t>
  </si>
  <si>
    <t>19-N-2</t>
  </si>
  <si>
    <t>Shields</t>
  </si>
  <si>
    <t>Village site with small mounds - shell middens</t>
  </si>
  <si>
    <t>19-N-3</t>
  </si>
  <si>
    <t>Bay Lake</t>
  </si>
  <si>
    <t>19-N-4</t>
  </si>
  <si>
    <t>Danzler</t>
  </si>
  <si>
    <t>Small conical mound and small mound</t>
  </si>
  <si>
    <t>19-N-5</t>
  </si>
  <si>
    <t>Failing</t>
  </si>
  <si>
    <t>19-N-6</t>
  </si>
  <si>
    <t>Lake Dawson</t>
  </si>
  <si>
    <t>19-N-7</t>
  </si>
  <si>
    <t>19-N-8</t>
  </si>
  <si>
    <t>Horve Hope</t>
  </si>
  <si>
    <t>19-O-1</t>
  </si>
  <si>
    <t>McLean</t>
  </si>
  <si>
    <t>19-O-2</t>
  </si>
  <si>
    <t>Shell Bluff</t>
  </si>
  <si>
    <t>Large shell midden with mounds</t>
  </si>
  <si>
    <t>19-O-3</t>
  </si>
  <si>
    <t>Fleming</t>
  </si>
  <si>
    <t>19-O-4</t>
  </si>
  <si>
    <t>Archer</t>
  </si>
  <si>
    <t>19-O-5</t>
  </si>
  <si>
    <t>Old Dominion</t>
  </si>
  <si>
    <t>19-O-6</t>
  </si>
  <si>
    <t>Delson Chevalier</t>
  </si>
  <si>
    <t>16CT391</t>
  </si>
  <si>
    <t>Hogback Ridge</t>
  </si>
  <si>
    <t>16CT366</t>
  </si>
  <si>
    <t>Honey Brake</t>
  </si>
  <si>
    <t>Honey Brake CT 17</t>
  </si>
  <si>
    <t>16CT263</t>
  </si>
  <si>
    <t>Island Bayou North</t>
  </si>
  <si>
    <t>16CT361</t>
  </si>
  <si>
    <t>Lick Bayou</t>
  </si>
  <si>
    <t>16CT261</t>
  </si>
  <si>
    <t>Long Branch Structure</t>
  </si>
  <si>
    <t>16CT35</t>
  </si>
  <si>
    <t>Mount Bayou</t>
  </si>
  <si>
    <t>Old Saline</t>
  </si>
  <si>
    <t>16CT12/35</t>
  </si>
  <si>
    <t>Paul's Camp</t>
  </si>
  <si>
    <t>16CT337</t>
  </si>
  <si>
    <t>Red and White Pipe</t>
  </si>
  <si>
    <t>16CT28</t>
  </si>
  <si>
    <t>Reeves Woods</t>
  </si>
  <si>
    <t>16CT348</t>
  </si>
  <si>
    <t>Royd's Field</t>
  </si>
  <si>
    <t>16CT342</t>
  </si>
  <si>
    <t>Shoe Bayou</t>
  </si>
  <si>
    <t>16CT27</t>
  </si>
  <si>
    <t>Wild Hog Mound</t>
  </si>
  <si>
    <t>Motley</t>
  </si>
  <si>
    <t>Heeley</t>
  </si>
  <si>
    <t>Kilbourne</t>
  </si>
  <si>
    <t>21-J-10</t>
  </si>
  <si>
    <t>16MO81</t>
  </si>
  <si>
    <t>Darrah Brake</t>
  </si>
  <si>
    <t>Poverty point, "camp"</t>
  </si>
  <si>
    <t>Dabb Bend</t>
  </si>
  <si>
    <t>22-I-4</t>
  </si>
  <si>
    <t>16MO61</t>
  </si>
  <si>
    <t>Brodenax Church</t>
  </si>
  <si>
    <t>22-J-18</t>
  </si>
  <si>
    <t>16MO103</t>
  </si>
  <si>
    <t>Book Shepard</t>
  </si>
  <si>
    <t>22-I-7</t>
  </si>
  <si>
    <t>16MO64</t>
  </si>
  <si>
    <t>Cedar Grove/Miss Kat</t>
  </si>
  <si>
    <t>22-J-40</t>
  </si>
  <si>
    <t>16MO112</t>
  </si>
  <si>
    <t>Flynn</t>
  </si>
  <si>
    <t>22-I-5</t>
  </si>
  <si>
    <t>16MO62</t>
  </si>
  <si>
    <t>J.C. Rolfe</t>
  </si>
  <si>
    <t>22-I-11</t>
  </si>
  <si>
    <t>16MO68</t>
  </si>
  <si>
    <t>Bethany Brake</t>
  </si>
  <si>
    <t>Whitney Island</t>
  </si>
  <si>
    <t>22-I-10</t>
  </si>
  <si>
    <t>16MO67</t>
  </si>
  <si>
    <t>Patten Slough</t>
  </si>
  <si>
    <t>22-J-15</t>
  </si>
  <si>
    <t>16MO101</t>
  </si>
  <si>
    <t>Moss</t>
  </si>
  <si>
    <t>22-J-32</t>
  </si>
  <si>
    <t>16MO110</t>
  </si>
  <si>
    <t>Bapp Arnold</t>
  </si>
  <si>
    <t>Poverty Point ('camp")</t>
  </si>
  <si>
    <t>21-J-47</t>
  </si>
  <si>
    <t>Dead Cotton</t>
  </si>
  <si>
    <t>21-J-44</t>
  </si>
  <si>
    <t>16MO96</t>
  </si>
  <si>
    <t>21-I-14</t>
  </si>
  <si>
    <t>16MO76</t>
  </si>
  <si>
    <t>Cooper Ditch</t>
  </si>
  <si>
    <t>21-I-15</t>
  </si>
  <si>
    <t>16MO77</t>
  </si>
  <si>
    <t>White Place</t>
  </si>
  <si>
    <t>21-I-8</t>
  </si>
  <si>
    <t>16MO70</t>
  </si>
  <si>
    <t>Cooper Lake</t>
  </si>
  <si>
    <t>21-I-13</t>
  </si>
  <si>
    <t>16MO75</t>
  </si>
  <si>
    <t>Walnut</t>
  </si>
  <si>
    <t>21-I-12</t>
  </si>
  <si>
    <t>16MO74</t>
  </si>
  <si>
    <t>Twin Oaks</t>
  </si>
  <si>
    <t>21-I-1</t>
  </si>
  <si>
    <t>16MO32</t>
  </si>
  <si>
    <t>Brodnax</t>
  </si>
  <si>
    <t>21-I-11</t>
  </si>
  <si>
    <t>16MO73</t>
  </si>
  <si>
    <t>Poverty point ("possible site")</t>
  </si>
  <si>
    <t>21-I-7</t>
  </si>
  <si>
    <t>16MO69</t>
  </si>
  <si>
    <t>Caney Bayou</t>
  </si>
  <si>
    <t>21-I-9</t>
  </si>
  <si>
    <t>16MO71</t>
  </si>
  <si>
    <t>Bottleneck</t>
  </si>
  <si>
    <t>Montgomery II</t>
  </si>
  <si>
    <t>Ouachita River</t>
  </si>
  <si>
    <t>Poverty point, Tchula</t>
  </si>
  <si>
    <t>Alabama Landing</t>
  </si>
  <si>
    <t>Lea</t>
  </si>
  <si>
    <t>Monroe</t>
  </si>
  <si>
    <t>Wilson</t>
  </si>
  <si>
    <t>Bennett</t>
  </si>
  <si>
    <t>Fife</t>
  </si>
  <si>
    <t>C.Bennett</t>
  </si>
  <si>
    <t>Brock</t>
  </si>
  <si>
    <t>Gunby Dam</t>
  </si>
  <si>
    <t>Gunby So.</t>
  </si>
  <si>
    <t>26-I-8</t>
  </si>
  <si>
    <t>Pickett's Island</t>
  </si>
  <si>
    <t>16CT5</t>
  </si>
  <si>
    <t>Caney Mound</t>
  </si>
  <si>
    <t>Cypress Bayou</t>
  </si>
  <si>
    <t>Haigh's Landing</t>
  </si>
  <si>
    <t>Honey Brake Lake</t>
  </si>
  <si>
    <t>Bodcaw</t>
  </si>
  <si>
    <t>Muddy Bayou</t>
  </si>
  <si>
    <t>Angola Gate</t>
  </si>
  <si>
    <t>Russell's Landing</t>
  </si>
  <si>
    <t>Sandy Run</t>
  </si>
  <si>
    <t>Joseph's Island</t>
  </si>
  <si>
    <t>May</t>
  </si>
  <si>
    <t>17-N-6</t>
  </si>
  <si>
    <t>Sid Dodd</t>
  </si>
  <si>
    <t>17-N-7</t>
  </si>
  <si>
    <t>Baltzer</t>
  </si>
  <si>
    <t>17-N-8</t>
  </si>
  <si>
    <t>Boyer</t>
  </si>
  <si>
    <t>17-N-9</t>
  </si>
  <si>
    <t>Vance</t>
  </si>
  <si>
    <t>17-O-1</t>
  </si>
  <si>
    <t>Buford</t>
  </si>
  <si>
    <t>Village site with large rectangular platform mound and small conical mounds</t>
  </si>
  <si>
    <t>17-O-10</t>
  </si>
  <si>
    <t>Sage</t>
  </si>
  <si>
    <t>17-O-11</t>
  </si>
  <si>
    <t>Cassidy Bayou</t>
  </si>
  <si>
    <t>17-O-12</t>
  </si>
  <si>
    <t>Rome</t>
  </si>
  <si>
    <t>17-O-2</t>
  </si>
  <si>
    <t xml:space="preserve">Delta Blues mound 1 (1 of 2 in area).  Located in outdoor music festival area. 20-25 feet high, conical - 40-50 feet at base. In grass (non-agricultural). Second mound is delta blues 2. </t>
  </si>
  <si>
    <t>Delta Blues 1</t>
  </si>
  <si>
    <t>Delta Blues 2</t>
  </si>
  <si>
    <t>low conical mound near outdoor music festival. about 3-5 feet high, 20-25 feet at base. In grass (non agricultural)</t>
  </si>
  <si>
    <t>Terral Lewis</t>
  </si>
  <si>
    <t>Kidder 1991; Webb 1972</t>
  </si>
  <si>
    <t>24-J-5</t>
  </si>
  <si>
    <t>16FR34</t>
  </si>
  <si>
    <t>Swampers</t>
  </si>
  <si>
    <t>22-K-14</t>
  </si>
  <si>
    <t>16EC18</t>
  </si>
  <si>
    <t>Welch</t>
  </si>
  <si>
    <t>21-J-9</t>
  </si>
  <si>
    <t>16MO43</t>
  </si>
  <si>
    <t>Neimeyer-Dare</t>
  </si>
  <si>
    <t>Boeuf Basin</t>
  </si>
  <si>
    <t>Poverty point, regional center</t>
  </si>
  <si>
    <t>22-J-50</t>
  </si>
  <si>
    <t>16WC9</t>
  </si>
  <si>
    <t>Pollard</t>
  </si>
  <si>
    <t>Poverty point, "major village"</t>
  </si>
  <si>
    <t>22-J-20</t>
  </si>
  <si>
    <t>16MO5</t>
  </si>
  <si>
    <t>Poverty Point ("major village")</t>
  </si>
  <si>
    <t>22-J-2</t>
  </si>
  <si>
    <t>16RI14</t>
  </si>
  <si>
    <t>Stevenson</t>
  </si>
  <si>
    <t>21-J-1</t>
  </si>
  <si>
    <t>16MO2</t>
  </si>
  <si>
    <t>Harp</t>
  </si>
  <si>
    <t>22-J-21</t>
  </si>
  <si>
    <t>16MO105</t>
  </si>
  <si>
    <t>Robert Parker</t>
  </si>
  <si>
    <t>22-J-47</t>
  </si>
  <si>
    <t>16MO113</t>
  </si>
  <si>
    <t>Victor Hill</t>
  </si>
  <si>
    <t>22-J-43</t>
  </si>
  <si>
    <t>16MO95</t>
  </si>
  <si>
    <t>Black Hill</t>
  </si>
  <si>
    <t>Poverty Point ("village")</t>
  </si>
  <si>
    <t>22-J-28</t>
  </si>
  <si>
    <t>16MO108</t>
  </si>
  <si>
    <t>Mambo</t>
  </si>
  <si>
    <t>21-J-8</t>
  </si>
  <si>
    <t>16MO7/41</t>
  </si>
  <si>
    <t>Little Crane Lake</t>
  </si>
  <si>
    <t>Poverty point ("camp")</t>
  </si>
  <si>
    <t>22-J-52</t>
  </si>
  <si>
    <t>16MO123</t>
  </si>
  <si>
    <t>Horsehoe Church</t>
  </si>
  <si>
    <t>24-I-52</t>
  </si>
  <si>
    <t>16FR173</t>
  </si>
  <si>
    <t>Russell Place</t>
  </si>
  <si>
    <t>24-I-53</t>
  </si>
  <si>
    <t>16FR174</t>
  </si>
  <si>
    <t xml:space="preserve">DeBlieux </t>
  </si>
  <si>
    <t>25-I-12</t>
  </si>
  <si>
    <t>16FR221</t>
  </si>
  <si>
    <t>Dailey Landing</t>
  </si>
  <si>
    <t>22-H-10</t>
  </si>
  <si>
    <t>16OU160</t>
  </si>
  <si>
    <t>McGuire</t>
  </si>
  <si>
    <t>Quachita River</t>
  </si>
  <si>
    <t>23-H-6</t>
  </si>
  <si>
    <t>16OU175</t>
  </si>
  <si>
    <t>Watson Brake</t>
  </si>
  <si>
    <t>I-G</t>
  </si>
  <si>
    <t xml:space="preserve">4000BP </t>
  </si>
  <si>
    <t>16CT389</t>
  </si>
  <si>
    <t>Baker's Field</t>
  </si>
  <si>
    <t>Gibson 1991</t>
  </si>
  <si>
    <t>Catahoula Swamp</t>
  </si>
  <si>
    <t>Poverty point</t>
  </si>
  <si>
    <t>16CT388</t>
  </si>
  <si>
    <t>Baker's Overcup</t>
  </si>
  <si>
    <t>Gibson 1991; Webb 1982</t>
  </si>
  <si>
    <t>Baker's Ridge</t>
  </si>
  <si>
    <t>16CT374</t>
  </si>
  <si>
    <t>Big Bayou Pumps</t>
  </si>
  <si>
    <t>16CT11</t>
  </si>
  <si>
    <t>Big Slough</t>
  </si>
  <si>
    <t>Gibson 1991; Webb 1982; Ramenofsky 1991</t>
  </si>
  <si>
    <t>16CT250</t>
  </si>
  <si>
    <t>Big Slough Pipe NE</t>
  </si>
  <si>
    <t>16CT251</t>
  </si>
  <si>
    <t>Big Slough Pipe SE</t>
  </si>
  <si>
    <t>27-H-4</t>
  </si>
  <si>
    <t>16LA1</t>
  </si>
  <si>
    <t>Cad</t>
  </si>
  <si>
    <t>Gibson 1991; Phillips 1970:873</t>
  </si>
  <si>
    <t>16AV101</t>
  </si>
  <si>
    <t>Cowpen Slough</t>
  </si>
  <si>
    <t>Gibson 1991; Ramenofsky 1991</t>
  </si>
  <si>
    <t>2890BP +/-150, 3170BP+/-140, 3220BP+/-130 3410BP+/-140, 3460BP+/-90, 3490BP+/-90, 4020BP+/-180, 4560BP+/-230 (Ramenofsky 1986)</t>
  </si>
  <si>
    <t>16CT147</t>
  </si>
  <si>
    <t>Counterfeit Ridge</t>
  </si>
  <si>
    <t>16CT352/365</t>
  </si>
  <si>
    <t>Cross Bayou</t>
  </si>
  <si>
    <t>Dragline</t>
  </si>
  <si>
    <t>4500BP+/-70, 4775BP+/-90 (Spencer and Perry 1978)</t>
  </si>
  <si>
    <t>16RA414</t>
  </si>
  <si>
    <t>Courtableau [Moundville]</t>
  </si>
  <si>
    <t>Riddle</t>
  </si>
  <si>
    <t>Cane Bayou</t>
  </si>
  <si>
    <t>Bayou Portage</t>
  </si>
  <si>
    <t>N. of Jeff Miller Slough</t>
  </si>
  <si>
    <t>Alabama Bayou des Ourses</t>
  </si>
  <si>
    <t>E. of Little Bayou des Ourses</t>
  </si>
  <si>
    <t>Osca Bayou</t>
  </si>
  <si>
    <t>Bayou La Rose</t>
  </si>
  <si>
    <t>Bayou La Rose [Sirius Bay]</t>
  </si>
  <si>
    <t>Butte La Rose</t>
  </si>
  <si>
    <t>Rosedale Mound Plantation</t>
  </si>
  <si>
    <t>Peter Hill</t>
  </si>
  <si>
    <t>Reed Mound</t>
  </si>
  <si>
    <t>Mays Place Camp</t>
  </si>
  <si>
    <t>Bull Wheel Slough</t>
  </si>
  <si>
    <t>Bayou Blue Mound</t>
  </si>
  <si>
    <t>Knox</t>
  </si>
  <si>
    <t>Kleinpeter</t>
  </si>
  <si>
    <t>St. Gabriel</t>
  </si>
  <si>
    <t>Medora</t>
  </si>
  <si>
    <t>Sunrise</t>
  </si>
  <si>
    <t>Walls Place</t>
  </si>
  <si>
    <t>Gregory Point</t>
  </si>
  <si>
    <t>Little Colyell</t>
  </si>
  <si>
    <t>Kling Mound</t>
  </si>
  <si>
    <t>Head of Islands</t>
  </si>
  <si>
    <t>Booth</t>
  </si>
  <si>
    <t>Wetmore</t>
  </si>
  <si>
    <t>Wadesboro</t>
  </si>
  <si>
    <t>Lee Landing</t>
  </si>
  <si>
    <t>Bedico Creek</t>
  </si>
  <si>
    <t>Tickfaw #1</t>
  </si>
  <si>
    <t>Tickfaw #2</t>
  </si>
  <si>
    <t>North Pass</t>
  </si>
  <si>
    <t>Mays Bayou</t>
  </si>
  <si>
    <t>Golf Course</t>
  </si>
  <si>
    <t>Lake Ponchartrain</t>
  </si>
  <si>
    <t>Chinchuba</t>
  </si>
  <si>
    <t>Doris Stone</t>
  </si>
  <si>
    <t>Knoll</t>
  </si>
  <si>
    <t>Camp Salmon</t>
  </si>
  <si>
    <t>Doucette</t>
  </si>
  <si>
    <t>Indian Village Lodge</t>
  </si>
  <si>
    <t>Sabine River</t>
  </si>
  <si>
    <t>Burton Shell Slip</t>
  </si>
  <si>
    <t>Moss Lake</t>
  </si>
  <si>
    <t>Bayou Choupique</t>
  </si>
  <si>
    <t>Turners Bay</t>
  </si>
  <si>
    <t>Lake Arthur</t>
  </si>
  <si>
    <t>Bayou Vermilion</t>
  </si>
  <si>
    <t>Broussard</t>
  </si>
  <si>
    <t>Coulee Range</t>
  </si>
  <si>
    <t>Little Pass</t>
  </si>
  <si>
    <t>Bayou Chene</t>
  </si>
  <si>
    <t>Little Tensas</t>
  </si>
  <si>
    <t>Bayou L'Embarras</t>
  </si>
  <si>
    <t>Portage</t>
  </si>
  <si>
    <t>Lake La Rose</t>
  </si>
  <si>
    <t>Loreauville</t>
  </si>
  <si>
    <t>Loreauville Canal</t>
  </si>
  <si>
    <t>Butte Canal</t>
  </si>
  <si>
    <t>Dauterive Lake</t>
  </si>
  <si>
    <t>Bayou Sorrel</t>
  </si>
  <si>
    <t>Schwing Place</t>
  </si>
  <si>
    <t>Big Bayou Pigeon</t>
  </si>
  <si>
    <t>Little Bayou Pigeon</t>
  </si>
  <si>
    <t>Bayou Cowan</t>
  </si>
  <si>
    <t>Pigeon  </t>
  </si>
  <si>
    <t>Bloody Bayou</t>
  </si>
  <si>
    <t>Catfish Bayou #1</t>
  </si>
  <si>
    <t>Smith River</t>
  </si>
  <si>
    <t>Catfish Bayou #2</t>
  </si>
  <si>
    <t>Bayou Goula Mounds</t>
  </si>
  <si>
    <t>Clara Murray Place</t>
  </si>
  <si>
    <t>Grand Bayou Mound</t>
  </si>
  <si>
    <t>Lake Natchez Ridge</t>
  </si>
  <si>
    <t>Broussard Mound</t>
  </si>
  <si>
    <t>Geismar</t>
  </si>
  <si>
    <t>Mount Houmas</t>
  </si>
  <si>
    <t>Labranche</t>
  </si>
  <si>
    <t>Bayou Trepagnier</t>
  </si>
  <si>
    <t>Seabrook</t>
  </si>
  <si>
    <t>St. Charles Canal</t>
  </si>
  <si>
    <t>Downman Road</t>
  </si>
  <si>
    <t>Bayou Laurier</t>
  </si>
  <si>
    <t>West End</t>
  </si>
  <si>
    <t>Bonnabel</t>
  </si>
  <si>
    <t>Bayou Tchoupitoulas</t>
  </si>
  <si>
    <t>Metairie</t>
  </si>
  <si>
    <t>Indian Beach</t>
  </si>
  <si>
    <t>Big Oak Island</t>
  </si>
  <si>
    <t>Salt Bayou</t>
  </si>
  <si>
    <t>Haughs Canal</t>
  </si>
  <si>
    <t>Bayou Bienvenue</t>
  </si>
  <si>
    <t>Citrus Canal</t>
  </si>
  <si>
    <t>Dwyer Canal</t>
  </si>
  <si>
    <t>Little Woods</t>
  </si>
  <si>
    <t>Paris Road</t>
  </si>
  <si>
    <t>South Point</t>
  </si>
  <si>
    <t>Pine Island</t>
  </si>
  <si>
    <t>Pearl River Island</t>
  </si>
  <si>
    <t>Gahagan</t>
  </si>
  <si>
    <t>The Graveyard</t>
  </si>
  <si>
    <t>W. Pearl River</t>
  </si>
  <si>
    <t>Ideal Camp</t>
  </si>
  <si>
    <t>Alligator Point</t>
  </si>
  <si>
    <t>Bayou Platte</t>
  </si>
  <si>
    <t>LMS 2.0</t>
  </si>
  <si>
    <t>Top</t>
  </si>
  <si>
    <t>Bypass Hills</t>
  </si>
  <si>
    <t>Dry Pond</t>
  </si>
  <si>
    <t>Wilkie</t>
  </si>
  <si>
    <t>Play</t>
  </si>
  <si>
    <t>Buck Hollow</t>
  </si>
  <si>
    <t>Emerald [Selzertown]</t>
  </si>
  <si>
    <t>Gordon</t>
  </si>
  <si>
    <t>Mount Locust</t>
  </si>
  <si>
    <t>Sole</t>
  </si>
  <si>
    <t>Sour Apple</t>
  </si>
  <si>
    <t>Bates #1</t>
  </si>
  <si>
    <t>Bates #2</t>
  </si>
  <si>
    <t>Prairie</t>
  </si>
  <si>
    <t>Stanton Drive</t>
  </si>
  <si>
    <t>Grapit</t>
  </si>
  <si>
    <t>Gospel Church</t>
  </si>
  <si>
    <t>Smokey's Duck</t>
  </si>
  <si>
    <t>Gas Line</t>
  </si>
  <si>
    <t>St. Charles Church</t>
  </si>
  <si>
    <t>Keaton's Beans</t>
  </si>
  <si>
    <t>Dad Asks</t>
  </si>
  <si>
    <t>Bird on a Wire</t>
  </si>
  <si>
    <t>Mohon's Jack</t>
  </si>
  <si>
    <t>Stele Woods</t>
  </si>
  <si>
    <t>County Corner</t>
  </si>
  <si>
    <t>Clear Creek Bay</t>
  </si>
  <si>
    <t>McLain</t>
  </si>
  <si>
    <t>Cotton Island Mounds [Nugent?]</t>
  </si>
  <si>
    <t>RA</t>
  </si>
  <si>
    <t>James Bluff</t>
  </si>
  <si>
    <t>Burnham</t>
  </si>
  <si>
    <t>Cad Mounds</t>
  </si>
  <si>
    <t>Frazier's Mound</t>
  </si>
  <si>
    <t>Virgin Place</t>
  </si>
  <si>
    <t>Mayes</t>
  </si>
  <si>
    <t>Tensas Mound</t>
  </si>
  <si>
    <t>Irish Pen</t>
  </si>
  <si>
    <t>Mound Bayou</t>
  </si>
  <si>
    <t>Church Mound</t>
  </si>
  <si>
    <t>Big Bayou</t>
  </si>
  <si>
    <t>Jim Kay</t>
  </si>
  <si>
    <t>Flowery Mound</t>
  </si>
  <si>
    <t>Forest</t>
  </si>
  <si>
    <t>Mazique ["White Apple Village"]</t>
  </si>
  <si>
    <t>Chase</t>
  </si>
  <si>
    <t>Mound Near Ellis Cliffs</t>
  </si>
  <si>
    <t>Hamilton Ridge</t>
  </si>
  <si>
    <t>Hutchins Ridge</t>
  </si>
  <si>
    <t>Birch</t>
  </si>
  <si>
    <t>Git</t>
  </si>
  <si>
    <t>Bat Ridge</t>
  </si>
  <si>
    <t>Bordello</t>
  </si>
  <si>
    <t>Whitetail</t>
  </si>
  <si>
    <t>Forgot</t>
  </si>
  <si>
    <t>LaGrange</t>
  </si>
  <si>
    <t>Late Beans</t>
  </si>
  <si>
    <t>Shieldsboro</t>
  </si>
  <si>
    <t>Plateau</t>
  </si>
  <si>
    <t>Rocking TT</t>
  </si>
  <si>
    <t>Hi Beans</t>
  </si>
  <si>
    <t>Hide and Seek</t>
  </si>
  <si>
    <t>Garden of Eden</t>
  </si>
  <si>
    <t>Daub City</t>
  </si>
  <si>
    <t>Sunoco</t>
  </si>
  <si>
    <t>Springfield</t>
  </si>
  <si>
    <t>Lambert</t>
  </si>
  <si>
    <t>Logroad</t>
  </si>
  <si>
    <t>Elgin Mounds</t>
  </si>
  <si>
    <t>Mill Creek</t>
  </si>
  <si>
    <t>Rougeau</t>
  </si>
  <si>
    <t>Haas</t>
  </si>
  <si>
    <t>Rodriguez</t>
  </si>
  <si>
    <t>Greenhouse</t>
  </si>
  <si>
    <t>Nick Mound</t>
  </si>
  <si>
    <t>L'Eau Noire</t>
  </si>
  <si>
    <t>Belledeau [Bordelon]</t>
  </si>
  <si>
    <t>Rouillette</t>
  </si>
  <si>
    <t>Saline Point</t>
  </si>
  <si>
    <t>Nick</t>
  </si>
  <si>
    <t>Egg Bend [Moore's Laborde]</t>
  </si>
  <si>
    <t>Lord</t>
  </si>
  <si>
    <t>Prinz</t>
  </si>
  <si>
    <t>Guillot</t>
  </si>
  <si>
    <t>Juneau</t>
  </si>
  <si>
    <t>Bayou Bourbie</t>
  </si>
  <si>
    <t>Bridge</t>
  </si>
  <si>
    <t>Old River</t>
  </si>
  <si>
    <t>Coco</t>
  </si>
  <si>
    <t>Augustine</t>
  </si>
  <si>
    <t>Ryan</t>
  </si>
  <si>
    <t>Celestin</t>
  </si>
  <si>
    <t>Neitzel</t>
  </si>
  <si>
    <t>Illegible Name</t>
  </si>
  <si>
    <t>Ducote</t>
  </si>
  <si>
    <t>Lake St. Agnes</t>
  </si>
  <si>
    <t>Bayou Cocodrie</t>
  </si>
  <si>
    <t>Moreau Lake</t>
  </si>
  <si>
    <t>Grand Bay</t>
  </si>
  <si>
    <t>Irma</t>
  </si>
  <si>
    <t>Hamburg</t>
  </si>
  <si>
    <t>Lake Grand Bayou</t>
  </si>
  <si>
    <t>Lower Lake Long</t>
  </si>
  <si>
    <t>Glendale</t>
  </si>
  <si>
    <t>Clarksville</t>
  </si>
  <si>
    <t>Buena Vista</t>
  </si>
  <si>
    <t>Po' Folk</t>
  </si>
  <si>
    <t>Henley</t>
  </si>
  <si>
    <t>Dooley</t>
  </si>
  <si>
    <t>Papa's</t>
  </si>
  <si>
    <t>J.E. White</t>
  </si>
  <si>
    <t>At Last</t>
  </si>
  <si>
    <t>Hunter's Creek</t>
  </si>
  <si>
    <t>Powerline</t>
  </si>
  <si>
    <t>Pond</t>
  </si>
  <si>
    <t>Montfort</t>
  </si>
  <si>
    <t>Nobrac</t>
  </si>
  <si>
    <t>Big Cane</t>
  </si>
  <si>
    <t>Leger</t>
  </si>
  <si>
    <t>Tunica Mounds [Trudeau]</t>
  </si>
  <si>
    <t>Angola Farm</t>
  </si>
  <si>
    <t>Shaw Field</t>
  </si>
  <si>
    <t>Monk Plantation</t>
  </si>
  <si>
    <t>Point Lookout</t>
  </si>
  <si>
    <t>Hounddog</t>
  </si>
  <si>
    <t>Plantation</t>
  </si>
  <si>
    <t>Muleapple</t>
  </si>
  <si>
    <t>Trusty</t>
  </si>
  <si>
    <t>Como Plantation</t>
  </si>
  <si>
    <t>Brakel</t>
  </si>
  <si>
    <t>Como Landing</t>
  </si>
  <si>
    <t>Wells</t>
  </si>
  <si>
    <t>Leonard's Bluff</t>
  </si>
  <si>
    <t>Innis</t>
  </si>
  <si>
    <t>Aldridge</t>
  </si>
  <si>
    <t>Bloodhound</t>
  </si>
  <si>
    <t>Dixon</t>
  </si>
  <si>
    <t>23-H-49  </t>
  </si>
  <si>
    <t>23-H-51  </t>
  </si>
  <si>
    <t>23-H-52  </t>
  </si>
  <si>
    <t>23-H-53  </t>
  </si>
  <si>
    <t>23-H-54  </t>
  </si>
  <si>
    <t>23-H-55  </t>
  </si>
  <si>
    <t>23-I-1  </t>
  </si>
  <si>
    <t>23-I-2  </t>
  </si>
  <si>
    <t>23-I-3  </t>
  </si>
  <si>
    <t>23-I-4  </t>
  </si>
  <si>
    <t>23-I-5  </t>
  </si>
  <si>
    <t>23-I-6  </t>
  </si>
  <si>
    <t>23-I-7  </t>
  </si>
  <si>
    <t>23-I-8  </t>
  </si>
  <si>
    <t>23-I-9  </t>
  </si>
  <si>
    <t>23-I-10  </t>
  </si>
  <si>
    <t>23-I-11  </t>
  </si>
  <si>
    <t>23-I-12  </t>
  </si>
  <si>
    <t>23-I-13  </t>
  </si>
  <si>
    <t>23-I-14  </t>
  </si>
  <si>
    <t>23-I-15  </t>
  </si>
  <si>
    <t>23-I-16  </t>
  </si>
  <si>
    <t>23-I-17  </t>
  </si>
  <si>
    <t>23-I-18  </t>
  </si>
  <si>
    <t>23-I-19  </t>
  </si>
  <si>
    <t>23-I-20  </t>
  </si>
  <si>
    <t>23-I-21  </t>
  </si>
  <si>
    <t>23-I-22  </t>
  </si>
  <si>
    <t>23-I-23  </t>
  </si>
  <si>
    <t>23-I-24  </t>
  </si>
  <si>
    <t>23-I-25  </t>
  </si>
  <si>
    <t>23-I-26  </t>
  </si>
  <si>
    <t>23-I-27  </t>
  </si>
  <si>
    <t>23-J-1  </t>
  </si>
  <si>
    <t>23-J-3  </t>
  </si>
  <si>
    <t>23-J-4  </t>
  </si>
  <si>
    <t>23-J-5  </t>
  </si>
  <si>
    <t>23-J-6  </t>
  </si>
  <si>
    <t>23-J-7  </t>
  </si>
  <si>
    <t>23-J-8  </t>
  </si>
  <si>
    <t>23-J-9  </t>
  </si>
  <si>
    <t>23-J-10  </t>
  </si>
  <si>
    <t>23-J-11  </t>
  </si>
  <si>
    <t>23-J-12  </t>
  </si>
  <si>
    <t>23-J-13  </t>
  </si>
  <si>
    <t>23-J-14  </t>
  </si>
  <si>
    <t>23-J-15  </t>
  </si>
  <si>
    <t>23-J-16  </t>
  </si>
  <si>
    <t>23-J-17  </t>
  </si>
  <si>
    <t>23-J-18  </t>
  </si>
  <si>
    <t>23-J-19  </t>
  </si>
  <si>
    <t>23-J-20  </t>
  </si>
  <si>
    <t>23-J-21  </t>
  </si>
  <si>
    <t>23-J-22  </t>
  </si>
  <si>
    <t>23-J-23  </t>
  </si>
  <si>
    <t>23-J-24  </t>
  </si>
  <si>
    <t>23-J-25  </t>
  </si>
  <si>
    <t>23-J-26  </t>
  </si>
  <si>
    <t>23-J-27  </t>
  </si>
  <si>
    <t>23-J-28  </t>
  </si>
  <si>
    <t>23-J-29  </t>
  </si>
  <si>
    <t>23-J-30  </t>
  </si>
  <si>
    <t>23-J-31  </t>
  </si>
  <si>
    <t>23-J-32  </t>
  </si>
  <si>
    <t>23-J-33  </t>
  </si>
  <si>
    <t>23-J-34  </t>
  </si>
  <si>
    <t>23-J-35  </t>
  </si>
  <si>
    <t>23-J-36  </t>
  </si>
  <si>
    <t>23-J-37  </t>
  </si>
  <si>
    <t>23-J-39  </t>
  </si>
  <si>
    <t>23-K-1  </t>
  </si>
  <si>
    <t>23-K-2  </t>
  </si>
  <si>
    <t>23-K-3  </t>
  </si>
  <si>
    <t>23-K-4  </t>
  </si>
  <si>
    <t>23-K-5  </t>
  </si>
  <si>
    <t>23-K-6  </t>
  </si>
  <si>
    <t>23-K-7  </t>
  </si>
  <si>
    <t>23-K-8  </t>
  </si>
  <si>
    <t>23-K-9  </t>
  </si>
  <si>
    <t>23-K-10  </t>
  </si>
  <si>
    <t>23-K-11  </t>
  </si>
  <si>
    <t>23-K-12  </t>
  </si>
  <si>
    <t>23-K-13  </t>
  </si>
  <si>
    <t>23-K-14  </t>
  </si>
  <si>
    <t>23-K-15  </t>
  </si>
  <si>
    <t>23-K-16  </t>
  </si>
  <si>
    <t>23-K-17  </t>
  </si>
  <si>
    <t>23-K-18  </t>
  </si>
  <si>
    <t>23-K-19  </t>
  </si>
  <si>
    <t>23-K-20  </t>
  </si>
  <si>
    <t>23-K-21  </t>
  </si>
  <si>
    <t>23-K-22  </t>
  </si>
  <si>
    <t>23-K-23  </t>
  </si>
  <si>
    <t>23-K-24  </t>
  </si>
  <si>
    <t>23-K-25  </t>
  </si>
  <si>
    <t>23-K-26  </t>
  </si>
  <si>
    <t>23-K-27  </t>
  </si>
  <si>
    <t>23-K-29  </t>
  </si>
  <si>
    <t>23-K-30  </t>
  </si>
  <si>
    <t>Ratcliffe South</t>
  </si>
  <si>
    <t>Ramada Inn</t>
  </si>
  <si>
    <t>Hardin</t>
  </si>
  <si>
    <t>Windy Hill</t>
  </si>
  <si>
    <t>Snow Joe</t>
  </si>
  <si>
    <t>Nation</t>
  </si>
  <si>
    <t>Shelltown</t>
  </si>
  <si>
    <t>Four</t>
  </si>
  <si>
    <t>Second Creek</t>
  </si>
  <si>
    <t>Pumpkin Lake</t>
  </si>
  <si>
    <t>Disc</t>
  </si>
  <si>
    <t>Natchez Adams High School</t>
  </si>
  <si>
    <t>Greenfield</t>
  </si>
  <si>
    <t>Perkins Creek</t>
  </si>
  <si>
    <t>Pilgrim</t>
  </si>
  <si>
    <t>Dunbar Bayou</t>
  </si>
  <si>
    <t>McGehee</t>
  </si>
  <si>
    <t>Artman Road</t>
  </si>
  <si>
    <t>Airport</t>
  </si>
  <si>
    <t>Clear Creek</t>
  </si>
  <si>
    <t>Ben Lomond</t>
  </si>
  <si>
    <t>Providence</t>
  </si>
  <si>
    <t>Dead Oak</t>
  </si>
  <si>
    <t>Morning P.</t>
  </si>
  <si>
    <t>Prospere</t>
  </si>
  <si>
    <t>Overcast</t>
  </si>
  <si>
    <t>McCouen</t>
  </si>
  <si>
    <t>French House</t>
  </si>
  <si>
    <t>Chainsaw</t>
  </si>
  <si>
    <t>Soldiers Retreat</t>
  </si>
  <si>
    <t>Crazy Dog</t>
  </si>
  <si>
    <t>H. Lee Jones</t>
  </si>
  <si>
    <t>Hidden Trail</t>
  </si>
  <si>
    <t>Trinity</t>
  </si>
  <si>
    <t>Sludge Pit</t>
  </si>
  <si>
    <t>Cleared</t>
  </si>
  <si>
    <t>Dozed</t>
  </si>
  <si>
    <t>Oakwood</t>
  </si>
  <si>
    <t>Clay Bed</t>
  </si>
  <si>
    <t>Hot</t>
  </si>
  <si>
    <t>Turkey Feather</t>
  </si>
  <si>
    <t>Hutton Plantation</t>
  </si>
  <si>
    <t>Clary</t>
  </si>
  <si>
    <t>Bisland Bayou</t>
  </si>
  <si>
    <t>Trellis</t>
  </si>
  <si>
    <t>Kittering Creek</t>
  </si>
  <si>
    <t>Regular - check photo</t>
  </si>
  <si>
    <t>Conical/tall pyramid ca. 20 feet high 40 feet diameter</t>
  </si>
  <si>
    <t>Sandy Bumps 2</t>
  </si>
  <si>
    <t>mounds either gone or sandy bumps with goodland pottery - nothing visible now…</t>
  </si>
  <si>
    <t>22-K-27  </t>
  </si>
  <si>
    <t>22-K-28  </t>
  </si>
  <si>
    <t>22-K-29  </t>
  </si>
  <si>
    <t>22-K-30  </t>
  </si>
  <si>
    <t>22-K-31  </t>
  </si>
  <si>
    <t>22-K-32  </t>
  </si>
  <si>
    <t>22-K-33  </t>
  </si>
  <si>
    <t>22-K-34  </t>
  </si>
  <si>
    <t>22-K-35  </t>
  </si>
  <si>
    <t>22-K-36  </t>
  </si>
  <si>
    <t>22-L-1  </t>
  </si>
  <si>
    <t>22-L-2  </t>
  </si>
  <si>
    <t>22-L-3  </t>
  </si>
  <si>
    <t>22-L-4  </t>
  </si>
  <si>
    <t>22-L-5  </t>
  </si>
  <si>
    <t>22-L-6  </t>
  </si>
  <si>
    <t>22-L-7  </t>
  </si>
  <si>
    <t>22-L-8  </t>
  </si>
  <si>
    <t>22-M-1  </t>
  </si>
  <si>
    <t>22-M-2  </t>
  </si>
  <si>
    <t>22-M-3  </t>
  </si>
  <si>
    <t>22-M-4  </t>
  </si>
  <si>
    <t>22-M-5  </t>
  </si>
  <si>
    <t>22-M-6  </t>
  </si>
  <si>
    <t>22-M-7  </t>
  </si>
  <si>
    <t>22-M-8  </t>
  </si>
  <si>
    <t>22-M-9  </t>
  </si>
  <si>
    <t>22-M-10  </t>
  </si>
  <si>
    <t>22-M-11  </t>
  </si>
  <si>
    <t>22-M-12  </t>
  </si>
  <si>
    <t>22-M-13  </t>
  </si>
  <si>
    <t>22-M-14  </t>
  </si>
  <si>
    <t>22-M-15  </t>
  </si>
  <si>
    <t>22-M-16  </t>
  </si>
  <si>
    <t>22-M-17  </t>
  </si>
  <si>
    <t>22-N-1  </t>
  </si>
  <si>
    <t>22-N-2  </t>
  </si>
  <si>
    <t>22-N-3  </t>
  </si>
  <si>
    <t>22-N-4  </t>
  </si>
  <si>
    <t>22-N-5  </t>
  </si>
  <si>
    <t>22-N-6  </t>
  </si>
  <si>
    <t>22-N-7  </t>
  </si>
  <si>
    <t>22-N-8  </t>
  </si>
  <si>
    <t>22-N-9  </t>
  </si>
  <si>
    <t>22-N-10  </t>
  </si>
  <si>
    <t>22-N-11  </t>
  </si>
  <si>
    <t>22-N-12  </t>
  </si>
  <si>
    <t>22-N-13  </t>
  </si>
  <si>
    <t>22-N-14  </t>
  </si>
  <si>
    <t>22-N-15  </t>
  </si>
  <si>
    <t>22-N-16  </t>
  </si>
  <si>
    <t>22-N-17  </t>
  </si>
  <si>
    <t>22-N-18  </t>
  </si>
  <si>
    <t>22-N-19  </t>
  </si>
  <si>
    <t>22-N-20  </t>
  </si>
  <si>
    <t>22-N-21  </t>
  </si>
  <si>
    <t>22-N-22  </t>
  </si>
  <si>
    <t>22-N-23  </t>
  </si>
  <si>
    <t>22-N-24  </t>
  </si>
  <si>
    <t>22-N-25  </t>
  </si>
  <si>
    <t>22-N-26  </t>
  </si>
  <si>
    <t>22-N-27  </t>
  </si>
  <si>
    <t>22-N-28  </t>
  </si>
  <si>
    <t>22-N-29  </t>
  </si>
  <si>
    <t>22-N-30  </t>
  </si>
  <si>
    <t>22-N-31  </t>
  </si>
  <si>
    <t>22-N-32  </t>
  </si>
  <si>
    <t>22-N-33  </t>
  </si>
  <si>
    <t>22-N-34  </t>
  </si>
  <si>
    <t>22-N-35  </t>
  </si>
  <si>
    <t>22-N-37  </t>
  </si>
  <si>
    <t>22-N-38  </t>
  </si>
  <si>
    <t>22-N-39  </t>
  </si>
  <si>
    <t>22-N-40  </t>
  </si>
  <si>
    <t>22-N-41  </t>
  </si>
  <si>
    <t>22-N-42  </t>
  </si>
  <si>
    <t>22-N-43  </t>
  </si>
  <si>
    <t>22-N-44  </t>
  </si>
  <si>
    <t>22-N-45  </t>
  </si>
  <si>
    <t>22-N-46  </t>
  </si>
  <si>
    <t>22-N-47  </t>
  </si>
  <si>
    <t>22-N-48  </t>
  </si>
  <si>
    <t>22-N-49  </t>
  </si>
  <si>
    <t>22-N-50  </t>
  </si>
  <si>
    <t>23-G-1  </t>
  </si>
  <si>
    <t>23-G-2  </t>
  </si>
  <si>
    <t>23-H-1  </t>
  </si>
  <si>
    <t>23-H-2  </t>
  </si>
  <si>
    <t>23-H-3  </t>
  </si>
  <si>
    <t>23-H-4  </t>
  </si>
  <si>
    <t>23-H-5  </t>
  </si>
  <si>
    <t>23-H-6  </t>
  </si>
  <si>
    <t>23-H-7  </t>
  </si>
  <si>
    <t>23-H-8  </t>
  </si>
  <si>
    <t>23-H-9  </t>
  </si>
  <si>
    <t>23-H-10  </t>
  </si>
  <si>
    <t>23-H-11  </t>
  </si>
  <si>
    <t>23-H-12  </t>
  </si>
  <si>
    <t>23-H-13  </t>
  </si>
  <si>
    <t>23-H-14  </t>
  </si>
  <si>
    <t>23-H-15  </t>
  </si>
  <si>
    <t>23-H-16  </t>
  </si>
  <si>
    <t>23-H-17  </t>
  </si>
  <si>
    <t>23-H-18  </t>
  </si>
  <si>
    <t>23-H-19  </t>
  </si>
  <si>
    <t>23-H-20  </t>
  </si>
  <si>
    <t>23-H-21  </t>
  </si>
  <si>
    <t>23-H-22  </t>
  </si>
  <si>
    <t>23-H-23  </t>
  </si>
  <si>
    <t>23-H-24  </t>
  </si>
  <si>
    <t>23-H-25  </t>
  </si>
  <si>
    <t>23-H-26  </t>
  </si>
  <si>
    <t>23-H-27  </t>
  </si>
  <si>
    <t>23-H-28  </t>
  </si>
  <si>
    <t>23-H-29  </t>
  </si>
  <si>
    <t>23-H-30  </t>
  </si>
  <si>
    <t>23-H-31  </t>
  </si>
  <si>
    <t>23-H-32  </t>
  </si>
  <si>
    <t>23-H-33  </t>
  </si>
  <si>
    <t>23-H-34  </t>
  </si>
  <si>
    <t>23-H-35  </t>
  </si>
  <si>
    <t>23-H-36  </t>
  </si>
  <si>
    <t>23-H-37  </t>
  </si>
  <si>
    <t>23-H-38  </t>
  </si>
  <si>
    <t>23-H-39  </t>
  </si>
  <si>
    <t>23-H-40  </t>
  </si>
  <si>
    <t>23-H-41  </t>
  </si>
  <si>
    <t>23-H-42  </t>
  </si>
  <si>
    <t>23-H-43  </t>
  </si>
  <si>
    <t>23-H-44  </t>
  </si>
  <si>
    <t>23-H-45  </t>
  </si>
  <si>
    <t>23-H-46  </t>
  </si>
  <si>
    <t>23-H-47  </t>
  </si>
  <si>
    <t>23-H-48  </t>
  </si>
  <si>
    <t>21-M-11  </t>
  </si>
  <si>
    <t>21-M-12  </t>
  </si>
  <si>
    <t>21-M-13  </t>
  </si>
  <si>
    <t>21-M-15  </t>
  </si>
  <si>
    <t>21-N-1  </t>
  </si>
  <si>
    <t>21-N-2  </t>
  </si>
  <si>
    <t>21-N-3  </t>
  </si>
  <si>
    <t>21-N-4  </t>
  </si>
  <si>
    <t>21-N-5  </t>
  </si>
  <si>
    <t>21-N-6  </t>
  </si>
  <si>
    <t>21-N-7  </t>
  </si>
  <si>
    <t>21-N-8  </t>
  </si>
  <si>
    <t>21-N-9  </t>
  </si>
  <si>
    <t>21-N-10  </t>
  </si>
  <si>
    <t>21-N-11  </t>
  </si>
  <si>
    <t>21-N-12  </t>
  </si>
  <si>
    <t>21-N-13  </t>
  </si>
  <si>
    <t>21-N-14  </t>
  </si>
  <si>
    <t>21-N-15  </t>
  </si>
  <si>
    <t>21-N-16  </t>
  </si>
  <si>
    <t>21-N-17  </t>
  </si>
  <si>
    <t>20-P-10  </t>
  </si>
  <si>
    <t>20-P-11  </t>
  </si>
  <si>
    <t>20-P-12  </t>
  </si>
  <si>
    <t>20-P-13  </t>
  </si>
  <si>
    <t>21-I-1  </t>
  </si>
  <si>
    <t>21-I-2  </t>
  </si>
  <si>
    <t>21-I-3  </t>
  </si>
  <si>
    <t>21-I-4  </t>
  </si>
  <si>
    <t>21-I-5  </t>
  </si>
  <si>
    <t>21-I-6  </t>
  </si>
  <si>
    <t>21-I-7  </t>
  </si>
  <si>
    <t>21-I-8  </t>
  </si>
  <si>
    <t>21-I-9  </t>
  </si>
  <si>
    <t>21-I-10  </t>
  </si>
  <si>
    <t>21-I-11  </t>
  </si>
  <si>
    <t>21-I-12  </t>
  </si>
  <si>
    <t>21-I-13  </t>
  </si>
  <si>
    <t>21-I-14  </t>
  </si>
  <si>
    <t>21-I-15  </t>
  </si>
  <si>
    <t>21-I-16  </t>
  </si>
  <si>
    <t>21-I-17  </t>
  </si>
  <si>
    <t>21-I-18  </t>
  </si>
  <si>
    <t>21-J-1  </t>
  </si>
  <si>
    <t>21-J-2  </t>
  </si>
  <si>
    <t>21-J-3  </t>
  </si>
  <si>
    <t>21-J-4  </t>
  </si>
  <si>
    <t>21-J-5  </t>
  </si>
  <si>
    <t>21-J-6  </t>
  </si>
  <si>
    <t>21-J-7  </t>
  </si>
  <si>
    <t>21-J-8  </t>
  </si>
  <si>
    <t>21-J-9  </t>
  </si>
  <si>
    <t>21-J-10  </t>
  </si>
  <si>
    <t>21-J-11  </t>
  </si>
  <si>
    <t>21-J-12  </t>
  </si>
  <si>
    <t>21-J-13  </t>
  </si>
  <si>
    <t>21-J-14  </t>
  </si>
  <si>
    <t>21-J-15  </t>
  </si>
  <si>
    <t>21-J-16  </t>
  </si>
  <si>
    <t>21-J-17  </t>
  </si>
  <si>
    <t>21-J-18  </t>
  </si>
  <si>
    <t>21-J-19  </t>
  </si>
  <si>
    <t xml:space="preserve">Village site with large rectangular platform mounds and small mounds in plaza arrangement </t>
  </si>
  <si>
    <t>Rectangular midden/deposit (see air photo)</t>
  </si>
  <si>
    <t>Garmin</t>
  </si>
  <si>
    <t>Semicircular</t>
  </si>
  <si>
    <t>20-O-2</t>
  </si>
  <si>
    <t>Belzoni</t>
  </si>
  <si>
    <t>20-O-3</t>
  </si>
  <si>
    <t xml:space="preserve">Lamkin </t>
  </si>
  <si>
    <t>Village site with large platform mound and small mound</t>
  </si>
  <si>
    <t>20-O-4</t>
  </si>
  <si>
    <t>Atchafalaya Bayou</t>
  </si>
  <si>
    <t>20-O-5</t>
  </si>
  <si>
    <t>Silver City</t>
  </si>
  <si>
    <t>8-P-7  </t>
  </si>
  <si>
    <t>8-P-8  </t>
  </si>
  <si>
    <t>8-Q-1  </t>
  </si>
  <si>
    <t>8-Q-2  </t>
  </si>
  <si>
    <t>8-Q-3  </t>
  </si>
  <si>
    <t>8-Q-4  </t>
  </si>
  <si>
    <t>8-Q-5  </t>
  </si>
  <si>
    <t>8-Q-6  </t>
  </si>
  <si>
    <t>8-Q-7  </t>
  </si>
  <si>
    <t>8-Q-8  </t>
  </si>
  <si>
    <t>8-Q-9  </t>
  </si>
  <si>
    <t>8-Q-10  </t>
  </si>
  <si>
    <t>8-Q-11  </t>
  </si>
  <si>
    <t>8-Q-12  </t>
  </si>
  <si>
    <t>8-R-1  </t>
  </si>
  <si>
    <t>8-R-2  </t>
  </si>
  <si>
    <t>8-R-3  </t>
  </si>
  <si>
    <t>9-N-1  </t>
  </si>
  <si>
    <t>9-O-1  </t>
  </si>
  <si>
    <t>9-O-2  </t>
  </si>
  <si>
    <t>9-O-3  </t>
  </si>
  <si>
    <t>9-P-1  </t>
  </si>
  <si>
    <t>9-P-2  </t>
  </si>
  <si>
    <t>9-P-3  </t>
  </si>
  <si>
    <t>9-P-4  </t>
  </si>
  <si>
    <t>9-P-5  </t>
  </si>
  <si>
    <t>9-P-6  </t>
  </si>
  <si>
    <t>9-P-7  </t>
  </si>
  <si>
    <t>9-Q-2  </t>
  </si>
  <si>
    <t>9-Q-3  </t>
  </si>
  <si>
    <t>9-R-2  </t>
  </si>
  <si>
    <t>10-O-1  </t>
  </si>
  <si>
    <t>10-O-2  </t>
  </si>
  <si>
    <t>10-O-3  </t>
  </si>
  <si>
    <t>10-O-4  </t>
  </si>
  <si>
    <t>10-O-5  </t>
  </si>
  <si>
    <t>10-O-7  </t>
  </si>
  <si>
    <t>10-P-1  </t>
  </si>
  <si>
    <t>10-P-2  </t>
  </si>
  <si>
    <t>10-P-3  </t>
  </si>
  <si>
    <t>10-P-4  </t>
  </si>
  <si>
    <t>10-P-6  </t>
  </si>
  <si>
    <t>10-P-8  </t>
  </si>
  <si>
    <t>10-P-10  </t>
  </si>
  <si>
    <t>10-P-11  </t>
  </si>
  <si>
    <t>10-P-12  </t>
  </si>
  <si>
    <t>10-P-13  </t>
  </si>
  <si>
    <t>10-P-14  </t>
  </si>
  <si>
    <t>10-Q-1  </t>
  </si>
  <si>
    <t>10-Q-2  </t>
  </si>
  <si>
    <t>10-Q-3  </t>
  </si>
  <si>
    <t>10-Q-4  </t>
  </si>
  <si>
    <t>10-Q-6  </t>
  </si>
  <si>
    <t>10-Q-7  </t>
  </si>
  <si>
    <t>10-Q-10  </t>
  </si>
  <si>
    <t>10-R-1  </t>
  </si>
  <si>
    <t>11-N-1  </t>
  </si>
  <si>
    <t>11-N-2  </t>
  </si>
  <si>
    <t>11-N-3  </t>
  </si>
  <si>
    <t>11-N-4  </t>
  </si>
  <si>
    <t>11-N-5  </t>
  </si>
  <si>
    <t>11-N-6  </t>
  </si>
  <si>
    <t>11-N-7  </t>
  </si>
  <si>
    <t>11-N-8  </t>
  </si>
  <si>
    <t>Rectangular - check air photo</t>
  </si>
  <si>
    <t>Wilkinson Canal</t>
  </si>
  <si>
    <t>Hermitage</t>
  </si>
  <si>
    <t>Shell Bayou</t>
  </si>
  <si>
    <t>Pointe a la Hache</t>
  </si>
  <si>
    <t>Round Lake</t>
  </si>
  <si>
    <t>Bottle Bayou</t>
  </si>
  <si>
    <t>Lake of Second Trees</t>
  </si>
  <si>
    <t>Grand Coquille Point</t>
  </si>
  <si>
    <t>Lake Jean Louis Robin</t>
  </si>
  <si>
    <t>Deer Island</t>
  </si>
  <si>
    <t>Point Gardner</t>
  </si>
  <si>
    <t>Seven Dollar Bay</t>
  </si>
  <si>
    <t>Machias Lake</t>
  </si>
  <si>
    <t>Lake Athanasio</t>
  </si>
  <si>
    <t>Pass Fernandia</t>
  </si>
  <si>
    <t>Mound Point [Oyster Bayou]</t>
  </si>
  <si>
    <t>Crooked Bayou</t>
  </si>
  <si>
    <t>Carrion Crow Lake</t>
  </si>
  <si>
    <t>Atchafalaya Bay</t>
  </si>
  <si>
    <t>Carrion Crow Bayou</t>
  </si>
  <si>
    <t>Blue Hammock</t>
  </si>
  <si>
    <t>Plumb Bayou</t>
  </si>
  <si>
    <t>Lake Pagie</t>
  </si>
  <si>
    <t>Four League Bay</t>
  </si>
  <si>
    <t>Bayou Penchant</t>
  </si>
  <si>
    <t>Fredericks Point</t>
  </si>
  <si>
    <t>Bayou du Large</t>
  </si>
  <si>
    <t>Minors Canal</t>
  </si>
  <si>
    <t>Bayou Du Large</t>
  </si>
  <si>
    <t>Bayou Decade</t>
  </si>
  <si>
    <t>Marmande Ridge</t>
  </si>
  <si>
    <t>Johnson School</t>
  </si>
  <si>
    <t>Tank Farm</t>
  </si>
  <si>
    <t>Turtle Bayou</t>
  </si>
  <si>
    <t>Lake Decade</t>
  </si>
  <si>
    <t>Teles Island</t>
  </si>
  <si>
    <t>Billiot Canal</t>
  </si>
  <si>
    <t>Jug Lake</t>
  </si>
  <si>
    <t>Rangia Lake</t>
  </si>
  <si>
    <t>Bayou New Route on Bayou</t>
  </si>
  <si>
    <t>Lake Penchant</t>
  </si>
  <si>
    <t>St. Eloie Plant</t>
  </si>
  <si>
    <t>Four Point Bayou</t>
  </si>
  <si>
    <t>EIlesley</t>
  </si>
  <si>
    <t>Bayou la Carpe</t>
  </si>
  <si>
    <t>Bayou Dulac</t>
  </si>
  <si>
    <t>Indian Mound</t>
  </si>
  <si>
    <t>Dulac</t>
  </si>
  <si>
    <t>Pointe au Chien #1</t>
  </si>
  <si>
    <t>Pointe au Chien #3</t>
  </si>
  <si>
    <t>Pointe au Chien #2</t>
  </si>
  <si>
    <t>Leeville</t>
  </si>
  <si>
    <t>Mouth of Robinson Canal</t>
  </si>
  <si>
    <t>Pointe Cheniere Ronquille</t>
  </si>
  <si>
    <t>Bayou Robinson</t>
  </si>
  <si>
    <t>St. Marys Point</t>
  </si>
  <si>
    <t>Bay Batiste</t>
  </si>
  <si>
    <t>Robinson Bayou</t>
  </si>
  <si>
    <t>Lower Bayou Robinson</t>
  </si>
  <si>
    <t>Bayou St. Denis</t>
  </si>
  <si>
    <t>Saturday Island</t>
  </si>
  <si>
    <t>Pelican Isle</t>
  </si>
  <si>
    <t>Buras Mounds</t>
  </si>
  <si>
    <t>Adams Bay</t>
  </si>
  <si>
    <t>Seabreeze Pass</t>
  </si>
  <si>
    <t>Bayou Henry</t>
  </si>
  <si>
    <t>Parasolle</t>
  </si>
  <si>
    <t>Bayou Petit Caillou</t>
  </si>
  <si>
    <t>21-J-20  </t>
  </si>
  <si>
    <t>21-J-21  </t>
  </si>
  <si>
    <t>21-J-22  </t>
  </si>
  <si>
    <t>21-J-23  </t>
  </si>
  <si>
    <t>21-J-24  </t>
  </si>
  <si>
    <t>21-J-25  </t>
  </si>
  <si>
    <t>21-J-26  </t>
  </si>
  <si>
    <t>21-J-27  </t>
  </si>
  <si>
    <t>21-J-28  </t>
  </si>
  <si>
    <t>21-J-29  </t>
  </si>
  <si>
    <t>21-J-30  </t>
  </si>
  <si>
    <t>21-J-31  </t>
  </si>
  <si>
    <t>21-J-32  </t>
  </si>
  <si>
    <t>21-J-33  </t>
  </si>
  <si>
    <t>21-J-34  </t>
  </si>
  <si>
    <t>21-J-35  </t>
  </si>
  <si>
    <t>21-J-36  </t>
  </si>
  <si>
    <t>21-J-37  </t>
  </si>
  <si>
    <t>21-J-38  </t>
  </si>
  <si>
    <t>21-J-39  </t>
  </si>
  <si>
    <t>21-J-40  </t>
  </si>
  <si>
    <t>21-J-41  </t>
  </si>
  <si>
    <t>21-J-43  </t>
  </si>
  <si>
    <t>21-J-44  </t>
  </si>
  <si>
    <t>21-J-45  </t>
  </si>
  <si>
    <t>21-J-46  </t>
  </si>
  <si>
    <t>21-K-1  </t>
  </si>
  <si>
    <t>21-K-2  </t>
  </si>
  <si>
    <t>21-K-3  </t>
  </si>
  <si>
    <t>21-K-4  </t>
  </si>
  <si>
    <t>21-K-5  </t>
  </si>
  <si>
    <t>21-K-6  </t>
  </si>
  <si>
    <t>21-K-7  </t>
  </si>
  <si>
    <t>21-K-8  </t>
  </si>
  <si>
    <t>21-K-9  </t>
  </si>
  <si>
    <t>21-K-10  </t>
  </si>
  <si>
    <t>21-K-11  </t>
  </si>
  <si>
    <t>21-K-12  </t>
  </si>
  <si>
    <t>21-K-13  </t>
  </si>
  <si>
    <t>21-L-1  </t>
  </si>
  <si>
    <t>21-L-2  </t>
  </si>
  <si>
    <t>21-L-3  </t>
  </si>
  <si>
    <t>21-L-4  </t>
  </si>
  <si>
    <t>21-L-5  </t>
  </si>
  <si>
    <t>21-M-1  </t>
  </si>
  <si>
    <t>21-M-2  </t>
  </si>
  <si>
    <t>21-M-3  </t>
  </si>
  <si>
    <t>21-M-4  </t>
  </si>
  <si>
    <t>21-M-5  </t>
  </si>
  <si>
    <t>21-M-6  </t>
  </si>
  <si>
    <t>21-M-7  </t>
  </si>
  <si>
    <t>21-M-8  </t>
  </si>
  <si>
    <t>21-M-9  </t>
  </si>
  <si>
    <t>21-M-10  </t>
  </si>
  <si>
    <t>1 large oval mound surrounded by 7 circular mounds.</t>
  </si>
  <si>
    <t>LMS Records; Bushnell 1914:666</t>
  </si>
  <si>
    <t>8</t>
  </si>
  <si>
    <t>Circular</t>
  </si>
  <si>
    <t>1-Q-1</t>
  </si>
  <si>
    <t>MacCurdy</t>
  </si>
  <si>
    <t>Drumbone</t>
  </si>
  <si>
    <t>Russell Sage</t>
  </si>
  <si>
    <t>Bayou Michael</t>
  </si>
  <si>
    <t>Gordy</t>
  </si>
  <si>
    <t>Bayou Bartholomew</t>
  </si>
  <si>
    <t>Bayou Sale</t>
  </si>
  <si>
    <t>Texaco Canal</t>
  </si>
  <si>
    <t>Mud Lake</t>
  </si>
  <si>
    <t>Bayou Long Canal</t>
  </si>
  <si>
    <t>Shrimp Bayou</t>
  </si>
  <si>
    <t>Cote Blanche Landing</t>
  </si>
  <si>
    <t>Salevee</t>
  </si>
  <si>
    <t>South Bend</t>
  </si>
  <si>
    <t>Luke</t>
  </si>
  <si>
    <t>Little Wax Bayou</t>
  </si>
  <si>
    <t>Six Mile Lake</t>
  </si>
  <si>
    <t>Negro Hammock</t>
  </si>
  <si>
    <t>Ricohoc</t>
  </si>
  <si>
    <t>Luckland</t>
  </si>
  <si>
    <t>Possum Point</t>
  </si>
  <si>
    <t>Shell Island Point</t>
  </si>
  <si>
    <t>East Bay</t>
  </si>
  <si>
    <t>Chain Bowl Point</t>
  </si>
  <si>
    <t>Little Hog Bayou</t>
  </si>
  <si>
    <t>Chicken Island Bayou</t>
  </si>
  <si>
    <t>Atchefalaya</t>
  </si>
  <si>
    <t>Big Hog Bayou</t>
  </si>
  <si>
    <t>Sweet Bay Lake</t>
  </si>
  <si>
    <t>Wetfoot Hammock</t>
  </si>
  <si>
    <t>Mow Plantation</t>
  </si>
  <si>
    <t>North Shell Island Pass</t>
  </si>
  <si>
    <t>Poverty Bayou</t>
  </si>
  <si>
    <t>Lookout Hill</t>
  </si>
  <si>
    <t>Bald Hill</t>
  </si>
  <si>
    <t>Little Doctors Bayou</t>
  </si>
  <si>
    <t>Belle Isle Lake</t>
  </si>
  <si>
    <t>Bayou Shaffer</t>
  </si>
  <si>
    <t>Greenwood</t>
  </si>
  <si>
    <t>Goat Island</t>
  </si>
  <si>
    <t>Lake Palourde</t>
  </si>
  <si>
    <t>Lake Palourde #2</t>
  </si>
  <si>
    <t>Pennison</t>
  </si>
  <si>
    <t>Bayou Ramos</t>
  </si>
  <si>
    <t>Bayou Black</t>
  </si>
  <si>
    <t>Waterproof Point</t>
  </si>
  <si>
    <t>Bayou Mauvais Bois</t>
  </si>
  <si>
    <t>St. Paul Bayou</t>
  </si>
  <si>
    <t>Mandalay Plantation</t>
  </si>
  <si>
    <t>Bergeron</t>
  </si>
  <si>
    <t>Bayou Blue</t>
  </si>
  <si>
    <t>Bayou Terrebonne</t>
  </si>
  <si>
    <t>Houma</t>
  </si>
  <si>
    <t>Sanders</t>
  </si>
  <si>
    <t>Bergerson School</t>
  </si>
  <si>
    <t>Eagle Island Bayou</t>
  </si>
  <si>
    <t>Bayou Grand Coteau</t>
  </si>
  <si>
    <t>Tabatiere Perdue</t>
  </si>
  <si>
    <t>South of Camardelle</t>
  </si>
  <si>
    <t>Chaudiere Casse</t>
  </si>
  <si>
    <t>Lower Bayou des Allemands</t>
  </si>
  <si>
    <t>Bois Chactas</t>
  </si>
  <si>
    <t>Camardelle</t>
  </si>
  <si>
    <t>La Rose</t>
  </si>
  <si>
    <t>Lake Salvador</t>
  </si>
  <si>
    <t>Bayou L'Eau Bleu</t>
  </si>
  <si>
    <t>Bayou Matherne</t>
  </si>
  <si>
    <t>Point Chicot</t>
  </si>
  <si>
    <t>Catahoula Bay</t>
  </si>
  <si>
    <t>Grosse Point</t>
  </si>
  <si>
    <t>Temple Mound</t>
  </si>
  <si>
    <t>Toups Place</t>
  </si>
  <si>
    <t>Little Lake #1</t>
  </si>
  <si>
    <t>Little Lake #2</t>
  </si>
  <si>
    <t>Little Lake #3</t>
  </si>
  <si>
    <t>Little Lake #4</t>
  </si>
  <si>
    <t>Little Lake #5</t>
  </si>
  <si>
    <t>Little Lake #6</t>
  </si>
  <si>
    <t>Little Lake #7</t>
  </si>
  <si>
    <t>Little Lake #8</t>
  </si>
  <si>
    <t>Little Lake #9</t>
  </si>
  <si>
    <t>Little Lake #12</t>
  </si>
  <si>
    <t>Cut Off Isle</t>
  </si>
  <si>
    <t>Little Lake #11</t>
  </si>
  <si>
    <t>Little Lake #10</t>
  </si>
  <si>
    <t>Bayou Des Amereux</t>
  </si>
  <si>
    <t>Cheniere Trasverse B.</t>
  </si>
  <si>
    <t>Dupree Cut</t>
  </si>
  <si>
    <t>Bayou Perot</t>
  </si>
  <si>
    <t>Bayou des Oies</t>
  </si>
  <si>
    <t>Bayou Barataria</t>
  </si>
  <si>
    <t>Berthaud</t>
  </si>
  <si>
    <t>Bayou Rigolets</t>
  </si>
  <si>
    <t>Tedoco Canal</t>
  </si>
  <si>
    <t>Little Temple</t>
  </si>
  <si>
    <t>East of Bayou Rigolets</t>
  </si>
  <si>
    <t>Texaco Canal #1</t>
  </si>
  <si>
    <t>Spoonbill Bay</t>
  </si>
  <si>
    <t>West of Bayou Cutler</t>
  </si>
  <si>
    <t>Bayou Cutler</t>
  </si>
  <si>
    <t>Bayou DuPont</t>
  </si>
  <si>
    <t>Cheniere St. Denis</t>
  </si>
  <si>
    <t>River aux Chenes</t>
  </si>
  <si>
    <t>Orange Bayou</t>
  </si>
  <si>
    <t>26-K-87  </t>
  </si>
  <si>
    <t>26-K-88  </t>
  </si>
  <si>
    <t>26-K-89  </t>
  </si>
  <si>
    <t>26-K-90  </t>
  </si>
  <si>
    <t>26-K-91  </t>
  </si>
  <si>
    <t>26-K-92  </t>
  </si>
  <si>
    <t>26-K-93  </t>
  </si>
  <si>
    <t>26-K-94  </t>
  </si>
  <si>
    <t>26-K-95  </t>
  </si>
  <si>
    <t>26-K-96  </t>
  </si>
  <si>
    <t>26-K-97  </t>
  </si>
  <si>
    <t>26-K-98  </t>
  </si>
  <si>
    <t>26-K-99  </t>
  </si>
  <si>
    <t>26-K-100  </t>
  </si>
  <si>
    <t>26-K-101  </t>
  </si>
  <si>
    <t>26-K-102  </t>
  </si>
  <si>
    <t>26-K-103  </t>
  </si>
  <si>
    <t>26-K-104  </t>
  </si>
  <si>
    <t>26-K-105  </t>
  </si>
  <si>
    <t>26-K-106  </t>
  </si>
  <si>
    <t>26-K-107  </t>
  </si>
  <si>
    <t>26-K-108  </t>
  </si>
  <si>
    <t>26-K-109  </t>
  </si>
  <si>
    <t>26-K-110  </t>
  </si>
  <si>
    <t>26-K-111  </t>
  </si>
  <si>
    <t>26-K-112  </t>
  </si>
  <si>
    <t>26-K-113  </t>
  </si>
  <si>
    <t>26-K-114  </t>
  </si>
  <si>
    <t>26-K-115  </t>
  </si>
  <si>
    <t>26-K-116  </t>
  </si>
  <si>
    <t>31-K-7</t>
  </si>
  <si>
    <t>31-N-3</t>
  </si>
  <si>
    <t>31-N-5</t>
  </si>
  <si>
    <t>31-N-6</t>
  </si>
  <si>
    <t>31-N-7</t>
  </si>
  <si>
    <t>31-N-8</t>
  </si>
  <si>
    <t>31-N-9</t>
  </si>
  <si>
    <t>31-N-10</t>
  </si>
  <si>
    <t>31-N-11</t>
  </si>
  <si>
    <t>31-N-12</t>
  </si>
  <si>
    <t>31-N-13</t>
  </si>
  <si>
    <t>31-N-14</t>
  </si>
  <si>
    <t>31-N-15</t>
  </si>
  <si>
    <t>31-N-16</t>
  </si>
  <si>
    <t>31-N-17</t>
  </si>
  <si>
    <t>31-N-18</t>
  </si>
  <si>
    <t>31-N-19</t>
  </si>
  <si>
    <t>31-N-20</t>
  </si>
  <si>
    <t>31-N-21</t>
  </si>
  <si>
    <t>31-N-22</t>
  </si>
  <si>
    <t>31-N-23</t>
  </si>
  <si>
    <t>31-N-24</t>
  </si>
  <si>
    <t>31-N-25</t>
  </si>
  <si>
    <t>31-N-26</t>
  </si>
  <si>
    <t>31-O-7</t>
  </si>
  <si>
    <t>31-O-8</t>
  </si>
  <si>
    <t>31-O-9</t>
  </si>
  <si>
    <t>31-O-12</t>
  </si>
  <si>
    <t>31-P-4</t>
  </si>
  <si>
    <t>31-P-5</t>
  </si>
  <si>
    <t>31-P-6</t>
  </si>
  <si>
    <t>31-P-7</t>
  </si>
  <si>
    <t>31-Q-2</t>
  </si>
  <si>
    <t>31-Q-3</t>
  </si>
  <si>
    <t>31-Q-4</t>
  </si>
  <si>
    <t>31-Q-5</t>
  </si>
  <si>
    <t>31-Q-6</t>
  </si>
  <si>
    <t>31-Q-8</t>
  </si>
  <si>
    <t>31-Q-9</t>
  </si>
  <si>
    <t>31-Q-10</t>
  </si>
  <si>
    <t>31-Q-11</t>
  </si>
  <si>
    <t>31-Q-12</t>
  </si>
  <si>
    <t>31-Q-13</t>
  </si>
  <si>
    <t>31-Q-14</t>
  </si>
  <si>
    <t>31-Q-16</t>
  </si>
  <si>
    <t>31-Q-17</t>
  </si>
  <si>
    <t>31-Q-18</t>
  </si>
  <si>
    <t>31-Q-19</t>
  </si>
  <si>
    <t>31-Q-20</t>
  </si>
  <si>
    <t>31-Q-21</t>
  </si>
  <si>
    <t>31-Q-22</t>
  </si>
  <si>
    <t>31-Q-23</t>
  </si>
  <si>
    <t>33-H-11</t>
  </si>
  <si>
    <t>34-Q-1</t>
  </si>
  <si>
    <t>35-N-1</t>
  </si>
  <si>
    <t>35-N-9</t>
  </si>
  <si>
    <t>35-N-11</t>
  </si>
  <si>
    <t>21-L-6</t>
  </si>
  <si>
    <t>22-H-16</t>
  </si>
  <si>
    <t>22-H-17</t>
  </si>
  <si>
    <t>22-I-21</t>
  </si>
  <si>
    <t>22-K-18</t>
  </si>
  <si>
    <t>22-K-22</t>
  </si>
  <si>
    <t>22-N-36</t>
  </si>
  <si>
    <t>23-H-50</t>
  </si>
  <si>
    <t>23-J-2</t>
  </si>
  <si>
    <t>23-K-28</t>
  </si>
  <si>
    <t>23-L-18</t>
  </si>
  <si>
    <t>23-L-19</t>
  </si>
  <si>
    <t>24-J-21</t>
  </si>
  <si>
    <t>24-J-22</t>
  </si>
  <si>
    <t>24-J-23</t>
  </si>
  <si>
    <t>24-L-4</t>
  </si>
  <si>
    <t>25-I-23</t>
  </si>
  <si>
    <t>25-I-24</t>
  </si>
  <si>
    <t>25-K-1</t>
  </si>
  <si>
    <t>28-G-2</t>
  </si>
  <si>
    <t>28-G-3</t>
  </si>
  <si>
    <t>3PO24</t>
  </si>
  <si>
    <t>Miller</t>
  </si>
  <si>
    <t>high area 900 x 225 feet from 4-12 feet deep. 11 smaller mounds, ditches?</t>
  </si>
  <si>
    <t>Morse 1981; Harris 1979</t>
  </si>
  <si>
    <t>3PO59</t>
  </si>
  <si>
    <t>Ritter</t>
  </si>
  <si>
    <t>small rectangular village.</t>
  </si>
  <si>
    <t>Morse 1981; Morse 1968</t>
  </si>
  <si>
    <t>3PO68</t>
  </si>
  <si>
    <t>Taylor's Shanty</t>
  </si>
  <si>
    <t>17 mounds, 3 flattops, 150x75x6 feet, 150x112x6 feet., plaza, midden</t>
  </si>
  <si>
    <t>Morse 1981; Thomas 1894:213-219</t>
  </si>
  <si>
    <t>Hazel</t>
  </si>
  <si>
    <t>mississipppian mound, midden, burials</t>
  </si>
  <si>
    <t>Morse 1981; Zinke 1975</t>
  </si>
  <si>
    <t>3CT251</t>
  </si>
  <si>
    <t>Holden Lake</t>
  </si>
  <si>
    <t>Lipo 2001</t>
  </si>
  <si>
    <t>1-P-1</t>
  </si>
  <si>
    <t xml:space="preserve">Big Mound Field </t>
  </si>
  <si>
    <t>State</t>
  </si>
  <si>
    <t>County</t>
  </si>
  <si>
    <t>Location</t>
  </si>
  <si>
    <t>MO</t>
  </si>
  <si>
    <t>St. Genevieve</t>
  </si>
  <si>
    <t>3.2 miles south 30 degrees, .75 miles west of 90 degrees</t>
  </si>
  <si>
    <t>Township</t>
  </si>
  <si>
    <t>Range</t>
  </si>
  <si>
    <t>38N</t>
  </si>
  <si>
    <t>9E</t>
  </si>
  <si>
    <t>25-L-16  </t>
  </si>
  <si>
    <t>25-L-17  </t>
  </si>
  <si>
    <t>25-L-18  </t>
  </si>
  <si>
    <t>25-L-19  </t>
  </si>
  <si>
    <t>25-L-20  </t>
  </si>
  <si>
    <t>25-L-21  </t>
  </si>
  <si>
    <t>25-L-22  </t>
  </si>
  <si>
    <t>25-L-23  </t>
  </si>
  <si>
    <t>25-L-24  </t>
  </si>
  <si>
    <t>25-L-25  </t>
  </si>
  <si>
    <t>25-L-26  </t>
  </si>
  <si>
    <t>25-L-27  </t>
  </si>
  <si>
    <t>25-L-28  </t>
  </si>
  <si>
    <t>25-L-29  </t>
  </si>
  <si>
    <t>25-L-30  </t>
  </si>
  <si>
    <t>25-L-31  </t>
  </si>
  <si>
    <t>25-L-32  </t>
  </si>
  <si>
    <t>25-M-1  </t>
  </si>
  <si>
    <t>26-G-1  </t>
  </si>
  <si>
    <t>26-G-2  </t>
  </si>
  <si>
    <t>26-G-3  </t>
  </si>
  <si>
    <t>26-G-4  </t>
  </si>
  <si>
    <t>26-G-5  </t>
  </si>
  <si>
    <t>26-G-6  </t>
  </si>
  <si>
    <t>26-G-7  </t>
  </si>
  <si>
    <t>26-G-8  </t>
  </si>
  <si>
    <t>26-G-9  </t>
  </si>
  <si>
    <t>26-G-10  </t>
  </si>
  <si>
    <t>26-G-11  </t>
  </si>
  <si>
    <t>26-G-12  </t>
  </si>
  <si>
    <t>26-H-1  </t>
  </si>
  <si>
    <t>26-H-2  </t>
  </si>
  <si>
    <t>26-H-3  </t>
  </si>
  <si>
    <t>26-H-4  </t>
  </si>
  <si>
    <t>26-H-5  </t>
  </si>
  <si>
    <t>26-H-6  </t>
  </si>
  <si>
    <t>26-H-7  </t>
  </si>
  <si>
    <t>26-I-1  </t>
  </si>
  <si>
    <t>26-I-2  </t>
  </si>
  <si>
    <t>26-I-3  </t>
  </si>
  <si>
    <t>26-I-4  </t>
  </si>
  <si>
    <t>26-I-5  </t>
  </si>
  <si>
    <t>26-I-6  </t>
  </si>
  <si>
    <t>26-I-7  </t>
  </si>
  <si>
    <t>26-J-1  </t>
  </si>
  <si>
    <t>26-J-2  </t>
  </si>
  <si>
    <t>26-J-3  </t>
  </si>
  <si>
    <t>26-J-4  </t>
  </si>
  <si>
    <t>26-J-5  </t>
  </si>
  <si>
    <t>26-J-7  </t>
  </si>
  <si>
    <t>26-J-8  </t>
  </si>
  <si>
    <t>26-J-9  </t>
  </si>
  <si>
    <t>26-J-10  </t>
  </si>
  <si>
    <t>26-J-11  </t>
  </si>
  <si>
    <t>26-J-12  </t>
  </si>
  <si>
    <t>26-J-13  </t>
  </si>
  <si>
    <t>26-J-14  </t>
  </si>
  <si>
    <t>26-J-16  </t>
  </si>
  <si>
    <t>26-J-17  </t>
  </si>
  <si>
    <t>26-J-18  </t>
  </si>
  <si>
    <t>26-J-19  </t>
  </si>
  <si>
    <t>26-J-20  </t>
  </si>
  <si>
    <t>26-K-1  </t>
  </si>
  <si>
    <t>26-K-2  </t>
  </si>
  <si>
    <t>26-K-3  </t>
  </si>
  <si>
    <t>26-K-4  </t>
  </si>
  <si>
    <t>26-K-5  </t>
  </si>
  <si>
    <t>26-K-6  </t>
  </si>
  <si>
    <t>26-K-7  </t>
  </si>
  <si>
    <t>26-K-8  </t>
  </si>
  <si>
    <t>26-K-9  </t>
  </si>
  <si>
    <t>26-K-10  </t>
  </si>
  <si>
    <t>26-K-11  </t>
  </si>
  <si>
    <t>26-K-12  </t>
  </si>
  <si>
    <t>26-K-13  </t>
  </si>
  <si>
    <t>26-K-14  </t>
  </si>
  <si>
    <t>26-K-15  </t>
  </si>
  <si>
    <t>26-K-16  </t>
  </si>
  <si>
    <t>26-K-17  </t>
  </si>
  <si>
    <t>26-K-18  </t>
  </si>
  <si>
    <t>26-K-19  </t>
  </si>
  <si>
    <t>26-K-20  </t>
  </si>
  <si>
    <t>26-K-21  </t>
  </si>
  <si>
    <t>26-K-22  </t>
  </si>
  <si>
    <t>26-K-23  </t>
  </si>
  <si>
    <t>26-K-24  </t>
  </si>
  <si>
    <t>26-K-25  </t>
  </si>
  <si>
    <t>26-K-26  </t>
  </si>
  <si>
    <t>26-K-27  </t>
  </si>
  <si>
    <t>26-K-28  </t>
  </si>
  <si>
    <t>26-K-29  </t>
  </si>
  <si>
    <t>26-K-30  </t>
  </si>
  <si>
    <t>26-K-31  </t>
  </si>
  <si>
    <t>26-K-32  </t>
  </si>
  <si>
    <t>26-K-33  </t>
  </si>
  <si>
    <t>26-K-34  </t>
  </si>
  <si>
    <t>26-K-35  </t>
  </si>
  <si>
    <t>26-K-36  </t>
  </si>
  <si>
    <t>26-K-37  </t>
  </si>
  <si>
    <t>26-K-38  </t>
  </si>
  <si>
    <t>26-K-39  </t>
  </si>
  <si>
    <t>26-K-40  </t>
  </si>
  <si>
    <t>26-K-41  </t>
  </si>
  <si>
    <t>26-K-42  </t>
  </si>
  <si>
    <t>26-K-43  </t>
  </si>
  <si>
    <t>26-K-44  </t>
  </si>
  <si>
    <t>26-K-45  </t>
  </si>
  <si>
    <t>26-K-46  </t>
  </si>
  <si>
    <t>26-K-47  </t>
  </si>
  <si>
    <t>26-K-48  </t>
  </si>
  <si>
    <t>26-K-49  </t>
  </si>
  <si>
    <t>26-K-50  </t>
  </si>
  <si>
    <t>26-K-51  </t>
  </si>
  <si>
    <t>26-K-52  </t>
  </si>
  <si>
    <t>26-K-53  </t>
  </si>
  <si>
    <t>26-K-54  </t>
  </si>
  <si>
    <t>26-K-55  </t>
  </si>
  <si>
    <t>26-K-56  </t>
  </si>
  <si>
    <t>26-K-57  </t>
  </si>
  <si>
    <t>26-K-58  </t>
  </si>
  <si>
    <t>26-K-59  </t>
  </si>
  <si>
    <t>26-K-60  </t>
  </si>
  <si>
    <t>26-K-61  </t>
  </si>
  <si>
    <t>26-K-62  </t>
  </si>
  <si>
    <t>26-K-63  </t>
  </si>
  <si>
    <t>26-K-64  </t>
  </si>
  <si>
    <t>26-K-65  </t>
  </si>
  <si>
    <t>26-K-66  </t>
  </si>
  <si>
    <t>26-K-67  </t>
  </si>
  <si>
    <t>26-K-68  </t>
  </si>
  <si>
    <t>26-K-69  </t>
  </si>
  <si>
    <t>26-K-70  </t>
  </si>
  <si>
    <t>26-K-71  </t>
  </si>
  <si>
    <t>26-K-72  </t>
  </si>
  <si>
    <t>26-K-73  </t>
  </si>
  <si>
    <t>26-K-74  </t>
  </si>
  <si>
    <t>26-K-75  </t>
  </si>
  <si>
    <t>26-K-76  </t>
  </si>
  <si>
    <t>26-K-77  </t>
  </si>
  <si>
    <t>26-K-78  </t>
  </si>
  <si>
    <t>26-K-79  </t>
  </si>
  <si>
    <t>26-K-80  </t>
  </si>
  <si>
    <t>26-K-81  </t>
  </si>
  <si>
    <t>26-K-82  </t>
  </si>
  <si>
    <t>26-K-83  </t>
  </si>
  <si>
    <t>26-K-84  </t>
  </si>
  <si>
    <t>26-K-85  </t>
  </si>
  <si>
    <t>26-K-86  </t>
  </si>
  <si>
    <t>Village site with no mounds. Barton Incised, Parkin Punctated, Neelys Ferry, Mississippian</t>
  </si>
  <si>
    <t>19-P-1</t>
  </si>
  <si>
    <t>Palusah Creek</t>
  </si>
  <si>
    <t>Shell midden in circular pattern (separate middens) with Baytown, Mulberry Creek, Marksville, Mississipipian, Deasonville</t>
  </si>
  <si>
    <t>19-P-2</t>
  </si>
  <si>
    <t xml:space="preserve">Roebuck </t>
  </si>
  <si>
    <t>2 large mounds, 1 rectangular, 1 indeterminate, Shell midden component, mulberry creek cordmarked, Deasonville, Mississippian</t>
  </si>
  <si>
    <t>19-P-3</t>
  </si>
  <si>
    <t>Phillipi</t>
  </si>
  <si>
    <t>4 small mounds, 1 rectangular platform and village midden depsoit (Marksville, coles Creek, Deasonville, Mississippian</t>
  </si>
  <si>
    <t>20-L-1</t>
  </si>
  <si>
    <t>Law</t>
  </si>
  <si>
    <t>3 mounds, 2 rect with ramps, 1 nondistinct, Mississippian</t>
  </si>
  <si>
    <t>20-L-2</t>
  </si>
  <si>
    <t>Silver Lake</t>
  </si>
  <si>
    <t>1 rect mound, probably historic, midden, Baytown, Coles Creek, Marksville</t>
  </si>
  <si>
    <t>F-C</t>
  </si>
  <si>
    <t>20-L-3</t>
  </si>
  <si>
    <t>Griffin</t>
  </si>
  <si>
    <t>4 mounds, 1 rect, 2 flattop circular, Baytown, Coles Creek, Mississippain</t>
  </si>
  <si>
    <t>E-A</t>
  </si>
  <si>
    <t>20-M-10</t>
  </si>
  <si>
    <t>Matthews</t>
  </si>
  <si>
    <t>2 mounds, 1 indeterminate, 1 conical, Baytown, Coles Creek</t>
  </si>
  <si>
    <t>20-M-7</t>
  </si>
  <si>
    <t>Percy Jones</t>
  </si>
  <si>
    <t>3 mounds, conical, no pottery</t>
  </si>
  <si>
    <t>20-M-8</t>
  </si>
  <si>
    <t>Woods</t>
  </si>
  <si>
    <t>1 mound, conical, Baytown</t>
  </si>
  <si>
    <t>20-M-9</t>
  </si>
  <si>
    <t>Bear Garden</t>
  </si>
  <si>
    <t>1 mound, oval, flattop, Coles Creed</t>
  </si>
  <si>
    <t>D-C</t>
  </si>
  <si>
    <t>20-N-5</t>
  </si>
  <si>
    <t>Cold Lake</t>
  </si>
  <si>
    <t>3 conical mounds, shell midden, Poverty Point Baytown, Coles Creek, Deasonville</t>
  </si>
  <si>
    <t>H-C</t>
  </si>
  <si>
    <t>20-N-6</t>
  </si>
  <si>
    <t>Gooden Lake</t>
  </si>
  <si>
    <t>4 mounds, no pottery</t>
  </si>
  <si>
    <t>20-O-10</t>
  </si>
  <si>
    <t>Brooks</t>
  </si>
  <si>
    <t xml:space="preserve">Shell midden, small. Deasonville component. </t>
  </si>
  <si>
    <t>20-O-12</t>
  </si>
  <si>
    <t>Quafalorma</t>
  </si>
  <si>
    <t>Some shell, no midden, no mound, village midden, Coles Creek, Mulberry Creek Cordmarked, Deasonville</t>
  </si>
  <si>
    <t>20-O-13</t>
  </si>
  <si>
    <t>Horseshoe Brake</t>
  </si>
  <si>
    <t>2 mounds (indeterminate) and a village site. Deasonville, wasp lake</t>
  </si>
  <si>
    <t>20-O-14</t>
  </si>
  <si>
    <t>Bee Lake</t>
  </si>
  <si>
    <t>25-K-23  </t>
  </si>
  <si>
    <t>25-K-24  </t>
  </si>
  <si>
    <t>25-K-25  </t>
  </si>
  <si>
    <t>25-K-26  </t>
  </si>
  <si>
    <t>25-K-28  </t>
  </si>
  <si>
    <t>25-K-29  </t>
  </si>
  <si>
    <t>25-K-31  </t>
  </si>
  <si>
    <t>25-K-32  </t>
  </si>
  <si>
    <t>25-K-33  </t>
  </si>
  <si>
    <t>25-K-35  </t>
  </si>
  <si>
    <t>25-K-36  </t>
  </si>
  <si>
    <t>25-K-37  </t>
  </si>
  <si>
    <t>25-K-39  </t>
  </si>
  <si>
    <t>25-L-1  </t>
  </si>
  <si>
    <t>25-L-2  </t>
  </si>
  <si>
    <t>25-L-3  </t>
  </si>
  <si>
    <t>25-L-4  </t>
  </si>
  <si>
    <t>25-L-5  </t>
  </si>
  <si>
    <t>25-L-7  </t>
  </si>
  <si>
    <t>25-L-8  </t>
  </si>
  <si>
    <t>25-L-9  </t>
  </si>
  <si>
    <t>25-L-10  </t>
  </si>
  <si>
    <t>25-L-11  </t>
  </si>
  <si>
    <t>25-L-12  </t>
  </si>
  <si>
    <t>25-L-13  </t>
  </si>
  <si>
    <t>25-L-14  </t>
  </si>
  <si>
    <t>25-L-15  </t>
  </si>
  <si>
    <t>Rectangular</t>
  </si>
  <si>
    <t>Ramp</t>
  </si>
  <si>
    <t>Step</t>
  </si>
  <si>
    <t>Apron</t>
  </si>
  <si>
    <t>Platform</t>
  </si>
  <si>
    <t>Conical</t>
  </si>
  <si>
    <t>Double Conical</t>
  </si>
  <si>
    <t>Mound Unknown</t>
  </si>
  <si>
    <t>Embankment</t>
  </si>
  <si>
    <t>Ditch</t>
  </si>
  <si>
    <t>St Francis</t>
  </si>
  <si>
    <t>Shell Midden</t>
  </si>
  <si>
    <t>Cemetery</t>
  </si>
  <si>
    <t>Visible Outline</t>
  </si>
  <si>
    <t>Outline</t>
  </si>
  <si>
    <t>Plaza</t>
  </si>
  <si>
    <t>Shell Ring</t>
  </si>
  <si>
    <t>Max Mound Height (ft)</t>
  </si>
  <si>
    <t>Plaza Length (ft)</t>
  </si>
  <si>
    <t>Max Mound Area (sq ft)</t>
  </si>
  <si>
    <t>Radiocarbon Dates</t>
  </si>
  <si>
    <t>TL Dates</t>
  </si>
  <si>
    <t>Md Ratio</t>
  </si>
  <si>
    <t>Mratio</t>
  </si>
  <si>
    <t>22Pa528</t>
  </si>
  <si>
    <t>Crenshaw</t>
  </si>
  <si>
    <t>Connaway 1984</t>
  </si>
  <si>
    <t>Sunflower</t>
  </si>
  <si>
    <t>Yes</t>
  </si>
  <si>
    <t>Large Village with 3 rectangular platform Mounds</t>
  </si>
  <si>
    <t>Large Village Site with Mound(s)</t>
  </si>
  <si>
    <t>Connaway 1984:205</t>
  </si>
  <si>
    <t>B-A</t>
  </si>
  <si>
    <t>3</t>
  </si>
  <si>
    <t>Irregular</t>
  </si>
  <si>
    <t>0</t>
  </si>
  <si>
    <t>19-M-8</t>
  </si>
  <si>
    <t>Kirk</t>
  </si>
  <si>
    <t>Phillips 1970</t>
  </si>
  <si>
    <t>Yazoo</t>
  </si>
  <si>
    <t xml:space="preserve">2 mounds, conical, 1 midden with shell, Baytown, Marksville </t>
  </si>
  <si>
    <t>F-E</t>
  </si>
  <si>
    <t>19-M-9</t>
  </si>
  <si>
    <t>King</t>
  </si>
  <si>
    <t>F-D</t>
  </si>
  <si>
    <t>19-N-10</t>
  </si>
  <si>
    <t>Jackson Bayou</t>
  </si>
  <si>
    <t>Small, village deposit, Baytown, Coles Creek, Mulberry Creek, Mississippian</t>
  </si>
  <si>
    <t>E-D</t>
  </si>
  <si>
    <t>19-N-11</t>
  </si>
  <si>
    <t>Sky Lake</t>
  </si>
  <si>
    <t>2 mounds, unknown time period (steatite)</t>
  </si>
  <si>
    <t>Phillips 1970; Webb 1982</t>
  </si>
  <si>
    <t>H-G</t>
  </si>
  <si>
    <t>H</t>
  </si>
  <si>
    <t>G</t>
  </si>
  <si>
    <t>19-N-12</t>
  </si>
  <si>
    <t>Mosely Mound</t>
  </si>
  <si>
    <t>Single conical mound. No pottery.</t>
  </si>
  <si>
    <t>?</t>
  </si>
  <si>
    <t>19-N-9</t>
  </si>
  <si>
    <t>Moorehead Bayou</t>
  </si>
  <si>
    <t>Shell midden with poverty point objects</t>
  </si>
  <si>
    <t>19-O-10</t>
  </si>
  <si>
    <t>Hunt</t>
  </si>
  <si>
    <t xml:space="preserve">Shell ring (series of middens). Baytown, Coles Creek, Neesly's ferry,  Deasonville, Mississippian, </t>
  </si>
  <si>
    <t>1</t>
  </si>
  <si>
    <t>Semi-circle</t>
  </si>
  <si>
    <t>Regular</t>
  </si>
  <si>
    <t>19-O-11</t>
  </si>
  <si>
    <t>Nicholls</t>
  </si>
  <si>
    <t>1 mound, shell midden, deasonville, baytown, coles creek, marksville, mississippian.</t>
  </si>
  <si>
    <t>H-A</t>
  </si>
  <si>
    <t>Linear</t>
  </si>
  <si>
    <t>19-O-12</t>
  </si>
  <si>
    <t>Simmons</t>
  </si>
  <si>
    <t>midden, one area that may have been mound, Deasonville</t>
  </si>
  <si>
    <t>19-O-13</t>
  </si>
  <si>
    <t>Paxton</t>
  </si>
  <si>
    <t>2 mounds with midden area, microliths, poverty point, Baytown plain, marksville, mulberry creek, deasonville, marksville</t>
  </si>
  <si>
    <t>19-O-14</t>
  </si>
  <si>
    <t>Montgomery</t>
  </si>
  <si>
    <t xml:space="preserve">Shell midden,ring form (air photo?) - Marksville </t>
  </si>
  <si>
    <t>Circle</t>
  </si>
  <si>
    <t>19-O-15</t>
  </si>
  <si>
    <t>Wall</t>
  </si>
  <si>
    <t>Shell midden with no mounds</t>
  </si>
  <si>
    <t>19-O-7</t>
  </si>
  <si>
    <t>Pritchard</t>
  </si>
  <si>
    <t>2 mounds, 1 square, 1 rect(?), shell and clay tempered sherds, Mississippian</t>
  </si>
  <si>
    <t>19-O-8</t>
  </si>
  <si>
    <t>Polk</t>
  </si>
  <si>
    <t>1 conical mound, maybe 2 house mounds, Baytlwon, Jaketown, Marksville, Mulberry Creek</t>
  </si>
  <si>
    <t>19-O-9</t>
  </si>
  <si>
    <t>Campbell</t>
  </si>
  <si>
    <t>Mound City 3</t>
  </si>
  <si>
    <t xml:space="preserve">1 irregularly shaped mound - 3 meters high max, </t>
  </si>
  <si>
    <t>Waldon Cemetery</t>
  </si>
  <si>
    <t>1 Large low rectangular platform mound, historic cemetery, 1.5 meters high 30x30 meters</t>
  </si>
  <si>
    <t>Flumes</t>
  </si>
  <si>
    <t>1 small conical mound ca. 1 meter high 5 meters diameter, woodland pottery</t>
  </si>
  <si>
    <t>Low platform on sandy ridge - maybe rectangular &lt; 1 meter high, woodland pottery, historic cemetery</t>
  </si>
  <si>
    <t>Niles 1</t>
  </si>
  <si>
    <t>1 rectangular platform mound, ca 2 meters high, 20x30 meters</t>
  </si>
  <si>
    <t>Beeskep</t>
  </si>
  <si>
    <t xml:space="preserve">Large rectangular platform mound, stepped, 5 meters  high, 40x20 meters, midden, shell tempered pottery, possible rectangular midden </t>
  </si>
  <si>
    <t>Rectangular?</t>
  </si>
  <si>
    <t>Conical mound, ca. 3 meters high, 15 meters in diameter, cut by road</t>
  </si>
  <si>
    <t>Glover</t>
  </si>
  <si>
    <t>Midden, burned house floors</t>
  </si>
  <si>
    <t>3CT47</t>
  </si>
  <si>
    <t>Berry</t>
  </si>
  <si>
    <t>3CS28</t>
  </si>
  <si>
    <t>Togo</t>
  </si>
  <si>
    <t>small fortified (?) village with no mound or ditch</t>
  </si>
  <si>
    <t>Morse 1981; Moore 1910</t>
  </si>
  <si>
    <t>Spanish Grant</t>
  </si>
  <si>
    <t>6-S-3</t>
  </si>
  <si>
    <t>Survey Site</t>
  </si>
  <si>
    <t>No mounds</t>
  </si>
  <si>
    <t>6-S-4</t>
  </si>
  <si>
    <t>East Bayou</t>
  </si>
  <si>
    <t>6-T-1</t>
  </si>
  <si>
    <t>Beckwith's Fort</t>
  </si>
  <si>
    <t xml:space="preserve">Rectangular village with wall and ditch. 6 mounds, on with ramp and platform. </t>
  </si>
  <si>
    <t>Williams 1954, Thomas 1894; Houck 1907; Moore 1916; Adams and Walker 1942, O'Brien 2001</t>
  </si>
  <si>
    <t>6-T-3</t>
  </si>
  <si>
    <t>O'Byam's Fort</t>
  </si>
  <si>
    <t>no</t>
  </si>
  <si>
    <t>7-P-1</t>
  </si>
  <si>
    <t>23-DU-4</t>
  </si>
  <si>
    <t>Holcomb</t>
  </si>
  <si>
    <t xml:space="preserve">4 mounds, 1 pyramid, </t>
  </si>
  <si>
    <t>Williams 1954, Teltser 1988</t>
  </si>
  <si>
    <t>7-Q-1</t>
  </si>
  <si>
    <t>Wardell</t>
  </si>
  <si>
    <t>Rectangular midden, 1 mound (conical?)</t>
  </si>
  <si>
    <t>3CT33</t>
  </si>
  <si>
    <t>Edmondson</t>
  </si>
  <si>
    <t>Memphs</t>
  </si>
  <si>
    <t>2 mounds, woodland and mississippian</t>
  </si>
  <si>
    <t>3CT42</t>
  </si>
  <si>
    <t>"temple mounds"</t>
  </si>
  <si>
    <t>16Ou259</t>
  </si>
  <si>
    <t>Frenchmans Bayou</t>
  </si>
  <si>
    <t>Saunders et al 1994</t>
  </si>
  <si>
    <t>Archaic mounds, 5 mounds</t>
  </si>
  <si>
    <t>I-H</t>
  </si>
  <si>
    <t>4700 +/- 130 BP, 5500+/-170BP</t>
  </si>
  <si>
    <t>16Ma201</t>
  </si>
  <si>
    <t>Hillmans Mound</t>
  </si>
  <si>
    <t>Archaic mounds, maybe 5 mounds</t>
  </si>
  <si>
    <t>Number</t>
  </si>
  <si>
    <t>StateNum</t>
  </si>
  <si>
    <t>Name</t>
  </si>
  <si>
    <t>Source</t>
  </si>
  <si>
    <t>Area</t>
  </si>
  <si>
    <t>Northing</t>
  </si>
  <si>
    <t>Easting</t>
  </si>
  <si>
    <t>Zone</t>
  </si>
  <si>
    <t>Mapped</t>
  </si>
  <si>
    <t>Description</t>
  </si>
  <si>
    <t>Type</t>
  </si>
  <si>
    <t>PFG Type</t>
  </si>
  <si>
    <t>Refs</t>
  </si>
  <si>
    <t>Period</t>
  </si>
  <si>
    <t>Initial Period</t>
  </si>
  <si>
    <t>Terminal Period</t>
  </si>
  <si>
    <t>K (Paleoindian)</t>
  </si>
  <si>
    <t>J (Dalton)</t>
  </si>
  <si>
    <t>I (early/middle archaic)</t>
  </si>
  <si>
    <t>H (late archaic)</t>
  </si>
  <si>
    <t>G (poverty point)</t>
  </si>
  <si>
    <t>F</t>
  </si>
  <si>
    <t>E</t>
  </si>
  <si>
    <t>D</t>
  </si>
  <si>
    <t>C</t>
  </si>
  <si>
    <t>B</t>
  </si>
  <si>
    <t>A</t>
  </si>
  <si>
    <t>Num_Mounds</t>
  </si>
  <si>
    <t>Mounds</t>
  </si>
  <si>
    <t>Mound</t>
  </si>
  <si>
    <t>More than one mound?</t>
  </si>
  <si>
    <t>Hurley</t>
  </si>
  <si>
    <t>15-M-6</t>
  </si>
  <si>
    <t>Hugo</t>
  </si>
  <si>
    <t>Phillips 1970:870</t>
  </si>
  <si>
    <t>4-Q-2</t>
  </si>
  <si>
    <t>Baseline</t>
  </si>
  <si>
    <t>Tchula</t>
  </si>
  <si>
    <t>Phillips 1970:877</t>
  </si>
  <si>
    <t>F,D</t>
  </si>
  <si>
    <t>6-R-3</t>
  </si>
  <si>
    <t>Kewanee</t>
  </si>
  <si>
    <t>Phillips 1970:878</t>
  </si>
  <si>
    <t>8-Q-11</t>
  </si>
  <si>
    <t>Lipsey</t>
  </si>
  <si>
    <t>6-Q-3</t>
  </si>
  <si>
    <t>Risco</t>
  </si>
  <si>
    <t>6-Q-13</t>
  </si>
  <si>
    <t>Crumpecker</t>
  </si>
  <si>
    <t>4-R-16</t>
  </si>
  <si>
    <t>Sand Ridge</t>
  </si>
  <si>
    <t>32-I-2</t>
  </si>
  <si>
    <t>4-R-1  </t>
  </si>
  <si>
    <t>4-R-16  </t>
  </si>
  <si>
    <t>4-S-1  </t>
  </si>
  <si>
    <t>4-T-1  </t>
  </si>
  <si>
    <t>5-O-1  </t>
  </si>
  <si>
    <t>5-O-2  </t>
  </si>
  <si>
    <t>5-O-3  </t>
  </si>
  <si>
    <t>5-O-4  </t>
  </si>
  <si>
    <t>5-O-5  </t>
  </si>
  <si>
    <t>5-P-1  </t>
  </si>
  <si>
    <t>5-P-2  </t>
  </si>
  <si>
    <t>5-P-3  </t>
  </si>
  <si>
    <t>5-P-4  </t>
  </si>
  <si>
    <t>5-P-5  </t>
  </si>
  <si>
    <t>5-P-6  </t>
  </si>
  <si>
    <t>5-P-7  </t>
  </si>
  <si>
    <t>5-P-8  </t>
  </si>
  <si>
    <t>5-Q-1  </t>
  </si>
  <si>
    <t>5-Q-2  </t>
  </si>
  <si>
    <t>5-Q-3  </t>
  </si>
  <si>
    <t>5-Q-4  </t>
  </si>
  <si>
    <t>5-R-1  </t>
  </si>
  <si>
    <t>5-R-2  </t>
  </si>
  <si>
    <t>5-R-3  </t>
  </si>
  <si>
    <t>5-R-5  </t>
  </si>
  <si>
    <t>5-R-6  </t>
  </si>
  <si>
    <t>5-R-7  </t>
  </si>
  <si>
    <t>5-R-8  </t>
  </si>
  <si>
    <t>5-R-9  </t>
  </si>
  <si>
    <t>5-R-21  </t>
  </si>
  <si>
    <t>5-S-1  </t>
  </si>
  <si>
    <t>5-S-2  </t>
  </si>
  <si>
    <t>5-S-3  </t>
  </si>
  <si>
    <t>5-S-4  </t>
  </si>
  <si>
    <t>5-S-5  </t>
  </si>
  <si>
    <t>5-S-6  </t>
  </si>
  <si>
    <t>5-S-10  </t>
  </si>
  <si>
    <t>5-T-1  </t>
  </si>
  <si>
    <t>5-T-2  </t>
  </si>
  <si>
    <t>5-T-3  </t>
  </si>
  <si>
    <t>5-T-4  </t>
  </si>
  <si>
    <t>5-T-5  </t>
  </si>
  <si>
    <t>27-K-1  </t>
  </si>
  <si>
    <t>27-K-2  </t>
  </si>
  <si>
    <t>27-K-3  </t>
  </si>
  <si>
    <t>27-K-4  </t>
  </si>
  <si>
    <t>27-K-5  </t>
  </si>
  <si>
    <t>27-K-6  </t>
  </si>
  <si>
    <t>27-K-7  </t>
  </si>
  <si>
    <t>27-K-8  </t>
  </si>
  <si>
    <t>27-K-9  </t>
  </si>
  <si>
    <t>27-K-10  </t>
  </si>
  <si>
    <t>27-K-11  </t>
  </si>
  <si>
    <t>27-K-12  </t>
  </si>
  <si>
    <t>27-K-13  </t>
  </si>
  <si>
    <t>27-K-14  </t>
  </si>
  <si>
    <t>27-K-15  </t>
  </si>
  <si>
    <t>27-K-16  </t>
  </si>
  <si>
    <t>27-K-17  </t>
  </si>
  <si>
    <t>27-K-18  </t>
  </si>
  <si>
    <t>27-K-19  </t>
  </si>
  <si>
    <t>27-K-20  </t>
  </si>
  <si>
    <t>27-K-21  </t>
  </si>
  <si>
    <t>27-K-22  </t>
  </si>
  <si>
    <t>27-K-23  </t>
  </si>
  <si>
    <t>27-K-24  </t>
  </si>
  <si>
    <t>27-K-25  </t>
  </si>
  <si>
    <t>27-K-26  </t>
  </si>
  <si>
    <t>27-K-27  </t>
  </si>
  <si>
    <t>27-K-28  </t>
  </si>
  <si>
    <t>27-P-1  </t>
  </si>
  <si>
    <t>28-G-1  </t>
  </si>
  <si>
    <t>28-G-4  </t>
  </si>
  <si>
    <t>28-G-5  </t>
  </si>
  <si>
    <t>28-H-1  </t>
  </si>
  <si>
    <t>28-H-2  </t>
  </si>
  <si>
    <t>28-H-3  </t>
  </si>
  <si>
    <t>28-H-4  </t>
  </si>
  <si>
    <t>28-H-5  </t>
  </si>
  <si>
    <t>28-H-6  </t>
  </si>
  <si>
    <t>28-H-7  </t>
  </si>
  <si>
    <t>28-H-8  </t>
  </si>
  <si>
    <t>28-H-9  </t>
  </si>
  <si>
    <t>28-H-10  </t>
  </si>
  <si>
    <t>28-H-11  </t>
  </si>
  <si>
    <t>28-H-12  </t>
  </si>
  <si>
    <t>28-H-13  </t>
  </si>
  <si>
    <t>28-H-14  </t>
  </si>
  <si>
    <t>28-H-15  </t>
  </si>
  <si>
    <t>28-H-16  </t>
  </si>
  <si>
    <t>28-H-17  </t>
  </si>
  <si>
    <t>28-H-18  </t>
  </si>
  <si>
    <t>28-H-19  </t>
  </si>
  <si>
    <t>28-H-20  </t>
  </si>
  <si>
    <t>28-H-21  </t>
  </si>
  <si>
    <t>28-H-22  </t>
  </si>
  <si>
    <t>28-H-23  </t>
  </si>
  <si>
    <t>28-H-24  </t>
  </si>
  <si>
    <t>28-H-25  </t>
  </si>
  <si>
    <t>28-H-26  </t>
  </si>
  <si>
    <t>28-H-27  </t>
  </si>
  <si>
    <t>28-H-28  </t>
  </si>
  <si>
    <t>28-H-29  </t>
  </si>
  <si>
    <t>28-H-30  </t>
  </si>
  <si>
    <t>28-H-31  </t>
  </si>
  <si>
    <t>28-H-32  </t>
  </si>
  <si>
    <t>28-I-1  </t>
  </si>
  <si>
    <t>28-I-2  </t>
  </si>
  <si>
    <t>28-I-3  </t>
  </si>
  <si>
    <t>28-I-4  </t>
  </si>
  <si>
    <t>28-I-5  </t>
  </si>
  <si>
    <t>28-I-6  </t>
  </si>
  <si>
    <t>28-I-7  </t>
  </si>
  <si>
    <t>28-I-8  </t>
  </si>
  <si>
    <t>28-J-1  </t>
  </si>
  <si>
    <t>28-J-2  </t>
  </si>
  <si>
    <t>28-J-3  </t>
  </si>
  <si>
    <t>28-J-5  </t>
  </si>
  <si>
    <t>2 possible mounds on sandy ridge. Possibly conical though shapes unclear.</t>
  </si>
  <si>
    <t>Mound City 1</t>
  </si>
  <si>
    <t>Conical mound ca. 1.5 meters high, 10x10meters</t>
  </si>
  <si>
    <t>Mound City 2</t>
  </si>
  <si>
    <t>1 low rectangular platform mound, ca 1 meter high 30x30 meters</t>
  </si>
  <si>
    <t>Scott - Davis Backside Snyder</t>
  </si>
  <si>
    <t>23DU586</t>
  </si>
  <si>
    <t>Ben White J Highway</t>
  </si>
  <si>
    <t>23DU602</t>
  </si>
  <si>
    <t>Broken Adz</t>
  </si>
  <si>
    <t>23DU605</t>
  </si>
  <si>
    <t>South Mcguire Dropoff/ Also Given Site Number 23nm614</t>
  </si>
  <si>
    <t>23PM659</t>
  </si>
  <si>
    <t>Pemiscot Dalton</t>
  </si>
  <si>
    <t>Turnage</t>
  </si>
  <si>
    <t>Coulee Crow</t>
  </si>
  <si>
    <t>Fournet</t>
  </si>
  <si>
    <t>Bayou Capucin</t>
  </si>
  <si>
    <t>25-I-5</t>
  </si>
  <si>
    <t>McGuffee</t>
  </si>
  <si>
    <t>25-J-6</t>
  </si>
  <si>
    <t>Lake Louis</t>
  </si>
  <si>
    <t>Gibson and Shenkel 1988; Ford and Quimby 1945:20-21</t>
  </si>
  <si>
    <t>2160+/- 115BP, 2040 +/-105 BP, 20005 +/- 105 BP</t>
  </si>
  <si>
    <t>31-I-1</t>
  </si>
  <si>
    <t>Lafayette Mounds</t>
  </si>
  <si>
    <t>Tchefuncte, Plaquemine</t>
  </si>
  <si>
    <t>Gibson and Shenkel 1988; Ford and Quimby 1945:21-24</t>
  </si>
  <si>
    <t>F+A</t>
  </si>
  <si>
    <t>22-Pa-524</t>
  </si>
  <si>
    <t>Mississippi Site records</t>
  </si>
  <si>
    <t>Dalton (has EA as well - not listed here)</t>
  </si>
  <si>
    <t>22-Pa-615</t>
  </si>
  <si>
    <t>22-Pa-621</t>
  </si>
  <si>
    <t>22-Pa-660</t>
  </si>
  <si>
    <t>22-Pa-971</t>
  </si>
  <si>
    <t>22-Pa-991</t>
  </si>
  <si>
    <t>22-Pa-997</t>
  </si>
  <si>
    <t>22-Pa-1000</t>
  </si>
  <si>
    <t>Paleoindian</t>
  </si>
  <si>
    <t>22-Bo-546</t>
  </si>
  <si>
    <t>22-Bo-664</t>
  </si>
  <si>
    <t>Dalton (has EA  and LA as well - not listed here)</t>
  </si>
  <si>
    <t>22-Pa-517</t>
  </si>
  <si>
    <t>22-Pa-587</t>
  </si>
  <si>
    <t>27-H-12</t>
  </si>
  <si>
    <t>Duck Slough</t>
  </si>
  <si>
    <t>Poverty point objects</t>
  </si>
  <si>
    <t>Phillips 1970:873; Gibson 1966</t>
  </si>
  <si>
    <t>G-H</t>
  </si>
  <si>
    <t>26-H-2</t>
  </si>
  <si>
    <t>Gorum</t>
  </si>
  <si>
    <t>Phillips 1970:873; Ford 1936:213,216</t>
  </si>
  <si>
    <t>25-J-9</t>
  </si>
  <si>
    <t>Cut-off Landing</t>
  </si>
  <si>
    <t>Poverty point objects (?)</t>
  </si>
  <si>
    <t>Phillips 1970:872; Ford 1936:216</t>
  </si>
  <si>
    <t>25-I-2</t>
  </si>
  <si>
    <t>Pritchard Landing</t>
  </si>
  <si>
    <t>G,E</t>
  </si>
  <si>
    <t>22-K-20</t>
  </si>
  <si>
    <t>Panther Lake</t>
  </si>
  <si>
    <t>Poverty point objects (?), Tchula, Marksville</t>
  </si>
  <si>
    <t>Phillips 1970:872</t>
  </si>
  <si>
    <t>27-H-10</t>
  </si>
  <si>
    <t>Sanson</t>
  </si>
  <si>
    <t>Archaic through Plaquemine</t>
  </si>
  <si>
    <t>Phillips 1970:873; Webb 1961:19</t>
  </si>
  <si>
    <t>27-I-1</t>
  </si>
  <si>
    <t>Wiley</t>
  </si>
  <si>
    <t>Poverty point objects, marksville stuff too</t>
  </si>
  <si>
    <t>Phillips 1970:873; Ford 1936:207; Gregory 1965:70</t>
  </si>
  <si>
    <t>H-E</t>
  </si>
  <si>
    <t>28-G-5</t>
  </si>
  <si>
    <t>Rodriquez</t>
  </si>
  <si>
    <t>Poverty point, jasper beads</t>
  </si>
  <si>
    <t>Phillips 1970:873; Moore 1912:507</t>
  </si>
  <si>
    <t>7-P-4</t>
  </si>
  <si>
    <t>Case School</t>
  </si>
  <si>
    <t>Phillips 1970:869</t>
  </si>
  <si>
    <t>7-P-7</t>
  </si>
  <si>
    <t>5-T-4</t>
  </si>
  <si>
    <t>O'Bryan Ridge</t>
  </si>
  <si>
    <t>Phillips 1970:869; Crane and Griffin 1958; Crane and Griffen 1959)</t>
  </si>
  <si>
    <t>5-T-7</t>
  </si>
  <si>
    <t>Weems</t>
  </si>
  <si>
    <t>Poverty point, Tchula; Marksville</t>
  </si>
  <si>
    <t>7-R-5</t>
  </si>
  <si>
    <t>Double Bridges</t>
  </si>
  <si>
    <t>5-S-2</t>
  </si>
  <si>
    <t>Hoecake</t>
  </si>
  <si>
    <t>7-Q-2</t>
  </si>
  <si>
    <t>Pascola</t>
  </si>
  <si>
    <t>6-S-5</t>
  </si>
  <si>
    <t>LaPlant</t>
  </si>
  <si>
    <t>Poverty point, Tchula, Marksville</t>
  </si>
  <si>
    <t>Phillips 1970:872; Williams 1954; Williams 1956; Griffin and Spaulding 1951</t>
  </si>
  <si>
    <t>8-Q-12</t>
  </si>
  <si>
    <t>Blazer</t>
  </si>
  <si>
    <t>8-Q-10</t>
  </si>
  <si>
    <t>22-N-3</t>
  </si>
  <si>
    <t>No Mistake</t>
  </si>
  <si>
    <t>2 mounds, mississippian</t>
  </si>
  <si>
    <t>22-N-4</t>
  </si>
  <si>
    <t>Barry</t>
  </si>
  <si>
    <t>1 conical mound, semicircular midden arrangement, Deasonville</t>
  </si>
  <si>
    <t>22-N-5</t>
  </si>
  <si>
    <t>Enola</t>
  </si>
  <si>
    <t>Village and 2 mounds. Baytown?</t>
  </si>
  <si>
    <t>22-N-6</t>
  </si>
  <si>
    <t>Dornbusch</t>
  </si>
  <si>
    <t>1 rect. Mound, mississippian</t>
  </si>
  <si>
    <t>22-N-8</t>
  </si>
  <si>
    <t>Potato Hill Bayou</t>
  </si>
  <si>
    <t>1 small mound, unknown shape, Poverty Point objects?</t>
  </si>
  <si>
    <t>22-N-9</t>
  </si>
  <si>
    <t>Fairview</t>
  </si>
  <si>
    <t>3 mounds, unknown shape, Poverty Point objects</t>
  </si>
  <si>
    <t>H-F</t>
  </si>
  <si>
    <t>23-M-1</t>
  </si>
  <si>
    <t>Kings Crossing</t>
  </si>
  <si>
    <t>4 mounds, 1 rect., 3 unknown, coles creek, baytown, marksvile, mississippian, Kings Crossing</t>
  </si>
  <si>
    <t>23-M-2</t>
  </si>
  <si>
    <t>Blakely</t>
  </si>
  <si>
    <t>large rectangular platform mound, baytown, colescreek, mississippian.</t>
  </si>
  <si>
    <t>10-P-1</t>
  </si>
  <si>
    <t>Carson Lake</t>
  </si>
  <si>
    <t>PFG 1951</t>
  </si>
  <si>
    <t>Memphis</t>
  </si>
  <si>
    <t>Large Village Site</t>
  </si>
  <si>
    <t>St. Francis</t>
  </si>
  <si>
    <t>10-P-2</t>
  </si>
  <si>
    <t>Bell Place</t>
  </si>
  <si>
    <t>10-P-3</t>
  </si>
  <si>
    <t>Nettle Ridge</t>
  </si>
  <si>
    <t>10-P-4</t>
  </si>
  <si>
    <t>Notgrass Place</t>
  </si>
  <si>
    <t>10-Q-1</t>
  </si>
  <si>
    <t>Upper Nodena</t>
  </si>
  <si>
    <t>Large Village site and cemetery with mounds</t>
  </si>
  <si>
    <t>10-Q-2</t>
  </si>
  <si>
    <t>Sherman Mound</t>
  </si>
  <si>
    <t>Large Village site with large platform mound</t>
  </si>
  <si>
    <t>10-Q-3</t>
  </si>
  <si>
    <t xml:space="preserve">Turnage </t>
  </si>
  <si>
    <t>Village site with small mound</t>
  </si>
  <si>
    <t>Small Village Site with Mound(s)</t>
  </si>
  <si>
    <t>11-N-1</t>
  </si>
  <si>
    <t>3CS29</t>
  </si>
  <si>
    <t>Parkin</t>
  </si>
  <si>
    <t>Large St. Francis type site with large platform mound</t>
  </si>
  <si>
    <t>11-N-10</t>
  </si>
  <si>
    <t>Cross Country Club</t>
  </si>
  <si>
    <t>Conical Mound</t>
  </si>
  <si>
    <t>11-N-11</t>
  </si>
  <si>
    <t>Delta</t>
  </si>
  <si>
    <t>Large conical and small mound</t>
  </si>
  <si>
    <t>Conical Mound(s)</t>
  </si>
  <si>
    <t>11-N-12</t>
  </si>
  <si>
    <t>Turnbow Place</t>
  </si>
  <si>
    <t>Large platform mound and plaza arrangement</t>
  </si>
  <si>
    <t>11-N-13</t>
  </si>
  <si>
    <t>3CS26</t>
  </si>
  <si>
    <t>Williamson</t>
  </si>
  <si>
    <t>23DU486</t>
  </si>
  <si>
    <t>South Pete Cross</t>
  </si>
  <si>
    <t>23DU492</t>
  </si>
  <si>
    <t>Green Briar Sw From Pete Cross</t>
  </si>
  <si>
    <t>23DU493</t>
  </si>
  <si>
    <t>Tom True Leveled Mound</t>
  </si>
  <si>
    <t>23DU494</t>
  </si>
  <si>
    <t>North Dead Mans Slough Complex Component C</t>
  </si>
  <si>
    <t>23DU496</t>
  </si>
  <si>
    <t>True / Frisbee Complex Component B &amp; B+</t>
  </si>
  <si>
    <t>23DU498</t>
  </si>
  <si>
    <t>North Dead Mans Slough Complex Component A</t>
  </si>
  <si>
    <t>23DU514</t>
  </si>
  <si>
    <t>West Ridge Pete Cross</t>
  </si>
  <si>
    <t>23DU523</t>
  </si>
  <si>
    <t>Stanley Hays Complex Northeast Component</t>
  </si>
  <si>
    <t>23DU525</t>
  </si>
  <si>
    <t>Kenny Collis South &amp; East</t>
  </si>
  <si>
    <t>23DU527</t>
  </si>
  <si>
    <t>Big Dicks Bend</t>
  </si>
  <si>
    <t>23DU538</t>
  </si>
  <si>
    <t>Causeway</t>
  </si>
  <si>
    <t>23DU542</t>
  </si>
  <si>
    <t>X-Sw Ralph Williams</t>
  </si>
  <si>
    <t>23DU546</t>
  </si>
  <si>
    <t>Arliss</t>
  </si>
  <si>
    <t>23DU548</t>
  </si>
  <si>
    <t>Markham</t>
  </si>
  <si>
    <t>23DU550</t>
  </si>
  <si>
    <t>Angelfish</t>
  </si>
  <si>
    <t>23DU576</t>
  </si>
  <si>
    <t>4 mounds, Baytown, Coles Creek, Mississippian</t>
  </si>
  <si>
    <t>D-B</t>
  </si>
  <si>
    <t>22-M-3</t>
  </si>
  <si>
    <t>Aden</t>
  </si>
  <si>
    <t>3 mounds, in plaza arrangement, Marksville, Baytown, Coles Creek, Mississippian</t>
  </si>
  <si>
    <t>22-M-4</t>
  </si>
  <si>
    <t>Blanton</t>
  </si>
  <si>
    <t>1 mounds, shell tempered pottery, Mississippian</t>
  </si>
  <si>
    <t>22-M-5</t>
  </si>
  <si>
    <t>Haynes Bluff</t>
  </si>
  <si>
    <t xml:space="preserve">4 mounds - 1 rect, 3 conical, in plaza arrangment Baytown, Coles Creek, Mississippian, </t>
  </si>
  <si>
    <t>Phillips 1970; Williams and Brain 1983:415</t>
  </si>
  <si>
    <t>D-A</t>
  </si>
  <si>
    <t>22-M-6</t>
  </si>
  <si>
    <t>Manny</t>
  </si>
  <si>
    <t>4 large mounds in plaza arrangement, 2 rect, 1 with ramp, 2 indeterminate, Marksville, Baytown, Coles Creek, Mississippian</t>
  </si>
  <si>
    <t>F-B</t>
  </si>
  <si>
    <t>22-M-7</t>
  </si>
  <si>
    <t>Johnson</t>
  </si>
  <si>
    <t>"group of house mounds", Baytown, Mississippian.</t>
  </si>
  <si>
    <t>22-M-8</t>
  </si>
  <si>
    <t>Hardee</t>
  </si>
  <si>
    <t>3 mounds, 1 rect. Pyramid mound with ramp, 2 other mounds, possible 'serpentine earthwork', Mississippian</t>
  </si>
  <si>
    <t>22-N-1</t>
  </si>
  <si>
    <t xml:space="preserve">Leist </t>
  </si>
  <si>
    <t xml:space="preserve">Large platform, conical (3 mounds in total), semicircular embankement, Marksville, Baytown, Deasonville, Coles Creek, Mississippian </t>
  </si>
  <si>
    <t>22-N-10</t>
  </si>
  <si>
    <t>Landrum</t>
  </si>
  <si>
    <t>1 small conical mound and village site, Baytown, Coles Creek, Mississippian</t>
  </si>
  <si>
    <t>22-N-11</t>
  </si>
  <si>
    <t>Friedlander</t>
  </si>
  <si>
    <t>single mound - no other data</t>
  </si>
  <si>
    <t>22-N-12</t>
  </si>
  <si>
    <t>Harworth</t>
  </si>
  <si>
    <t>Shell midden, Deasonville</t>
  </si>
  <si>
    <t>22-N-13</t>
  </si>
  <si>
    <t>Trammel</t>
  </si>
  <si>
    <t>3 mounds, conical, Baytown, Coles Creek, Marksville, Anderson Landing</t>
  </si>
  <si>
    <t>22-N-14</t>
  </si>
  <si>
    <t>Little Spanish Fort</t>
  </si>
  <si>
    <t xml:space="preserve">Semicicular enclosure, embankment, Baytown, coles Creek, Mulberry Creek, Deasonville, Mississippian. </t>
  </si>
  <si>
    <t>E-B</t>
  </si>
  <si>
    <t>22-N-15</t>
  </si>
  <si>
    <t>Anthony's Fork</t>
  </si>
  <si>
    <t xml:space="preserve">Small midden with 0 mounds. Marksville, Baytown, Larto Red, Mulberry Creek, Issaquena </t>
  </si>
  <si>
    <t>22-N-16</t>
  </si>
  <si>
    <t>Hollis</t>
  </si>
  <si>
    <t>Single mound, clay tempered pottery</t>
  </si>
  <si>
    <t>22-N-17</t>
  </si>
  <si>
    <t>Cowan</t>
  </si>
  <si>
    <t>3 patches of shell midden. Mazique Incised pottery, Coles Creek</t>
  </si>
  <si>
    <t>22-N-18</t>
  </si>
  <si>
    <t>Kitterman</t>
  </si>
  <si>
    <t>small shell midden. Baytown, Coles creek.</t>
  </si>
  <si>
    <t>22-N-19</t>
  </si>
  <si>
    <t>Russell</t>
  </si>
  <si>
    <t>Historic?</t>
  </si>
  <si>
    <t>22-N-20</t>
  </si>
  <si>
    <t>Mengel</t>
  </si>
  <si>
    <t>Midden/small house mound, Coles Creek</t>
  </si>
  <si>
    <t>22-N-21</t>
  </si>
  <si>
    <t>Gammel</t>
  </si>
  <si>
    <t>2, maybe 3 mounds, rectangular, Baytown, Coles Creek, Mississipian pottery</t>
  </si>
  <si>
    <t>22-N-22</t>
  </si>
  <si>
    <t>Evans</t>
  </si>
  <si>
    <t>slight rise, sandy textured sherds, incision/cordmarking</t>
  </si>
  <si>
    <t>17-O-19  </t>
  </si>
  <si>
    <t>17-O-20  </t>
  </si>
  <si>
    <t>17-O-21  </t>
  </si>
  <si>
    <t>17-O-22  </t>
  </si>
  <si>
    <t>17-O-23  </t>
  </si>
  <si>
    <t>17-O-24  </t>
  </si>
  <si>
    <t>17-O-25  </t>
  </si>
  <si>
    <t>17-P-1  </t>
  </si>
  <si>
    <t>17-P-2  </t>
  </si>
  <si>
    <t>17-P-3  </t>
  </si>
  <si>
    <t>17-P-4  </t>
  </si>
  <si>
    <t>17-P-5  </t>
  </si>
  <si>
    <t>17-P-6  </t>
  </si>
  <si>
    <t>17-P-7  </t>
  </si>
  <si>
    <t>17-P-8  </t>
  </si>
  <si>
    <t>17-P-9  </t>
  </si>
  <si>
    <t>17-P-10  </t>
  </si>
  <si>
    <t>17-P-11  </t>
  </si>
  <si>
    <t>17-P-12  </t>
  </si>
  <si>
    <t>18-J-1  </t>
  </si>
  <si>
    <t>18-J-2  </t>
  </si>
  <si>
    <t>18-J-3  </t>
  </si>
  <si>
    <t>18-J-4  </t>
  </si>
  <si>
    <t>18-K-1  </t>
  </si>
  <si>
    <t>18-K-2  </t>
  </si>
  <si>
    <t>18-K-3  </t>
  </si>
  <si>
    <t>18-K-4  </t>
  </si>
  <si>
    <t>18-K-5  </t>
  </si>
  <si>
    <t>18-K-7  </t>
  </si>
  <si>
    <t>18-K-8  </t>
  </si>
  <si>
    <t>18-L-1  </t>
  </si>
  <si>
    <t>18-L-2  </t>
  </si>
  <si>
    <t>18-L-3  </t>
  </si>
  <si>
    <t>18-L-4  </t>
  </si>
  <si>
    <t>18-L-6  </t>
  </si>
  <si>
    <t>18-L-7  </t>
  </si>
  <si>
    <t>18-L-8  </t>
  </si>
  <si>
    <t>18-L-9  </t>
  </si>
  <si>
    <t>18-L-10  </t>
  </si>
  <si>
    <t>18-M-1  </t>
  </si>
  <si>
    <t>18-M-2  </t>
  </si>
  <si>
    <t>18-M-3  </t>
  </si>
  <si>
    <t>18-M-4  </t>
  </si>
  <si>
    <t>18-M-5  </t>
  </si>
  <si>
    <t>18-M-6  </t>
  </si>
  <si>
    <t>18-M-7  </t>
  </si>
  <si>
    <t>18-M-8  </t>
  </si>
  <si>
    <t>18-M-9  </t>
  </si>
  <si>
    <t>18-M-10  </t>
  </si>
  <si>
    <t>18-M-11  </t>
  </si>
  <si>
    <t>18-M-12  </t>
  </si>
  <si>
    <t>18-M-13  </t>
  </si>
  <si>
    <t>18-M-14  </t>
  </si>
  <si>
    <t>18-M-15  </t>
  </si>
  <si>
    <t>18-M-16  </t>
  </si>
  <si>
    <t>18-M-17  </t>
  </si>
  <si>
    <t>18-M-18  </t>
  </si>
  <si>
    <t>18-M-19  </t>
  </si>
  <si>
    <t>18-M-20  </t>
  </si>
  <si>
    <t>18-M-21  </t>
  </si>
  <si>
    <t>18-M-22  </t>
  </si>
  <si>
    <t>18-M-23  </t>
  </si>
  <si>
    <t>18-M-24  </t>
  </si>
  <si>
    <t>18-N-1  </t>
  </si>
  <si>
    <t>18-N-2  </t>
  </si>
  <si>
    <t>18-N-3  </t>
  </si>
  <si>
    <t>18-N-4  </t>
  </si>
  <si>
    <t>18-N-5  </t>
  </si>
  <si>
    <t>18-N-6  </t>
  </si>
  <si>
    <t>18-N-7  </t>
  </si>
  <si>
    <t>18-N-8  </t>
  </si>
  <si>
    <t>18-N-9  </t>
  </si>
  <si>
    <t>18-N-10  </t>
  </si>
  <si>
    <t>18-N-11  </t>
  </si>
  <si>
    <t>18-N-12  </t>
  </si>
  <si>
    <t>18-N-13  </t>
  </si>
  <si>
    <t>18-N-14  </t>
  </si>
  <si>
    <t>18-N-15  </t>
  </si>
  <si>
    <t>18-N-16  </t>
  </si>
  <si>
    <t>18-N-17  </t>
  </si>
  <si>
    <t>18-N-18  </t>
  </si>
  <si>
    <t>18-N-19  </t>
  </si>
  <si>
    <t>18-N-20  </t>
  </si>
  <si>
    <t>18-N-21  </t>
  </si>
  <si>
    <t>18-N-22  </t>
  </si>
  <si>
    <t>18-N-23  </t>
  </si>
  <si>
    <t>18-N-24  </t>
  </si>
  <si>
    <t>18-N-25  </t>
  </si>
  <si>
    <t>18-N-26  </t>
  </si>
  <si>
    <t>18-N-27  </t>
  </si>
  <si>
    <t>18-O-1  </t>
  </si>
  <si>
    <t>18-O-2  </t>
  </si>
  <si>
    <t>18-O-3  </t>
  </si>
  <si>
    <t>18-O-4  </t>
  </si>
  <si>
    <t>18-O-5  </t>
  </si>
  <si>
    <t>18-O-6  </t>
  </si>
  <si>
    <t>18-P-1  </t>
  </si>
  <si>
    <t>18-P-2  </t>
  </si>
  <si>
    <t>18-P-3  </t>
  </si>
  <si>
    <t>18-P-4  </t>
  </si>
  <si>
    <t>18-P-5  </t>
  </si>
  <si>
    <t>18-P-6  </t>
  </si>
  <si>
    <t>18-P-7  </t>
  </si>
  <si>
    <t>18-P-8  </t>
  </si>
  <si>
    <t>18-P-9  </t>
  </si>
  <si>
    <t>18-P-10  </t>
  </si>
  <si>
    <t>18-P-11  </t>
  </si>
  <si>
    <t>18-P-12  </t>
  </si>
  <si>
    <t>19-G-1  </t>
  </si>
  <si>
    <t>19-G-2  </t>
  </si>
  <si>
    <t>19-G-3  </t>
  </si>
  <si>
    <t>19-G-4  </t>
  </si>
  <si>
    <t>19-G-5  </t>
  </si>
  <si>
    <t>19-G-6  </t>
  </si>
  <si>
    <t>19-G-7  </t>
  </si>
  <si>
    <t>19-K-1  </t>
  </si>
  <si>
    <t>19-L-1  </t>
  </si>
  <si>
    <t>19-L-2  </t>
  </si>
  <si>
    <t>19-L-3  </t>
  </si>
  <si>
    <t>19-L-4  </t>
  </si>
  <si>
    <t>19-L-5  </t>
  </si>
  <si>
    <t>19-L-6  </t>
  </si>
  <si>
    <t>19-L-7  </t>
  </si>
  <si>
    <t>19-L-8  </t>
  </si>
  <si>
    <t>19-L-9  </t>
  </si>
  <si>
    <t>19-L-10  </t>
  </si>
  <si>
    <t>19-M-1  </t>
  </si>
  <si>
    <t>19-M-2  </t>
  </si>
  <si>
    <t>19-M-3  </t>
  </si>
  <si>
    <t>19-M-4  </t>
  </si>
  <si>
    <t>19-M-5  </t>
  </si>
  <si>
    <t>19-M-6  </t>
  </si>
  <si>
    <t>19-M-7  </t>
  </si>
  <si>
    <t>19-M-8  </t>
  </si>
  <si>
    <t>19-M-9  </t>
  </si>
  <si>
    <t>19-M-10  </t>
  </si>
  <si>
    <t>19-M-11  </t>
  </si>
  <si>
    <t>19-M-12  </t>
  </si>
  <si>
    <t>19-M-13  </t>
  </si>
  <si>
    <t>19-M-14  </t>
  </si>
  <si>
    <t>19-M-15  </t>
  </si>
  <si>
    <t>19-M-16  </t>
  </si>
  <si>
    <t>19-M-17  </t>
  </si>
  <si>
    <t>19-M-18  </t>
  </si>
  <si>
    <t>19-M-19  </t>
  </si>
  <si>
    <t>19-M-20  </t>
  </si>
  <si>
    <t>19-M-21  </t>
  </si>
  <si>
    <t>19-M-22  </t>
  </si>
  <si>
    <t>19-M-23  </t>
  </si>
  <si>
    <t>19-N-1  </t>
  </si>
  <si>
    <t>16-N-34  </t>
  </si>
  <si>
    <t>16-N-35  </t>
  </si>
  <si>
    <t>16-O-1  </t>
  </si>
  <si>
    <t>16-O-2  </t>
  </si>
  <si>
    <t>16-O-3  </t>
  </si>
  <si>
    <t>16-O-4  </t>
  </si>
  <si>
    <t>16-O-5  </t>
  </si>
  <si>
    <t>16-O-6  </t>
  </si>
  <si>
    <t>16-O-7  </t>
  </si>
  <si>
    <t>16-O-8  </t>
  </si>
  <si>
    <t>16-O-9  </t>
  </si>
  <si>
    <t>16-O-10  </t>
  </si>
  <si>
    <t>16-O-11  </t>
  </si>
  <si>
    <t>16-O-12  </t>
  </si>
  <si>
    <t>16-O-13  </t>
  </si>
  <si>
    <t>16-O-14  </t>
  </si>
  <si>
    <t>16-O-15  </t>
  </si>
  <si>
    <t>16-O-16  </t>
  </si>
  <si>
    <t>16-O-17  </t>
  </si>
  <si>
    <t>16-O-18  </t>
  </si>
  <si>
    <t>16-O-19  </t>
  </si>
  <si>
    <t>16-O-20  </t>
  </si>
  <si>
    <t>16-O-21  </t>
  </si>
  <si>
    <t>16-O-22  </t>
  </si>
  <si>
    <t>16-O-23  </t>
  </si>
  <si>
    <t>16-O-24  </t>
  </si>
  <si>
    <t>16-O-25  </t>
  </si>
  <si>
    <t>16-O-26  </t>
  </si>
  <si>
    <t>16-O-27  </t>
  </si>
  <si>
    <t>16-O-28  </t>
  </si>
  <si>
    <t>16-O-29  </t>
  </si>
  <si>
    <t>16-P-1  </t>
  </si>
  <si>
    <t>16-P-2  </t>
  </si>
  <si>
    <t>16-P-3  </t>
  </si>
  <si>
    <t>16-P-4  </t>
  </si>
  <si>
    <t>16-P-5  </t>
  </si>
  <si>
    <t>16-P-6  </t>
  </si>
  <si>
    <t>16-P-7  </t>
  </si>
  <si>
    <t>16-P-8  </t>
  </si>
  <si>
    <t>16-P-9  </t>
  </si>
  <si>
    <t>16-P-11  </t>
  </si>
  <si>
    <t>16-P-12  </t>
  </si>
  <si>
    <t>16-P-13  </t>
  </si>
  <si>
    <t>16-P-14  </t>
  </si>
  <si>
    <t>16-P-15  </t>
  </si>
  <si>
    <t>16-P-16  </t>
  </si>
  <si>
    <t>16-P-17  </t>
  </si>
  <si>
    <t>16-P-18  </t>
  </si>
  <si>
    <t>17-J-1  </t>
  </si>
  <si>
    <t>17-J-2  </t>
  </si>
  <si>
    <t>17-J-3  </t>
  </si>
  <si>
    <t>17-J-4  </t>
  </si>
  <si>
    <t>17-J-5  </t>
  </si>
  <si>
    <t>17-K-1  </t>
  </si>
  <si>
    <t>17-K-2  </t>
  </si>
  <si>
    <t>17-K-3  </t>
  </si>
  <si>
    <t>17-K-4  </t>
  </si>
  <si>
    <t>17-K-5  </t>
  </si>
  <si>
    <t>17-K-6  </t>
  </si>
  <si>
    <t>17-K-7  </t>
  </si>
  <si>
    <t>17-K-8  </t>
  </si>
  <si>
    <t>17-K-9  </t>
  </si>
  <si>
    <t>17-L-1  </t>
  </si>
  <si>
    <t>17-L-2  </t>
  </si>
  <si>
    <t>17-L-3  </t>
  </si>
  <si>
    <t>17-L-4  </t>
  </si>
  <si>
    <t>17-L-5  </t>
  </si>
  <si>
    <t>17-L-6  </t>
  </si>
  <si>
    <t>17-L-7  </t>
  </si>
  <si>
    <t>17-M-1  </t>
  </si>
  <si>
    <t>17-M-2  </t>
  </si>
  <si>
    <t>17-M-3  </t>
  </si>
  <si>
    <t>17-M-4  </t>
  </si>
  <si>
    <t>17-M-5  </t>
  </si>
  <si>
    <t>17-M-6  </t>
  </si>
  <si>
    <t>17-M-7  </t>
  </si>
  <si>
    <t>17-M-8  </t>
  </si>
  <si>
    <t>17-M-9  </t>
  </si>
  <si>
    <t>17-M-10  </t>
  </si>
  <si>
    <t>17-M-11  </t>
  </si>
  <si>
    <t>17-M-12  </t>
  </si>
  <si>
    <t>17-M-13  </t>
  </si>
  <si>
    <t>17-M-14  </t>
  </si>
  <si>
    <t>17-M-15  </t>
  </si>
  <si>
    <t>17-M-16  </t>
  </si>
  <si>
    <t>17-M-17  </t>
  </si>
  <si>
    <t>17-M-18  </t>
  </si>
  <si>
    <t>17-M-19  </t>
  </si>
  <si>
    <t>17-M-20  </t>
  </si>
  <si>
    <t>17-M-21  </t>
  </si>
  <si>
    <t>17-M-22  </t>
  </si>
  <si>
    <t>17-M-23  </t>
  </si>
  <si>
    <t>17-M-24  </t>
  </si>
  <si>
    <t>17-M-25  </t>
  </si>
  <si>
    <t>17-M-26  </t>
  </si>
  <si>
    <t>17-M-27  </t>
  </si>
  <si>
    <t>17-M-28  </t>
  </si>
  <si>
    <t>17-M-29  </t>
  </si>
  <si>
    <t>17-M-30  </t>
  </si>
  <si>
    <t>17-M-31  </t>
  </si>
  <si>
    <t>17-N-1  </t>
  </si>
  <si>
    <t>17-N-2  </t>
  </si>
  <si>
    <t>17-N-3  </t>
  </si>
  <si>
    <t>17-N-4  </t>
  </si>
  <si>
    <t>17-N-5  </t>
  </si>
  <si>
    <t>17-N-6  </t>
  </si>
  <si>
    <t>17-N-7  </t>
  </si>
  <si>
    <t>17-N-8  </t>
  </si>
  <si>
    <t>17-N-9  </t>
  </si>
  <si>
    <t>17-N-10  </t>
  </si>
  <si>
    <t>17-N-11  </t>
  </si>
  <si>
    <t>17-N-12  </t>
  </si>
  <si>
    <t>17-N-13  </t>
  </si>
  <si>
    <t>17-N-14  </t>
  </si>
  <si>
    <t>17-N-15  </t>
  </si>
  <si>
    <t>17-N-16  </t>
  </si>
  <si>
    <t>17-N-17  </t>
  </si>
  <si>
    <t>17-N-18  </t>
  </si>
  <si>
    <t>17-N-19  </t>
  </si>
  <si>
    <t>17-N-20  </t>
  </si>
  <si>
    <t>17-N-21  </t>
  </si>
  <si>
    <t>17-N-22  </t>
  </si>
  <si>
    <t>17-N-23  </t>
  </si>
  <si>
    <t>17-N-24  </t>
  </si>
  <si>
    <t>17-N-25  </t>
  </si>
  <si>
    <t>17-N-26  </t>
  </si>
  <si>
    <t>17-N-27  </t>
  </si>
  <si>
    <t>17-N-28  </t>
  </si>
  <si>
    <t>17-N-29  </t>
  </si>
  <si>
    <t>17-N-30  </t>
  </si>
  <si>
    <t>17-N-31  </t>
  </si>
  <si>
    <t>17-N-32  </t>
  </si>
  <si>
    <t>17-O-1  </t>
  </si>
  <si>
    <t>17-O-2  </t>
  </si>
  <si>
    <t>17-O-3  </t>
  </si>
  <si>
    <t>17-O-4  </t>
  </si>
  <si>
    <t>17-O-5  </t>
  </si>
  <si>
    <t>17-O-6  </t>
  </si>
  <si>
    <t>17-O-7  </t>
  </si>
  <si>
    <t>17-O-8  </t>
  </si>
  <si>
    <t>17-O-9  </t>
  </si>
  <si>
    <t>17-O-10  </t>
  </si>
  <si>
    <t>17-O-11  </t>
  </si>
  <si>
    <t>17-O-12  </t>
  </si>
  <si>
    <t>17-O-13  </t>
  </si>
  <si>
    <t>17-O-14  </t>
  </si>
  <si>
    <t>17-O-15  </t>
  </si>
  <si>
    <t>17-O-16  </t>
  </si>
  <si>
    <t>17-O-17  </t>
  </si>
  <si>
    <t>17-O-18  </t>
  </si>
  <si>
    <t>Jug Point 1</t>
  </si>
  <si>
    <t>Jones Lake North</t>
  </si>
  <si>
    <t>Eagle Lake Mounds</t>
  </si>
  <si>
    <t>Jug Point Cutoff</t>
  </si>
  <si>
    <t>Marie Saline</t>
  </si>
  <si>
    <t>Goulett Island</t>
  </si>
  <si>
    <t>Sulphur Springs Mound</t>
  </si>
  <si>
    <t>3UN75</t>
  </si>
  <si>
    <t>Watt's Field</t>
  </si>
  <si>
    <t>Currie</t>
  </si>
  <si>
    <t>Sweet Home Church</t>
  </si>
  <si>
    <t>Sumner Lane</t>
  </si>
  <si>
    <t>Wilson Brake</t>
  </si>
  <si>
    <t>Lee Roy Chance</t>
  </si>
  <si>
    <t>Thompson Brake</t>
  </si>
  <si>
    <t>Indian Switch</t>
  </si>
  <si>
    <t>Bloomfield Church [Ford #15  </t>
  </si>
  <si>
    <t>Dunham Place [Ford #1]</t>
  </si>
  <si>
    <t>Pullin Place [Ford #2]</t>
  </si>
  <si>
    <t>Tellas [Ford #3]</t>
  </si>
  <si>
    <t>Brown Place [Ford #4]</t>
  </si>
  <si>
    <t>Poole Place [Ford #5]</t>
  </si>
  <si>
    <t>Raygood [Ford #6]</t>
  </si>
  <si>
    <t>PJT [Ford #7]</t>
  </si>
  <si>
    <t>Green [Ford #8]</t>
  </si>
  <si>
    <t>Harold Green [Ford #9]</t>
  </si>
  <si>
    <t>Hamilton Place [Ford #10]</t>
  </si>
  <si>
    <t>Lester [Ford #11]</t>
  </si>
  <si>
    <t>Higgins Place [Ford #12]</t>
  </si>
  <si>
    <t>MacArthur [Ford #13]</t>
  </si>
  <si>
    <t>Cone Place [Ford #14]</t>
  </si>
  <si>
    <t>Unnamed [Ford #16]</t>
  </si>
  <si>
    <t>Linden</t>
  </si>
  <si>
    <t>Granicus Bayou</t>
  </si>
  <si>
    <t>Gibbs</t>
  </si>
  <si>
    <t>Alvin Morns Mounds</t>
  </si>
  <si>
    <t>Graymound Cemetery</t>
  </si>
  <si>
    <t>Bynum Mound</t>
  </si>
  <si>
    <t>Powell</t>
  </si>
  <si>
    <t>Molly</t>
  </si>
  <si>
    <t>Ead</t>
  </si>
  <si>
    <t>Meyer</t>
  </si>
  <si>
    <t>Louis T.</t>
  </si>
  <si>
    <t>Magee [Deer Creek]</t>
  </si>
  <si>
    <t>Mathews</t>
  </si>
  <si>
    <t>Leroy Percy</t>
  </si>
  <si>
    <t>Overby</t>
  </si>
  <si>
    <t>Nitta Yuma</t>
  </si>
  <si>
    <t>Delta City</t>
  </si>
  <si>
    <t>Story Landing</t>
  </si>
  <si>
    <t>New Haywood Landing</t>
  </si>
  <si>
    <t>Hotron</t>
  </si>
  <si>
    <t>Martin Lake</t>
  </si>
  <si>
    <t>Little Callao</t>
  </si>
  <si>
    <t>Fort Place [Lamkin]</t>
  </si>
  <si>
    <t>Atchafalaya Bayou [Holly]</t>
  </si>
  <si>
    <t>Grace's Plantation [Tchula Lake]</t>
  </si>
  <si>
    <t>Belle Prairie</t>
  </si>
  <si>
    <t>Stonewall Plantation</t>
  </si>
  <si>
    <t>Key</t>
  </si>
  <si>
    <t>Wise</t>
  </si>
  <si>
    <t>Peaster B</t>
  </si>
  <si>
    <t>Warfield</t>
  </si>
  <si>
    <t>Lundy</t>
  </si>
  <si>
    <t>Eagle Lake</t>
  </si>
  <si>
    <t>Gray Place</t>
  </si>
  <si>
    <t>Christmas Place</t>
  </si>
  <si>
    <t>Old Patterson Place</t>
  </si>
  <si>
    <t>Broome</t>
  </si>
  <si>
    <t>Dunlora Plantation</t>
  </si>
  <si>
    <t>Parrish</t>
  </si>
  <si>
    <t>Navigation</t>
  </si>
  <si>
    <t>Clifton</t>
  </si>
  <si>
    <t>Fannegusha</t>
  </si>
  <si>
    <t>McTheny [Moore's Mound Place]</t>
  </si>
  <si>
    <t>Bray</t>
  </si>
  <si>
    <t>Tew Lake Mounds</t>
  </si>
  <si>
    <t>3 small irregular mounds, Archaic</t>
  </si>
  <si>
    <t>Check airphoto - C shape?</t>
  </si>
  <si>
    <t>Check Airphoto</t>
  </si>
  <si>
    <t>3000 BC</t>
  </si>
  <si>
    <t>3 mounds (unknown - check LA records)</t>
  </si>
  <si>
    <t>16-N-1  </t>
  </si>
  <si>
    <t>16-N-2  </t>
  </si>
  <si>
    <t>16-N-3  </t>
  </si>
  <si>
    <t>16-N-4  </t>
  </si>
  <si>
    <t>16-N-5  </t>
  </si>
  <si>
    <t>16-N-6  </t>
  </si>
  <si>
    <t>16-N-7  </t>
  </si>
  <si>
    <t>16-N-8  </t>
  </si>
  <si>
    <t>16-N-9  </t>
  </si>
  <si>
    <t>16-N-10  </t>
  </si>
  <si>
    <t>16-N-11  </t>
  </si>
  <si>
    <t>16-N-12  </t>
  </si>
  <si>
    <t>16-N-13  </t>
  </si>
  <si>
    <t>16-N-14  </t>
  </si>
  <si>
    <t>16-N-15  </t>
  </si>
  <si>
    <t>16-N-16  </t>
  </si>
  <si>
    <t>16-N-17  </t>
  </si>
  <si>
    <t>16-N-18  </t>
  </si>
  <si>
    <t>16-N-19  </t>
  </si>
  <si>
    <t>16-N-20  </t>
  </si>
  <si>
    <t>16-N-21  </t>
  </si>
  <si>
    <t>16-N-22  </t>
  </si>
  <si>
    <t>16-N-23  </t>
  </si>
  <si>
    <t>16-N-24  </t>
  </si>
  <si>
    <t>16-N-25  </t>
  </si>
  <si>
    <t>16-N-26  </t>
  </si>
  <si>
    <t>16-N-27  </t>
  </si>
  <si>
    <t>16-N-28  </t>
  </si>
  <si>
    <t>16-N-29  </t>
  </si>
  <si>
    <t>16-N-30  </t>
  </si>
  <si>
    <t>16-N-31  </t>
  </si>
  <si>
    <t>16-N-32  </t>
  </si>
  <si>
    <t>16-N-33  </t>
  </si>
  <si>
    <t>28-H-14</t>
  </si>
  <si>
    <t>Lamartiniere</t>
  </si>
  <si>
    <t>Phiilips 1970</t>
  </si>
  <si>
    <t>28-H-10</t>
  </si>
  <si>
    <t>Av-25</t>
  </si>
  <si>
    <t>Baptiste</t>
  </si>
  <si>
    <t>Philips 1970; Ford 1936</t>
  </si>
  <si>
    <t>26-L-1</t>
  </si>
  <si>
    <t>Emerald Mound</t>
  </si>
  <si>
    <t>MS</t>
  </si>
  <si>
    <t>Abels Creek</t>
  </si>
  <si>
    <t>McClendon</t>
  </si>
  <si>
    <t>Wolfe</t>
  </si>
  <si>
    <t>Bellaire</t>
  </si>
  <si>
    <t>Jones</t>
  </si>
  <si>
    <t>Kelley</t>
  </si>
  <si>
    <t>Austin</t>
  </si>
  <si>
    <t>Perkins</t>
  </si>
  <si>
    <t>Shadyside Landing</t>
  </si>
  <si>
    <t>Richland</t>
  </si>
  <si>
    <t>Huntington Camp</t>
  </si>
  <si>
    <t>Hammett</t>
  </si>
  <si>
    <t>Williams Bayou</t>
  </si>
  <si>
    <t>Antioch</t>
  </si>
  <si>
    <t>Shaw</t>
  </si>
  <si>
    <t>Pecan Bayou</t>
  </si>
  <si>
    <t>Turnabout</t>
  </si>
  <si>
    <t>Boundary</t>
  </si>
  <si>
    <t>Gray</t>
  </si>
  <si>
    <t>Grapeland 1 &amp; 2</t>
  </si>
  <si>
    <t>Kelly</t>
  </si>
  <si>
    <t>Knox Bayou</t>
  </si>
  <si>
    <t>Kellum</t>
  </si>
  <si>
    <t>McDearman</t>
  </si>
  <si>
    <t>Keggler</t>
  </si>
  <si>
    <t>Porter Village</t>
  </si>
  <si>
    <t>Kittle</t>
  </si>
  <si>
    <t>Carroll Kelley</t>
  </si>
  <si>
    <t>Busey</t>
  </si>
  <si>
    <t>Cypress Thicket</t>
  </si>
  <si>
    <t>Marlow</t>
  </si>
  <si>
    <t>Marlow Cemetery</t>
  </si>
  <si>
    <t>Stephensville [Moorhead Bayou]</t>
  </si>
  <si>
    <t>Boyer Cemetery</t>
  </si>
  <si>
    <t>Asack [Darr Bayou]</t>
  </si>
  <si>
    <t>Waltonia</t>
  </si>
  <si>
    <t>New Salem</t>
  </si>
  <si>
    <t>Telstar</t>
  </si>
  <si>
    <t>Fig Tree</t>
  </si>
  <si>
    <t>Shackelford</t>
  </si>
  <si>
    <t>Jones Bayou</t>
  </si>
  <si>
    <t>Binson Lake</t>
  </si>
  <si>
    <t>Braswell</t>
  </si>
  <si>
    <t>St. James</t>
  </si>
  <si>
    <t>Cottondale</t>
  </si>
  <si>
    <t>Linsey</t>
  </si>
  <si>
    <t>Lancaster</t>
  </si>
  <si>
    <t>Lee</t>
  </si>
  <si>
    <t>Moore Lake</t>
  </si>
  <si>
    <t>Jack Leflore Place</t>
  </si>
  <si>
    <t>Stein</t>
  </si>
  <si>
    <t>Racetrack Landing</t>
  </si>
  <si>
    <t>Teoc Creek [Neil #1]</t>
  </si>
  <si>
    <t>Neil #3</t>
  </si>
  <si>
    <t>Betsy's Point</t>
  </si>
  <si>
    <t>McDaniels</t>
  </si>
  <si>
    <t>Pillow</t>
  </si>
  <si>
    <t>Kimbrough</t>
  </si>
  <si>
    <t>Green Lake</t>
  </si>
  <si>
    <t>Careyville Landing</t>
  </si>
  <si>
    <t>Pigeon Hill</t>
  </si>
  <si>
    <t>Boytt's Field</t>
  </si>
  <si>
    <t>Birdseye Slough</t>
  </si>
  <si>
    <t>Bangs Slough</t>
  </si>
  <si>
    <t>Bangs Slough Railroad Bridge</t>
  </si>
  <si>
    <t>Boydell</t>
  </si>
  <si>
    <t>Metcalfe</t>
  </si>
  <si>
    <t>Gloster Street Mound</t>
  </si>
  <si>
    <t>Lake Lee</t>
  </si>
  <si>
    <t>Wayside</t>
  </si>
  <si>
    <t>Leland [Avondale]</t>
  </si>
  <si>
    <t>Stoneville [Sherwood]</t>
  </si>
  <si>
    <t>Trivett</t>
  </si>
  <si>
    <t>Heads</t>
  </si>
  <si>
    <t>Helm</t>
  </si>
  <si>
    <t>Six Mile Bayou</t>
  </si>
  <si>
    <t>Randolph</t>
  </si>
  <si>
    <t>Bear Lake</t>
  </si>
  <si>
    <t>Big Ben</t>
  </si>
  <si>
    <t>Geneill</t>
  </si>
  <si>
    <t>Bogue Phalia</t>
  </si>
  <si>
    <t>Church</t>
  </si>
  <si>
    <t>Mosley</t>
  </si>
  <si>
    <t>Baird</t>
  </si>
  <si>
    <t>Woodburn</t>
  </si>
  <si>
    <t>Gumwood</t>
  </si>
  <si>
    <t>Sycamore</t>
  </si>
  <si>
    <t>Potter</t>
  </si>
  <si>
    <t>Gibson's Ridge</t>
  </si>
  <si>
    <t>Shell Ridge</t>
  </si>
  <si>
    <t>Barnett</t>
  </si>
  <si>
    <t>Heathman</t>
  </si>
  <si>
    <t>Nichols</t>
  </si>
  <si>
    <t>Montgomery Landing</t>
  </si>
  <si>
    <t>Middleton</t>
  </si>
  <si>
    <t>Gold Dust</t>
  </si>
  <si>
    <t>Oak Grove</t>
  </si>
  <si>
    <t>Four Mile</t>
  </si>
  <si>
    <t>Democrat Lake</t>
  </si>
  <si>
    <t>Murphey</t>
  </si>
  <si>
    <t>Pleasant Grove</t>
  </si>
  <si>
    <t>Cone</t>
  </si>
  <si>
    <t>Mosquito Lake</t>
  </si>
  <si>
    <t>Cockrell</t>
  </si>
  <si>
    <t>Itta Bena</t>
  </si>
  <si>
    <t>McIntyre</t>
  </si>
  <si>
    <t>Palusha Creek [Rising Sun]</t>
  </si>
  <si>
    <t>Roebuck</t>
  </si>
  <si>
    <t>Kimes</t>
  </si>
  <si>
    <t>Capt. Prince [Moore Place]</t>
  </si>
  <si>
    <t>Pine Bluff</t>
  </si>
  <si>
    <t>Stratton</t>
  </si>
  <si>
    <t>French</t>
  </si>
  <si>
    <t>Beaked Bird</t>
  </si>
  <si>
    <t>Scout</t>
  </si>
  <si>
    <t>Millstone Creek</t>
  </si>
  <si>
    <t>Valley View</t>
  </si>
  <si>
    <t>Turbo</t>
  </si>
  <si>
    <t>Big Mound Ridge</t>
  </si>
  <si>
    <t>Shallow Lake</t>
  </si>
  <si>
    <t>One Cypress Point</t>
  </si>
  <si>
    <t>False Indigo</t>
  </si>
  <si>
    <t>Jug Point 2</t>
  </si>
  <si>
    <t>Perry [Mhoon Landing, Johnson Place)</t>
  </si>
  <si>
    <t>McKinney Bayou</t>
  </si>
  <si>
    <t>West</t>
  </si>
  <si>
    <t>Kendall</t>
  </si>
  <si>
    <t>Mt. Nebo</t>
  </si>
  <si>
    <t>McPeak</t>
  </si>
  <si>
    <t>Mudd Lake</t>
  </si>
  <si>
    <t>Martin #1</t>
  </si>
  <si>
    <t>Boyd</t>
  </si>
  <si>
    <t>Cane Cr. Point [Coldwater]</t>
  </si>
  <si>
    <t>Veazley</t>
  </si>
  <si>
    <t>Arkabutla Cr.</t>
  </si>
  <si>
    <t>Coldwater</t>
  </si>
  <si>
    <t>Walt Robinson</t>
  </si>
  <si>
    <t>Hall</t>
  </si>
  <si>
    <t>Tinsley</t>
  </si>
  <si>
    <t>Elaine School</t>
  </si>
  <si>
    <t>Barney Mound</t>
  </si>
  <si>
    <t>Rogers Mound</t>
  </si>
  <si>
    <t>Parchman</t>
  </si>
  <si>
    <t>Montgomery [Carson Mound Group]</t>
  </si>
  <si>
    <t>Stovall [Carson Mound Group]</t>
  </si>
  <si>
    <t>Carson [Carson Mound Group]</t>
  </si>
  <si>
    <t>Vaught</t>
  </si>
  <si>
    <t>Craig</t>
  </si>
  <si>
    <t>Humber</t>
  </si>
  <si>
    <t>Fant</t>
  </si>
  <si>
    <t>Rudyard</t>
  </si>
  <si>
    <t>3CG0026</t>
  </si>
  <si>
    <t>Hood Place (B) 2</t>
  </si>
  <si>
    <t>3CG0042</t>
  </si>
  <si>
    <t>Cypress Tree</t>
  </si>
  <si>
    <t>3CG0051</t>
  </si>
  <si>
    <t>3CG0076</t>
  </si>
  <si>
    <t>Barnett's Dr. H.C. Farm</t>
  </si>
  <si>
    <t>3CG0085</t>
  </si>
  <si>
    <t>Hutchinson, Bowman</t>
  </si>
  <si>
    <t>3CG0087</t>
  </si>
  <si>
    <t>3CG0098</t>
  </si>
  <si>
    <t>3CG0111</t>
  </si>
  <si>
    <t>Carney, H.A. Farm</t>
  </si>
  <si>
    <t>3CG0115</t>
  </si>
  <si>
    <t>Craighead, Coy Hester #1</t>
  </si>
  <si>
    <t>3CG0152</t>
  </si>
  <si>
    <t>3CG0133</t>
  </si>
  <si>
    <t>Stevens #3</t>
  </si>
  <si>
    <t>3CG0158</t>
  </si>
  <si>
    <t>James #2</t>
  </si>
  <si>
    <t>3CG0137</t>
  </si>
  <si>
    <t>Stevens #7</t>
  </si>
  <si>
    <t>3CG0145</t>
  </si>
  <si>
    <t>Thomas #2</t>
  </si>
  <si>
    <t>3CG0165</t>
  </si>
  <si>
    <t>Fielder, H.B.</t>
  </si>
  <si>
    <t>3CG0148</t>
  </si>
  <si>
    <t>3CG0151</t>
  </si>
  <si>
    <t>3CG0185</t>
  </si>
  <si>
    <t>3CG0211</t>
  </si>
  <si>
    <t>3CG0192</t>
  </si>
  <si>
    <t>5/8 Miles South Of 3cg57</t>
  </si>
  <si>
    <t>3CG0212</t>
  </si>
  <si>
    <t>3CG0221</t>
  </si>
  <si>
    <t>Burris #5</t>
  </si>
  <si>
    <t>3CG0230</t>
  </si>
  <si>
    <t>3CG0233</t>
  </si>
  <si>
    <t>3CG0295</t>
  </si>
  <si>
    <t>Foreman #2</t>
  </si>
  <si>
    <t>3CG0306</t>
  </si>
  <si>
    <t>3CG0307</t>
  </si>
  <si>
    <t>3CG0328</t>
  </si>
  <si>
    <t>3CG0329</t>
  </si>
  <si>
    <t>3CG0337</t>
  </si>
  <si>
    <t>3CG0383</t>
  </si>
  <si>
    <t>Wood Chippin</t>
  </si>
  <si>
    <t>3CG0404</t>
  </si>
  <si>
    <t>Trouter</t>
  </si>
  <si>
    <t>3CG0482</t>
  </si>
  <si>
    <t>3CG0485</t>
  </si>
  <si>
    <t>3CG0500</t>
  </si>
  <si>
    <t>Mcfarlin</t>
  </si>
  <si>
    <t>3CG0503</t>
  </si>
  <si>
    <t>3CG0519</t>
  </si>
  <si>
    <t>3CG0772</t>
  </si>
  <si>
    <t>Oberman</t>
  </si>
  <si>
    <t>Phillips 1970:893</t>
  </si>
  <si>
    <t>Medley</t>
  </si>
  <si>
    <t>Phillips 1970:887</t>
  </si>
  <si>
    <t>26-K-1</t>
  </si>
  <si>
    <t>Natchez</t>
  </si>
  <si>
    <t>Phillips 1970:894</t>
  </si>
  <si>
    <t>5+</t>
  </si>
  <si>
    <t>25-K-9</t>
  </si>
  <si>
    <t>Sundown</t>
  </si>
  <si>
    <t>25-K-19</t>
  </si>
  <si>
    <t>Formosa</t>
  </si>
  <si>
    <t>25-J-15</t>
  </si>
  <si>
    <t>Kimbal</t>
  </si>
  <si>
    <t>24-J-9</t>
  </si>
  <si>
    <t>Canebrake</t>
  </si>
  <si>
    <t>24-J-32</t>
  </si>
  <si>
    <t>Egypt</t>
  </si>
  <si>
    <t>Very approximate</t>
  </si>
  <si>
    <t>24-J-3</t>
  </si>
  <si>
    <t>Harris</t>
  </si>
  <si>
    <t>23-K-3</t>
  </si>
  <si>
    <t>Indian Bayou</t>
  </si>
  <si>
    <t>24-J-27</t>
  </si>
  <si>
    <t>New Hope</t>
  </si>
  <si>
    <t>23-K-20</t>
  </si>
  <si>
    <t>Shepherd</t>
  </si>
  <si>
    <t>22-K-9</t>
  </si>
  <si>
    <t>Mackey</t>
  </si>
  <si>
    <t>22-L-3</t>
  </si>
  <si>
    <t>Transylvania</t>
  </si>
  <si>
    <t>6+</t>
  </si>
  <si>
    <t>22-K-17</t>
  </si>
  <si>
    <t>Stickley</t>
  </si>
  <si>
    <t>22-K-6</t>
  </si>
  <si>
    <t>21-K-2</t>
  </si>
  <si>
    <t>McIntosh</t>
  </si>
  <si>
    <t>23-K-8</t>
  </si>
  <si>
    <t>Lake Place</t>
  </si>
  <si>
    <t>23-L-10</t>
  </si>
  <si>
    <t>23-L-9</t>
  </si>
  <si>
    <t>Compton L.</t>
  </si>
  <si>
    <t>23-L-16</t>
  </si>
  <si>
    <t>Point Lake</t>
  </si>
  <si>
    <t>24-L-1</t>
  </si>
  <si>
    <t>Balmoral</t>
  </si>
  <si>
    <t>Phillips 1970; Williams and Brain 1983: 407</t>
  </si>
  <si>
    <t>24-M-1</t>
  </si>
  <si>
    <t>Yokena</t>
  </si>
  <si>
    <t>Marksville, Mississippian</t>
  </si>
  <si>
    <t>Phillips 1970;Williams and Brain 413-415</t>
  </si>
  <si>
    <t>27-H-6</t>
  </si>
  <si>
    <t>Camp Bayou</t>
  </si>
  <si>
    <t>28-H-8</t>
  </si>
  <si>
    <t>Saucier</t>
  </si>
  <si>
    <t>Caney Mounds</t>
  </si>
  <si>
    <t>Calhoun</t>
  </si>
  <si>
    <t>Old Orchard</t>
  </si>
  <si>
    <t>Lamarque Landing</t>
  </si>
  <si>
    <t>Cypress Grove</t>
  </si>
  <si>
    <t>Elkhorn</t>
  </si>
  <si>
    <t>Churupa Plantation</t>
  </si>
  <si>
    <t>Dunbarton</t>
  </si>
  <si>
    <t>Ballina</t>
  </si>
  <si>
    <t>Frogmore</t>
  </si>
  <si>
    <t>Turtle Lake</t>
  </si>
  <si>
    <t>Ferriday</t>
  </si>
  <si>
    <t>Section 35 Mound</t>
  </si>
  <si>
    <t>Section 2 Mound</t>
  </si>
  <si>
    <t>Haphazard</t>
  </si>
  <si>
    <t>Gin Lake</t>
  </si>
  <si>
    <t>Mt. Moriah Cemetery</t>
  </si>
  <si>
    <t>Anna [Robson]</t>
  </si>
  <si>
    <t>Fatherland</t>
  </si>
  <si>
    <t>Foster</t>
  </si>
  <si>
    <t>Quitman</t>
  </si>
  <si>
    <t>Trinity School</t>
  </si>
  <si>
    <t>Hoggatt</t>
  </si>
  <si>
    <t>Stockyard</t>
  </si>
  <si>
    <t>Corral Ridge</t>
  </si>
  <si>
    <t>Susie B. West</t>
  </si>
  <si>
    <t>Stoveleg</t>
  </si>
  <si>
    <t>George Ridge</t>
  </si>
  <si>
    <t>Tenant Row</t>
  </si>
  <si>
    <t>Brown's Folly</t>
  </si>
  <si>
    <t>K.B.S.</t>
  </si>
  <si>
    <t>International Paper</t>
  </si>
  <si>
    <t>Industrial Park</t>
  </si>
  <si>
    <t>Saragossa Bayou</t>
  </si>
  <si>
    <t>Hog Waller</t>
  </si>
  <si>
    <t>Village Sauvage</t>
  </si>
  <si>
    <t>Fort Farine?</t>
  </si>
  <si>
    <t>Hurricane</t>
  </si>
  <si>
    <t>Rule's</t>
  </si>
  <si>
    <t>Friendship</t>
  </si>
  <si>
    <t>Assumption</t>
  </si>
  <si>
    <t>Pine Ridge</t>
  </si>
  <si>
    <t>Rands</t>
  </si>
  <si>
    <t>Greenlawn</t>
  </si>
  <si>
    <t>Pinecrest Place</t>
  </si>
  <si>
    <t>Schuchs</t>
  </si>
  <si>
    <t>Hardscrabble</t>
  </si>
  <si>
    <t>Grafton Heights</t>
  </si>
  <si>
    <t>Jamison</t>
  </si>
  <si>
    <t>M. T. Seale</t>
  </si>
  <si>
    <t>Big James</t>
  </si>
  <si>
    <t>Missed One</t>
  </si>
  <si>
    <t>Sam Early</t>
  </si>
  <si>
    <t>Painter's Cemetery</t>
  </si>
  <si>
    <t>Donaldson</t>
  </si>
  <si>
    <t>Junkin Ridge</t>
  </si>
  <si>
    <t>Montpelier</t>
  </si>
  <si>
    <t>Ratcliffe</t>
  </si>
  <si>
    <t>Bull Ridge</t>
  </si>
  <si>
    <t>Bowsman</t>
  </si>
  <si>
    <t>Sylvan Glade</t>
  </si>
  <si>
    <t>Lost Gate</t>
  </si>
  <si>
    <t>Kurap</t>
  </si>
  <si>
    <t>Thunderhead</t>
  </si>
  <si>
    <t>Wet</t>
  </si>
  <si>
    <t>Bryandale</t>
  </si>
  <si>
    <t>Mount Pilgrim</t>
  </si>
  <si>
    <t>Levon</t>
  </si>
  <si>
    <t>Morrell</t>
  </si>
  <si>
    <t>Fort Dearborn</t>
  </si>
  <si>
    <t>Kaiser</t>
  </si>
  <si>
    <t>Niven</t>
  </si>
  <si>
    <t>Brahma</t>
  </si>
  <si>
    <t>Bullhead Bayou</t>
  </si>
  <si>
    <t>Piggly</t>
  </si>
  <si>
    <t>North</t>
  </si>
  <si>
    <t>Traceway</t>
  </si>
  <si>
    <t>Sardine</t>
  </si>
  <si>
    <t>Jefferson College</t>
  </si>
  <si>
    <t>Elmscourt</t>
  </si>
  <si>
    <t>Corncob</t>
  </si>
  <si>
    <t>Thoroughbred</t>
  </si>
  <si>
    <t>Languedoc Creek</t>
  </si>
  <si>
    <t>Trouble</t>
  </si>
  <si>
    <t>Natchez Under the Hill</t>
  </si>
  <si>
    <t>Bataan</t>
  </si>
  <si>
    <t>1-P-1  </t>
  </si>
  <si>
    <t>1-Q-1  </t>
  </si>
  <si>
    <t>1-Q-2  </t>
  </si>
  <si>
    <t>1-Q-3  </t>
  </si>
  <si>
    <t>1-Q-4  </t>
  </si>
  <si>
    <t>3-R-1  </t>
  </si>
  <si>
    <t>3-R-2  </t>
  </si>
  <si>
    <t>3-R-3  </t>
  </si>
  <si>
    <t>4-P-1  </t>
  </si>
  <si>
    <t>4-Q-1  </t>
  </si>
  <si>
    <t>4-Q-2  </t>
  </si>
  <si>
    <t>4-Q-3  </t>
  </si>
  <si>
    <t>4-Q-4  </t>
  </si>
  <si>
    <t>4-Q-5  </t>
  </si>
  <si>
    <t>4-Q-6  </t>
  </si>
  <si>
    <t>4-Q-7  </t>
  </si>
  <si>
    <t>Kings Landing</t>
  </si>
  <si>
    <t>Chandler Landing</t>
  </si>
  <si>
    <t>Little Eddy</t>
  </si>
  <si>
    <t>Old Wittsburg</t>
  </si>
  <si>
    <t>Bay Ferry</t>
  </si>
  <si>
    <t>Rhodes Place [Brackenseed Place]</t>
  </si>
  <si>
    <t>Chucalissa [Fuller or Shelby]</t>
  </si>
  <si>
    <t>Sudan Cemetery</t>
  </si>
  <si>
    <t>Kent Place</t>
  </si>
  <si>
    <t>Murdock Place [Walnut Bend]</t>
  </si>
  <si>
    <t>Whitehall</t>
  </si>
  <si>
    <t>Crook's Mound</t>
  </si>
  <si>
    <t>Hollywood [Bowdre]</t>
  </si>
  <si>
    <t>Sledge [Royal]</t>
  </si>
  <si>
    <t>Sycamore Bend</t>
  </si>
  <si>
    <t>Gum Pond</t>
  </si>
  <si>
    <t>Robinsville</t>
  </si>
  <si>
    <t>Walls [Harris]</t>
  </si>
  <si>
    <t>Cub Lake</t>
  </si>
  <si>
    <t>Union Hill</t>
  </si>
  <si>
    <t>Mt. Zion</t>
  </si>
  <si>
    <t>Walls Station</t>
  </si>
  <si>
    <t>Toltec</t>
  </si>
  <si>
    <t>Keo</t>
  </si>
  <si>
    <t>Webster's Camp</t>
  </si>
  <si>
    <t>Turner</t>
  </si>
  <si>
    <t>Bonner</t>
  </si>
  <si>
    <t>Forrest Place</t>
  </si>
  <si>
    <t>Reed</t>
  </si>
  <si>
    <t xml:space="preserve">Village site with rectangular platform mounds and small mounds in plaza arrangement - Note: Phillips 1970 believes this could be a "stock" platform. </t>
  </si>
  <si>
    <t>Bayou Dan</t>
  </si>
  <si>
    <t>Zeigler</t>
  </si>
  <si>
    <t>Jones Landing</t>
  </si>
  <si>
    <t>Eagle Island Landing</t>
  </si>
  <si>
    <t>Miles</t>
  </si>
  <si>
    <t>Big Brake</t>
  </si>
  <si>
    <t>Fish</t>
  </si>
  <si>
    <t>Joe McGee Mounds</t>
  </si>
  <si>
    <t>Wyant Bluff</t>
  </si>
  <si>
    <t>Cottingham Landing</t>
  </si>
  <si>
    <t>Oak Grove Landing</t>
  </si>
  <si>
    <t>McGee</t>
  </si>
  <si>
    <t>Egret</t>
  </si>
  <si>
    <t>White Feather</t>
  </si>
  <si>
    <t>Beagle</t>
  </si>
  <si>
    <t>Spillway</t>
  </si>
  <si>
    <t>Cattle Trough</t>
  </si>
  <si>
    <t>Baby Pine</t>
  </si>
  <si>
    <t>King Cemetery</t>
  </si>
  <si>
    <t>Pee Gee</t>
  </si>
  <si>
    <t>Grayson Bayou</t>
  </si>
  <si>
    <t>Deer Run</t>
  </si>
  <si>
    <t>Piddler</t>
  </si>
  <si>
    <t>Flowers Bayou</t>
  </si>
  <si>
    <t>Hicktom Lake</t>
  </si>
  <si>
    <t>Jones Bluff</t>
  </si>
  <si>
    <t>Coke Creek</t>
  </si>
  <si>
    <t>McGee Village</t>
  </si>
  <si>
    <t>Bayou Louis</t>
  </si>
  <si>
    <t>Guthrie Lake Mound</t>
  </si>
  <si>
    <t>Peck Village</t>
  </si>
  <si>
    <t>Peck Mounds</t>
  </si>
  <si>
    <t>Hedgeland</t>
  </si>
  <si>
    <t>Ditto Lake</t>
  </si>
  <si>
    <t>Alphenia</t>
  </si>
  <si>
    <t>Wildwood</t>
  </si>
  <si>
    <t>Hopeka</t>
  </si>
  <si>
    <t>Newman Place</t>
  </si>
  <si>
    <t>Francis Place</t>
  </si>
  <si>
    <t>Elfringham or Eltringham</t>
  </si>
  <si>
    <t>Hoover Lake</t>
  </si>
  <si>
    <t>Bixler</t>
  </si>
  <si>
    <t>Graves</t>
  </si>
  <si>
    <t>Hedgeland Landing</t>
  </si>
  <si>
    <t>Jim Bodman ["Aleghna"] Mound</t>
  </si>
  <si>
    <t>Mound Plantation</t>
  </si>
  <si>
    <t>Cow Gap</t>
  </si>
  <si>
    <t>Avondale</t>
  </si>
  <si>
    <t>Delta Bridge</t>
  </si>
  <si>
    <t>Mayflower</t>
  </si>
  <si>
    <t>Aubrey</t>
  </si>
  <si>
    <t>Cooter Point</t>
  </si>
  <si>
    <t>St. Peter</t>
  </si>
  <si>
    <t>Azucena</t>
  </si>
  <si>
    <t>Steep Bayou</t>
  </si>
  <si>
    <t>Mackett Lake</t>
  </si>
  <si>
    <t>Black Lake</t>
  </si>
  <si>
    <t>Sophie Broke</t>
  </si>
  <si>
    <t>New China Grove</t>
  </si>
  <si>
    <t>Reno Brake</t>
  </si>
  <si>
    <t>Troy</t>
  </si>
  <si>
    <t>Wavertree Plantation</t>
  </si>
  <si>
    <t>St. Peter II</t>
  </si>
  <si>
    <t>Broad Lake</t>
  </si>
  <si>
    <t>Thistle Ridge</t>
  </si>
  <si>
    <t>Cross Keys</t>
  </si>
  <si>
    <t>Midway Plantation</t>
  </si>
  <si>
    <t>Wiley Cemetery</t>
  </si>
  <si>
    <t>Scott Watson</t>
  </si>
  <si>
    <t>Crimea</t>
  </si>
  <si>
    <t>Fox Lake</t>
  </si>
  <si>
    <t>Gretna Green</t>
  </si>
  <si>
    <t>Truly [Ferguson]</t>
  </si>
  <si>
    <t>Bradford</t>
  </si>
  <si>
    <t>Nall</t>
  </si>
  <si>
    <t>Frasier</t>
  </si>
  <si>
    <t>Field Mouse</t>
  </si>
  <si>
    <t>Traveler's Rest</t>
  </si>
  <si>
    <t>Intuition</t>
  </si>
  <si>
    <t>Piazza</t>
  </si>
  <si>
    <t>Petit Gulf</t>
  </si>
  <si>
    <t>Newsome</t>
  </si>
  <si>
    <t>Pahnka</t>
  </si>
  <si>
    <t>Laman</t>
  </si>
  <si>
    <t>Platforms</t>
  </si>
  <si>
    <t>Beesley</t>
  </si>
  <si>
    <t>Quickie</t>
  </si>
  <si>
    <t>Castle or Cassel</t>
  </si>
  <si>
    <t>Catledge</t>
  </si>
  <si>
    <t>Little Perry</t>
  </si>
  <si>
    <t>Big Perry</t>
  </si>
  <si>
    <t>Nosi Tear</t>
  </si>
  <si>
    <t>Centers Creek</t>
  </si>
  <si>
    <t>Bayou Pierre</t>
  </si>
  <si>
    <t>Curtis Mound</t>
  </si>
  <si>
    <t>Lookout</t>
  </si>
  <si>
    <t>O'Quinn</t>
  </si>
  <si>
    <t>Matheny</t>
  </si>
  <si>
    <t>St. Peters Church</t>
  </si>
  <si>
    <t>Water Well</t>
  </si>
  <si>
    <t>Mangum</t>
  </si>
  <si>
    <t>Rambeaux</t>
  </si>
  <si>
    <t>Kestner</t>
  </si>
  <si>
    <t>Fish Creek</t>
  </si>
  <si>
    <t>Blue Hole</t>
  </si>
  <si>
    <t>Big Creek</t>
  </si>
  <si>
    <t>Corn Bluff</t>
  </si>
  <si>
    <t>Hub Lake</t>
  </si>
  <si>
    <t>Teeter</t>
  </si>
  <si>
    <t>Paul Place</t>
  </si>
  <si>
    <t>Jones Creek</t>
  </si>
  <si>
    <t>Whatley</t>
  </si>
  <si>
    <t>Ed Chevalier Mound</t>
  </si>
  <si>
    <t>Crooks</t>
  </si>
  <si>
    <t>Picketts Island</t>
  </si>
  <si>
    <t>Old Rhinehart</t>
  </si>
  <si>
    <t>Troyville</t>
  </si>
  <si>
    <t>Watson Landing [Routon]</t>
  </si>
  <si>
    <t>Perrin</t>
  </si>
  <si>
    <t>Archie [Bennett]</t>
  </si>
  <si>
    <t>PFG 1951; Brown 1926;108-113; Thomas 1894:253-255; Connaway 1984:175</t>
  </si>
  <si>
    <t>15-N-9</t>
  </si>
  <si>
    <t>Vaught Mound</t>
  </si>
  <si>
    <t>Large platform mound</t>
  </si>
  <si>
    <t>15-O-1</t>
  </si>
  <si>
    <t>22-Co-504</t>
  </si>
  <si>
    <t>Salomon</t>
  </si>
  <si>
    <t>Large village site with large rectangular platform mounds and small mounds in plaza arrangement</t>
  </si>
  <si>
    <t>PFG 1951; Brown 1926:106; Connaway 1984:171; Brown 1977:27-31</t>
  </si>
  <si>
    <t>15-O-10</t>
  </si>
  <si>
    <t>Wilsford</t>
  </si>
  <si>
    <t>Village site with small rectangular platform mound and small mound</t>
  </si>
  <si>
    <t>15-O-12</t>
  </si>
  <si>
    <t>D'Orr</t>
  </si>
  <si>
    <t>15-O-13</t>
  </si>
  <si>
    <t>22Qu514</t>
  </si>
  <si>
    <t>Allison</t>
  </si>
  <si>
    <t>Village site with rectangular platform mound and small mounds</t>
  </si>
  <si>
    <t>15-O-14</t>
  </si>
  <si>
    <t>Youngblood</t>
  </si>
  <si>
    <t>15-O-15</t>
  </si>
  <si>
    <t>22Qu511</t>
  </si>
  <si>
    <t>Whiting</t>
  </si>
  <si>
    <t>15-O-16</t>
  </si>
  <si>
    <t>Tidwell</t>
  </si>
  <si>
    <t>Small mound in village site</t>
  </si>
  <si>
    <t>15-O-17</t>
  </si>
  <si>
    <t>Miller Place</t>
  </si>
  <si>
    <t>15-O-18</t>
  </si>
  <si>
    <t>Ware</t>
  </si>
  <si>
    <t>15-O-2</t>
  </si>
  <si>
    <t>22Co510</t>
  </si>
  <si>
    <t>Barbee</t>
  </si>
  <si>
    <t>15-O-3</t>
  </si>
  <si>
    <t>Maddux</t>
  </si>
  <si>
    <t>15-O-4</t>
  </si>
  <si>
    <t>22Co517</t>
  </si>
  <si>
    <t>Lula</t>
  </si>
  <si>
    <t>Large village site with large and small mound</t>
  </si>
  <si>
    <t>15-O-5</t>
  </si>
  <si>
    <t>Moon</t>
  </si>
  <si>
    <t>15-O-6</t>
  </si>
  <si>
    <t>Posey Mound</t>
  </si>
  <si>
    <t>Large village site with large rectangular platform mound and small mounds</t>
  </si>
  <si>
    <t>15-O-7</t>
  </si>
  <si>
    <t>22Co506</t>
  </si>
  <si>
    <t>Prowell</t>
  </si>
  <si>
    <t>Large village site with small mounds</t>
  </si>
  <si>
    <t>15-O-8</t>
  </si>
  <si>
    <t>22Co515</t>
  </si>
  <si>
    <t>Hull Brake</t>
  </si>
  <si>
    <t>15-P-1</t>
  </si>
  <si>
    <t>Thomas</t>
  </si>
  <si>
    <t>15-P-2</t>
  </si>
  <si>
    <t>22Qu507</t>
  </si>
  <si>
    <t>Taylor</t>
  </si>
  <si>
    <t>15-P-3</t>
  </si>
  <si>
    <t>22Pa513</t>
  </si>
  <si>
    <t>15-P-4</t>
  </si>
  <si>
    <t>22Pa514</t>
  </si>
  <si>
    <t>Corn Lake</t>
  </si>
  <si>
    <t>16-K-1</t>
  </si>
  <si>
    <t>3AR14</t>
  </si>
  <si>
    <t>Jones Place</t>
  </si>
  <si>
    <t>16-K-2</t>
  </si>
  <si>
    <t>3AR013</t>
  </si>
  <si>
    <t>Mill Bayou Prairie Mound</t>
  </si>
  <si>
    <t>Village site with small conical mound</t>
  </si>
  <si>
    <t>PFG 1951, Ford and Webb 1940</t>
  </si>
  <si>
    <t>16-K-3</t>
  </si>
  <si>
    <t>3AR27</t>
  </si>
  <si>
    <t>McGahhey</t>
  </si>
  <si>
    <t>16-L-1</t>
  </si>
  <si>
    <t>3AR010</t>
  </si>
  <si>
    <t>Bitely Place</t>
  </si>
  <si>
    <t>Square platform mound</t>
  </si>
  <si>
    <t>16-L-2</t>
  </si>
  <si>
    <t>Essex</t>
  </si>
  <si>
    <t>Rectangular platform mound</t>
  </si>
  <si>
    <t>16-L-3</t>
  </si>
  <si>
    <t>3AR009</t>
  </si>
  <si>
    <t>Stovall Mounds</t>
  </si>
  <si>
    <t>Village site with small house mounds</t>
  </si>
  <si>
    <t>16-L-4</t>
  </si>
  <si>
    <t>Brandenburg Place A</t>
  </si>
  <si>
    <t>Village site with two house mounds</t>
  </si>
  <si>
    <t>16-L-5</t>
  </si>
  <si>
    <t>Brandenburg Place B</t>
  </si>
  <si>
    <t>16-L-6</t>
  </si>
  <si>
    <t>Dupree</t>
  </si>
  <si>
    <t>16-M-1</t>
  </si>
  <si>
    <t>Avenue</t>
  </si>
  <si>
    <t>16-M-2</t>
  </si>
  <si>
    <t>Tomanelli</t>
  </si>
  <si>
    <t>Village site with large conical mound and small mounds</t>
  </si>
  <si>
    <t>16-M-3</t>
  </si>
  <si>
    <t>Yates</t>
  </si>
  <si>
    <t>Large village site with large mound and small mounds</t>
  </si>
  <si>
    <t>16-M-4</t>
  </si>
  <si>
    <t>Macedonia</t>
  </si>
  <si>
    <t>Rance Morgan</t>
  </si>
  <si>
    <t>Low flattop rectangular mound (early Miss?)</t>
  </si>
  <si>
    <t>Flattop</t>
  </si>
  <si>
    <t>3PH7</t>
  </si>
  <si>
    <t>Large village site with small mounds; linear village midden, burials, 1 meter high mound</t>
  </si>
  <si>
    <t>14-N-2</t>
  </si>
  <si>
    <t>Steagall</t>
  </si>
  <si>
    <t>14-N-3</t>
  </si>
  <si>
    <t>McCoullough Mound</t>
  </si>
  <si>
    <t>Large conical mound</t>
  </si>
  <si>
    <t>14-N-4</t>
  </si>
  <si>
    <t>Bowie Village</t>
  </si>
  <si>
    <t>14-N-5</t>
  </si>
  <si>
    <t>Coolidge Mound</t>
  </si>
  <si>
    <t>14-N-6</t>
  </si>
  <si>
    <t>Helena Crossing</t>
  </si>
  <si>
    <t>Large village site with large conical mounds</t>
  </si>
  <si>
    <t>PFG 1951; Ford 1963</t>
  </si>
  <si>
    <t>14-O-1</t>
  </si>
  <si>
    <t>Evansville</t>
  </si>
  <si>
    <t>Village site with large rectangular platform mound and small mound</t>
  </si>
  <si>
    <t>14-O-10</t>
  </si>
  <si>
    <t>22Tu520</t>
  </si>
  <si>
    <t>West Mounds</t>
  </si>
  <si>
    <t>Large village site with large rectangular platform mounds and small mound, plaza</t>
  </si>
  <si>
    <t>PFG 1951; Connaway 1984</t>
  </si>
  <si>
    <t>14-O-11</t>
  </si>
  <si>
    <t>Kendall Mound</t>
  </si>
  <si>
    <t>14-O-12</t>
  </si>
  <si>
    <t>Jepson</t>
  </si>
  <si>
    <t>14-O-13</t>
  </si>
  <si>
    <t>22Tu523</t>
  </si>
  <si>
    <t>Canon</t>
  </si>
  <si>
    <t>Large village site with large mound</t>
  </si>
  <si>
    <t>14-O-2</t>
  </si>
  <si>
    <t>Owens</t>
  </si>
  <si>
    <t>14-O-3</t>
  </si>
  <si>
    <t>Beaverdam</t>
  </si>
  <si>
    <t>14-O-4</t>
  </si>
  <si>
    <t>Large village site with large platform mound and small mound</t>
  </si>
  <si>
    <t>14-O-5</t>
  </si>
  <si>
    <t>McKinney Bayout</t>
  </si>
  <si>
    <t>Village Site</t>
  </si>
  <si>
    <t>14-O-6</t>
  </si>
  <si>
    <t>Johnson Cemetery</t>
  </si>
  <si>
    <t>14-O-7</t>
  </si>
  <si>
    <t>Oakwood Cemetery</t>
  </si>
  <si>
    <t>14-O-8</t>
  </si>
  <si>
    <t>22Tu501</t>
  </si>
  <si>
    <t>Dundee</t>
  </si>
  <si>
    <t>PFG 1951; Connaway 1984; Phillips 1970</t>
  </si>
  <si>
    <t>4</t>
  </si>
  <si>
    <t>14-O-9</t>
  </si>
  <si>
    <t>Norflett</t>
  </si>
  <si>
    <t>14-P-1</t>
  </si>
  <si>
    <t>McKane</t>
  </si>
  <si>
    <t>14-P-2</t>
  </si>
  <si>
    <t>Prichard</t>
  </si>
  <si>
    <t>Large village site and cemetery</t>
  </si>
  <si>
    <t>15-L-1</t>
  </si>
  <si>
    <t>3AR015</t>
  </si>
  <si>
    <t>Butler Mound</t>
  </si>
  <si>
    <t>Arkansas</t>
  </si>
  <si>
    <t>15-L-2</t>
  </si>
  <si>
    <t>Baytown</t>
  </si>
  <si>
    <t>Large village site with rectangular platform mound and small mounds in plaza arrangement</t>
  </si>
  <si>
    <t>15-M-1</t>
  </si>
  <si>
    <t>Tinsley Mound</t>
  </si>
  <si>
    <t>15-M-2</t>
  </si>
  <si>
    <t>Elaine</t>
  </si>
  <si>
    <t>15-M-3</t>
  </si>
  <si>
    <t>Elaine Consolidated School Mound</t>
  </si>
  <si>
    <t>15-M-4</t>
  </si>
  <si>
    <t>Crow</t>
  </si>
  <si>
    <t>15-M-5</t>
  </si>
  <si>
    <t>Vogel Mounds</t>
  </si>
  <si>
    <t>15-N-1</t>
  </si>
  <si>
    <t>Fitzhugh</t>
  </si>
  <si>
    <t>Village stie with small mounds</t>
  </si>
  <si>
    <t>15-N-10</t>
  </si>
  <si>
    <t>22-Co-502</t>
  </si>
  <si>
    <t>Dickerson</t>
  </si>
  <si>
    <t>Large village site with conical mound and small mound</t>
  </si>
  <si>
    <t>PFG 1951; Thomas 1894; Connaway 1984</t>
  </si>
  <si>
    <t>15-N-2</t>
  </si>
  <si>
    <t>Ellis</t>
  </si>
  <si>
    <t>15-N-3</t>
  </si>
  <si>
    <t>Old Town</t>
  </si>
  <si>
    <t>15-N-4</t>
  </si>
  <si>
    <t>Buie</t>
  </si>
  <si>
    <t>15-N-5</t>
  </si>
  <si>
    <t>Parchman Place</t>
  </si>
  <si>
    <t>Large village site with large and small platform mounds in plaza arrangement</t>
  </si>
  <si>
    <t>15-N-6</t>
  </si>
  <si>
    <t>15-N-7</t>
  </si>
  <si>
    <t>Stovall</t>
  </si>
  <si>
    <t>Large double conical mound</t>
  </si>
  <si>
    <t>15-N-8</t>
  </si>
  <si>
    <t>Carson Group</t>
  </si>
  <si>
    <t>Village site with large platform mound, large double conical mound and small mound.</t>
  </si>
  <si>
    <t xml:space="preserve">Ford 1936; Phillips 1970; Walker 1936; </t>
  </si>
  <si>
    <t>Yz 90</t>
  </si>
  <si>
    <t>Hudson Pl.</t>
  </si>
  <si>
    <t>Yz 91</t>
  </si>
  <si>
    <t>Greenhouse Pl.</t>
  </si>
  <si>
    <t>Ford 1936; Phillips 1970:873; Ford 1951: 113</t>
  </si>
  <si>
    <t>7</t>
  </si>
  <si>
    <t>300 ft</t>
  </si>
  <si>
    <t>Yz 93</t>
  </si>
  <si>
    <t>Neal Pl.</t>
  </si>
  <si>
    <t>Yz 94</t>
  </si>
  <si>
    <t>Prichard Ldg.</t>
  </si>
  <si>
    <t>Yz 95</t>
  </si>
  <si>
    <t>Peck Site</t>
  </si>
  <si>
    <t>Yz 96</t>
  </si>
  <si>
    <t>King Pl.</t>
  </si>
  <si>
    <t>Yz 97</t>
  </si>
  <si>
    <t>Yokena Site</t>
  </si>
  <si>
    <t>Yz 98</t>
  </si>
  <si>
    <t>Hill Pl.</t>
  </si>
  <si>
    <t>Yz 99</t>
  </si>
  <si>
    <t>Fredericks Pl.</t>
  </si>
  <si>
    <t>Yz 100</t>
  </si>
  <si>
    <t>McIntosh Pl.</t>
  </si>
  <si>
    <t>Yz 101</t>
  </si>
  <si>
    <t>Smithfield Pl.</t>
  </si>
  <si>
    <t>Yz 102</t>
  </si>
  <si>
    <t>Churupa Pl.</t>
  </si>
  <si>
    <t>Yz 103</t>
  </si>
  <si>
    <t>Marksville Site</t>
  </si>
  <si>
    <t>3AR12</t>
  </si>
  <si>
    <t>Moore Place</t>
  </si>
  <si>
    <t>AAS Records</t>
  </si>
  <si>
    <t>Large Mound and Village Site</t>
  </si>
  <si>
    <t>15-J-2</t>
  </si>
  <si>
    <t>3AR021</t>
  </si>
  <si>
    <t>Sycamore Lane Mound</t>
  </si>
  <si>
    <t>Small village site with one conical mound</t>
  </si>
  <si>
    <t>15-L-5</t>
  </si>
  <si>
    <t>3AR22</t>
  </si>
  <si>
    <t>McKewen Site</t>
  </si>
  <si>
    <t>Village site with mounds(s)</t>
  </si>
  <si>
    <t>15-J-5</t>
  </si>
  <si>
    <t>3AR023</t>
  </si>
  <si>
    <t>Blue Farm</t>
  </si>
  <si>
    <t>Small village site with one small mound, vegetable tempered sherds</t>
  </si>
  <si>
    <t>15-J-6</t>
  </si>
  <si>
    <t>3AR024</t>
  </si>
  <si>
    <t>Dabbs Site</t>
  </si>
  <si>
    <t>Small mound with vegetable tempered sherds</t>
  </si>
  <si>
    <t>3AR030</t>
  </si>
  <si>
    <t>Roland Mound</t>
  </si>
  <si>
    <t>Large midden mound, baytown pottery</t>
  </si>
  <si>
    <t>3AR031</t>
  </si>
  <si>
    <t>Mouth of La Grue</t>
  </si>
  <si>
    <t>Several midden mounds, C14 date of 1790 +/- 80 BP</t>
  </si>
  <si>
    <t>3AR032</t>
  </si>
  <si>
    <t>Indian Mound at Weber</t>
  </si>
  <si>
    <t>3AR034</t>
  </si>
  <si>
    <t>Prosperous Bayou</t>
  </si>
  <si>
    <t>Low midden mounds</t>
  </si>
  <si>
    <t>3AR037</t>
  </si>
  <si>
    <t>Hayes Mounds</t>
  </si>
  <si>
    <t>Belle Meade</t>
  </si>
  <si>
    <t>Large St. Francis type site with large platform mounds and small mounds in plaza arrangement</t>
  </si>
  <si>
    <t>13-O-6</t>
  </si>
  <si>
    <t>New Bethel</t>
  </si>
  <si>
    <t>Village site with large platform mound</t>
  </si>
  <si>
    <t>13-O-7</t>
  </si>
  <si>
    <t>Beck</t>
  </si>
  <si>
    <t>village site with mounds in plaza arrangement</t>
  </si>
  <si>
    <t>13-O-8</t>
  </si>
  <si>
    <t>Stoddard</t>
  </si>
  <si>
    <t>Village site with small conical mounds</t>
  </si>
  <si>
    <t>13-O-9</t>
  </si>
  <si>
    <t>Collins</t>
  </si>
  <si>
    <t>13-P-1</t>
  </si>
  <si>
    <t>Walls</t>
  </si>
  <si>
    <t>Village site and cemetery with mounds</t>
  </si>
  <si>
    <t>13-P-10</t>
  </si>
  <si>
    <t>Irby</t>
  </si>
  <si>
    <t>Large village site with small mound</t>
  </si>
  <si>
    <t>F-E + B-A</t>
  </si>
  <si>
    <t>13-P-11</t>
  </si>
  <si>
    <t>Woodlyn</t>
  </si>
  <si>
    <t>13-P-2</t>
  </si>
  <si>
    <t>Edgefield Mounds</t>
  </si>
  <si>
    <t>Two large conical mounds</t>
  </si>
  <si>
    <t>13-P-3</t>
  </si>
  <si>
    <t>Turkey Ridge</t>
  </si>
  <si>
    <t>Large Village site</t>
  </si>
  <si>
    <t>G-F</t>
  </si>
  <si>
    <t>13-P-4</t>
  </si>
  <si>
    <t>Dogwood Ridge</t>
  </si>
  <si>
    <t>Village site and cemetery</t>
  </si>
  <si>
    <t>13-P-5</t>
  </si>
  <si>
    <t>13-P-6</t>
  </si>
  <si>
    <t>Cheatham</t>
  </si>
  <si>
    <t>Village site with large rectangular platform mound</t>
  </si>
  <si>
    <t>13-P-7</t>
  </si>
  <si>
    <t>Norfolk</t>
  </si>
  <si>
    <t>13-P-8</t>
  </si>
  <si>
    <t>Lake Cormorant</t>
  </si>
  <si>
    <t>13-P-9</t>
  </si>
  <si>
    <t>Withers</t>
  </si>
  <si>
    <t>14-M-3</t>
  </si>
  <si>
    <t>Broom</t>
  </si>
  <si>
    <t>14-N-1</t>
  </si>
  <si>
    <t>Very large platform mound, plus smaller mound</t>
  </si>
  <si>
    <t>8-R-2</t>
  </si>
  <si>
    <t>Kinfolk Ridge</t>
  </si>
  <si>
    <t>Two mounds</t>
  </si>
  <si>
    <t>8-R-3</t>
  </si>
  <si>
    <t>Chute</t>
  </si>
  <si>
    <t>Mound. Maybe rectangular according to modern air photos</t>
  </si>
  <si>
    <t>Yz 1</t>
  </si>
  <si>
    <t>Chickachae</t>
  </si>
  <si>
    <t>Ford 1936</t>
  </si>
  <si>
    <t>LA-MS</t>
  </si>
  <si>
    <t>Village site with mound(s)</t>
  </si>
  <si>
    <t>irregular</t>
  </si>
  <si>
    <t>Yz 2</t>
  </si>
  <si>
    <t>Coosa</t>
  </si>
  <si>
    <t>Yz 3</t>
  </si>
  <si>
    <t>Nanih Waiya</t>
  </si>
  <si>
    <t>Yz 4</t>
  </si>
  <si>
    <t>Nick place</t>
  </si>
  <si>
    <t>Yz 5</t>
  </si>
  <si>
    <t>Fatherland Place</t>
  </si>
  <si>
    <t>Yz 6</t>
  </si>
  <si>
    <t>Foster Place</t>
  </si>
  <si>
    <t>Yz 7</t>
  </si>
  <si>
    <t>Natchez Fort</t>
  </si>
  <si>
    <t>Yz 8</t>
  </si>
  <si>
    <t>Smithport Landing</t>
  </si>
  <si>
    <t>Yz 9</t>
  </si>
  <si>
    <t>Jim Sinner Place</t>
  </si>
  <si>
    <t>Yz 10</t>
  </si>
  <si>
    <t>Ed Pease</t>
  </si>
  <si>
    <t>Yz 11</t>
  </si>
  <si>
    <t>Rock Bayou</t>
  </si>
  <si>
    <t>Yz 12</t>
  </si>
  <si>
    <t>Bod Hardy</t>
  </si>
  <si>
    <t>Yz 13</t>
  </si>
  <si>
    <t>Hy. Edwards</t>
  </si>
  <si>
    <t>Yz 14</t>
  </si>
  <si>
    <t>Maddox Place</t>
  </si>
  <si>
    <t>Yz 15</t>
  </si>
  <si>
    <t>Wilkinson Place</t>
  </si>
  <si>
    <t>Yz 16</t>
  </si>
  <si>
    <t>Arch Green</t>
  </si>
  <si>
    <t>Yz 17</t>
  </si>
  <si>
    <t>Yz 18</t>
  </si>
  <si>
    <t>Colbert Place</t>
  </si>
  <si>
    <t>Yz 19</t>
  </si>
  <si>
    <t>Harrison Bayou</t>
  </si>
  <si>
    <t>Yz 20</t>
  </si>
  <si>
    <t>Point Post Office</t>
  </si>
  <si>
    <t>Yz 24</t>
  </si>
  <si>
    <t>Pocahontas</t>
  </si>
  <si>
    <t>Yz 25</t>
  </si>
  <si>
    <t>Anna</t>
  </si>
  <si>
    <t>Yz 26</t>
  </si>
  <si>
    <t>Brans Camp</t>
  </si>
  <si>
    <t>Yz 27</t>
  </si>
  <si>
    <t>Lyons Bluff</t>
  </si>
  <si>
    <t>Yz 28</t>
  </si>
  <si>
    <t>Godfrey Smith</t>
  </si>
  <si>
    <t>Yz 33</t>
  </si>
  <si>
    <t>Hancock Pl</t>
  </si>
  <si>
    <t>Yz 34</t>
  </si>
  <si>
    <t>Hoag Pl</t>
  </si>
  <si>
    <t>Yz 35</t>
  </si>
  <si>
    <t>Ingersole Pl</t>
  </si>
  <si>
    <t>Yz 36</t>
  </si>
  <si>
    <t>Lightcap Pl</t>
  </si>
  <si>
    <t>Yz 37</t>
  </si>
  <si>
    <t>Lee Pl</t>
  </si>
  <si>
    <t>Yz 38</t>
  </si>
  <si>
    <t>Plymouth Bluff</t>
  </si>
  <si>
    <t>Yz 43</t>
  </si>
  <si>
    <t>Taylor Pl.</t>
  </si>
  <si>
    <t>Yz 44</t>
  </si>
  <si>
    <t>Walker Pl.</t>
  </si>
  <si>
    <t>Yz 48</t>
  </si>
  <si>
    <t>Reynolds Pl.</t>
  </si>
  <si>
    <t>Yz 50</t>
  </si>
  <si>
    <t>Gross Pl.</t>
  </si>
  <si>
    <t>Yz 51</t>
  </si>
  <si>
    <t>Deasonville v.s.</t>
  </si>
  <si>
    <t>Yz 52</t>
  </si>
  <si>
    <t>Christmas Pl.</t>
  </si>
  <si>
    <t>Yz 54</t>
  </si>
  <si>
    <t>L.M. Coody</t>
  </si>
  <si>
    <t>Yz 55</t>
  </si>
  <si>
    <t>Cowsert Pl.</t>
  </si>
  <si>
    <t>Yz 56</t>
  </si>
  <si>
    <t>Exum Pl.</t>
  </si>
  <si>
    <t>Yz 57</t>
  </si>
  <si>
    <t>Old Hoover</t>
  </si>
  <si>
    <t>Yz 58</t>
  </si>
  <si>
    <t>Lake View Pl.</t>
  </si>
  <si>
    <t>Yz 59</t>
  </si>
  <si>
    <t>McRae Pl.</t>
  </si>
  <si>
    <t>Yz 61</t>
  </si>
  <si>
    <t>Coles Creek</t>
  </si>
  <si>
    <t>Yz 62</t>
  </si>
  <si>
    <t>Billy Ldg.</t>
  </si>
  <si>
    <t>Yz 63</t>
  </si>
  <si>
    <t>James Smith</t>
  </si>
  <si>
    <t>Yz 64</t>
  </si>
  <si>
    <t>Hedgland Pl.</t>
  </si>
  <si>
    <t>Yz 65</t>
  </si>
  <si>
    <t>Ditto Pl.</t>
  </si>
  <si>
    <t>Yz 67</t>
  </si>
  <si>
    <t>Mazique Pl.</t>
  </si>
  <si>
    <t>Yz 69</t>
  </si>
  <si>
    <t>C.H. Neely Pl.</t>
  </si>
  <si>
    <t>Yz 70</t>
  </si>
  <si>
    <t>Rhinehart Site</t>
  </si>
  <si>
    <t>Yz 71</t>
  </si>
  <si>
    <t>Smith Creek</t>
  </si>
  <si>
    <t>Yz 72</t>
  </si>
  <si>
    <t>Stark Pl.</t>
  </si>
  <si>
    <t>Yz 73</t>
  </si>
  <si>
    <t>Truly Pl.</t>
  </si>
  <si>
    <t>Yz 74</t>
  </si>
  <si>
    <t>White Oak. Ladg.</t>
  </si>
  <si>
    <t>Yz 75</t>
  </si>
  <si>
    <t>Chevalier Md.</t>
  </si>
  <si>
    <t>Yz 76</t>
  </si>
  <si>
    <t>Picketts I.</t>
  </si>
  <si>
    <t>Yz 77</t>
  </si>
  <si>
    <t>Chase Pl.</t>
  </si>
  <si>
    <t>Yz 78</t>
  </si>
  <si>
    <t>Barfield Pl.</t>
  </si>
  <si>
    <t>Yz 79</t>
  </si>
  <si>
    <t>Beldoin Pl.</t>
  </si>
  <si>
    <t>Yz 80</t>
  </si>
  <si>
    <t>Wild Hog Md.</t>
  </si>
  <si>
    <t>Yz 81</t>
  </si>
  <si>
    <t>Marsden Pl.</t>
  </si>
  <si>
    <t>Yz 83</t>
  </si>
  <si>
    <t>Alphenia Lldg.</t>
  </si>
  <si>
    <t>Yz 84</t>
  </si>
  <si>
    <t>Sidney Biggs Pl.</t>
  </si>
  <si>
    <t>Yz 85</t>
  </si>
  <si>
    <t>Camp Bayou Md.</t>
  </si>
  <si>
    <t>Yz 86</t>
  </si>
  <si>
    <t>Dunbarton Pl.</t>
  </si>
  <si>
    <t>Yz 87</t>
  </si>
  <si>
    <t>Gorum Md.</t>
  </si>
  <si>
    <t>26-I-1</t>
  </si>
  <si>
    <t>Jonesville/Troysville</t>
  </si>
  <si>
    <t>Williams 1954, Beckwith 1898, Houck 1907; Adams and Walker 1942</t>
  </si>
  <si>
    <t>5-S-1b</t>
  </si>
  <si>
    <t>Charleston-2</t>
  </si>
  <si>
    <t>Williams 1954, Williams 1954</t>
  </si>
  <si>
    <t>5-S-4</t>
  </si>
  <si>
    <t>Sandy Woods</t>
  </si>
  <si>
    <t>Large rectangular village with wall and ditch enclosing 9 mounds</t>
  </si>
  <si>
    <t>Williams 1954, Rust 1877; Potter 1880; Chapman 1946; Williams 1949, O'Brien 2001</t>
  </si>
  <si>
    <t>5-S-6</t>
  </si>
  <si>
    <t>Meyer's Mound</t>
  </si>
  <si>
    <t>2 mounds, One large terraced platform mound</t>
  </si>
  <si>
    <t>Williams 1954, Thomas 1894</t>
  </si>
  <si>
    <t>5-T-1</t>
  </si>
  <si>
    <t>Crosno</t>
  </si>
  <si>
    <t>Large rectangular village and wall with platform mound</t>
  </si>
  <si>
    <t>Williams 1954, Houck 1907, O'Brien 2001</t>
  </si>
  <si>
    <t>5-T-6</t>
  </si>
  <si>
    <t>Wickliffe</t>
  </si>
  <si>
    <t>2 platform mounds and 8 other mounds</t>
  </si>
  <si>
    <t>6-Q-1</t>
  </si>
  <si>
    <t>Rich Woods</t>
  </si>
  <si>
    <t>Large ceremonial center with 35 mounds, no enclosure or ditch</t>
  </si>
  <si>
    <t>Williams 1954, Thomas 1894; Adams and Walker 1942</t>
  </si>
  <si>
    <t>6-Q-2</t>
  </si>
  <si>
    <t>County Line</t>
  </si>
  <si>
    <t>Debrato Mounds</t>
  </si>
  <si>
    <t>LA Mound Survey</t>
  </si>
  <si>
    <t>Concordia</t>
  </si>
  <si>
    <t xml:space="preserve">5 mounds </t>
  </si>
  <si>
    <t>600 AD</t>
  </si>
  <si>
    <t>1 flattop mound, marksville to plaqamine</t>
  </si>
  <si>
    <t>Churupa</t>
  </si>
  <si>
    <t>1 conindal mound, coles creek</t>
  </si>
  <si>
    <t>Mound Field</t>
  </si>
  <si>
    <t>Airphotos</t>
  </si>
  <si>
    <t>Semicircular enclosure, ditch, Marksville  - Found on airphotos</t>
  </si>
  <si>
    <t>Onward</t>
  </si>
  <si>
    <t>Semicircular enclosure, ditch and embankment, Marksville  - Found on airphotos</t>
  </si>
  <si>
    <t xml:space="preserve">two mounds, the modern airphoto suggests a ditch and enclosure… </t>
  </si>
  <si>
    <t>Williams 1954, Houck 1907</t>
  </si>
  <si>
    <t>7-R-3</t>
  </si>
  <si>
    <t>Estes</t>
  </si>
  <si>
    <t xml:space="preserve">Low mound, the modern airphoto suggests a ditch and enclosure… </t>
  </si>
  <si>
    <t>8-O-1</t>
  </si>
  <si>
    <t>Cockrum Landing</t>
  </si>
  <si>
    <t>Mound, now gone</t>
  </si>
  <si>
    <t>8-O-2</t>
  </si>
  <si>
    <t>Wilkins Island</t>
  </si>
  <si>
    <t>Mounds, now gone</t>
  </si>
  <si>
    <t>8-P-1</t>
  </si>
  <si>
    <t>Old Varney River</t>
  </si>
  <si>
    <t>1 burial mound, barnes and mississippian ceramics</t>
  </si>
  <si>
    <t>8-P-2</t>
  </si>
  <si>
    <t>Kennett</t>
  </si>
  <si>
    <t>1 large mound, sherds</t>
  </si>
  <si>
    <t>8-P-3</t>
  </si>
  <si>
    <t>23-DU-1</t>
  </si>
  <si>
    <t>Landgon</t>
  </si>
  <si>
    <t>yes</t>
  </si>
  <si>
    <t>Rectangular village with ditch. Pyramid mound.</t>
  </si>
  <si>
    <t>Williams 1954, Adams and Walker 1942; Dunnell 1998</t>
  </si>
  <si>
    <t>3+</t>
  </si>
  <si>
    <t>8-Q-3</t>
  </si>
  <si>
    <t>Canady</t>
  </si>
  <si>
    <t>Number of low mounds</t>
  </si>
  <si>
    <t>8-Q-4</t>
  </si>
  <si>
    <t>Persimmon Grove</t>
  </si>
  <si>
    <t>small mound with village debris</t>
  </si>
  <si>
    <t>8-Q-5</t>
  </si>
  <si>
    <t>Holland</t>
  </si>
  <si>
    <t>5 small mounds, willow leaf projectile points</t>
  </si>
  <si>
    <t>8-Q-7</t>
  </si>
  <si>
    <t>Cooter</t>
  </si>
  <si>
    <t>8-Q-8</t>
  </si>
  <si>
    <t>Frakes</t>
  </si>
  <si>
    <t>Little known - no map or descrption - one OTR sherd</t>
  </si>
  <si>
    <t>8-R-1</t>
  </si>
  <si>
    <t>Caruthersville</t>
  </si>
  <si>
    <t>4 mounds. Rectangular outline - looks like wall around it (modern air photo), wall around 3' high (BAE), large ound 150 diameter, 10 feet high, circular, mound 2 - 75 ft diameter, 6 feet high, 4 other mounds.</t>
  </si>
  <si>
    <t>12E</t>
  </si>
  <si>
    <t>23-SO-1</t>
  </si>
  <si>
    <t>Phillips 1970:877; LMS Files</t>
  </si>
  <si>
    <t>23-So-4</t>
  </si>
  <si>
    <t>24</t>
  </si>
  <si>
    <t>2 mounds, one rect. Platform. One conical. Walls (3 feet high), and rectangular shape. 2 mounds.</t>
  </si>
  <si>
    <t>Toga</t>
  </si>
  <si>
    <t>11E</t>
  </si>
  <si>
    <t>Sturts Place</t>
  </si>
  <si>
    <t>16</t>
  </si>
  <si>
    <t>4-R-2</t>
  </si>
  <si>
    <t>Obeumann</t>
  </si>
  <si>
    <t>Series of low mounds</t>
  </si>
  <si>
    <t>23-St-2</t>
  </si>
  <si>
    <t>15</t>
  </si>
  <si>
    <t>29N</t>
  </si>
  <si>
    <t>14E</t>
  </si>
  <si>
    <t>23-St-32</t>
  </si>
  <si>
    <t>Scott</t>
  </si>
  <si>
    <t>27N</t>
  </si>
  <si>
    <t xml:space="preserve">Tchula, sand blow and ridges. Sherds, flakes, burned clay objects (sand temper), clay ball. </t>
  </si>
  <si>
    <t>4-S-1</t>
  </si>
  <si>
    <t>Brushy Lake</t>
  </si>
  <si>
    <t>23-St-31</t>
  </si>
  <si>
    <t>33</t>
  </si>
  <si>
    <t>16S</t>
  </si>
  <si>
    <t>15E</t>
  </si>
  <si>
    <t>Village site along a steep bank</t>
  </si>
  <si>
    <t>4-S-2</t>
  </si>
  <si>
    <t>Lake Michigan</t>
  </si>
  <si>
    <t>Alexander</t>
  </si>
  <si>
    <t>Mound (unknown, but large)</t>
  </si>
  <si>
    <t>4-T-1</t>
  </si>
  <si>
    <t>Twin Mounds</t>
  </si>
  <si>
    <t>KY</t>
  </si>
  <si>
    <t>Ballard</t>
  </si>
  <si>
    <t>2 large platform rect. Mounds</t>
  </si>
  <si>
    <t>5-O-1</t>
  </si>
  <si>
    <t>5-O-2</t>
  </si>
  <si>
    <t>5-O-3</t>
  </si>
  <si>
    <t>5-O-4</t>
  </si>
  <si>
    <t>Poplar Bluff</t>
  </si>
  <si>
    <t>Green Point</t>
  </si>
  <si>
    <t>Piso Point</t>
  </si>
  <si>
    <t>22-J-1  </t>
  </si>
  <si>
    <t>22-J-2  </t>
  </si>
  <si>
    <t>22-J-3  </t>
  </si>
  <si>
    <t>22-J-4  </t>
  </si>
  <si>
    <t>22-J-5  </t>
  </si>
  <si>
    <t>22-J-6  </t>
  </si>
  <si>
    <t>22-J-7  </t>
  </si>
  <si>
    <t>22-J-8  </t>
  </si>
  <si>
    <t>22-J-9  </t>
  </si>
  <si>
    <t>22-J-10  </t>
  </si>
  <si>
    <t>22-J-11  </t>
  </si>
  <si>
    <t>22-J-12  </t>
  </si>
  <si>
    <t>22-J-13  </t>
  </si>
  <si>
    <t>22-J-14  </t>
  </si>
  <si>
    <t>22-J-15  </t>
  </si>
  <si>
    <t>22-J-16  </t>
  </si>
  <si>
    <t>22-J-17  </t>
  </si>
  <si>
    <t>22-J-18  </t>
  </si>
  <si>
    <t>22-J-19  </t>
  </si>
  <si>
    <t>22-J-20  </t>
  </si>
  <si>
    <t>22-J-21  </t>
  </si>
  <si>
    <t>22-J-22  </t>
  </si>
  <si>
    <t>22-J-24  </t>
  </si>
  <si>
    <t>22-J-25  </t>
  </si>
  <si>
    <t>22-J-26  </t>
  </si>
  <si>
    <t>22-J-27  </t>
  </si>
  <si>
    <t>22-J-28  </t>
  </si>
  <si>
    <t>22-J-29  </t>
  </si>
  <si>
    <t>22-J-30  </t>
  </si>
  <si>
    <t>22-J-31  </t>
  </si>
  <si>
    <t>22-J-32  </t>
  </si>
  <si>
    <t>22-J-33  </t>
  </si>
  <si>
    <t>22-J-34  </t>
  </si>
  <si>
    <t>22-J-35  </t>
  </si>
  <si>
    <t>22-J-36  </t>
  </si>
  <si>
    <t>22-J-37  </t>
  </si>
  <si>
    <t>22-J-38  </t>
  </si>
  <si>
    <t>22-J-39  </t>
  </si>
  <si>
    <t>22-J-40  </t>
  </si>
  <si>
    <t>Village site with large square platform mound and small mounds in plaza arrangement</t>
  </si>
  <si>
    <t>12-P-3</t>
  </si>
  <si>
    <t>Mound City</t>
  </si>
  <si>
    <t>13-M-1</t>
  </si>
  <si>
    <t>Hughes</t>
  </si>
  <si>
    <t>Large village site with large and small mounds</t>
  </si>
  <si>
    <t>13-N-10</t>
  </si>
  <si>
    <t>Taylor Mound</t>
  </si>
  <si>
    <t xml:space="preserve">Memphis </t>
  </si>
  <si>
    <t>13-N-11</t>
  </si>
  <si>
    <t>3LE15</t>
  </si>
  <si>
    <t>Grant Place</t>
  </si>
  <si>
    <t>Approximate</t>
  </si>
  <si>
    <t>Village site; Compact village midden, former mound reported</t>
  </si>
  <si>
    <t>Small Village Site</t>
  </si>
  <si>
    <t>PFG 1951; House 1991</t>
  </si>
  <si>
    <t>13-N-12</t>
  </si>
  <si>
    <t>3LE16</t>
  </si>
  <si>
    <t>Murdock Place</t>
  </si>
  <si>
    <t>Williams 1954, Houck 1907:66</t>
  </si>
  <si>
    <t xml:space="preserve">5-S-1 </t>
  </si>
  <si>
    <t>Large site with four mounds</t>
  </si>
  <si>
    <t>17-M-11</t>
  </si>
  <si>
    <t>Bush</t>
  </si>
  <si>
    <t>17-M-12</t>
  </si>
  <si>
    <t>O'Donnell</t>
  </si>
  <si>
    <t>Village site with small platform mound</t>
  </si>
  <si>
    <t>17-M-13</t>
  </si>
  <si>
    <t>Boles Lake</t>
  </si>
  <si>
    <t>17-M-14</t>
  </si>
  <si>
    <t>Bonkin Bayou</t>
  </si>
  <si>
    <t>17-M-15</t>
  </si>
  <si>
    <t>Dattel</t>
  </si>
  <si>
    <t>17-M-16</t>
  </si>
  <si>
    <t>MacGowan</t>
  </si>
  <si>
    <t>17-M-17</t>
  </si>
  <si>
    <t>Nelson</t>
  </si>
  <si>
    <t>17-M-18</t>
  </si>
  <si>
    <t>Roosevelt</t>
  </si>
  <si>
    <t>17-M-19</t>
  </si>
  <si>
    <t>Firtell</t>
  </si>
  <si>
    <t>17-M-2</t>
  </si>
  <si>
    <t>Blanchard</t>
  </si>
  <si>
    <t>St. Francis type site with large and small mounds in plaza arrangement</t>
  </si>
  <si>
    <t>17-M-20</t>
  </si>
  <si>
    <t>Shelby</t>
  </si>
  <si>
    <t>17-M-21</t>
  </si>
  <si>
    <t>Laban Bayou</t>
  </si>
  <si>
    <t>17-M-3</t>
  </si>
  <si>
    <t>Perthshire</t>
  </si>
  <si>
    <t>17-M-4</t>
  </si>
  <si>
    <t>Christmas</t>
  </si>
  <si>
    <t>17-M-5</t>
  </si>
  <si>
    <t>Walton</t>
  </si>
  <si>
    <t>17-M-6</t>
  </si>
  <si>
    <t>Large village site with rectangular platform mounds and small mounds</t>
  </si>
  <si>
    <t>17-M-7</t>
  </si>
  <si>
    <t>Village site with small rectangular platform mound</t>
  </si>
  <si>
    <t>17-M-8</t>
  </si>
  <si>
    <t>Bob Williams</t>
  </si>
  <si>
    <t>17-M-9</t>
  </si>
  <si>
    <t>Spinks</t>
  </si>
  <si>
    <t>17-N-1</t>
  </si>
  <si>
    <t>Merigold</t>
  </si>
  <si>
    <t>Large village site with large and small mounds in plaza arrangement</t>
  </si>
  <si>
    <t>17-N-10</t>
  </si>
  <si>
    <t>Nora Smith</t>
  </si>
  <si>
    <t>17-N-11</t>
  </si>
  <si>
    <t>Dockery</t>
  </si>
  <si>
    <t>17-N-12</t>
  </si>
  <si>
    <t>Long Lake</t>
  </si>
  <si>
    <t>17-N-13</t>
  </si>
  <si>
    <t>Burnet</t>
  </si>
  <si>
    <t>17-N-14</t>
  </si>
  <si>
    <t>Kimball</t>
  </si>
  <si>
    <t>17-N-15</t>
  </si>
  <si>
    <t>Cook</t>
  </si>
  <si>
    <t>17-N-16</t>
  </si>
  <si>
    <t>Wilnot</t>
  </si>
  <si>
    <t>17-N-17</t>
  </si>
  <si>
    <t>John Dickson</t>
  </si>
  <si>
    <t>17-N-18</t>
  </si>
  <si>
    <t>Joe Smith</t>
  </si>
  <si>
    <t>17-N-19</t>
  </si>
  <si>
    <t>Parker</t>
  </si>
  <si>
    <t>17-N-2</t>
  </si>
  <si>
    <t>Walford</t>
  </si>
  <si>
    <t>17-N-20</t>
  </si>
  <si>
    <t>Newton Bayou</t>
  </si>
  <si>
    <t>17-N-21</t>
  </si>
  <si>
    <t>Loosangle</t>
  </si>
  <si>
    <t>17-N-3</t>
  </si>
  <si>
    <t>Debow</t>
  </si>
  <si>
    <t>G-C</t>
  </si>
  <si>
    <t>17-N-4</t>
  </si>
  <si>
    <t>Penitentiary</t>
  </si>
  <si>
    <t>17-N-5</t>
  </si>
  <si>
    <t>1-Q-2</t>
  </si>
  <si>
    <t>Bushnell</t>
  </si>
  <si>
    <t>1-Q-3</t>
  </si>
  <si>
    <t>River Aux Vases</t>
  </si>
  <si>
    <t>1-Q-4</t>
  </si>
  <si>
    <t>Laurent Creek</t>
  </si>
  <si>
    <t>8S</t>
  </si>
  <si>
    <t>10E</t>
  </si>
  <si>
    <t>LMS records, MacCurdy 1913:395-414</t>
  </si>
  <si>
    <t>Cemetery , with 1  mound, 100 feet in diameter, 8 feet high, circular</t>
  </si>
  <si>
    <t>LMS Records; Bushnell 1914; Adams, Magre and Munger 1941:641-668</t>
  </si>
  <si>
    <t>Salt spring</t>
  </si>
  <si>
    <t>Mounds, stone graves</t>
  </si>
  <si>
    <t>Bushnell 1914:666</t>
  </si>
  <si>
    <t>3-R-1</t>
  </si>
  <si>
    <t>3-R-2</t>
  </si>
  <si>
    <t>Amelunke</t>
  </si>
  <si>
    <t>Dutchtown</t>
  </si>
  <si>
    <t>LMS Records</t>
  </si>
  <si>
    <t>Cape Girardeu</t>
  </si>
  <si>
    <t>Section</t>
  </si>
  <si>
    <t>20</t>
  </si>
  <si>
    <t>30</t>
  </si>
  <si>
    <t>30N</t>
  </si>
  <si>
    <t>13E</t>
  </si>
  <si>
    <t>stone tools, potsherds</t>
  </si>
  <si>
    <t>19</t>
  </si>
  <si>
    <t>stone tools</t>
  </si>
  <si>
    <t>3-R-3</t>
  </si>
  <si>
    <t>Hunze</t>
  </si>
  <si>
    <t>shell gorget, missisippian pot</t>
  </si>
  <si>
    <t>4-P-1</t>
  </si>
  <si>
    <t>Sturdivant</t>
  </si>
  <si>
    <t>Wayne</t>
  </si>
  <si>
    <t>36</t>
  </si>
  <si>
    <t>2N</t>
  </si>
  <si>
    <t xml:space="preserve">eight or ten  large irreguluar mounds, pottery, hammers, stone, mound as high as 30 ft. </t>
  </si>
  <si>
    <t>8+</t>
  </si>
  <si>
    <t>Bollinger</t>
  </si>
  <si>
    <t>19,20,30,29</t>
  </si>
  <si>
    <t>28N</t>
  </si>
  <si>
    <t>35</t>
  </si>
  <si>
    <t>9</t>
  </si>
  <si>
    <t>Williams 1954, Thomas 1894; Houck 1907; Fowke 1910; LMS files</t>
  </si>
  <si>
    <t>Howden Lake</t>
  </si>
  <si>
    <t>16-N-18</t>
  </si>
  <si>
    <t>Bobo</t>
  </si>
  <si>
    <t>16-N-19</t>
  </si>
  <si>
    <t>Crawford Lake</t>
  </si>
  <si>
    <t>16-N-2</t>
  </si>
  <si>
    <t>Alligator Mounds</t>
  </si>
  <si>
    <t>Village site with large rectangular platform mounds and small mounds in plaza arrangement</t>
  </si>
  <si>
    <t>16-N-20</t>
  </si>
  <si>
    <t>Aderholt</t>
  </si>
  <si>
    <t>16-N-21</t>
  </si>
  <si>
    <t>Morning Star</t>
  </si>
  <si>
    <t>16-N-22</t>
  </si>
  <si>
    <t>Clark</t>
  </si>
  <si>
    <t>16-N-23</t>
  </si>
  <si>
    <t>Hopkins</t>
  </si>
  <si>
    <t>16-N-24</t>
  </si>
  <si>
    <t>Durham</t>
  </si>
  <si>
    <t>16-N-25</t>
  </si>
  <si>
    <t>Doadey</t>
  </si>
  <si>
    <t>16-N-3</t>
  </si>
  <si>
    <t>16-N-4</t>
  </si>
  <si>
    <t>Rufus Davis</t>
  </si>
  <si>
    <t>16-N-5</t>
  </si>
  <si>
    <t>Little Sunflower</t>
  </si>
  <si>
    <t>16-N-6</t>
  </si>
  <si>
    <t>Oliver</t>
  </si>
  <si>
    <t>16-N-7</t>
  </si>
  <si>
    <t>Bramlett</t>
  </si>
  <si>
    <t>16-N-8</t>
  </si>
  <si>
    <t>Peter's Rock</t>
  </si>
  <si>
    <t>16-N-9</t>
  </si>
  <si>
    <t>Mattson</t>
  </si>
  <si>
    <t>16-O-1</t>
  </si>
  <si>
    <t>Dunn</t>
  </si>
  <si>
    <t>16-O-11</t>
  </si>
  <si>
    <t>Oxbow Bend</t>
  </si>
  <si>
    <t>16-O-12</t>
  </si>
  <si>
    <t>Oliverfried</t>
  </si>
  <si>
    <t>16-O-13</t>
  </si>
  <si>
    <t>Denton</t>
  </si>
  <si>
    <t>Village site with large and small mound</t>
  </si>
  <si>
    <t>16-O-14</t>
  </si>
  <si>
    <t>Stover</t>
  </si>
  <si>
    <t>16-O-15</t>
  </si>
  <si>
    <t>Garner</t>
  </si>
  <si>
    <t>16-O-16</t>
  </si>
  <si>
    <t>Flower</t>
  </si>
  <si>
    <t>16-O-2</t>
  </si>
  <si>
    <t>Spendthirft</t>
  </si>
  <si>
    <t>16-O-3</t>
  </si>
  <si>
    <t>Everett</t>
  </si>
  <si>
    <t>Village site with large conical and small mounds</t>
  </si>
  <si>
    <t>16-O-4</t>
  </si>
  <si>
    <t>Opossum Bayou</t>
  </si>
  <si>
    <t>16-O-5</t>
  </si>
  <si>
    <t>Yager</t>
  </si>
  <si>
    <t>16-O-6</t>
  </si>
  <si>
    <t>Garmon</t>
  </si>
  <si>
    <t>Village with rectangular platform mound</t>
  </si>
  <si>
    <t>16-O-7</t>
  </si>
  <si>
    <t>Henderson</t>
  </si>
  <si>
    <t>16-O-8</t>
  </si>
  <si>
    <t>Norman</t>
  </si>
  <si>
    <t>PFG 1951; Phillips 1970; Webb 1982</t>
  </si>
  <si>
    <t>16-O-9</t>
  </si>
  <si>
    <t>Little Texas</t>
  </si>
  <si>
    <t>16-P-1</t>
  </si>
  <si>
    <t>Charleston</t>
  </si>
  <si>
    <t>16-P-2</t>
  </si>
  <si>
    <t>Shady Grove</t>
  </si>
  <si>
    <t>Large village site with large rectangular platform mound and small mound</t>
  </si>
  <si>
    <t>16-P-3</t>
  </si>
  <si>
    <t>Twin Lakes</t>
  </si>
  <si>
    <t>PFG 1951; Webb 1982</t>
  </si>
  <si>
    <t>16-P-4</t>
  </si>
  <si>
    <t>White</t>
  </si>
  <si>
    <t>16-P-5</t>
  </si>
  <si>
    <t>Crosslyn</t>
  </si>
  <si>
    <t>16-P-6</t>
  </si>
  <si>
    <t>Cox</t>
  </si>
  <si>
    <t>16-P-7</t>
  </si>
  <si>
    <t>Mitchell</t>
  </si>
  <si>
    <t>16-P-8</t>
  </si>
  <si>
    <t>Blue Lake</t>
  </si>
  <si>
    <t>16-P-9</t>
  </si>
  <si>
    <t>Carmichael</t>
  </si>
  <si>
    <t>17-K-1</t>
  </si>
  <si>
    <t>3AR004</t>
  </si>
  <si>
    <t>Menard Mound</t>
  </si>
  <si>
    <t>Village site with large and small mounds in plaza arrangement</t>
  </si>
  <si>
    <t>17-K-2</t>
  </si>
  <si>
    <t>Thiele Hill</t>
  </si>
  <si>
    <t>17-K-3</t>
  </si>
  <si>
    <t>3AR025</t>
  </si>
  <si>
    <t>Wallace</t>
  </si>
  <si>
    <t>Village Site With Mound(s)</t>
  </si>
  <si>
    <t>17-K-4</t>
  </si>
  <si>
    <t>Almond Farm</t>
  </si>
  <si>
    <t>17-K-5</t>
  </si>
  <si>
    <t>Cooks Mound</t>
  </si>
  <si>
    <t>Large rectangular platform mound</t>
  </si>
  <si>
    <t>17-K-6</t>
  </si>
  <si>
    <t>Bond</t>
  </si>
  <si>
    <t>17-K-7</t>
  </si>
  <si>
    <t>Alma Brown</t>
  </si>
  <si>
    <t>17-L-1</t>
  </si>
  <si>
    <t>Massey Place</t>
  </si>
  <si>
    <t>17-L-2</t>
  </si>
  <si>
    <t>Ellerton Mound</t>
  </si>
  <si>
    <t>17-L-3</t>
  </si>
  <si>
    <t>3AR003</t>
  </si>
  <si>
    <t>Poor Place</t>
  </si>
  <si>
    <t>17-L-4</t>
  </si>
  <si>
    <t>Wynn</t>
  </si>
  <si>
    <t>Large rectangular platform mound and small conical mound</t>
  </si>
  <si>
    <t>17-L-5</t>
  </si>
  <si>
    <t>Waxhaw</t>
  </si>
  <si>
    <t>Large and small rectangular platform mounds and small conical mound</t>
  </si>
  <si>
    <t>17-M-1</t>
  </si>
  <si>
    <t>Bear Ridge</t>
  </si>
  <si>
    <t>6</t>
  </si>
  <si>
    <t>17-M-10</t>
  </si>
  <si>
    <t>Reynolds</t>
  </si>
  <si>
    <t>28-H-32</t>
  </si>
  <si>
    <t>Mayer</t>
  </si>
  <si>
    <t>28-H-1</t>
  </si>
  <si>
    <t>Marksville, Poverty Point</t>
  </si>
  <si>
    <t>Hicks</t>
  </si>
  <si>
    <t>Holly</t>
  </si>
  <si>
    <t>30-K-2</t>
  </si>
  <si>
    <t>Smithfield</t>
  </si>
  <si>
    <t>16EBR17</t>
  </si>
  <si>
    <t>Monte Sano</t>
  </si>
  <si>
    <t xml:space="preserve">Archaic mounds (2), 4m and 1.5 meters in hieght, one mound pyramidal, one mound nondescript, Archaic to Marksville occupation though mounds are archaic. 6220 +/- 140 B.P. date. </t>
  </si>
  <si>
    <t>Gibson and Shenkel 1988, Haag 1992, Saunders 1994, Russo 1996</t>
  </si>
  <si>
    <t>I-E</t>
  </si>
  <si>
    <t>6220BP +/- 140</t>
  </si>
  <si>
    <t>LSU</t>
  </si>
  <si>
    <t>Archaic mounds (2), radio carbon dates 4510 to 5345BP</t>
  </si>
  <si>
    <t>Gibson and Shenkel 1988; Russo 1996; Homburg 1992</t>
  </si>
  <si>
    <t>4510 +/- 185BP, 4840 +/- 180, 5345+/- 235</t>
  </si>
  <si>
    <t>23PM8</t>
  </si>
  <si>
    <t>8-Q-20</t>
  </si>
  <si>
    <t>MASRecords</t>
  </si>
  <si>
    <t>Mississippian mound(s)</t>
  </si>
  <si>
    <t>MAS Records</t>
  </si>
  <si>
    <t>23PM11</t>
  </si>
  <si>
    <t>8-Q-16/ Dorrah/ Matthews</t>
  </si>
  <si>
    <t>23PM31</t>
  </si>
  <si>
    <t>7-R-23</t>
  </si>
  <si>
    <t>23PM56</t>
  </si>
  <si>
    <t>Brooks/ Campbell West</t>
  </si>
  <si>
    <t>23PM60</t>
  </si>
  <si>
    <t>Roy Medlin</t>
  </si>
  <si>
    <t>23PM66</t>
  </si>
  <si>
    <t>James Murphy</t>
  </si>
  <si>
    <t>23PM68</t>
  </si>
  <si>
    <t>Klinkhart</t>
  </si>
  <si>
    <t>20-K-2</t>
  </si>
  <si>
    <t>3CH44</t>
  </si>
  <si>
    <t>Bloomfield Church</t>
  </si>
  <si>
    <t>Kidder 1991</t>
  </si>
  <si>
    <t>Upper Tenas Basin</t>
  </si>
  <si>
    <t>Poverty point ("village")</t>
  </si>
  <si>
    <t>21-K-1</t>
  </si>
  <si>
    <t>16WC1</t>
  </si>
  <si>
    <t>Head</t>
  </si>
  <si>
    <t>Kidder 1991, Webb 1982</t>
  </si>
  <si>
    <t>H-G,E</t>
  </si>
  <si>
    <t>22-K-10</t>
  </si>
  <si>
    <t>16WC4</t>
  </si>
  <si>
    <t>Neely</t>
  </si>
  <si>
    <t>22-K-3</t>
  </si>
  <si>
    <t>16WC6</t>
  </si>
  <si>
    <t>Lower Jackson</t>
  </si>
  <si>
    <t>Poverty point ("village"), Marksville</t>
  </si>
  <si>
    <t>Kidder 1991; Webb 1982</t>
  </si>
  <si>
    <t>H-G, F</t>
  </si>
  <si>
    <t>22-K-24</t>
  </si>
  <si>
    <t>16EC39</t>
  </si>
  <si>
    <t>Aaron</t>
  </si>
  <si>
    <t>22-K-25</t>
  </si>
  <si>
    <t>Howington</t>
  </si>
  <si>
    <t>22-K-27</t>
  </si>
  <si>
    <t>Ray Brake</t>
  </si>
  <si>
    <t>22-K-26</t>
  </si>
  <si>
    <t>16MA47</t>
  </si>
  <si>
    <t>J.W. Copes</t>
  </si>
  <si>
    <t>23-K-4</t>
  </si>
  <si>
    <t>16RI3</t>
  </si>
  <si>
    <t>Marsden</t>
  </si>
  <si>
    <t>23-K-2</t>
  </si>
  <si>
    <t>16FR12</t>
  </si>
  <si>
    <t>Insley</t>
  </si>
  <si>
    <t>Poverty point village, 12 mounds in a semicircular pattern, one conical, 11 round 'platform' type mounds</t>
  </si>
  <si>
    <t>Kidder 1991; Ford l955</t>
  </si>
  <si>
    <t>23-J-1</t>
  </si>
  <si>
    <t>16FR11</t>
  </si>
  <si>
    <t>Mott</t>
  </si>
  <si>
    <t>Poverty point ("village"), Tchula</t>
  </si>
  <si>
    <t>23-K-26</t>
  </si>
  <si>
    <t>16MA16</t>
  </si>
  <si>
    <t>16-M-5</t>
  </si>
  <si>
    <t>Mount Olive</t>
  </si>
  <si>
    <t>16-M-6</t>
  </si>
  <si>
    <t>Stokes Bayou</t>
  </si>
  <si>
    <t>Large village site with platform mound and small mounds in plaza arrangement</t>
  </si>
  <si>
    <t>16-M-7</t>
  </si>
  <si>
    <t>Brook Bayou</t>
  </si>
  <si>
    <t>Large mound</t>
  </si>
  <si>
    <t>16-N-1</t>
  </si>
  <si>
    <t>Acree Place</t>
  </si>
  <si>
    <t>16-N-10</t>
  </si>
  <si>
    <t>Myer</t>
  </si>
  <si>
    <t>16-N-11</t>
  </si>
  <si>
    <t>Hopson Bayou</t>
  </si>
  <si>
    <t>16-N-12</t>
  </si>
  <si>
    <t>Black Bayou</t>
  </si>
  <si>
    <t>16-N-13</t>
  </si>
  <si>
    <t>Sherard</t>
  </si>
  <si>
    <t>16-N-14</t>
  </si>
  <si>
    <t>Harris Bayou</t>
  </si>
  <si>
    <t>Large village site with small conical mound</t>
  </si>
  <si>
    <t>16-N-15</t>
  </si>
  <si>
    <t>Dogwood Bayou</t>
  </si>
  <si>
    <t>16-N-16</t>
  </si>
  <si>
    <t>Baugh</t>
  </si>
  <si>
    <t>16-N-17</t>
  </si>
  <si>
    <t>23-DU-211</t>
  </si>
  <si>
    <t>23-DU-219</t>
  </si>
  <si>
    <t>WLA</t>
  </si>
  <si>
    <t>Dunnell 1998</t>
  </si>
  <si>
    <t>Late Mississippian, mounds absent, enclosure present</t>
  </si>
  <si>
    <t>9-O-4</t>
  </si>
  <si>
    <t>Lawhorn</t>
  </si>
  <si>
    <t>Moselage (1962)</t>
  </si>
  <si>
    <t>Mississippian</t>
  </si>
  <si>
    <t>Zeebree</t>
  </si>
  <si>
    <t>Morse</t>
  </si>
  <si>
    <t>Early Mississipppian Village</t>
  </si>
  <si>
    <t xml:space="preserve">Village </t>
  </si>
  <si>
    <t>Benn 1992</t>
  </si>
  <si>
    <t>NEAR</t>
  </si>
  <si>
    <t>Middle Mississippian village with walls and houses, no mounds</t>
  </si>
  <si>
    <t>Village with no mounds</t>
  </si>
  <si>
    <t>Priestly</t>
  </si>
  <si>
    <t>Benn 1990</t>
  </si>
  <si>
    <t>Baytown - Middle Mississippian village - circular with wall?, No mounds</t>
  </si>
  <si>
    <t>Bowdre Mounds</t>
  </si>
  <si>
    <t>Brown 1926</t>
  </si>
  <si>
    <t>Rectangular village with platform mounds</t>
  </si>
  <si>
    <t>Bishop Farm</t>
  </si>
  <si>
    <t>Mississippian Village</t>
  </si>
  <si>
    <t>Rectangular village?</t>
  </si>
  <si>
    <t>Dunnell pers. Comm.</t>
  </si>
  <si>
    <t>Grey Horse Lake</t>
  </si>
  <si>
    <t>Dunnell</t>
  </si>
  <si>
    <t>Archaic</t>
  </si>
  <si>
    <t>H-B</t>
  </si>
  <si>
    <t>Middle Mississippian flattop mound</t>
  </si>
  <si>
    <t>Wilkin's</t>
  </si>
  <si>
    <t>Brandon Cemetery</t>
  </si>
  <si>
    <t>Hornersville</t>
  </si>
  <si>
    <t>20-N-7</t>
  </si>
  <si>
    <t>McCoy</t>
  </si>
  <si>
    <t>Webb 1982</t>
  </si>
  <si>
    <t>Poverty Point</t>
  </si>
  <si>
    <t>Isola</t>
  </si>
  <si>
    <t>19-M-10</t>
  </si>
  <si>
    <t>Hebe</t>
  </si>
  <si>
    <t>Phillips 1972; Webb 1982</t>
  </si>
  <si>
    <t>Tribbett</t>
  </si>
  <si>
    <t>Hill</t>
  </si>
  <si>
    <t>18-N-11</t>
  </si>
  <si>
    <t>Asack</t>
  </si>
  <si>
    <t>Murphy</t>
  </si>
  <si>
    <t>Cole Crossroads</t>
  </si>
  <si>
    <t>McGary</t>
  </si>
  <si>
    <t>Morgan</t>
  </si>
  <si>
    <t>18-P-7</t>
  </si>
  <si>
    <t>Neill</t>
  </si>
  <si>
    <t>18-P-6</t>
  </si>
  <si>
    <t>Teoc Creek</t>
  </si>
  <si>
    <t>18-P-8</t>
  </si>
  <si>
    <t>Jacks</t>
  </si>
  <si>
    <t>17-P-5</t>
  </si>
  <si>
    <t>Stainback</t>
  </si>
  <si>
    <t>17-O-13</t>
  </si>
  <si>
    <t>W.E. Smith</t>
  </si>
  <si>
    <t>Abby</t>
  </si>
  <si>
    <t>Very Approximate</t>
  </si>
  <si>
    <t>Meredith</t>
  </si>
  <si>
    <t>Tackett</t>
  </si>
  <si>
    <t>Barner</t>
  </si>
  <si>
    <t>Page</t>
  </si>
  <si>
    <t>Hamson Brake</t>
  </si>
  <si>
    <t>Goss</t>
  </si>
  <si>
    <t>Cloverdale</t>
  </si>
  <si>
    <t>Savage</t>
  </si>
  <si>
    <t>Horseshoe Lake</t>
  </si>
  <si>
    <t>Gibson and Shenkel 1988</t>
  </si>
  <si>
    <t>LA</t>
  </si>
  <si>
    <t>Tchefuncte</t>
  </si>
  <si>
    <t>24-I-4</t>
  </si>
  <si>
    <t>Boothe Landing</t>
  </si>
  <si>
    <t>25-I-3</t>
  </si>
  <si>
    <t>Marksville</t>
  </si>
  <si>
    <t>Gibson and Shenkel 1988; Phillips 1970:894</t>
  </si>
  <si>
    <t>22-K-1</t>
  </si>
  <si>
    <t>16WC5</t>
  </si>
  <si>
    <t>Poverty Point, Tchula</t>
  </si>
  <si>
    <t>Gibson and Shenkel 1988; Webb 1972</t>
  </si>
  <si>
    <t>I-F</t>
  </si>
  <si>
    <t>I</t>
  </si>
  <si>
    <t>1050BC +/- 90, 870BC +/- 150, 865BC +/- 225, 1115BC +/- 95</t>
  </si>
  <si>
    <t>26-H-3</t>
  </si>
  <si>
    <t>Crooks Mound</t>
  </si>
  <si>
    <t>Poverty point, Marksville, Plaquemine 2 mounds, one rect flatform 28 meter diameter, 5.5 meters high, smaller is platform 15 m on side and 9.6 m high</t>
  </si>
  <si>
    <t>Gibson and Shenkel 1988; Ford and Willey 1970; Webb 1982</t>
  </si>
  <si>
    <t>G-A</t>
  </si>
  <si>
    <t>1158 +/- 250 BP</t>
  </si>
  <si>
    <t>27-H-11</t>
  </si>
  <si>
    <t>Russell Landing</t>
  </si>
  <si>
    <t>Tchefuncte, Poverty point objects</t>
  </si>
  <si>
    <t>Gibson and Shenkel 1988; Phillips 1970:873; Gibson 1966:214</t>
  </si>
  <si>
    <t>27-H-3</t>
  </si>
  <si>
    <t>Coles Island</t>
  </si>
  <si>
    <t>Claverie</t>
  </si>
  <si>
    <t>28-H-2</t>
  </si>
  <si>
    <t>Moncla</t>
  </si>
  <si>
    <t>33-G-1  </t>
  </si>
  <si>
    <t>33-G-2  </t>
  </si>
  <si>
    <t>33-G-3  </t>
  </si>
  <si>
    <t>33-H-1  </t>
  </si>
  <si>
    <t>33-H-2  </t>
  </si>
  <si>
    <t>33-H-3  </t>
  </si>
  <si>
    <t>33-H-4  </t>
  </si>
  <si>
    <t>33-H-5  </t>
  </si>
  <si>
    <t>33-H-6  </t>
  </si>
  <si>
    <t>33-H-7  </t>
  </si>
  <si>
    <t>33-H-8  </t>
  </si>
  <si>
    <t>33-H-9  </t>
  </si>
  <si>
    <t>33-H-10  </t>
  </si>
  <si>
    <t>33-H-12  </t>
  </si>
  <si>
    <t>33-H-13  </t>
  </si>
  <si>
    <t>33-H-14  </t>
  </si>
  <si>
    <t>33-H-15  </t>
  </si>
  <si>
    <t>33-H-16  </t>
  </si>
  <si>
    <t>33-I-1  </t>
  </si>
  <si>
    <t>33-I-2  </t>
  </si>
  <si>
    <t>33-I-3  </t>
  </si>
  <si>
    <t>33-I-5  </t>
  </si>
  <si>
    <t>33-I-6  </t>
  </si>
  <si>
    <t>33-I-7  </t>
  </si>
  <si>
    <t>33-I-8  </t>
  </si>
  <si>
    <t>33-I-9  </t>
  </si>
  <si>
    <t>33-I-10  </t>
  </si>
  <si>
    <t>33-I-11  </t>
  </si>
  <si>
    <t>33-I-12  </t>
  </si>
  <si>
    <t>33-I-13  </t>
  </si>
  <si>
    <t>33-I-14  </t>
  </si>
  <si>
    <t>33-I-15  </t>
  </si>
  <si>
    <t>33-I-16  </t>
  </si>
  <si>
    <t>33-I-17  </t>
  </si>
  <si>
    <t>33-I-18  </t>
  </si>
  <si>
    <t>33-I-19  </t>
  </si>
  <si>
    <t>33-I-20  </t>
  </si>
  <si>
    <t>33-I-21  </t>
  </si>
  <si>
    <t>33-I-22  </t>
  </si>
  <si>
    <t>33-I-23  </t>
  </si>
  <si>
    <t>33-I-24  </t>
  </si>
  <si>
    <t>33-I-25  </t>
  </si>
  <si>
    <t>33-I-26  </t>
  </si>
  <si>
    <t>33-I-27  </t>
  </si>
  <si>
    <t>33-I-28  </t>
  </si>
  <si>
    <t>33-I-29  </t>
  </si>
  <si>
    <t>33-I-30  </t>
  </si>
  <si>
    <t>33-I-31  </t>
  </si>
  <si>
    <t>33-I-32  </t>
  </si>
  <si>
    <t>33-I-33  </t>
  </si>
  <si>
    <t>33-I-34  </t>
  </si>
  <si>
    <t>33-I-35  </t>
  </si>
  <si>
    <t>33-I-36  </t>
  </si>
  <si>
    <t>33-I-37  </t>
  </si>
  <si>
    <t>33-I-38  </t>
  </si>
  <si>
    <t>33-I-39  </t>
  </si>
  <si>
    <t>33-I-40  </t>
  </si>
  <si>
    <t>33-I-41  </t>
  </si>
  <si>
    <t>33-I-42  </t>
  </si>
  <si>
    <t>33-I-43  </t>
  </si>
  <si>
    <t>33-I-44  </t>
  </si>
  <si>
    <t>33-I-45  </t>
  </si>
  <si>
    <t>33-I-46  </t>
  </si>
  <si>
    <t>33-I-47  </t>
  </si>
  <si>
    <t>33-I-48  </t>
  </si>
  <si>
    <t>33-I-49  </t>
  </si>
  <si>
    <t>33-I-50  </t>
  </si>
  <si>
    <t>33-I-51  </t>
  </si>
  <si>
    <t>33-I-52  </t>
  </si>
  <si>
    <t>33-J-1  </t>
  </si>
  <si>
    <t>33-J-2  </t>
  </si>
  <si>
    <t>33-J-3  </t>
  </si>
  <si>
    <t>33-J-4  </t>
  </si>
  <si>
    <t>33-J-5  </t>
  </si>
  <si>
    <t>33-J-6  </t>
  </si>
  <si>
    <t>33-J-7  </t>
  </si>
  <si>
    <t>33-J-8  </t>
  </si>
  <si>
    <t>33-J-9  </t>
  </si>
  <si>
    <t>33-J-10  </t>
  </si>
  <si>
    <t>33-J-11  </t>
  </si>
  <si>
    <t>33-J-12  </t>
  </si>
  <si>
    <t>33-J-13  </t>
  </si>
  <si>
    <t>33-J-14  </t>
  </si>
  <si>
    <t>33-J-15  </t>
  </si>
  <si>
    <t>5</t>
  </si>
  <si>
    <t>3AR039</t>
  </si>
  <si>
    <t>Dillon</t>
  </si>
  <si>
    <t>Mound, Archaic?</t>
  </si>
  <si>
    <t>Ford and Redfield</t>
  </si>
  <si>
    <t>3AR040</t>
  </si>
  <si>
    <t>Dumond Site</t>
  </si>
  <si>
    <t>Village site with mounds - 1 flattop, 3 smaller mounds, 50 house mounds</t>
  </si>
  <si>
    <t>53+</t>
  </si>
  <si>
    <t>3AR041</t>
  </si>
  <si>
    <t>Butler Hunting</t>
  </si>
  <si>
    <t xml:space="preserve">ca. 20 low house mounds, </t>
  </si>
  <si>
    <t>20+</t>
  </si>
  <si>
    <t>3AR044</t>
  </si>
  <si>
    <t>Travis Site</t>
  </si>
  <si>
    <t>Mound, possibly other house mounds</t>
  </si>
  <si>
    <t>3AR045</t>
  </si>
  <si>
    <t>Baker Brothers Site</t>
  </si>
  <si>
    <t>Small mound, baytown, tchefuncte, marksville</t>
  </si>
  <si>
    <t>3AR046</t>
  </si>
  <si>
    <t>McBroom</t>
  </si>
  <si>
    <t>Possible Mound, shell tempered sherds</t>
  </si>
  <si>
    <t>3AR057</t>
  </si>
  <si>
    <t>Townsend Hunting Club</t>
  </si>
  <si>
    <t>5 small house mounds</t>
  </si>
  <si>
    <t>23-DU-2</t>
  </si>
  <si>
    <t>Cummins</t>
  </si>
  <si>
    <t>Telster 1988</t>
  </si>
  <si>
    <t>Mississippian, mounds recorded, enclosures absent</t>
  </si>
  <si>
    <t>23-DU-52</t>
  </si>
  <si>
    <t>Ray</t>
  </si>
  <si>
    <t>23-DU-150</t>
  </si>
  <si>
    <t>David's Creek</t>
  </si>
  <si>
    <t>23-DU-29</t>
  </si>
  <si>
    <t>Pelts</t>
  </si>
  <si>
    <t>23-DU-30</t>
  </si>
  <si>
    <t>Watson</t>
  </si>
  <si>
    <t>Mississippian, mounds absent, enclosures absent</t>
  </si>
  <si>
    <t>23-DU-37</t>
  </si>
  <si>
    <t>Late Mississippian, mounds absent, enclosures absent</t>
  </si>
  <si>
    <t>23-DU-49</t>
  </si>
  <si>
    <t>Bishop</t>
  </si>
  <si>
    <t>23-DU-203</t>
  </si>
  <si>
    <t>31-R-1  </t>
  </si>
  <si>
    <t>32-B-1 SW  </t>
  </si>
  <si>
    <t>32-B-2 SW  </t>
  </si>
  <si>
    <t>32-B-3 SW  </t>
  </si>
  <si>
    <t>32-B-4 SW  </t>
  </si>
  <si>
    <t>32-C-1 SE  </t>
  </si>
  <si>
    <t>32-C-2 SE  </t>
  </si>
  <si>
    <t>32-C-3 SE  </t>
  </si>
  <si>
    <t>32-C-4 SE  </t>
  </si>
  <si>
    <t>32-C-1 SW  </t>
  </si>
  <si>
    <t>32-F-1  </t>
  </si>
  <si>
    <t>32-I-1  </t>
  </si>
  <si>
    <t>32-I-4  </t>
  </si>
  <si>
    <t>32-I-5  </t>
  </si>
  <si>
    <t>32-I-6  </t>
  </si>
  <si>
    <t>32-I-7  </t>
  </si>
  <si>
    <t>32-J-1  </t>
  </si>
  <si>
    <t>32-J-2  </t>
  </si>
  <si>
    <t>32-J-3  </t>
  </si>
  <si>
    <t>32-J-4  </t>
  </si>
  <si>
    <t>32-J-5  </t>
  </si>
  <si>
    <t>32-J-6  </t>
  </si>
  <si>
    <t>32-J-7  </t>
  </si>
  <si>
    <t>32-J-8  </t>
  </si>
  <si>
    <t>32-J-9  </t>
  </si>
  <si>
    <t>32-J-10  </t>
  </si>
  <si>
    <t>32-K-1  </t>
  </si>
  <si>
    <t>32-K-2  </t>
  </si>
  <si>
    <t>32-K-3  </t>
  </si>
  <si>
    <t>32-K-4  </t>
  </si>
  <si>
    <t>32-K-5  </t>
  </si>
  <si>
    <t>32-K-6  </t>
  </si>
  <si>
    <t>32-K-7  </t>
  </si>
  <si>
    <t>32-K-8  </t>
  </si>
  <si>
    <t>32-K-9  </t>
  </si>
  <si>
    <t>32-K-10  </t>
  </si>
  <si>
    <t>32-K-11  </t>
  </si>
  <si>
    <t>32-L-1  </t>
  </si>
  <si>
    <t>32-L-2  </t>
  </si>
  <si>
    <t>32-L-3  </t>
  </si>
  <si>
    <t>32-L-4  </t>
  </si>
  <si>
    <t>32-L-5  </t>
  </si>
  <si>
    <t>32-L-6  </t>
  </si>
  <si>
    <t>32-L-7  </t>
  </si>
  <si>
    <t>32-O-1  </t>
  </si>
  <si>
    <t>32-O-2  </t>
  </si>
  <si>
    <t>32-O-3  </t>
  </si>
  <si>
    <t>32-P-1  </t>
  </si>
  <si>
    <t>32-P-2  </t>
  </si>
  <si>
    <t>32-P-3  </t>
  </si>
  <si>
    <t>32-P-4  </t>
  </si>
  <si>
    <t>32-P-5  </t>
  </si>
  <si>
    <t>32-P-6  </t>
  </si>
  <si>
    <t>32-P-7  </t>
  </si>
  <si>
    <t>32-P-8  </t>
  </si>
  <si>
    <t>32-P-9  </t>
  </si>
  <si>
    <t>32-P-10  </t>
  </si>
  <si>
    <t>32-Q-2  </t>
  </si>
  <si>
    <t>32-Q-3  </t>
  </si>
  <si>
    <t>32-Q-4  </t>
  </si>
  <si>
    <t>32-Q-5  </t>
  </si>
  <si>
    <t>32-Q-6  </t>
  </si>
  <si>
    <t>32-Q-7  </t>
  </si>
  <si>
    <t>32-Q-8  </t>
  </si>
  <si>
    <t>32-Q-9  </t>
  </si>
  <si>
    <t>32-Q-10  </t>
  </si>
  <si>
    <t>32-Q-11  </t>
  </si>
  <si>
    <t>32-Q-12  </t>
  </si>
  <si>
    <t>32-Q-13  </t>
  </si>
  <si>
    <t>32-Q-14  </t>
  </si>
  <si>
    <t>32-Q-15  </t>
  </si>
  <si>
    <t>32-Q-16  </t>
  </si>
  <si>
    <t>32-R-1  </t>
  </si>
  <si>
    <t>32-R-2  </t>
  </si>
  <si>
    <t>32-R-3  </t>
  </si>
  <si>
    <t>32-R-4  </t>
  </si>
  <si>
    <t>32-R-5  </t>
  </si>
  <si>
    <t>32-R-6  </t>
  </si>
  <si>
    <t>32-R-7  </t>
  </si>
  <si>
    <t>32-R-8  </t>
  </si>
  <si>
    <t>32-R-9  </t>
  </si>
  <si>
    <t>32-R-10  </t>
  </si>
  <si>
    <t>32-R-11  </t>
  </si>
  <si>
    <t>32-R-12  </t>
  </si>
  <si>
    <t>32-R-13  </t>
  </si>
  <si>
    <t>32-R-14  </t>
  </si>
  <si>
    <t>32-R-15  </t>
  </si>
  <si>
    <t>32-R-16  </t>
  </si>
  <si>
    <t>32-R-17  </t>
  </si>
  <si>
    <t>32-S-1  </t>
  </si>
  <si>
    <t>32-S-2  </t>
  </si>
  <si>
    <t>32-S-3  </t>
  </si>
  <si>
    <t>32-S-4  </t>
  </si>
  <si>
    <t>32-S-5  </t>
  </si>
  <si>
    <t>32-S-6  </t>
  </si>
  <si>
    <t>32-S-7  </t>
  </si>
  <si>
    <t>32-S-8  </t>
  </si>
  <si>
    <t>32-T-1  </t>
  </si>
  <si>
    <t>32-T-2  </t>
  </si>
  <si>
    <t>32-T-3  </t>
  </si>
  <si>
    <t>32-T-4  </t>
  </si>
  <si>
    <t>32-T-5  </t>
  </si>
  <si>
    <t>32-T-6  </t>
  </si>
  <si>
    <t>32-T-7  </t>
  </si>
  <si>
    <t>33-A-1  </t>
  </si>
  <si>
    <t>33-A-2  </t>
  </si>
  <si>
    <t>33-A-3  </t>
  </si>
  <si>
    <t>33-A-4  </t>
  </si>
  <si>
    <t>33-A-5  </t>
  </si>
  <si>
    <t>33-B-1 NE  </t>
  </si>
  <si>
    <t>33-B-1 NW  </t>
  </si>
  <si>
    <t>33-B-2 NW  </t>
  </si>
  <si>
    <t>33-B-1 SW  </t>
  </si>
  <si>
    <t>33-C-1 NE  </t>
  </si>
  <si>
    <t>33-D-1 NW  </t>
  </si>
  <si>
    <t>33-D-2 NW  </t>
  </si>
  <si>
    <t>33-D-1 SE  </t>
  </si>
  <si>
    <t>33-D-1 SW  </t>
  </si>
  <si>
    <t>33-E-1 SE  </t>
  </si>
  <si>
    <t>33-E-2 SE  </t>
  </si>
  <si>
    <t>33-E-3 SE  </t>
  </si>
  <si>
    <t>33-E-4 SE  </t>
  </si>
  <si>
    <t>33-E-5 SE  </t>
  </si>
  <si>
    <t>33-E-1 SW  </t>
  </si>
  <si>
    <t>33-E-2 SW  </t>
  </si>
  <si>
    <t>33-E-3 SW  </t>
  </si>
  <si>
    <t>33-E-4 SW  </t>
  </si>
  <si>
    <t>33-E-5 SW  </t>
  </si>
  <si>
    <t>33-E-6 SW  </t>
  </si>
  <si>
    <t>33-E-7 SW  </t>
  </si>
  <si>
    <t>33-E-1 NE  </t>
  </si>
  <si>
    <t>33-E-2 NE  </t>
  </si>
  <si>
    <t>33-E-3 NE  </t>
  </si>
  <si>
    <t>33-E-4 NE  </t>
  </si>
  <si>
    <t>33-E-5 NE  </t>
  </si>
  <si>
    <t>33-E-6 NE  </t>
  </si>
  <si>
    <t>33-F-1  </t>
  </si>
  <si>
    <t>33-F-2  </t>
  </si>
  <si>
    <t>33-F-3  </t>
  </si>
  <si>
    <t>33-F-4  </t>
  </si>
  <si>
    <t>33-F-5  </t>
  </si>
  <si>
    <t>33-F-6  </t>
  </si>
  <si>
    <t>33-F-7  </t>
  </si>
  <si>
    <t>33-F-8  </t>
  </si>
  <si>
    <t>33-F-9  </t>
  </si>
  <si>
    <t>33-F-10  </t>
  </si>
  <si>
    <t>Rectangular village with wall and ditch. 7 mounds, plaza, palisade found</t>
  </si>
  <si>
    <t>Williams 1954, Potter 1880; Adams and Walker 1942; Adams and Walker 1946</t>
  </si>
  <si>
    <t>5-R-8</t>
  </si>
  <si>
    <t>Morehouse</t>
  </si>
  <si>
    <t>Low mound, frog effigy found</t>
  </si>
  <si>
    <t xml:space="preserve">Williams 1954, </t>
  </si>
  <si>
    <t>B-C</t>
  </si>
  <si>
    <t>5-Q-3</t>
  </si>
  <si>
    <t>Durnell</t>
  </si>
  <si>
    <t>No mound, shell tempered pottery</t>
  </si>
  <si>
    <t>5-S-5</t>
  </si>
  <si>
    <t>Lusk Chapel</t>
  </si>
  <si>
    <t>Large conical mound.</t>
  </si>
  <si>
    <t>7-R-12</t>
  </si>
  <si>
    <t>7-R-13</t>
  </si>
  <si>
    <t>7-R-14</t>
  </si>
  <si>
    <t>7-R-15</t>
  </si>
  <si>
    <t>7-R-16</t>
  </si>
  <si>
    <t>7-R-17</t>
  </si>
  <si>
    <t>7-R-18</t>
  </si>
  <si>
    <t>7-R-19</t>
  </si>
  <si>
    <t>7-R-20</t>
  </si>
  <si>
    <t>7-R-21</t>
  </si>
  <si>
    <t>7-R-22</t>
  </si>
  <si>
    <t>7-R-24</t>
  </si>
  <si>
    <t>7-R-25</t>
  </si>
  <si>
    <t>7-R-26</t>
  </si>
  <si>
    <t>7-R-27</t>
  </si>
  <si>
    <t>7-R-28</t>
  </si>
  <si>
    <t>8-P-4</t>
  </si>
  <si>
    <t>8-Q-13</t>
  </si>
  <si>
    <t>8-Q-14</t>
  </si>
  <si>
    <t>8-Q-15</t>
  </si>
  <si>
    <t>8-Q-16</t>
  </si>
  <si>
    <t>8-Q-17</t>
  </si>
  <si>
    <t>8-Q-18</t>
  </si>
  <si>
    <t>8-Q-19</t>
  </si>
  <si>
    <t>8-Q-21</t>
  </si>
  <si>
    <t>8-R-4</t>
  </si>
  <si>
    <t>8-R-5</t>
  </si>
  <si>
    <t>8-R-6</t>
  </si>
  <si>
    <t>10-P-7</t>
  </si>
  <si>
    <t>10-P-9</t>
  </si>
  <si>
    <t>13-O-18</t>
  </si>
  <si>
    <t>13-O-19</t>
  </si>
  <si>
    <t>18-L-5</t>
  </si>
  <si>
    <t>20-K-18</t>
  </si>
  <si>
    <t>Rectangular village with ditch and mound</t>
  </si>
  <si>
    <t>Williams 1954, Thomas 1894, Teltser 1988</t>
  </si>
  <si>
    <t>6-Q-4</t>
  </si>
  <si>
    <t>Wulfing Plates</t>
  </si>
  <si>
    <t>No</t>
  </si>
  <si>
    <t>Copper plates, nothing else - southern cult</t>
  </si>
  <si>
    <t>Unknown</t>
  </si>
  <si>
    <t>Williams 1954, Fowke 1910; Watson 1950</t>
  </si>
  <si>
    <t>6-R-1</t>
  </si>
  <si>
    <t>Lilbourn</t>
  </si>
  <si>
    <t>Rectangular village with all and double ditch, large platform mounds</t>
  </si>
  <si>
    <t>Williams 1954, Putnam 1875; Swallow 1857, 1876; Potter 1880; Houck 1907; Adams and Walker 1942</t>
  </si>
  <si>
    <t>6-S-1</t>
  </si>
  <si>
    <t>Barker</t>
  </si>
  <si>
    <t>6-S-2</t>
  </si>
  <si>
    <t>between 2800 and 5800 BP</t>
  </si>
  <si>
    <t>3AS379</t>
  </si>
  <si>
    <t>Enterprise Lake Mound</t>
  </si>
  <si>
    <t>Jackson and Jeter 1994</t>
  </si>
  <si>
    <t>Poverty Point point</t>
  </si>
  <si>
    <t>29-J-17  </t>
  </si>
  <si>
    <t>29-J-18  </t>
  </si>
  <si>
    <t>29-J-19  </t>
  </si>
  <si>
    <t>29-J-20  </t>
  </si>
  <si>
    <t>29-J-21  </t>
  </si>
  <si>
    <t>30-H-1  </t>
  </si>
  <si>
    <t>30-K-1  </t>
  </si>
  <si>
    <t>30-K-2  </t>
  </si>
  <si>
    <t>30-K-3  </t>
  </si>
  <si>
    <t>31-I-1  </t>
  </si>
  <si>
    <t>31-J-1  </t>
  </si>
  <si>
    <t>31-J-2  </t>
  </si>
  <si>
    <t>31-J-3  </t>
  </si>
  <si>
    <t>31-J-4  </t>
  </si>
  <si>
    <t>31-J-5  </t>
  </si>
  <si>
    <t>31-J-6  </t>
  </si>
  <si>
    <t>31-J-7  </t>
  </si>
  <si>
    <t>31-K-1  </t>
  </si>
  <si>
    <t>31-K-2  </t>
  </si>
  <si>
    <t>31-K-3  </t>
  </si>
  <si>
    <t>31-K-4  </t>
  </si>
  <si>
    <t>31-K-5  </t>
  </si>
  <si>
    <t>31-K-6  </t>
  </si>
  <si>
    <t>31-K-8  </t>
  </si>
  <si>
    <t>31-L-1  </t>
  </si>
  <si>
    <t>31-L-2  </t>
  </si>
  <si>
    <t>31-L-3  </t>
  </si>
  <si>
    <t>31-L-4  </t>
  </si>
  <si>
    <t>31-L-5  </t>
  </si>
  <si>
    <t>31-L-6  </t>
  </si>
  <si>
    <t>31-L-7  </t>
  </si>
  <si>
    <t>31-M-1  </t>
  </si>
  <si>
    <t>31-M-2  </t>
  </si>
  <si>
    <t>31-M-3  </t>
  </si>
  <si>
    <t>31-M-4  </t>
  </si>
  <si>
    <t>31-M-5  </t>
  </si>
  <si>
    <t>31-N-1  </t>
  </si>
  <si>
    <t>31-N-2  </t>
  </si>
  <si>
    <t>31-N-4  </t>
  </si>
  <si>
    <t>31-O-1  </t>
  </si>
  <si>
    <t>31-O-2  </t>
  </si>
  <si>
    <t>31-O-3  </t>
  </si>
  <si>
    <t>31-O-4  </t>
  </si>
  <si>
    <t>31-O-5  </t>
  </si>
  <si>
    <t>31-O-6  </t>
  </si>
  <si>
    <t>31-O-10  </t>
  </si>
  <si>
    <t>31-O-11  </t>
  </si>
  <si>
    <t>31-P-1  </t>
  </si>
  <si>
    <t>31-P-2  </t>
  </si>
  <si>
    <t>31-P-3  </t>
  </si>
  <si>
    <t>31-P-8  </t>
  </si>
  <si>
    <t>31-P-9  </t>
  </si>
  <si>
    <t>31-P-10  </t>
  </si>
  <si>
    <t>31-Q-1  </t>
  </si>
  <si>
    <t>31-Q-7  </t>
  </si>
  <si>
    <t>31-Q-15  </t>
  </si>
  <si>
    <t>26-L-16  </t>
  </si>
  <si>
    <t>26-L-17  </t>
  </si>
  <si>
    <t>26-L-18  </t>
  </si>
  <si>
    <t>26-L-19  </t>
  </si>
  <si>
    <t>26-L-20  </t>
  </si>
  <si>
    <t>26-L-21  </t>
  </si>
  <si>
    <t>26-L-22  </t>
  </si>
  <si>
    <t>26-L-23  </t>
  </si>
  <si>
    <t>27-G-1  </t>
  </si>
  <si>
    <t>27-G-2  </t>
  </si>
  <si>
    <t>27-G-3  </t>
  </si>
  <si>
    <t>27-G-4  </t>
  </si>
  <si>
    <t>27-G-5  </t>
  </si>
  <si>
    <t>27-H-1  </t>
  </si>
  <si>
    <t>27-H-2  </t>
  </si>
  <si>
    <t>27-H-3  </t>
  </si>
  <si>
    <t>27-H-4  </t>
  </si>
  <si>
    <t>27-H-5  </t>
  </si>
  <si>
    <t>27-H-6  </t>
  </si>
  <si>
    <t>27-H-7  </t>
  </si>
  <si>
    <t>27-H-8  </t>
  </si>
  <si>
    <t>27-H-9  </t>
  </si>
  <si>
    <t>27-H-10  </t>
  </si>
  <si>
    <t>27-I-1  </t>
  </si>
  <si>
    <t>27-I-2  </t>
  </si>
  <si>
    <t>27-I-3  </t>
  </si>
  <si>
    <t>27-I-4  </t>
  </si>
  <si>
    <t>27-I-5  </t>
  </si>
  <si>
    <t>27-I-6  </t>
  </si>
  <si>
    <t>27-I-7  </t>
  </si>
  <si>
    <t>27-I-8  </t>
  </si>
  <si>
    <t>27-I-9  </t>
  </si>
  <si>
    <t>27-I-10  </t>
  </si>
  <si>
    <t>27-I-11  </t>
  </si>
  <si>
    <t>27-J-1  </t>
  </si>
  <si>
    <t>21-N-18  </t>
  </si>
  <si>
    <t>21-N-19  </t>
  </si>
  <si>
    <t>21-N-20  </t>
  </si>
  <si>
    <t>21-N-21  </t>
  </si>
  <si>
    <t>21-N-22  </t>
  </si>
  <si>
    <t>21-N-23  </t>
  </si>
  <si>
    <t>21-N-24  </t>
  </si>
  <si>
    <t>21-N-28  </t>
  </si>
  <si>
    <t>21-O-1  </t>
  </si>
  <si>
    <t>21-O-2  </t>
  </si>
  <si>
    <t>21-O-3  </t>
  </si>
  <si>
    <t>21-O-4  </t>
  </si>
  <si>
    <t>21-O-5  </t>
  </si>
  <si>
    <t>21-O-6  </t>
  </si>
  <si>
    <t>21-O-7  </t>
  </si>
  <si>
    <t>21-O-9  </t>
  </si>
  <si>
    <t>21-O-10  </t>
  </si>
  <si>
    <t>21-O-11  </t>
  </si>
  <si>
    <t>21-O-12  </t>
  </si>
  <si>
    <t>21-O-13  </t>
  </si>
  <si>
    <t>21-O-14  </t>
  </si>
  <si>
    <t>21-O-15  </t>
  </si>
  <si>
    <t>21-O-16  </t>
  </si>
  <si>
    <t>21-O-17  </t>
  </si>
  <si>
    <t>21-O-18  </t>
  </si>
  <si>
    <t>21-O-19  </t>
  </si>
  <si>
    <t>21-O-20  </t>
  </si>
  <si>
    <t>21-O-21  </t>
  </si>
  <si>
    <t>21-O-22  </t>
  </si>
  <si>
    <t>21-O-23  </t>
  </si>
  <si>
    <t>21-O-24  </t>
  </si>
  <si>
    <t>21-O-25  </t>
  </si>
  <si>
    <t>21-O-26  </t>
  </si>
  <si>
    <t>21-O-27  </t>
  </si>
  <si>
    <t>21-O-28  </t>
  </si>
  <si>
    <t>21-O-29  </t>
  </si>
  <si>
    <t>21-O-30  </t>
  </si>
  <si>
    <t>21-O-31  </t>
  </si>
  <si>
    <t>22-H-1  </t>
  </si>
  <si>
    <t>22-H-2  </t>
  </si>
  <si>
    <t>22-H-3  </t>
  </si>
  <si>
    <t>22-H-4  </t>
  </si>
  <si>
    <t>22-H-5  </t>
  </si>
  <si>
    <t>22-H-6  </t>
  </si>
  <si>
    <t>22-H-7  </t>
  </si>
  <si>
    <t>22-H-8  </t>
  </si>
  <si>
    <t>22-H-9  </t>
  </si>
  <si>
    <t>22-H-10  </t>
  </si>
  <si>
    <t>22-H-11  </t>
  </si>
  <si>
    <t>22-H-12  </t>
  </si>
  <si>
    <t>22-H-13  </t>
  </si>
  <si>
    <t>22-H-14  </t>
  </si>
  <si>
    <t>22-H-15  </t>
  </si>
  <si>
    <t>22-H-18  </t>
  </si>
  <si>
    <t>22-H-19  </t>
  </si>
  <si>
    <t>22-I-1  </t>
  </si>
  <si>
    <t>22-I-2  </t>
  </si>
  <si>
    <t>22-I-3  </t>
  </si>
  <si>
    <t>22-I-4  </t>
  </si>
  <si>
    <t>22-I-5  </t>
  </si>
  <si>
    <t>22-I-6  </t>
  </si>
  <si>
    <t>22-I-7  </t>
  </si>
  <si>
    <t>22-I-8  </t>
  </si>
  <si>
    <t>22-I-9  </t>
  </si>
  <si>
    <t>22-I-11  </t>
  </si>
  <si>
    <t>22-I-12  </t>
  </si>
  <si>
    <t>22-I-13  </t>
  </si>
  <si>
    <t>22-I-14  </t>
  </si>
  <si>
    <t>22-I-15  </t>
  </si>
  <si>
    <t>22-I-16  </t>
  </si>
  <si>
    <t>22-I-17  </t>
  </si>
  <si>
    <t>22-I-18  </t>
  </si>
  <si>
    <t>22-I-19  </t>
  </si>
  <si>
    <t>22-I-20  </t>
  </si>
  <si>
    <t>22-I-22  </t>
  </si>
  <si>
    <t>20-O-6</t>
  </si>
  <si>
    <t>Golson</t>
  </si>
  <si>
    <t>4-Q-3</t>
  </si>
  <si>
    <t>Lakeville Settlement</t>
  </si>
  <si>
    <t>Williams 1954</t>
  </si>
  <si>
    <t>SEMO</t>
  </si>
  <si>
    <t>approximate</t>
  </si>
  <si>
    <t xml:space="preserve">Williams 1954, Thomas 1894; </t>
  </si>
  <si>
    <t>4-Q-1</t>
  </si>
  <si>
    <t>Peter Bess</t>
  </si>
  <si>
    <t>5-R-1</t>
  </si>
  <si>
    <t>Sikeston</t>
  </si>
  <si>
    <t>Rectangular village with wall and ditch.  Rectangular mound, conical mounds, 5 other small mounds. Conicals nearby suggesting that the village emerged from a more dispersed prior occupation(?)</t>
  </si>
  <si>
    <t>Williams 1954, Potter 1880; Adams and Walker 1942</t>
  </si>
  <si>
    <t>7+</t>
  </si>
  <si>
    <t>5-R-2</t>
  </si>
  <si>
    <t>East Lake</t>
  </si>
  <si>
    <t xml:space="preserve">Rectangular village with wall and ditch. 2 mounds, 1 low flattop. </t>
  </si>
  <si>
    <t>5-R-3</t>
  </si>
  <si>
    <t>3CY0157</t>
  </si>
  <si>
    <t>3CY0320</t>
  </si>
  <si>
    <t>3CY0341</t>
  </si>
  <si>
    <t>3CY0121</t>
  </si>
  <si>
    <t>Flanigan, G.C. Farm</t>
  </si>
  <si>
    <t>3CY0355</t>
  </si>
  <si>
    <t>3CY0051</t>
  </si>
  <si>
    <t>Thampson Place</t>
  </si>
  <si>
    <t>3CY0449</t>
  </si>
  <si>
    <t>Starr</t>
  </si>
  <si>
    <t>3CY0433</t>
  </si>
  <si>
    <t>Donner Site</t>
  </si>
  <si>
    <t>3GE0426</t>
  </si>
  <si>
    <t>3GE0425</t>
  </si>
  <si>
    <t>3LI0204</t>
  </si>
  <si>
    <t>Harrison</t>
  </si>
  <si>
    <t>3LI0207</t>
  </si>
  <si>
    <t>Johnny Jackson</t>
  </si>
  <si>
    <t>3GE0463</t>
  </si>
  <si>
    <t>Lake Ponder</t>
  </si>
  <si>
    <t>3CY0468</t>
  </si>
  <si>
    <t>23DU55</t>
  </si>
  <si>
    <t>Indian Camp Slough / Ralph Wayne 4 / Bald Knob Nutstone</t>
  </si>
  <si>
    <t>23DU77</t>
  </si>
  <si>
    <t>Charles Provance Front Ridge</t>
  </si>
  <si>
    <t>23DU229</t>
  </si>
  <si>
    <t>South Russom</t>
  </si>
  <si>
    <t>23DU230</t>
  </si>
  <si>
    <t>North Russom</t>
  </si>
  <si>
    <t>23DU386</t>
  </si>
  <si>
    <t>Blowhole</t>
  </si>
  <si>
    <t>23DU391</t>
  </si>
  <si>
    <t>Costephens</t>
  </si>
  <si>
    <t>23DU392</t>
  </si>
  <si>
    <t>Roadkill / Young</t>
  </si>
  <si>
    <t>23DU395</t>
  </si>
  <si>
    <t>Tom True Slough Iii / True Slough</t>
  </si>
  <si>
    <t>23DU396</t>
  </si>
  <si>
    <t>New Poterfield</t>
  </si>
  <si>
    <t>23DU398</t>
  </si>
  <si>
    <t>Johnson / Porterfield</t>
  </si>
  <si>
    <t>23DU422</t>
  </si>
  <si>
    <t>Garhole / Garhole Complex</t>
  </si>
  <si>
    <t>23DU424</t>
  </si>
  <si>
    <t>Little Celt / Gunflint</t>
  </si>
  <si>
    <t>23DU437</t>
  </si>
  <si>
    <t>Cude Cullum</t>
  </si>
  <si>
    <t>23DU440</t>
  </si>
  <si>
    <t>Mcelwrath</t>
  </si>
  <si>
    <t>23DU441</t>
  </si>
  <si>
    <t>Otto Bean</t>
  </si>
  <si>
    <t>23DU442</t>
  </si>
  <si>
    <t>Melon Patch / North Ridge</t>
  </si>
  <si>
    <t>23DU443</t>
  </si>
  <si>
    <t>Massey / Dempsey</t>
  </si>
  <si>
    <t>23DU445</t>
  </si>
  <si>
    <t>Karston</t>
  </si>
  <si>
    <t>23DU447</t>
  </si>
  <si>
    <t>Robinson / Lloyd Robertson</t>
  </si>
  <si>
    <t>23DU449</t>
  </si>
  <si>
    <t>Don Davis</t>
  </si>
  <si>
    <t>23DU465</t>
  </si>
  <si>
    <t>Nails Hill 19/ Little Ugly Clovis</t>
  </si>
  <si>
    <t>23DU468</t>
  </si>
  <si>
    <t>Segraves 7 / East Of Wheeling</t>
  </si>
  <si>
    <t>23DU473</t>
  </si>
  <si>
    <t>Sawmill Site 2</t>
  </si>
  <si>
    <t>Village site with large rectangular mounds and small mounds (09apr06 - check for rect feature in aerial).</t>
  </si>
  <si>
    <t>Sherwood</t>
  </si>
  <si>
    <t>2 mounds, 1 low rect. Flattop ca. 2 meters high. 1 low irregular mound, shell tempered pottery</t>
  </si>
  <si>
    <t>Cell Tower</t>
  </si>
  <si>
    <t>1 conical mound (found through topo graphic map</t>
  </si>
  <si>
    <t>Bayou Lafourche</t>
  </si>
  <si>
    <t>Bayou Thunder Von Tranc</t>
  </si>
  <si>
    <t>Cheniere Caminada</t>
  </si>
  <si>
    <t>Caminada Bay</t>
  </si>
  <si>
    <t>East of Pass Fourchon</t>
  </si>
  <si>
    <t>Bay Marchand</t>
  </si>
  <si>
    <t>West of Belle Pass</t>
  </si>
  <si>
    <t>LMS Number</t>
  </si>
  <si>
    <t>26-K-117  </t>
  </si>
  <si>
    <t>26-K-118  </t>
  </si>
  <si>
    <t>26-K-119  </t>
  </si>
  <si>
    <t>26-K-120  </t>
  </si>
  <si>
    <t>26-K-121  </t>
  </si>
  <si>
    <t>26-K-122  </t>
  </si>
  <si>
    <t>26-K-123  </t>
  </si>
  <si>
    <t>26-K-124  </t>
  </si>
  <si>
    <t>26-K-125  </t>
  </si>
  <si>
    <t>26-K-126  </t>
  </si>
  <si>
    <t>26-K-127  </t>
  </si>
  <si>
    <t>26-K-128  </t>
  </si>
  <si>
    <t>26-K-129  </t>
  </si>
  <si>
    <t>26-K-130  </t>
  </si>
  <si>
    <t>26-K-131  </t>
  </si>
  <si>
    <t>26-K-132  </t>
  </si>
  <si>
    <t>26-K-133  </t>
  </si>
  <si>
    <t>26-L-1  </t>
  </si>
  <si>
    <t>26-L-2  </t>
  </si>
  <si>
    <t>26-L-3  </t>
  </si>
  <si>
    <t>26-L-4  </t>
  </si>
  <si>
    <t>26-L-5  </t>
  </si>
  <si>
    <t>26-L-6  </t>
  </si>
  <si>
    <t>26-L-7  </t>
  </si>
  <si>
    <t>26-L-8  </t>
  </si>
  <si>
    <t>26-L-9  </t>
  </si>
  <si>
    <t>26-L-10  </t>
  </si>
  <si>
    <t>26-L-11  </t>
  </si>
  <si>
    <t>26-L-12  </t>
  </si>
  <si>
    <t>26-L-13  </t>
  </si>
  <si>
    <t>26-L-14  </t>
  </si>
  <si>
    <t>26-L-15  </t>
  </si>
  <si>
    <t>Rattlesnake Hill</t>
  </si>
  <si>
    <t>3CY0271</t>
  </si>
  <si>
    <t>3CY0266</t>
  </si>
  <si>
    <t>3CY0274</t>
  </si>
  <si>
    <t>3CY0098</t>
  </si>
  <si>
    <t>3CY0285</t>
  </si>
  <si>
    <t>3CY0288</t>
  </si>
  <si>
    <t>Laughlin Farm</t>
  </si>
  <si>
    <t>3CY0042</t>
  </si>
  <si>
    <t>Brownfield</t>
  </si>
  <si>
    <t>3CY0115</t>
  </si>
  <si>
    <t>Briney</t>
  </si>
  <si>
    <t>3CY0303</t>
  </si>
  <si>
    <t>Dalton Hill</t>
  </si>
  <si>
    <t>3CY0113</t>
  </si>
  <si>
    <t>3CY0277</t>
  </si>
  <si>
    <t>3CY0308</t>
  </si>
  <si>
    <t>3CY0312</t>
  </si>
  <si>
    <t>3CY0325</t>
  </si>
  <si>
    <t>3CY0330</t>
  </si>
  <si>
    <t>3CY0332</t>
  </si>
  <si>
    <t>3CY0339</t>
  </si>
  <si>
    <t>Moore, Paul</t>
  </si>
  <si>
    <t>3GE0346</t>
  </si>
  <si>
    <t>Watkins, Cleo</t>
  </si>
  <si>
    <t>3CY0348</t>
  </si>
  <si>
    <t>Medford 5-88</t>
  </si>
  <si>
    <t>3GE0353</t>
  </si>
  <si>
    <t>Halpole</t>
  </si>
  <si>
    <t>3CY0004</t>
  </si>
  <si>
    <t>Rice</t>
  </si>
  <si>
    <t>3GE0004</t>
  </si>
  <si>
    <t>3GE0016</t>
  </si>
  <si>
    <t>3GE0017</t>
  </si>
  <si>
    <t>Swink</t>
  </si>
  <si>
    <t>3GE0030</t>
  </si>
  <si>
    <t>3GE0038</t>
  </si>
  <si>
    <t>Frank Ridge Walnut Corner</t>
  </si>
  <si>
    <t>3GE0035</t>
  </si>
  <si>
    <t>Warner, A.F. Behind House</t>
  </si>
  <si>
    <t>3GE0039</t>
  </si>
  <si>
    <t>Nutt, Richard Front House</t>
  </si>
  <si>
    <t>3GE0046</t>
  </si>
  <si>
    <t>3GE0047</t>
  </si>
  <si>
    <t>Fielder, H.B.Cotton Field</t>
  </si>
  <si>
    <t>3GE0052</t>
  </si>
  <si>
    <t>3GE0053</t>
  </si>
  <si>
    <t>3GE0056</t>
  </si>
  <si>
    <t>3GE0079</t>
  </si>
  <si>
    <t>Bolick #1</t>
  </si>
  <si>
    <t>3GE0058</t>
  </si>
  <si>
    <t>Fielder, G.E.Cotton Patch</t>
  </si>
  <si>
    <t>3GE0069</t>
  </si>
  <si>
    <t>Big Island</t>
  </si>
  <si>
    <t>3GE0070</t>
  </si>
  <si>
    <t>3GE0179</t>
  </si>
  <si>
    <t>3GE0221</t>
  </si>
  <si>
    <t>3GE0233</t>
  </si>
  <si>
    <t>3GE0243</t>
  </si>
  <si>
    <t>3GE0245</t>
  </si>
  <si>
    <t>3GE0246</t>
  </si>
  <si>
    <t>3GE0249</t>
  </si>
  <si>
    <t>3GE0125</t>
  </si>
  <si>
    <t>Lee, Richard</t>
  </si>
  <si>
    <t>3GE0320</t>
  </si>
  <si>
    <t>3GE0311</t>
  </si>
  <si>
    <t>3GE0165</t>
  </si>
  <si>
    <t>Fossett #2</t>
  </si>
  <si>
    <t>3GE0168</t>
  </si>
  <si>
    <t>3GE0078</t>
  </si>
  <si>
    <t>3GE0093</t>
  </si>
  <si>
    <t>Blade</t>
  </si>
  <si>
    <t>3GE0115</t>
  </si>
  <si>
    <t>3GE0127</t>
  </si>
  <si>
    <t>Sloan, W.C. (Far Ridge)</t>
  </si>
  <si>
    <t>3GE0135</t>
  </si>
  <si>
    <t>3GE0149</t>
  </si>
  <si>
    <t>Collins Hill</t>
  </si>
  <si>
    <t>3GE0150</t>
  </si>
  <si>
    <t>3GE0156</t>
  </si>
  <si>
    <t>3GE0164</t>
  </si>
  <si>
    <t>Fossett #1</t>
  </si>
  <si>
    <t>3GE0170</t>
  </si>
  <si>
    <t>Shewmaker #1</t>
  </si>
  <si>
    <t>3GE0186</t>
  </si>
  <si>
    <t>3GE0222</t>
  </si>
  <si>
    <t>3GE0224</t>
  </si>
  <si>
    <t>3GE0215</t>
  </si>
  <si>
    <t>3GE0218</t>
  </si>
  <si>
    <t>3GE0220</t>
  </si>
  <si>
    <t>3GE0236</t>
  </si>
  <si>
    <t>3GE0100</t>
  </si>
  <si>
    <t>3GE0088</t>
  </si>
  <si>
    <t>Bryant</t>
  </si>
  <si>
    <t>3GE0139</t>
  </si>
  <si>
    <t>3GE0140</t>
  </si>
  <si>
    <t>3GE0028</t>
  </si>
  <si>
    <t>Braham</t>
  </si>
  <si>
    <t>3GE0036</t>
  </si>
  <si>
    <t>Jumper Farm</t>
  </si>
  <si>
    <t>3GE0060</t>
  </si>
  <si>
    <t>Farley, Stewart Place</t>
  </si>
  <si>
    <t>3GE0071</t>
  </si>
  <si>
    <t>3CY0005</t>
  </si>
  <si>
    <t>Jenkins</t>
  </si>
  <si>
    <t>3CY0006</t>
  </si>
  <si>
    <t>Elizabeth</t>
  </si>
  <si>
    <t>3CY0007</t>
  </si>
  <si>
    <t>Nickerson</t>
  </si>
  <si>
    <t>3CY0009</t>
  </si>
  <si>
    <t>3CY0022</t>
  </si>
  <si>
    <t>Pyle, Harold Farm</t>
  </si>
  <si>
    <t>3CY0024</t>
  </si>
  <si>
    <t>Murphy Lake</t>
  </si>
  <si>
    <t>3CY0027</t>
  </si>
  <si>
    <t>3CY0028</t>
  </si>
  <si>
    <t>Vandover Farm</t>
  </si>
  <si>
    <t>3CY0029</t>
  </si>
  <si>
    <t>Gasoway Place</t>
  </si>
  <si>
    <t>3CY0031</t>
  </si>
  <si>
    <t>High Point</t>
  </si>
  <si>
    <t>3CY0032</t>
  </si>
  <si>
    <t>Arent Place</t>
  </si>
  <si>
    <t>3CY0034</t>
  </si>
  <si>
    <t>3CY0037</t>
  </si>
  <si>
    <t>March</t>
  </si>
  <si>
    <t>3CY0050</t>
  </si>
  <si>
    <t>Cox Place</t>
  </si>
  <si>
    <t>3CY0169</t>
  </si>
  <si>
    <t>Cloud's Hardin</t>
  </si>
  <si>
    <t>3CY0180</t>
  </si>
  <si>
    <t>3CY0237</t>
  </si>
  <si>
    <t>3CY0003</t>
  </si>
  <si>
    <t>3CY0076</t>
  </si>
  <si>
    <t>3CY0078</t>
  </si>
  <si>
    <t>3CY0079</t>
  </si>
  <si>
    <t>3CY0083</t>
  </si>
  <si>
    <t>3CY0087</t>
  </si>
  <si>
    <t>3CY0094</t>
  </si>
  <si>
    <t>3CY0096</t>
  </si>
  <si>
    <t>3CY0097</t>
  </si>
  <si>
    <t>3CY0106</t>
  </si>
  <si>
    <t>3CY0107</t>
  </si>
  <si>
    <t>3CY0110</t>
  </si>
  <si>
    <t>3CY0125</t>
  </si>
  <si>
    <t>3CY0128</t>
  </si>
  <si>
    <t>3CY0131</t>
  </si>
  <si>
    <t>3CY0135</t>
  </si>
  <si>
    <t>3CY0147</t>
  </si>
  <si>
    <t>3CY0152</t>
  </si>
  <si>
    <t>3CY0154</t>
  </si>
  <si>
    <t>Shannon</t>
  </si>
  <si>
    <t>Single Mound, baytown, marksville,  mulberry creek, deasonville.</t>
  </si>
  <si>
    <t>21-N-9</t>
  </si>
  <si>
    <t>Waller</t>
  </si>
  <si>
    <t>Two indetermiante mounds, poverty point objects, baytown, larto red, marksville</t>
  </si>
  <si>
    <t>21-O-1</t>
  </si>
  <si>
    <t>Boston Bayou</t>
  </si>
  <si>
    <t>Unknown mounds, Baytown, Coles Creek, ,Larto, Marksville, Mulberry Creek Cordmarked</t>
  </si>
  <si>
    <t>1+</t>
  </si>
  <si>
    <t>21-O-10</t>
  </si>
  <si>
    <t>Champlin</t>
  </si>
  <si>
    <t>4 conical mounds, mississippian</t>
  </si>
  <si>
    <t>21-O-11</t>
  </si>
  <si>
    <t xml:space="preserve">York Hill </t>
  </si>
  <si>
    <t>Group of conical mounds, deasonville, coles creek, Mississippian</t>
  </si>
  <si>
    <t>21-O-12</t>
  </si>
  <si>
    <t>Pete Clark</t>
  </si>
  <si>
    <t>Shell ring in semicircular shape, one mound, conical, Deasonville</t>
  </si>
  <si>
    <t>21-O-2</t>
  </si>
  <si>
    <t>Ingersoll</t>
  </si>
  <si>
    <t>Village site, Larto Red, Mulberry Creek, Coles Creek</t>
  </si>
  <si>
    <t>21-O-3</t>
  </si>
  <si>
    <t>Clark's Ferry</t>
  </si>
  <si>
    <t xml:space="preserve">Conical mound, burials, Deasonville, </t>
  </si>
  <si>
    <t>21-O-4</t>
  </si>
  <si>
    <t>McNeer</t>
  </si>
  <si>
    <t>Village site, unknown mounds,  Deasonville, Mississippian</t>
  </si>
  <si>
    <t>21-O-5</t>
  </si>
  <si>
    <t>Crump</t>
  </si>
  <si>
    <t>Shell midden, village midden, 1 mound (?), Baytown, Coles Creek, Deasonville, Mississippian</t>
  </si>
  <si>
    <t>21-O-6</t>
  </si>
  <si>
    <t>Reaver Brown</t>
  </si>
  <si>
    <t>Large conical mound, few sherds, Marksville</t>
  </si>
  <si>
    <t>21-O-7</t>
  </si>
  <si>
    <t>Love</t>
  </si>
  <si>
    <t>Village site, 2 mounds (now gone), coles creek, Marksville, Deasonville</t>
  </si>
  <si>
    <t>G-E</t>
  </si>
  <si>
    <t>21-O-9</t>
  </si>
  <si>
    <t>Shellwood</t>
  </si>
  <si>
    <t>Series of shell middens in semi-cicular arrangement, 2 mounds, Late Marksville, Issaquena, Deasonville, Coles Creek, Mississippian</t>
  </si>
  <si>
    <t>F-A</t>
  </si>
  <si>
    <t>22-L-1</t>
  </si>
  <si>
    <t>Magna Vista</t>
  </si>
  <si>
    <t xml:space="preserve">1 rectangular mound, surrounded by semi circular embankment, very little midden, Mississippian </t>
  </si>
  <si>
    <t>22-M-1</t>
  </si>
  <si>
    <t>Thorton</t>
  </si>
  <si>
    <t>Tchula, Marksville, Coles Creek, Deasonville.</t>
  </si>
  <si>
    <t>G-B</t>
  </si>
  <si>
    <t>22-M-2</t>
  </si>
  <si>
    <t>Jeff Davis</t>
  </si>
  <si>
    <t>Nailing</t>
  </si>
  <si>
    <t>3GE0023</t>
  </si>
  <si>
    <t>3GE0025</t>
  </si>
  <si>
    <t>Hammon Place</t>
  </si>
  <si>
    <t>3GE0040</t>
  </si>
  <si>
    <t>Sloan, W.C. Farm</t>
  </si>
  <si>
    <t>3GE0044</t>
  </si>
  <si>
    <t>Nutt, Richard Behind Hous</t>
  </si>
  <si>
    <t>3GE0049</t>
  </si>
  <si>
    <t>Kaylor Farm</t>
  </si>
  <si>
    <t>3GE0118</t>
  </si>
  <si>
    <t>3GE0131</t>
  </si>
  <si>
    <t>Higgins #3</t>
  </si>
  <si>
    <t>3GE0153</t>
  </si>
  <si>
    <t>3GE0193</t>
  </si>
  <si>
    <t>3GE0194</t>
  </si>
  <si>
    <t>3GE0123</t>
  </si>
  <si>
    <t>3GE0250</t>
  </si>
  <si>
    <t>3GE0313</t>
  </si>
  <si>
    <t>3GE0013</t>
  </si>
  <si>
    <t>Tower</t>
  </si>
  <si>
    <t>3GE0063</t>
  </si>
  <si>
    <t>Lands</t>
  </si>
  <si>
    <t>3GE0080</t>
  </si>
  <si>
    <t>3GE0207</t>
  </si>
  <si>
    <t>Bard</t>
  </si>
  <si>
    <t>3CY0010</t>
  </si>
  <si>
    <t>Mccrory</t>
  </si>
  <si>
    <t>3CY0011</t>
  </si>
  <si>
    <t>Parrish, V.</t>
  </si>
  <si>
    <t>3CY0132</t>
  </si>
  <si>
    <t>3CY0012</t>
  </si>
  <si>
    <t>Marlie</t>
  </si>
  <si>
    <t>3CY0013</t>
  </si>
  <si>
    <t>Parrish, S.</t>
  </si>
  <si>
    <t>3CY0016</t>
  </si>
  <si>
    <t>Cache River</t>
  </si>
  <si>
    <t>3CY0018</t>
  </si>
  <si>
    <t>Allen</t>
  </si>
  <si>
    <t>3CY0261</t>
  </si>
  <si>
    <t>Large mound, maybe conical, no pottery</t>
  </si>
  <si>
    <t>21-M-4</t>
  </si>
  <si>
    <t>Lowery</t>
  </si>
  <si>
    <t xml:space="preserve">2 Mounds, probably rect, Late Marksville, Deasonville </t>
  </si>
  <si>
    <t>21-M-5</t>
  </si>
  <si>
    <t>Cary</t>
  </si>
  <si>
    <t xml:space="preserve">4 mounds, one large pyramid with ramp, Mississppian </t>
  </si>
  <si>
    <t>21-M-6</t>
  </si>
  <si>
    <t>Moore</t>
  </si>
  <si>
    <t>21-M-7</t>
  </si>
  <si>
    <t>Grace</t>
  </si>
  <si>
    <t>2 rectangular pyramid mounds, 2 other mounds possible, Mississippian</t>
  </si>
  <si>
    <t>C-A</t>
  </si>
  <si>
    <t>21-M-8</t>
  </si>
  <si>
    <t>Lamidoux</t>
  </si>
  <si>
    <t>1 conical mound, no pottery</t>
  </si>
  <si>
    <t>21-M-9</t>
  </si>
  <si>
    <t>Alsworth</t>
  </si>
  <si>
    <t>1 rectangular(?) mound, no pottery.</t>
  </si>
  <si>
    <t>1?</t>
  </si>
  <si>
    <t>21-N-1</t>
  </si>
  <si>
    <t>Lake George</t>
  </si>
  <si>
    <t xml:space="preserve">24 mounds, pyramids, Earthen rectangular enclosure, Poverty point, Jaketown, baytown, Mississippian, Rectangular layout </t>
  </si>
  <si>
    <t>21-N-10</t>
  </si>
  <si>
    <t>Savory</t>
  </si>
  <si>
    <t>8 mounds arranged in semicircular arrangement and with midden in semi circulae, Poverty Point, Baytown, Marksville, Mississippian</t>
  </si>
  <si>
    <t>21-N-13</t>
  </si>
  <si>
    <t>Erickson</t>
  </si>
  <si>
    <t>2 mounds, Baytown, Marksville, Mulberry Creek, Deasonville, Mississippian</t>
  </si>
  <si>
    <t>21-N-15</t>
  </si>
  <si>
    <t>Tanglewood</t>
  </si>
  <si>
    <t>3 small mounds, village site, Baytown, coles creek, deasonville, Mississippian</t>
  </si>
  <si>
    <t>21-N-16</t>
  </si>
  <si>
    <t>Robinson (Rialto)</t>
  </si>
  <si>
    <t>Village site (midden), no mounds, Baytown, Coles Creek, Mulberry Creek, Bayland and Deasonville</t>
  </si>
  <si>
    <t>21-N-17</t>
  </si>
  <si>
    <t>Rugby</t>
  </si>
  <si>
    <t>village site (midden), no mounds, Marksville, Deasonville, Coles Creek, Baytown</t>
  </si>
  <si>
    <t>G-D</t>
  </si>
  <si>
    <t>21-N-19</t>
  </si>
  <si>
    <t>Wilzone</t>
  </si>
  <si>
    <t>Village site - large 300x150x6 ft mound/platform, Deasonville, Coles Creek</t>
  </si>
  <si>
    <t>E-C</t>
  </si>
  <si>
    <t>21-N-2</t>
  </si>
  <si>
    <t>Perry</t>
  </si>
  <si>
    <t>1 mound, village midden , Baytown, Marksville..</t>
  </si>
  <si>
    <t>21-N-20</t>
  </si>
  <si>
    <t>Jerusalem</t>
  </si>
  <si>
    <t>Small village site w/o mounds, Baytown, Mississipian</t>
  </si>
  <si>
    <t>21-N-3</t>
  </si>
  <si>
    <t>Spanish Fort</t>
  </si>
  <si>
    <t>half circular earthen enclosure, area of shell midden in center, Poverty point?, Marksville, Deasonville, Baytown, Coles Creek</t>
  </si>
  <si>
    <t>21-N-4</t>
  </si>
  <si>
    <t>Mabin</t>
  </si>
  <si>
    <t>3 mounds, conical, Poverty Point, Marksville, Baytown, Coles Creek, Mississippian</t>
  </si>
  <si>
    <t>21-N-5</t>
  </si>
  <si>
    <t>Yucatan</t>
  </si>
  <si>
    <t>Middens in semi-circle arrangement. Coles Creek</t>
  </si>
  <si>
    <t>21-N-6</t>
  </si>
  <si>
    <t>Screws</t>
  </si>
  <si>
    <t>1 mound, plowed down, Clay tempered sherds, one mound</t>
  </si>
  <si>
    <t>21-N-7</t>
  </si>
  <si>
    <t>Stalonia</t>
  </si>
  <si>
    <t xml:space="preserve">Rectangular pyramid mounds, rectangular plan and embankment, Baytown, Coles Creek </t>
  </si>
  <si>
    <t>21-N-8</t>
  </si>
  <si>
    <t>15-N-58  </t>
  </si>
  <si>
    <t>15-N-59  </t>
  </si>
  <si>
    <t>15-N-60  </t>
  </si>
  <si>
    <t>15-N-61  </t>
  </si>
  <si>
    <t>15-N-62  </t>
  </si>
  <si>
    <t>15-O-1  </t>
  </si>
  <si>
    <t>15-O-2  </t>
  </si>
  <si>
    <t>15-O-3  </t>
  </si>
  <si>
    <t>15-O-4  </t>
  </si>
  <si>
    <t>15-O-5  </t>
  </si>
  <si>
    <t>15-O-6  </t>
  </si>
  <si>
    <t>15-O-7  </t>
  </si>
  <si>
    <t>15-O-8  </t>
  </si>
  <si>
    <t>15-O-9  </t>
  </si>
  <si>
    <t>15-O-10  </t>
  </si>
  <si>
    <t>15-O-11  </t>
  </si>
  <si>
    <t>15-O-12  </t>
  </si>
  <si>
    <t>15-O-13  </t>
  </si>
  <si>
    <t>15-O-14  </t>
  </si>
  <si>
    <t>15-O-15  </t>
  </si>
  <si>
    <t>15-O-16  </t>
  </si>
  <si>
    <t>15-O-17  </t>
  </si>
  <si>
    <t>15-O-18  </t>
  </si>
  <si>
    <t>15-O-19  </t>
  </si>
  <si>
    <t>15-O-20  </t>
  </si>
  <si>
    <t>15-O-21  </t>
  </si>
  <si>
    <t>15-O-22  </t>
  </si>
  <si>
    <t>15-P-1  </t>
  </si>
  <si>
    <t>15-P-2  </t>
  </si>
  <si>
    <t>15-P-3  </t>
  </si>
  <si>
    <t>15-P-4  </t>
  </si>
  <si>
    <t>15-P-5  </t>
  </si>
  <si>
    <t>15-P-6  </t>
  </si>
  <si>
    <t>16-I-1  </t>
  </si>
  <si>
    <t>16-I-2  </t>
  </si>
  <si>
    <t>16-I-3  </t>
  </si>
  <si>
    <t>16-I-4  </t>
  </si>
  <si>
    <t>16-I-5  </t>
  </si>
  <si>
    <t>16-J-1  </t>
  </si>
  <si>
    <t>16-J-2  </t>
  </si>
  <si>
    <t>16-J-3  </t>
  </si>
  <si>
    <t>16-J-4  </t>
  </si>
  <si>
    <t>16-J-5  </t>
  </si>
  <si>
    <t>16-K-1  </t>
  </si>
  <si>
    <t>16-K-2  </t>
  </si>
  <si>
    <t>16-K-3  </t>
  </si>
  <si>
    <t>16-K-4  </t>
  </si>
  <si>
    <t>16-L-1  </t>
  </si>
  <si>
    <t>16-L-3  </t>
  </si>
  <si>
    <t>16-L-4  </t>
  </si>
  <si>
    <t>16-L-5  </t>
  </si>
  <si>
    <t>16-L-6  </t>
  </si>
  <si>
    <t>16-M-1  </t>
  </si>
  <si>
    <t>16-M-2  </t>
  </si>
  <si>
    <t>16-M-3  </t>
  </si>
  <si>
    <t>16-M-4  </t>
  </si>
  <si>
    <t>16-M-5  </t>
  </si>
  <si>
    <t>16-M-6  </t>
  </si>
  <si>
    <t>16-M-7  </t>
  </si>
  <si>
    <t>16-M-8  </t>
  </si>
  <si>
    <t>16-M-9  </t>
  </si>
  <si>
    <t>Village site, Bay town, Larto Red, Coles Creek, Deasonville, Marksville</t>
  </si>
  <si>
    <t>20-O-18</t>
  </si>
  <si>
    <t>Peaster</t>
  </si>
  <si>
    <t>four mounds, conical burial mound, burials, Mississippian, not visited by Phillips</t>
  </si>
  <si>
    <t>20-O-20</t>
  </si>
  <si>
    <t>Welsh Camp</t>
  </si>
  <si>
    <t>1 mound , conical, poverty point objects?</t>
  </si>
  <si>
    <t>20-O-7</t>
  </si>
  <si>
    <t>Payne</t>
  </si>
  <si>
    <t>Shell middens in semi circular arragnement, Coles Creek, Mississippian</t>
  </si>
  <si>
    <t>20-O-8</t>
  </si>
  <si>
    <t>McClintock</t>
  </si>
  <si>
    <t>1 mound, clay tempered sherds</t>
  </si>
  <si>
    <t>20-O-9</t>
  </si>
  <si>
    <t>Tchula Lake</t>
  </si>
  <si>
    <t>Shell midden in circular pattern. Deasonville</t>
  </si>
  <si>
    <t>20-P-1</t>
  </si>
  <si>
    <t>Gamewood</t>
  </si>
  <si>
    <t>Extensive shell midden with 1 conical mound (Marksville, Deasonville, Coles Creek)</t>
  </si>
  <si>
    <t>20-P-2</t>
  </si>
  <si>
    <t>Sontheimer</t>
  </si>
  <si>
    <t>conical mound, no pottery</t>
  </si>
  <si>
    <t>20-P-3</t>
  </si>
  <si>
    <t>Temple</t>
  </si>
  <si>
    <t>Village midden, no pottery</t>
  </si>
  <si>
    <t>21-L-1</t>
  </si>
  <si>
    <t>Mayersville</t>
  </si>
  <si>
    <t>11 Mounds, 9 rectangular, 2 conical(?), Baytown, Mississippian</t>
  </si>
  <si>
    <t>C-B</t>
  </si>
  <si>
    <t>21-M-1</t>
  </si>
  <si>
    <t>Rolling Fork</t>
  </si>
  <si>
    <t>3 mounds, 1 large square mound with possible ramp, Mississpian pottery</t>
  </si>
  <si>
    <t>21-M-10</t>
  </si>
  <si>
    <t>Flannigan</t>
  </si>
  <si>
    <t>1 mound, unknown shape, no pottery</t>
  </si>
  <si>
    <t>21-M-11</t>
  </si>
  <si>
    <t>Chipman</t>
  </si>
  <si>
    <t>1 mound, Baytown, Coles Creek, Mississippian</t>
  </si>
  <si>
    <t>21-M-2</t>
  </si>
  <si>
    <t>Mount Helena</t>
  </si>
  <si>
    <t>3 mounds, 1 large pyramid, 2 others of indeterminate shape, Baytown, Coles Creek</t>
  </si>
  <si>
    <t>21-M-3</t>
  </si>
  <si>
    <t>Anguilla</t>
  </si>
  <si>
    <t>13-N-15  </t>
  </si>
  <si>
    <t>13-N-16  </t>
  </si>
  <si>
    <t>13-N-17  </t>
  </si>
  <si>
    <t>13-N-18  </t>
  </si>
  <si>
    <t>13-N-19  </t>
  </si>
  <si>
    <t>13-N-20  </t>
  </si>
  <si>
    <t>13-N-21  </t>
  </si>
  <si>
    <t>13-N-23  </t>
  </si>
  <si>
    <t>13-N-24  </t>
  </si>
  <si>
    <t>13-O-1  </t>
  </si>
  <si>
    <t>13-O-2  </t>
  </si>
  <si>
    <t>13-O-3  </t>
  </si>
  <si>
    <t>13-O-4  </t>
  </si>
  <si>
    <t>13-O-5  </t>
  </si>
  <si>
    <t>13-O-6  </t>
  </si>
  <si>
    <t>13-O-7  </t>
  </si>
  <si>
    <t>13-O-8  </t>
  </si>
  <si>
    <t>13-O-9  </t>
  </si>
  <si>
    <t>13-O-10  </t>
  </si>
  <si>
    <t>13-O-11  </t>
  </si>
  <si>
    <t>13-O-12  </t>
  </si>
  <si>
    <t>13-O-13  </t>
  </si>
  <si>
    <t>13-O-14  </t>
  </si>
  <si>
    <t>13-O-15  </t>
  </si>
  <si>
    <t>13-O-16  </t>
  </si>
  <si>
    <t>13-O-17  </t>
  </si>
  <si>
    <t>13-P-1  </t>
  </si>
  <si>
    <t>13-P-2  </t>
  </si>
  <si>
    <t>13-P-3  </t>
  </si>
  <si>
    <t>13-P-4  </t>
  </si>
  <si>
    <t>13-P-5  </t>
  </si>
  <si>
    <t>13-P-6  </t>
  </si>
  <si>
    <t>13-P-7  </t>
  </si>
  <si>
    <t>13-P-8  </t>
  </si>
  <si>
    <t>13-P-9  </t>
  </si>
  <si>
    <t>13-P-10  </t>
  </si>
  <si>
    <t>13-P-11  </t>
  </si>
  <si>
    <t>13-P-12  </t>
  </si>
  <si>
    <t>13-P-13  </t>
  </si>
  <si>
    <t>13-P-14  </t>
  </si>
  <si>
    <t>13-P-15  </t>
  </si>
  <si>
    <t>14-H-1  </t>
  </si>
  <si>
    <t>14-K-1  </t>
  </si>
  <si>
    <t>14-L-1  </t>
  </si>
  <si>
    <t>14-M-1  </t>
  </si>
  <si>
    <t>14-M-2  </t>
  </si>
  <si>
    <t>14-M-3  </t>
  </si>
  <si>
    <t>14-N-1  </t>
  </si>
  <si>
    <t>14-N-2  </t>
  </si>
  <si>
    <t>14-N-3  </t>
  </si>
  <si>
    <t>14-N-4  </t>
  </si>
  <si>
    <t>14-N-5  </t>
  </si>
  <si>
    <t>14-N-6  </t>
  </si>
  <si>
    <t>14-N-7  </t>
  </si>
  <si>
    <t>14-N-8  </t>
  </si>
  <si>
    <t>14-N-9  </t>
  </si>
  <si>
    <t>14-O-1  </t>
  </si>
  <si>
    <t>14-O-2  </t>
  </si>
  <si>
    <t>14-O-3  </t>
  </si>
  <si>
    <t>14-O-4  </t>
  </si>
  <si>
    <t>14-O-5  </t>
  </si>
  <si>
    <t>14-O-6  </t>
  </si>
  <si>
    <t>14-O-7  </t>
  </si>
  <si>
    <t>14-O-8  </t>
  </si>
  <si>
    <t>14-O-9  </t>
  </si>
  <si>
    <t>14-O-10  </t>
  </si>
  <si>
    <t>14-O-11  </t>
  </si>
  <si>
    <t>14-O-12  </t>
  </si>
  <si>
    <t>14-O-13  </t>
  </si>
  <si>
    <t>14-O-14  </t>
  </si>
  <si>
    <t>14-O-15  </t>
  </si>
  <si>
    <t>14-O-16  </t>
  </si>
  <si>
    <t>14-O-17  </t>
  </si>
  <si>
    <t>14-O-18  </t>
  </si>
  <si>
    <t>14-P-1  </t>
  </si>
  <si>
    <t>14-P-2  </t>
  </si>
  <si>
    <t>14-P-4  </t>
  </si>
  <si>
    <t>14-P-5  </t>
  </si>
  <si>
    <t>14-P-6  </t>
  </si>
  <si>
    <t>14-P-7  </t>
  </si>
  <si>
    <t>14-Q-1  </t>
  </si>
  <si>
    <t>15-H-1  </t>
  </si>
  <si>
    <t>15-I-1  </t>
  </si>
  <si>
    <t>15-L-1  </t>
  </si>
  <si>
    <t>15-L-2  </t>
  </si>
  <si>
    <t>15-L-3  </t>
  </si>
  <si>
    <t>15-M-1  </t>
  </si>
  <si>
    <t>15-M-2  </t>
  </si>
  <si>
    <t>15-M-3  </t>
  </si>
  <si>
    <t>15-M-4  </t>
  </si>
  <si>
    <t>15-M-5  </t>
  </si>
  <si>
    <t>15-M-6  </t>
  </si>
  <si>
    <t>15-M-7  </t>
  </si>
  <si>
    <t>15-N-1  </t>
  </si>
  <si>
    <t>15-N-2  </t>
  </si>
  <si>
    <t>15-N-3  </t>
  </si>
  <si>
    <t>15-N-4  </t>
  </si>
  <si>
    <t>15-N-5  </t>
  </si>
  <si>
    <t>15-N-6  </t>
  </si>
  <si>
    <t>15-N-7  </t>
  </si>
  <si>
    <t>15-N-8  </t>
  </si>
  <si>
    <t>15-N-9  </t>
  </si>
  <si>
    <t>15-N-10  </t>
  </si>
  <si>
    <t>15-N-11  </t>
  </si>
  <si>
    <t>15-N-12  </t>
  </si>
  <si>
    <t>15-N-13  </t>
  </si>
  <si>
    <t>15-N-14  </t>
  </si>
  <si>
    <t>15-N-15  </t>
  </si>
  <si>
    <t>15-N-16  </t>
  </si>
  <si>
    <t>15-N-17  </t>
  </si>
  <si>
    <t>15-N-18  </t>
  </si>
  <si>
    <t>15-N-19  </t>
  </si>
  <si>
    <t>15-N-20  </t>
  </si>
  <si>
    <t>15-N-21  </t>
  </si>
  <si>
    <t>15-N-22  </t>
  </si>
  <si>
    <t>15-N-23  </t>
  </si>
  <si>
    <t>15-N-24  </t>
  </si>
  <si>
    <t>15-N-25  </t>
  </si>
  <si>
    <t>15-N-26  </t>
  </si>
  <si>
    <t>15-N-27  </t>
  </si>
  <si>
    <t>15-N-28  </t>
  </si>
  <si>
    <t>15-N-29  </t>
  </si>
  <si>
    <t>15-N-30  </t>
  </si>
  <si>
    <t>15-N-31  </t>
  </si>
  <si>
    <t>15-N-32  </t>
  </si>
  <si>
    <t>15-N-33  </t>
  </si>
  <si>
    <t>15-N-34  </t>
  </si>
  <si>
    <t>15-N-35  </t>
  </si>
  <si>
    <t>15-N-36  </t>
  </si>
  <si>
    <t>15-N-37  </t>
  </si>
  <si>
    <t>15-N-38  </t>
  </si>
  <si>
    <t>15-N-39  </t>
  </si>
  <si>
    <t>15-N-40  </t>
  </si>
  <si>
    <t>15-N-41  </t>
  </si>
  <si>
    <t>15-N-42  </t>
  </si>
  <si>
    <t>15-N-43  </t>
  </si>
  <si>
    <t>15-N-44  </t>
  </si>
  <si>
    <t>15-N-45  </t>
  </si>
  <si>
    <t>15-N-46  </t>
  </si>
  <si>
    <t>15-N-47  </t>
  </si>
  <si>
    <t>15-N-48  </t>
  </si>
  <si>
    <t>15-N-49  </t>
  </si>
  <si>
    <t>15-N-50  </t>
  </si>
  <si>
    <t>15-N-51  </t>
  </si>
  <si>
    <t>15-N-52  </t>
  </si>
  <si>
    <t>15-N-53  </t>
  </si>
  <si>
    <t>15-N-54  </t>
  </si>
  <si>
    <t>15-N-55  </t>
  </si>
  <si>
    <t>15-N-56  </t>
  </si>
  <si>
    <t>15-N-57  </t>
  </si>
  <si>
    <t>Phillips 1970; Williams and Brain 1983: 415</t>
  </si>
  <si>
    <t>26-K-3</t>
  </si>
  <si>
    <t>Foster Mound</t>
  </si>
  <si>
    <t>Plaquemine mounds, 1 platform with ram, 1 platform</t>
  </si>
  <si>
    <t>Williams and Brain 1983</t>
  </si>
  <si>
    <t>25-L-15</t>
  </si>
  <si>
    <t>Windsor</t>
  </si>
  <si>
    <t>Mississippian mound</t>
  </si>
  <si>
    <t>Williams and Brain 1983:412</t>
  </si>
  <si>
    <t>26-K-42</t>
  </si>
  <si>
    <t>Feltus</t>
  </si>
  <si>
    <t>Mississippian mounds (1 platform 3 conical)</t>
  </si>
  <si>
    <t>Williams and Brain 1983:415</t>
  </si>
  <si>
    <t>24-M-2</t>
  </si>
  <si>
    <t>Glass</t>
  </si>
  <si>
    <t>Mississippian mounds (1 platform, 3 conical)</t>
  </si>
  <si>
    <t>3LE29</t>
  </si>
  <si>
    <t>Noel Carnes</t>
  </si>
  <si>
    <t>House 1991</t>
  </si>
  <si>
    <t>Diffuse occupation areas, Kent phase, KII-III</t>
  </si>
  <si>
    <t>3LE92</t>
  </si>
  <si>
    <t>Doughtie-Bethea</t>
  </si>
  <si>
    <t>Midden, burials, Kent phase</t>
  </si>
  <si>
    <t>3LE128</t>
  </si>
  <si>
    <t>Troublesome Lake</t>
  </si>
  <si>
    <t>One of three small middens on alluvial ridge</t>
  </si>
  <si>
    <t>3LE130</t>
  </si>
  <si>
    <t>Peters Church 1</t>
  </si>
  <si>
    <t>Compact village midden, burials</t>
  </si>
  <si>
    <t>3LE131</t>
  </si>
  <si>
    <t>Peters Church 2</t>
  </si>
  <si>
    <t>Compact artifact, scatter.</t>
  </si>
  <si>
    <t>13-N-1</t>
  </si>
  <si>
    <t>3LE5</t>
  </si>
  <si>
    <t>Soudan</t>
  </si>
  <si>
    <t>St. Francis type village? 2 small elongated mounds</t>
  </si>
  <si>
    <t>3CS108</t>
  </si>
  <si>
    <t>Smithdale</t>
  </si>
  <si>
    <t>Morse 1981</t>
  </si>
  <si>
    <t>mound 8' high.</t>
  </si>
  <si>
    <t>3CT39</t>
  </si>
  <si>
    <t>McKnight</t>
  </si>
  <si>
    <t>Midden</t>
  </si>
  <si>
    <t>3CT37</t>
  </si>
  <si>
    <t>11-N-9  </t>
  </si>
  <si>
    <t>11-N-10  </t>
  </si>
  <si>
    <t>11-N-11  </t>
  </si>
  <si>
    <t>11-N-12  </t>
  </si>
  <si>
    <t>11-N-13  </t>
  </si>
  <si>
    <t>11-N-14  </t>
  </si>
  <si>
    <t>11-N-15  </t>
  </si>
  <si>
    <t>11-N-16  </t>
  </si>
  <si>
    <t>11-N-17  </t>
  </si>
  <si>
    <t>11-N-18  </t>
  </si>
  <si>
    <t>11-N-19  </t>
  </si>
  <si>
    <t>11-N-20  </t>
  </si>
  <si>
    <t>11-N-22  </t>
  </si>
  <si>
    <t>11-N-23  </t>
  </si>
  <si>
    <t>11-O-1  </t>
  </si>
  <si>
    <t>11-O-2  </t>
  </si>
  <si>
    <t>11-O-3  </t>
  </si>
  <si>
    <t>11-O-4  </t>
  </si>
  <si>
    <t>11-O-5  </t>
  </si>
  <si>
    <t>11-O-6  </t>
  </si>
  <si>
    <t>11-O-7  </t>
  </si>
  <si>
    <t>11-O-8  </t>
  </si>
  <si>
    <t>11-O-9  </t>
  </si>
  <si>
    <t>11-O-10  </t>
  </si>
  <si>
    <t>11-O-11  </t>
  </si>
  <si>
    <t>11-O-12  </t>
  </si>
  <si>
    <t>11-O-13  </t>
  </si>
  <si>
    <t>11-P-1  </t>
  </si>
  <si>
    <t>11-P-2  </t>
  </si>
  <si>
    <t>11-P-3  </t>
  </si>
  <si>
    <t>11-P-4  </t>
  </si>
  <si>
    <t>11-P-5  </t>
  </si>
  <si>
    <t>11-P-6  </t>
  </si>
  <si>
    <t>11-P-11  </t>
  </si>
  <si>
    <t>12-K-4  </t>
  </si>
  <si>
    <t>12-K-5  </t>
  </si>
  <si>
    <t>12-N-2  </t>
  </si>
  <si>
    <t>12-N-3  </t>
  </si>
  <si>
    <t>12-N-4  </t>
  </si>
  <si>
    <t>12-N-5  </t>
  </si>
  <si>
    <t>12-N-6  </t>
  </si>
  <si>
    <t>12-N-7  </t>
  </si>
  <si>
    <t>12-N-8  </t>
  </si>
  <si>
    <t>12-N-9  </t>
  </si>
  <si>
    <t>12-N-10  </t>
  </si>
  <si>
    <t>12-N-11  </t>
  </si>
  <si>
    <t>12-N-12  </t>
  </si>
  <si>
    <t>12-N-13  </t>
  </si>
  <si>
    <t>12-N-14  </t>
  </si>
  <si>
    <t>12-N-15  </t>
  </si>
  <si>
    <t>12-N-16  </t>
  </si>
  <si>
    <t>12-N-17  </t>
  </si>
  <si>
    <t>12-N-18  </t>
  </si>
  <si>
    <t>12-N-19  </t>
  </si>
  <si>
    <t>12-N-20  </t>
  </si>
  <si>
    <t>12-O-1  </t>
  </si>
  <si>
    <t>12-O-2  </t>
  </si>
  <si>
    <t>12-O-3  </t>
  </si>
  <si>
    <t>12-O-4  </t>
  </si>
  <si>
    <t>12-O-5  </t>
  </si>
  <si>
    <t>12-O-6  </t>
  </si>
  <si>
    <t>12-P-1  </t>
  </si>
  <si>
    <t>12-P-2  </t>
  </si>
  <si>
    <t>12-P-3  </t>
  </si>
  <si>
    <t>13-M-1  </t>
  </si>
  <si>
    <t>13-N-1  </t>
  </si>
  <si>
    <t>13-N-2  </t>
  </si>
  <si>
    <t>13-N-3  </t>
  </si>
  <si>
    <t>13-N-4  </t>
  </si>
  <si>
    <t>13-N-5  </t>
  </si>
  <si>
    <t>13-N-6  </t>
  </si>
  <si>
    <t>13-N-7  </t>
  </si>
  <si>
    <t>13-N-8  </t>
  </si>
  <si>
    <t>13-N-9  </t>
  </si>
  <si>
    <t>13-N-10  </t>
  </si>
  <si>
    <t>13-N-11  </t>
  </si>
  <si>
    <t>13-N-12  </t>
  </si>
  <si>
    <t>13-N-13  </t>
  </si>
  <si>
    <t>13-N-14  </t>
  </si>
  <si>
    <t>Aust #2</t>
  </si>
  <si>
    <t>School Section</t>
  </si>
  <si>
    <t>d'Oyle</t>
  </si>
  <si>
    <t>Mosby</t>
  </si>
  <si>
    <t>Fant Mound</t>
  </si>
  <si>
    <t>Mt. Mariah Churchyard</t>
  </si>
  <si>
    <t>Sessions #1</t>
  </si>
  <si>
    <t>Sessions #2</t>
  </si>
  <si>
    <t>Sessions #3</t>
  </si>
  <si>
    <t>Sessions #4</t>
  </si>
  <si>
    <t>Florence Plantation</t>
  </si>
  <si>
    <t>Powell #1</t>
  </si>
  <si>
    <t>Powell #2</t>
  </si>
  <si>
    <t>Powell #3</t>
  </si>
  <si>
    <t>Larson #1</t>
  </si>
  <si>
    <t>Larson #2</t>
  </si>
  <si>
    <t>Larson #3</t>
  </si>
  <si>
    <t>Larson #4</t>
  </si>
  <si>
    <t>Vaught #2</t>
  </si>
  <si>
    <t>McKee Mound</t>
  </si>
  <si>
    <t>Maddox #1</t>
  </si>
  <si>
    <t>Maddox #2</t>
  </si>
  <si>
    <t>Noe #1</t>
  </si>
  <si>
    <t>Noe #2</t>
  </si>
  <si>
    <t>oe #3</t>
  </si>
  <si>
    <t>Prairie #1</t>
  </si>
  <si>
    <t>Prairie #2</t>
  </si>
  <si>
    <t>Union</t>
  </si>
  <si>
    <t>Doyle [B]</t>
  </si>
  <si>
    <t>Oak Ridge</t>
  </si>
  <si>
    <t>Colonel's Place</t>
  </si>
  <si>
    <t>McKee Village</t>
  </si>
  <si>
    <t>Taylor #1</t>
  </si>
  <si>
    <t>Taylor #2</t>
  </si>
  <si>
    <t>Taylor #3</t>
  </si>
  <si>
    <t>Barkley Bayou</t>
  </si>
  <si>
    <t>Taylor #4</t>
  </si>
  <si>
    <t>Taylor #5</t>
  </si>
  <si>
    <t>McKee House</t>
  </si>
  <si>
    <t>Clover Hill</t>
  </si>
  <si>
    <t>Lafferty West</t>
  </si>
  <si>
    <t>Pete Williams</t>
  </si>
  <si>
    <t>Mullens</t>
  </si>
  <si>
    <t>Borrow Pit Mound</t>
  </si>
  <si>
    <t>Pee Dee</t>
  </si>
  <si>
    <t>Pete Williams #2</t>
  </si>
  <si>
    <t>Sycamore Grove</t>
  </si>
  <si>
    <t>Posey</t>
  </si>
  <si>
    <t>Gates</t>
  </si>
  <si>
    <t>Wilford</t>
  </si>
  <si>
    <t>Morrison</t>
  </si>
  <si>
    <t>Eagle's Nest #1</t>
  </si>
  <si>
    <t>Allen #4</t>
  </si>
  <si>
    <t>Brahan #2</t>
  </si>
  <si>
    <t>Com Lake</t>
  </si>
  <si>
    <t>Beaver Dam Place</t>
  </si>
  <si>
    <t>Risner</t>
  </si>
  <si>
    <t>Linwood</t>
  </si>
  <si>
    <t>De Soto [De Priest]</t>
  </si>
  <si>
    <t>Glen Lake</t>
  </si>
  <si>
    <t>Bethlehem Church</t>
  </si>
  <si>
    <t>Yorktown</t>
  </si>
  <si>
    <t>Douglas</t>
  </si>
  <si>
    <t>Clayton</t>
  </si>
  <si>
    <t>Heckatoo</t>
  </si>
  <si>
    <t>Sarassa</t>
  </si>
  <si>
    <t>Jones [Old River Landing]</t>
  </si>
  <si>
    <t>Goldman Field</t>
  </si>
  <si>
    <t>Yates Bayou</t>
  </si>
  <si>
    <t>3CG0740</t>
  </si>
  <si>
    <t>3LE0101</t>
  </si>
  <si>
    <t>3LE0102</t>
  </si>
  <si>
    <t>3CS0015</t>
  </si>
  <si>
    <t>Connley Place</t>
  </si>
  <si>
    <t>3CS0059</t>
  </si>
  <si>
    <t>Noonen South 1</t>
  </si>
  <si>
    <t>3PO0083</t>
  </si>
  <si>
    <t>Goff</t>
  </si>
  <si>
    <t>3PO0090</t>
  </si>
  <si>
    <t>3PO0011</t>
  </si>
  <si>
    <t>3PO0012</t>
  </si>
  <si>
    <t>3PO0018</t>
  </si>
  <si>
    <t>Tilley Place</t>
  </si>
  <si>
    <t>3PO0028</t>
  </si>
  <si>
    <t>Gunner 1</t>
  </si>
  <si>
    <t>3PO0030</t>
  </si>
  <si>
    <t>Gunner 3</t>
  </si>
  <si>
    <t>3PO0031</t>
  </si>
  <si>
    <t>Gunner, V.C. 4</t>
  </si>
  <si>
    <t>3PO0136</t>
  </si>
  <si>
    <t>County Line #1</t>
  </si>
  <si>
    <t>3PO0137</t>
  </si>
  <si>
    <t>County Line #2</t>
  </si>
  <si>
    <t>3PO0138</t>
  </si>
  <si>
    <t>County Line #3</t>
  </si>
  <si>
    <t>3PO0139</t>
  </si>
  <si>
    <t>Brand</t>
  </si>
  <si>
    <t>3PO0140</t>
  </si>
  <si>
    <t>3PO0142</t>
  </si>
  <si>
    <t>Landers #2</t>
  </si>
  <si>
    <t>3PO0147</t>
  </si>
  <si>
    <t>Maddox - Brand</t>
  </si>
  <si>
    <t>3PO0161</t>
  </si>
  <si>
    <t>3PO0039</t>
  </si>
  <si>
    <t>Lelan</t>
  </si>
  <si>
    <t>3PO0051</t>
  </si>
  <si>
    <t>Landers</t>
  </si>
  <si>
    <t>3PO0053</t>
  </si>
  <si>
    <t>Patterson</t>
  </si>
  <si>
    <t>3PO0176</t>
  </si>
  <si>
    <t>Christmas Lake</t>
  </si>
  <si>
    <t>Mound on USGS - now plowed down</t>
  </si>
  <si>
    <t>Pearson Neblett</t>
  </si>
  <si>
    <t xml:space="preserve">2.5 meter high 25x25 meter platform mound, mississippian,  second low rectangular platform mound ca. 1.5 meters high 100x50meters with mound on top ca. 7 meters high (20x20 meters) - conical possible from topo, </t>
  </si>
  <si>
    <t>1 low platform mound, ca. 2 meters in heigh, ca. 20x20 meters</t>
  </si>
  <si>
    <t>Mississippian platform with 8 mounds - platform and conical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</si>
</sst>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0" borderId="0" xfId="0" applyNumberFormat="1" applyFont="1"/>
    <xf numFmtId="1" fontId="1" fillId="0" borderId="0" xfId="0" applyNumberFormat="1" applyFont="1"/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49" fontId="0" fillId="0" borderId="0" xfId="0" applyNumberFormat="1"/>
    <xf numFmtId="1" fontId="0" fillId="0" borderId="0" xfId="0" applyNumberFormat="1"/>
    <xf numFmtId="49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vertical="top" wrapText="1"/>
    </xf>
    <xf numFmtId="2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" fontId="2" fillId="0" borderId="0" xfId="0" applyNumberFormat="1" applyFont="1" applyAlignment="1">
      <alignment horizontal="center" wrapText="1"/>
    </xf>
    <xf numFmtId="0" fontId="4" fillId="0" borderId="0" xfId="0" applyFont="1"/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center" wrapText="1"/>
    </xf>
    <xf numFmtId="1" fontId="0" fillId="0" borderId="0" xfId="0" applyNumberFormat="1" applyAlignment="1">
      <alignment wrapText="1"/>
    </xf>
    <xf numFmtId="1" fontId="0" fillId="0" borderId="0" xfId="0" applyNumberForma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3" fontId="0" fillId="0" borderId="0" xfId="0" applyNumberFormat="1" applyAlignment="1">
      <alignment horizontal="left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iteArchitecture-6May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FG Lookup"/>
      <sheetName val="To Do"/>
      <sheetName val="AAS Names and Nums"/>
      <sheetName val="SEMO Locations - Out of Area"/>
      <sheetName val="LMV SiteNameNums"/>
      <sheetName val="Total"/>
      <sheetName val="Need more info"/>
      <sheetName val="NonPFG-Phillips-Locations"/>
      <sheetName val="Mississippi Locations"/>
      <sheetName val="Duplicates"/>
      <sheetName val="Webb72-PovertyPoint"/>
      <sheetName val="Phillips Coords"/>
      <sheetName val="Williams 1954"/>
      <sheetName val="Ford 1936"/>
      <sheetName val="Phillips 1970"/>
      <sheetName val="DunklinAndPemiscotData"/>
      <sheetName val="DaltonTotal"/>
      <sheetName val="AASDalton"/>
      <sheetName val="Unknown"/>
      <sheetName val="Other"/>
      <sheetName val="PFG Mounds - Histogram"/>
      <sheetName val="PFG Coords"/>
      <sheetName val="PFG Total"/>
      <sheetName val="Conical Mounds"/>
      <sheetName val="Small Ceremonial Centers"/>
      <sheetName val="Large Ceremonial Centers"/>
      <sheetName val="Max Mound Height"/>
      <sheetName val="St. Francis"/>
      <sheetName val="Irregular"/>
      <sheetName val="Counties"/>
      <sheetName val="Chart1"/>
      <sheetName val="Toth 1988"/>
      <sheetName val="Ford-Graphs"/>
      <sheetName val="Ford 36 Coords"/>
      <sheetName val="Ford 36 Mounds"/>
      <sheetName val="Ford 36 Tabluation"/>
      <sheetName val="Ford 36 - Ramps and Enclosures"/>
      <sheetName val="Yazoo Site Locations"/>
      <sheetName val="Phillips Periods"/>
      <sheetName val="Phillips SitePeriod Lookup"/>
      <sheetName val="Phillips SitesPeriod"/>
      <sheetName val="Sheet1"/>
      <sheetName val="Phillips 1970 - Mississippian"/>
      <sheetName val="Phillips 1970 - coles creek"/>
      <sheetName val="Phillips 1970 - Miss."/>
      <sheetName val="Phillips 1970 - Baytown"/>
      <sheetName val="Tabulation"/>
    </sheetNames>
    <sheetDataSet>
      <sheetData sheetId="0"/>
      <sheetData sheetId="1"/>
      <sheetData sheetId="2"/>
      <sheetData sheetId="3"/>
      <sheetData sheetId="4">
        <row r="1">
          <cell r="B1" t="str">
            <v>Name</v>
          </cell>
          <cell r="C1" t="str">
            <v>Number</v>
          </cell>
        </row>
        <row r="2">
          <cell r="B2" t="str">
            <v>Sturdivant</v>
          </cell>
          <cell r="C2" t="str">
            <v>4-P-1</v>
          </cell>
        </row>
        <row r="3">
          <cell r="B3" t="str">
            <v>Peter Bess</v>
          </cell>
          <cell r="C3" t="str">
            <v>4-Q-1</v>
          </cell>
        </row>
        <row r="4">
          <cell r="B4" t="str">
            <v>Base Line</v>
          </cell>
          <cell r="C4" t="str">
            <v>4-Q-2</v>
          </cell>
        </row>
        <row r="5">
          <cell r="B5" t="str">
            <v>Lakeville</v>
          </cell>
          <cell r="C5" t="str">
            <v>4-Q-3</v>
          </cell>
        </row>
        <row r="6">
          <cell r="B6" t="str">
            <v>Obermann</v>
          </cell>
          <cell r="C6" t="str">
            <v>4-R-1</v>
          </cell>
        </row>
        <row r="7">
          <cell r="B7" t="str">
            <v>Sand Ridge</v>
          </cell>
          <cell r="C7" t="str">
            <v>4-R-16</v>
          </cell>
        </row>
        <row r="8">
          <cell r="B8" t="str">
            <v>Brushy Lake</v>
          </cell>
          <cell r="C8" t="str">
            <v>4-S-1</v>
          </cell>
        </row>
        <row r="9">
          <cell r="B9" t="str">
            <v>Durnell</v>
          </cell>
          <cell r="C9" t="str">
            <v>5-Q-3</v>
          </cell>
        </row>
        <row r="10">
          <cell r="B10" t="str">
            <v>Sikeston</v>
          </cell>
          <cell r="C10" t="str">
            <v>5-R-1</v>
          </cell>
        </row>
        <row r="11">
          <cell r="B11" t="str">
            <v>East Lake</v>
          </cell>
          <cell r="C11" t="str">
            <v>5-R-2</v>
          </cell>
        </row>
        <row r="12">
          <cell r="B12" t="str">
            <v>Matthews</v>
          </cell>
          <cell r="C12" t="str">
            <v>5-R-3</v>
          </cell>
        </row>
        <row r="13">
          <cell r="B13" t="str">
            <v>Matthews #2</v>
          </cell>
          <cell r="C13" t="str">
            <v>5-R-6</v>
          </cell>
        </row>
        <row r="14">
          <cell r="B14" t="str">
            <v>Morehouse (Ranch)</v>
          </cell>
          <cell r="C14" t="str">
            <v>5-R-8</v>
          </cell>
        </row>
        <row r="15">
          <cell r="B15" t="str">
            <v>Beeson</v>
          </cell>
          <cell r="C15" t="str">
            <v>5-R-21</v>
          </cell>
        </row>
        <row r="16">
          <cell r="B16" t="str">
            <v>Charleston (Fairfield Farm)</v>
          </cell>
          <cell r="C16" t="str">
            <v>5-S-1</v>
          </cell>
        </row>
        <row r="17">
          <cell r="B17" t="str">
            <v>Hoecake</v>
          </cell>
          <cell r="C17" t="str">
            <v>5-S-2</v>
          </cell>
        </row>
        <row r="18">
          <cell r="B18" t="str">
            <v>Sandy Woods</v>
          </cell>
          <cell r="C18" t="str">
            <v>5-S-4</v>
          </cell>
        </row>
        <row r="19">
          <cell r="B19" t="str">
            <v>Lusk Chapel</v>
          </cell>
          <cell r="C19" t="str">
            <v>5-S-5</v>
          </cell>
        </row>
        <row r="20">
          <cell r="B20" t="str">
            <v>Meyer's Mound</v>
          </cell>
          <cell r="C20" t="str">
            <v>5-S-6</v>
          </cell>
        </row>
        <row r="21">
          <cell r="B21" t="str">
            <v>Old John Short</v>
          </cell>
          <cell r="C21" t="str">
            <v>5-S-10</v>
          </cell>
        </row>
        <row r="22">
          <cell r="B22" t="str">
            <v>Crosno</v>
          </cell>
          <cell r="C22" t="str">
            <v>5-T-1</v>
          </cell>
        </row>
        <row r="23">
          <cell r="B23" t="str">
            <v>O'Bryan Ridge</v>
          </cell>
          <cell r="C23" t="str">
            <v>5-T-4</v>
          </cell>
        </row>
        <row r="24">
          <cell r="B24" t="str">
            <v>Goodin</v>
          </cell>
          <cell r="C24" t="str">
            <v>5-T-5</v>
          </cell>
        </row>
        <row r="25">
          <cell r="B25" t="str">
            <v>Wickliffe ("Ancient Buried City")</v>
          </cell>
          <cell r="C25" t="str">
            <v>5-T-6</v>
          </cell>
        </row>
        <row r="26">
          <cell r="B26" t="str">
            <v>Weems</v>
          </cell>
          <cell r="C26" t="str">
            <v>5-T-7</v>
          </cell>
        </row>
        <row r="27">
          <cell r="B27" t="str">
            <v>Stewart's Spring</v>
          </cell>
          <cell r="C27" t="str">
            <v>6-P-1</v>
          </cell>
        </row>
        <row r="28">
          <cell r="B28" t="str">
            <v>Whittaker</v>
          </cell>
          <cell r="C28" t="str">
            <v>6-P-2</v>
          </cell>
        </row>
        <row r="29">
          <cell r="B29" t="str">
            <v>Henderson</v>
          </cell>
          <cell r="C29" t="str">
            <v>6-P-3</v>
          </cell>
        </row>
        <row r="30">
          <cell r="B30" t="str">
            <v>Rich Woods</v>
          </cell>
          <cell r="C30" t="str">
            <v>6-Q-1</v>
          </cell>
        </row>
        <row r="31">
          <cell r="B31" t="str">
            <v>County Line</v>
          </cell>
          <cell r="C31" t="str">
            <v>6-Q-2</v>
          </cell>
        </row>
        <row r="32">
          <cell r="B32" t="str">
            <v>Risco</v>
          </cell>
          <cell r="C32" t="str">
            <v>6-Q-3</v>
          </cell>
        </row>
        <row r="33">
          <cell r="B33" t="str">
            <v>Wulfing Plates</v>
          </cell>
          <cell r="C33" t="str">
            <v>6-Q-4</v>
          </cell>
        </row>
        <row r="34">
          <cell r="B34" t="str">
            <v>Broadwater (Crosby)</v>
          </cell>
          <cell r="C34" t="str">
            <v>6-Q-5</v>
          </cell>
        </row>
        <row r="35">
          <cell r="B35" t="str">
            <v>Crumpecker</v>
          </cell>
          <cell r="C35" t="str">
            <v>6-Q-13</v>
          </cell>
        </row>
        <row r="36">
          <cell r="B36" t="str">
            <v>Unnamed</v>
          </cell>
          <cell r="C36" t="str">
            <v>6-Q-15</v>
          </cell>
        </row>
        <row r="37">
          <cell r="B37" t="str">
            <v>Lilbourn</v>
          </cell>
          <cell r="C37" t="str">
            <v>6-R-1</v>
          </cell>
        </row>
        <row r="38">
          <cell r="B38" t="str">
            <v>Kewanee</v>
          </cell>
          <cell r="C38" t="str">
            <v>6-R-3</v>
          </cell>
        </row>
        <row r="39">
          <cell r="B39" t="str">
            <v>Unnamed</v>
          </cell>
          <cell r="C39" t="str">
            <v>6-R-4</v>
          </cell>
        </row>
        <row r="40">
          <cell r="B40" t="str">
            <v>Unnamed</v>
          </cell>
          <cell r="C40" t="str">
            <v>6-R-5</v>
          </cell>
        </row>
        <row r="41">
          <cell r="B41" t="str">
            <v>Unnamed</v>
          </cell>
          <cell r="C41" t="str">
            <v>6-R-6</v>
          </cell>
        </row>
        <row r="42">
          <cell r="B42" t="str">
            <v>Neumann</v>
          </cell>
          <cell r="C42" t="str">
            <v>6-R-10</v>
          </cell>
        </row>
        <row r="43">
          <cell r="B43" t="str">
            <v>Barker</v>
          </cell>
          <cell r="C43" t="str">
            <v>6-S-1</v>
          </cell>
        </row>
        <row r="44">
          <cell r="B44" t="str">
            <v>Spanish Grant</v>
          </cell>
          <cell r="C44" t="str">
            <v>6-S-2</v>
          </cell>
        </row>
        <row r="45">
          <cell r="B45" t="str">
            <v>Baker</v>
          </cell>
          <cell r="C45" t="str">
            <v>6-S-3</v>
          </cell>
        </row>
        <row r="46">
          <cell r="B46" t="str">
            <v>East Bayou (Scott Farm)</v>
          </cell>
          <cell r="C46" t="str">
            <v>6-S-4</v>
          </cell>
        </row>
        <row r="47">
          <cell r="B47" t="str">
            <v>LaPlant</v>
          </cell>
          <cell r="C47" t="str">
            <v>6-S-5</v>
          </cell>
        </row>
        <row r="48">
          <cell r="B48" t="str">
            <v>Mound Field</v>
          </cell>
          <cell r="C48" t="str">
            <v>6-S-6</v>
          </cell>
        </row>
        <row r="49">
          <cell r="B49" t="str">
            <v>Black Bayou</v>
          </cell>
          <cell r="C49" t="str">
            <v>6-S-13</v>
          </cell>
        </row>
        <row r="50">
          <cell r="B50" t="str">
            <v>Beckwith's Fort</v>
          </cell>
          <cell r="C50" t="str">
            <v>6-T-1</v>
          </cell>
        </row>
        <row r="51">
          <cell r="B51" t="str">
            <v>Sassafras Ridge</v>
          </cell>
          <cell r="C51" t="str">
            <v>6-T-2</v>
          </cell>
        </row>
        <row r="52">
          <cell r="B52" t="str">
            <v xml:space="preserve">O'Byam's Fort </v>
          </cell>
          <cell r="C52" t="str">
            <v>6-T-3</v>
          </cell>
        </row>
        <row r="53">
          <cell r="B53" t="str">
            <v>Gum Tree Mound</v>
          </cell>
          <cell r="C53" t="str">
            <v>6-T-5</v>
          </cell>
        </row>
        <row r="54">
          <cell r="B54" t="str">
            <v>Baker's Mound</v>
          </cell>
          <cell r="C54" t="str">
            <v>6-T-6</v>
          </cell>
        </row>
        <row r="55">
          <cell r="B55" t="str">
            <v>Beckwith's Ranch</v>
          </cell>
          <cell r="C55" t="str">
            <v>6-T-9</v>
          </cell>
        </row>
        <row r="56">
          <cell r="B56" t="str">
            <v>Holcomb</v>
          </cell>
          <cell r="C56" t="str">
            <v>7-P-1</v>
          </cell>
        </row>
        <row r="57">
          <cell r="B57" t="str">
            <v>Spence</v>
          </cell>
          <cell r="C57" t="str">
            <v>7-P-2</v>
          </cell>
        </row>
        <row r="58">
          <cell r="B58" t="str">
            <v>Case School</v>
          </cell>
          <cell r="C58" t="str">
            <v>7-P-4</v>
          </cell>
        </row>
        <row r="59">
          <cell r="B59" t="str">
            <v>Unnamed</v>
          </cell>
          <cell r="C59" t="str">
            <v>7-P-6</v>
          </cell>
        </row>
        <row r="60">
          <cell r="B60" t="str">
            <v>Watson</v>
          </cell>
          <cell r="C60" t="str">
            <v>7-P-7</v>
          </cell>
        </row>
        <row r="61">
          <cell r="B61" t="str">
            <v>Wardell (Wallace)</v>
          </cell>
          <cell r="C61" t="str">
            <v>7-Q-1</v>
          </cell>
        </row>
        <row r="62">
          <cell r="B62" t="str">
            <v>Pascola (Cole)</v>
          </cell>
          <cell r="C62" t="str">
            <v>7-Q-2</v>
          </cell>
        </row>
        <row r="63">
          <cell r="B63" t="str">
            <v>Wilbur</v>
          </cell>
          <cell r="C63" t="str">
            <v>7-Q-3</v>
          </cell>
        </row>
        <row r="64">
          <cell r="B64" t="str">
            <v>Ingram Ridge</v>
          </cell>
          <cell r="C64" t="str">
            <v>7-Q-4</v>
          </cell>
        </row>
        <row r="65">
          <cell r="B65" t="str">
            <v>Tallapoosa</v>
          </cell>
          <cell r="C65" t="str">
            <v>7-Q-11</v>
          </cell>
        </row>
        <row r="66">
          <cell r="B66" t="str">
            <v>Hartzell</v>
          </cell>
          <cell r="C66" t="str">
            <v>7-Q-12</v>
          </cell>
        </row>
        <row r="67">
          <cell r="B67" t="str">
            <v>Estes</v>
          </cell>
          <cell r="C67" t="str">
            <v>7-R-3</v>
          </cell>
        </row>
        <row r="68">
          <cell r="B68" t="str">
            <v>Stewart</v>
          </cell>
          <cell r="C68" t="str">
            <v>7-R-4</v>
          </cell>
        </row>
        <row r="69">
          <cell r="B69" t="str">
            <v>Double Bridges</v>
          </cell>
          <cell r="C69" t="str">
            <v>7-R-5</v>
          </cell>
        </row>
        <row r="70">
          <cell r="B70" t="str">
            <v>Brinkerhoff</v>
          </cell>
          <cell r="C70" t="str">
            <v>7-R-6</v>
          </cell>
        </row>
        <row r="71">
          <cell r="B71" t="str">
            <v>Portage (Penman)</v>
          </cell>
          <cell r="C71" t="str">
            <v>7-R-7</v>
          </cell>
        </row>
        <row r="72">
          <cell r="B72" t="str">
            <v>Reaves (Rogers)</v>
          </cell>
          <cell r="C72" t="str">
            <v>7-R-8</v>
          </cell>
        </row>
        <row r="73">
          <cell r="B73" t="str">
            <v>Moore's Hunter Place</v>
          </cell>
          <cell r="C73" t="str">
            <v>7-R-10</v>
          </cell>
        </row>
        <row r="74">
          <cell r="B74" t="str">
            <v>Gold Fields</v>
          </cell>
          <cell r="C74" t="str">
            <v>7-R-11</v>
          </cell>
        </row>
        <row r="75">
          <cell r="B75" t="str">
            <v>Cockrum Landing (Morrett)</v>
          </cell>
          <cell r="C75" t="str">
            <v>8-O-1</v>
          </cell>
        </row>
        <row r="76">
          <cell r="B76" t="str">
            <v>Wilkin's Island</v>
          </cell>
          <cell r="C76" t="str">
            <v>8-O-2</v>
          </cell>
        </row>
        <row r="77">
          <cell r="B77" t="str">
            <v>Gum Island (Bell Farm)</v>
          </cell>
          <cell r="C77" t="str">
            <v>8-O-3</v>
          </cell>
        </row>
        <row r="78">
          <cell r="B78" t="str">
            <v>Seneca Slough (Killian)</v>
          </cell>
          <cell r="C78" t="str">
            <v>8-O-5</v>
          </cell>
        </row>
        <row r="79">
          <cell r="B79" t="str">
            <v>Law</v>
          </cell>
          <cell r="C79" t="str">
            <v>8-O-6</v>
          </cell>
        </row>
        <row r="80">
          <cell r="B80" t="str">
            <v>Old Varney River (Duke)</v>
          </cell>
          <cell r="C80" t="str">
            <v>8-P-1</v>
          </cell>
        </row>
        <row r="81">
          <cell r="B81" t="str">
            <v>Kennett (Cummins)</v>
          </cell>
          <cell r="C81" t="str">
            <v>8-P-2</v>
          </cell>
        </row>
        <row r="82">
          <cell r="B82" t="str">
            <v>Langdon (Cotton Plant)</v>
          </cell>
          <cell r="C82" t="str">
            <v>8-P-3</v>
          </cell>
        </row>
        <row r="83">
          <cell r="B83" t="str">
            <v>Treasure Island</v>
          </cell>
          <cell r="C83" t="str">
            <v>8-P-5</v>
          </cell>
        </row>
        <row r="84">
          <cell r="B84" t="str">
            <v>Johnson Island (Holmes)</v>
          </cell>
          <cell r="C84" t="str">
            <v>8-P-6</v>
          </cell>
        </row>
        <row r="85">
          <cell r="B85" t="str">
            <v>Cypress Point</v>
          </cell>
          <cell r="C85" t="str">
            <v>8-P-7</v>
          </cell>
        </row>
        <row r="86">
          <cell r="B86" t="str">
            <v>Pelts</v>
          </cell>
          <cell r="C86" t="str">
            <v>8-P-8</v>
          </cell>
        </row>
        <row r="87">
          <cell r="B87" t="str">
            <v>Five Ditches (Carney)</v>
          </cell>
          <cell r="C87" t="str">
            <v>8-Q-1</v>
          </cell>
        </row>
        <row r="88">
          <cell r="B88" t="str">
            <v>Canady</v>
          </cell>
          <cell r="C88" t="str">
            <v>8-Q-3</v>
          </cell>
        </row>
        <row r="89">
          <cell r="B89" t="str">
            <v>Persimmon Grove (Kersey)</v>
          </cell>
          <cell r="C89" t="str">
            <v>8-Q-4</v>
          </cell>
        </row>
        <row r="90">
          <cell r="B90" t="str">
            <v>Holland (Maclin)</v>
          </cell>
          <cell r="C90" t="str">
            <v>8-Q-5</v>
          </cell>
        </row>
        <row r="91">
          <cell r="B91" t="str">
            <v>McKay</v>
          </cell>
          <cell r="C91" t="str">
            <v>8-Q-6</v>
          </cell>
        </row>
        <row r="92">
          <cell r="B92" t="str">
            <v>Campbell (Cooter)</v>
          </cell>
          <cell r="C92" t="str">
            <v>8-Q-7</v>
          </cell>
        </row>
        <row r="93">
          <cell r="B93" t="str">
            <v>Hurley</v>
          </cell>
          <cell r="C93" t="str">
            <v>8-Q-10</v>
          </cell>
        </row>
        <row r="94">
          <cell r="B94" t="str">
            <v>Lipsey</v>
          </cell>
          <cell r="C94" t="str">
            <v>8-Q-11</v>
          </cell>
        </row>
        <row r="95">
          <cell r="B95" t="str">
            <v>Blazer (Watkins)</v>
          </cell>
          <cell r="C95" t="str">
            <v>8-Q-12</v>
          </cell>
        </row>
        <row r="96">
          <cell r="B96" t="str">
            <v>Caruthersville (Stanley)</v>
          </cell>
          <cell r="C96" t="str">
            <v>8-R-1</v>
          </cell>
        </row>
        <row r="97">
          <cell r="B97" t="str">
            <v>Kinfolk Ridge (Medlin)</v>
          </cell>
          <cell r="C97" t="str">
            <v>8-R-2</v>
          </cell>
        </row>
        <row r="98">
          <cell r="B98" t="str">
            <v>Chute (McCoy)</v>
          </cell>
          <cell r="C98" t="str">
            <v>8-R-3</v>
          </cell>
        </row>
        <row r="99">
          <cell r="B99" t="str">
            <v>Carpenter's Landing</v>
          </cell>
          <cell r="C99" t="str">
            <v>9-O-1</v>
          </cell>
        </row>
        <row r="100">
          <cell r="B100" t="str">
            <v>Shugtown</v>
          </cell>
          <cell r="C100" t="str">
            <v>9-O-3</v>
          </cell>
        </row>
        <row r="101">
          <cell r="B101" t="str">
            <v>Lawhom</v>
          </cell>
          <cell r="C101" t="str">
            <v>9-O-4</v>
          </cell>
        </row>
        <row r="102">
          <cell r="B102" t="str">
            <v>McDuffee</v>
          </cell>
          <cell r="C102" t="str">
            <v>9-O-5</v>
          </cell>
        </row>
        <row r="103">
          <cell r="B103" t="str">
            <v>Walnut Mound</v>
          </cell>
          <cell r="C103" t="str">
            <v>9-P-2</v>
          </cell>
        </row>
        <row r="104">
          <cell r="B104" t="str">
            <v>Jackson Mounds</v>
          </cell>
          <cell r="C104" t="str">
            <v>9-P-3</v>
          </cell>
        </row>
        <row r="105">
          <cell r="B105" t="str">
            <v>Chickasawba</v>
          </cell>
          <cell r="C105" t="str">
            <v>9-Q-2</v>
          </cell>
        </row>
        <row r="106">
          <cell r="B106" t="str">
            <v>Hale's Point</v>
          </cell>
          <cell r="C106" t="str">
            <v>9-R-1</v>
          </cell>
        </row>
        <row r="107">
          <cell r="B107" t="str">
            <v>Harrisburg</v>
          </cell>
          <cell r="C107" t="str">
            <v>10-N-2</v>
          </cell>
        </row>
        <row r="108">
          <cell r="B108" t="str">
            <v>Miller</v>
          </cell>
          <cell r="C108" t="str">
            <v>10-O-1</v>
          </cell>
        </row>
        <row r="109">
          <cell r="B109" t="str">
            <v>Potter</v>
          </cell>
          <cell r="C109" t="str">
            <v>10-O-2</v>
          </cell>
        </row>
        <row r="110">
          <cell r="B110" t="str">
            <v>Stott (Lepanto )</v>
          </cell>
          <cell r="C110" t="str">
            <v>10-O-3</v>
          </cell>
        </row>
        <row r="111">
          <cell r="B111" t="str">
            <v>Hazel</v>
          </cell>
          <cell r="C111" t="str">
            <v>10-O-4</v>
          </cell>
        </row>
        <row r="112">
          <cell r="B112" t="str">
            <v>Thornton</v>
          </cell>
          <cell r="C112" t="str">
            <v>10-O-5</v>
          </cell>
        </row>
        <row r="113">
          <cell r="B113" t="str">
            <v>Taylor Shanty</v>
          </cell>
          <cell r="C113" t="str">
            <v>10-O-6</v>
          </cell>
        </row>
        <row r="114">
          <cell r="B114" t="str">
            <v>Warren Mound</v>
          </cell>
          <cell r="C114" t="str">
            <v>10-O-7</v>
          </cell>
        </row>
        <row r="115">
          <cell r="B115" t="str">
            <v>Deep Landing</v>
          </cell>
          <cell r="C115" t="str">
            <v>10-O-8</v>
          </cell>
        </row>
        <row r="116">
          <cell r="B116" t="str">
            <v>Carson Lake</v>
          </cell>
          <cell r="C116" t="str">
            <v>10-P-1</v>
          </cell>
        </row>
        <row r="117">
          <cell r="B117" t="str">
            <v>Bell</v>
          </cell>
          <cell r="C117" t="str">
            <v>10-P-2</v>
          </cell>
        </row>
        <row r="118">
          <cell r="B118" t="str">
            <v>Nettle Ridge</v>
          </cell>
          <cell r="C118" t="str">
            <v>10-P-3</v>
          </cell>
        </row>
        <row r="119">
          <cell r="B119" t="str">
            <v>Notgrass</v>
          </cell>
          <cell r="C119" t="str">
            <v>10-P-4</v>
          </cell>
        </row>
        <row r="120">
          <cell r="B120" t="str">
            <v>Gant</v>
          </cell>
          <cell r="C120" t="str">
            <v>10-P-6</v>
          </cell>
        </row>
        <row r="121">
          <cell r="B121" t="str">
            <v>Wildy</v>
          </cell>
          <cell r="C121" t="str">
            <v>10-P-8</v>
          </cell>
        </row>
        <row r="122">
          <cell r="B122" t="str">
            <v>Joiner</v>
          </cell>
          <cell r="C122" t="str">
            <v>10-P-11</v>
          </cell>
        </row>
        <row r="123">
          <cell r="B123" t="str">
            <v>Shelby</v>
          </cell>
          <cell r="C123" t="str">
            <v>10-P-12</v>
          </cell>
        </row>
        <row r="124">
          <cell r="B124" t="str">
            <v>Golden Lake (Rhodes)</v>
          </cell>
          <cell r="C124" t="str">
            <v>10-P-14</v>
          </cell>
        </row>
        <row r="125">
          <cell r="B125" t="str">
            <v>Upper Nodena</v>
          </cell>
          <cell r="C125" t="str">
            <v>10-Q-1</v>
          </cell>
        </row>
        <row r="126">
          <cell r="B126" t="str">
            <v>Sherman Mound</v>
          </cell>
          <cell r="C126" t="str">
            <v>10-Q-2</v>
          </cell>
        </row>
        <row r="127">
          <cell r="B127" t="str">
            <v>Turnage</v>
          </cell>
          <cell r="C127" t="str">
            <v>10-Q-3</v>
          </cell>
        </row>
        <row r="128">
          <cell r="B128" t="str">
            <v>Middle Nodena</v>
          </cell>
          <cell r="C128" t="str">
            <v>10-Q-4</v>
          </cell>
        </row>
        <row r="129">
          <cell r="B129" t="str">
            <v>Harris</v>
          </cell>
          <cell r="C129" t="str">
            <v>10-Q-6</v>
          </cell>
        </row>
        <row r="130">
          <cell r="B130" t="str">
            <v>Richardson Landing</v>
          </cell>
          <cell r="C130" t="str">
            <v>10-Q-10</v>
          </cell>
        </row>
        <row r="131">
          <cell r="B131" t="str">
            <v>Bishop</v>
          </cell>
          <cell r="C131" t="str">
            <v>10-R-1</v>
          </cell>
        </row>
        <row r="132">
          <cell r="B132" t="str">
            <v>Cherry Valley</v>
          </cell>
          <cell r="C132" t="str">
            <v>11-M-1</v>
          </cell>
        </row>
        <row r="133">
          <cell r="B133" t="str">
            <v>Unnamed</v>
          </cell>
          <cell r="C133" t="str">
            <v>11-M-2</v>
          </cell>
        </row>
        <row r="134">
          <cell r="B134" t="str">
            <v>Parkin</v>
          </cell>
          <cell r="C134" t="str">
            <v>11-N-1</v>
          </cell>
        </row>
        <row r="135">
          <cell r="B135" t="str">
            <v>Rogers</v>
          </cell>
          <cell r="C135" t="str">
            <v>11-N-2</v>
          </cell>
        </row>
        <row r="136">
          <cell r="B136" t="str">
            <v>Roberts</v>
          </cell>
          <cell r="C136" t="str">
            <v>11-N-3</v>
          </cell>
        </row>
        <row r="137">
          <cell r="B137" t="str">
            <v>Togo (Neeley's Ferry)</v>
          </cell>
          <cell r="C137" t="str">
            <v>11-N-4</v>
          </cell>
        </row>
        <row r="138">
          <cell r="B138" t="str">
            <v>White</v>
          </cell>
          <cell r="C138" t="str">
            <v>11-N-5</v>
          </cell>
        </row>
        <row r="139">
          <cell r="B139" t="str">
            <v>Block</v>
          </cell>
          <cell r="C139" t="str">
            <v>11-N-6</v>
          </cell>
        </row>
        <row r="140">
          <cell r="B140" t="str">
            <v>Harold</v>
          </cell>
          <cell r="C140" t="str">
            <v>11-N-7</v>
          </cell>
        </row>
        <row r="141">
          <cell r="B141" t="str">
            <v>Williams</v>
          </cell>
          <cell r="C141" t="str">
            <v>11-N-8</v>
          </cell>
        </row>
        <row r="142">
          <cell r="B142" t="str">
            <v xml:space="preserve">Vernon Paul </v>
          </cell>
          <cell r="C142" t="str">
            <v>11-N-9</v>
          </cell>
        </row>
        <row r="143">
          <cell r="B143" t="str">
            <v>Cross Country Club</v>
          </cell>
          <cell r="C143" t="str">
            <v>11-N-10</v>
          </cell>
        </row>
        <row r="144">
          <cell r="B144" t="str">
            <v>Delta</v>
          </cell>
          <cell r="C144" t="str">
            <v>11-N-11</v>
          </cell>
        </row>
        <row r="145">
          <cell r="B145" t="str">
            <v>Turnbow</v>
          </cell>
          <cell r="C145" t="str">
            <v>11-N-12</v>
          </cell>
        </row>
        <row r="146">
          <cell r="B146" t="str">
            <v>Williamson</v>
          </cell>
          <cell r="C146" t="str">
            <v>11-N-13</v>
          </cell>
        </row>
        <row r="147">
          <cell r="B147" t="str">
            <v>Turkey Island</v>
          </cell>
          <cell r="C147" t="str">
            <v>11-N-14</v>
          </cell>
        </row>
        <row r="148">
          <cell r="B148" t="str">
            <v>Fortune</v>
          </cell>
          <cell r="C148" t="str">
            <v>11-N-15</v>
          </cell>
        </row>
        <row r="149">
          <cell r="B149" t="str">
            <v>Twist #2</v>
          </cell>
          <cell r="C149" t="str">
            <v>11-N-16</v>
          </cell>
        </row>
        <row r="150">
          <cell r="B150" t="str">
            <v>Catfish Mounds</v>
          </cell>
          <cell r="C150" t="str">
            <v>11-N-18</v>
          </cell>
        </row>
        <row r="151">
          <cell r="B151" t="str">
            <v>Log Landing</v>
          </cell>
          <cell r="C151" t="str">
            <v>11-N-19</v>
          </cell>
        </row>
        <row r="152">
          <cell r="B152" t="str">
            <v>Lindsay</v>
          </cell>
          <cell r="C152" t="str">
            <v>11-N-20</v>
          </cell>
        </row>
        <row r="153">
          <cell r="B153" t="str">
            <v>Birdeye</v>
          </cell>
          <cell r="C153" t="str">
            <v>11-N-21</v>
          </cell>
        </row>
        <row r="154">
          <cell r="B154" t="str">
            <v>Pittman</v>
          </cell>
          <cell r="C154" t="str">
            <v>11-O-1</v>
          </cell>
        </row>
        <row r="155">
          <cell r="B155" t="str">
            <v>Cummins</v>
          </cell>
          <cell r="C155" t="str">
            <v>11-O-4</v>
          </cell>
        </row>
        <row r="156">
          <cell r="B156" t="str">
            <v>Emory</v>
          </cell>
          <cell r="C156" t="str">
            <v>11-O-5</v>
          </cell>
        </row>
        <row r="157">
          <cell r="B157" t="str">
            <v>Pinkston</v>
          </cell>
          <cell r="C157" t="str">
            <v>11-O-6</v>
          </cell>
        </row>
        <row r="158">
          <cell r="B158" t="str">
            <v>Lewis</v>
          </cell>
          <cell r="C158" t="str">
            <v>11-O-7</v>
          </cell>
        </row>
        <row r="159">
          <cell r="B159" t="str">
            <v>Richard Bridge</v>
          </cell>
          <cell r="C159" t="str">
            <v>11-O-8</v>
          </cell>
        </row>
        <row r="160">
          <cell r="B160" t="str">
            <v>Gilliland</v>
          </cell>
          <cell r="C160" t="str">
            <v>11-O-9</v>
          </cell>
        </row>
        <row r="161">
          <cell r="B161" t="str">
            <v>Barton Ranch</v>
          </cell>
          <cell r="C161" t="str">
            <v>11-O-10</v>
          </cell>
        </row>
        <row r="162">
          <cell r="B162" t="str">
            <v>Prosperity</v>
          </cell>
          <cell r="C162" t="str">
            <v>11-O-11</v>
          </cell>
        </row>
        <row r="163">
          <cell r="B163" t="str">
            <v>Tyronza Station</v>
          </cell>
          <cell r="C163" t="str">
            <v>11-O-13</v>
          </cell>
        </row>
        <row r="164">
          <cell r="B164" t="str">
            <v>Berry</v>
          </cell>
          <cell r="C164" t="str">
            <v>11-O-16</v>
          </cell>
        </row>
        <row r="165">
          <cell r="B165" t="str">
            <v>Shawnee Village</v>
          </cell>
          <cell r="C165" t="str">
            <v>11-P-1</v>
          </cell>
        </row>
        <row r="166">
          <cell r="B166" t="str">
            <v>Bradley (Banks &amp; Danner)</v>
          </cell>
          <cell r="C166" t="str">
            <v>11-P-2</v>
          </cell>
        </row>
        <row r="167">
          <cell r="B167" t="str">
            <v>Golightly</v>
          </cell>
          <cell r="C167" t="str">
            <v>11-P-3</v>
          </cell>
        </row>
        <row r="168">
          <cell r="B168" t="str">
            <v>Pacific</v>
          </cell>
          <cell r="C168" t="str">
            <v>11-P-4</v>
          </cell>
        </row>
        <row r="169">
          <cell r="B169" t="str">
            <v>Lambethville</v>
          </cell>
          <cell r="C169" t="str">
            <v>11-P-5</v>
          </cell>
        </row>
        <row r="170">
          <cell r="B170" t="str">
            <v>Pecan Point</v>
          </cell>
          <cell r="C170" t="str">
            <v>11-P-6</v>
          </cell>
        </row>
        <row r="171">
          <cell r="B171" t="str">
            <v>Banks Village</v>
          </cell>
          <cell r="C171" t="str">
            <v>11-P-8</v>
          </cell>
        </row>
        <row r="172">
          <cell r="B172" t="str">
            <v>Friends</v>
          </cell>
          <cell r="C172" t="str">
            <v>11-P-11</v>
          </cell>
        </row>
        <row r="173">
          <cell r="B173" t="str">
            <v>Merrel</v>
          </cell>
          <cell r="C173" t="str">
            <v>11-Q-3</v>
          </cell>
        </row>
        <row r="174">
          <cell r="B174" t="str">
            <v>Kings Landing</v>
          </cell>
          <cell r="C174" t="str">
            <v>12-K-4</v>
          </cell>
        </row>
        <row r="175">
          <cell r="B175" t="str">
            <v>Chandler Landing</v>
          </cell>
          <cell r="C175" t="str">
            <v>12-K-5</v>
          </cell>
        </row>
        <row r="176">
          <cell r="B176" t="str">
            <v>Manly</v>
          </cell>
          <cell r="C176" t="str">
            <v>12-N-2</v>
          </cell>
        </row>
        <row r="177">
          <cell r="B177" t="str">
            <v>Rose Mound</v>
          </cell>
          <cell r="C177" t="str">
            <v>12-N-3</v>
          </cell>
        </row>
        <row r="178">
          <cell r="B178" t="str">
            <v>Big Eddy</v>
          </cell>
          <cell r="C178" t="str">
            <v>12-N-4</v>
          </cell>
        </row>
        <row r="179">
          <cell r="B179" t="str">
            <v>Welshans</v>
          </cell>
          <cell r="C179" t="str">
            <v>12-N-5</v>
          </cell>
        </row>
        <row r="180">
          <cell r="B180" t="str">
            <v>Westmorland</v>
          </cell>
          <cell r="C180" t="str">
            <v>12-N-6</v>
          </cell>
        </row>
        <row r="181">
          <cell r="B181" t="str">
            <v>Lansing</v>
          </cell>
          <cell r="C181" t="str">
            <v>12-N-7</v>
          </cell>
        </row>
        <row r="182">
          <cell r="B182" t="str">
            <v>Beckles</v>
          </cell>
          <cell r="C182" t="str">
            <v>12-N-8</v>
          </cell>
        </row>
        <row r="183">
          <cell r="B183" t="str">
            <v>Burns</v>
          </cell>
          <cell r="C183" t="str">
            <v>12-N-9</v>
          </cell>
        </row>
        <row r="184">
          <cell r="B184" t="str">
            <v>De Rossetts</v>
          </cell>
          <cell r="C184" t="str">
            <v>12-N-10</v>
          </cell>
        </row>
        <row r="185">
          <cell r="B185" t="str">
            <v>Widmer Cemetery</v>
          </cell>
          <cell r="C185" t="str">
            <v>12-N-12</v>
          </cell>
        </row>
        <row r="186">
          <cell r="B186" t="str">
            <v>Parks</v>
          </cell>
          <cell r="C186" t="str">
            <v>12-N-13</v>
          </cell>
        </row>
        <row r="187">
          <cell r="B187" t="str">
            <v>Crow Creek</v>
          </cell>
          <cell r="C187" t="str">
            <v>12-N-14</v>
          </cell>
        </row>
        <row r="188">
          <cell r="B188" t="str">
            <v>Swan Place</v>
          </cell>
          <cell r="C188" t="str">
            <v>12-N-15</v>
          </cell>
        </row>
        <row r="189">
          <cell r="B189" t="str">
            <v>Dent</v>
          </cell>
          <cell r="C189" t="str">
            <v>12-N-16</v>
          </cell>
        </row>
        <row r="190">
          <cell r="B190" t="str">
            <v>Little Eddy</v>
          </cell>
          <cell r="C190" t="str">
            <v>12-N-17</v>
          </cell>
        </row>
        <row r="191">
          <cell r="B191" t="str">
            <v>Turner</v>
          </cell>
          <cell r="C191" t="str">
            <v>12-O-1</v>
          </cell>
        </row>
        <row r="192">
          <cell r="B192" t="str">
            <v>Pouncey</v>
          </cell>
          <cell r="C192" t="str">
            <v>12-O-2</v>
          </cell>
        </row>
        <row r="193">
          <cell r="B193" t="str">
            <v>Thompson Lake</v>
          </cell>
          <cell r="C193" t="str">
            <v>12-O-3</v>
          </cell>
        </row>
        <row r="194">
          <cell r="B194" t="str">
            <v>Davis</v>
          </cell>
          <cell r="C194" t="str">
            <v>12-O-4</v>
          </cell>
        </row>
        <row r="195">
          <cell r="B195" t="str">
            <v>Cramor</v>
          </cell>
          <cell r="C195" t="str">
            <v>12-O-5</v>
          </cell>
        </row>
        <row r="196">
          <cell r="B196" t="str">
            <v>Rhodes</v>
          </cell>
          <cell r="C196" t="str">
            <v>12-O-6</v>
          </cell>
        </row>
        <row r="197">
          <cell r="B197" t="str">
            <v>Mound Place</v>
          </cell>
          <cell r="C197" t="str">
            <v>12-P-1</v>
          </cell>
        </row>
        <row r="198">
          <cell r="B198" t="str">
            <v>Fuller (Chucalissa)</v>
          </cell>
          <cell r="C198" t="str">
            <v>12-P-2</v>
          </cell>
        </row>
        <row r="199">
          <cell r="B199" t="str">
            <v>Hughes</v>
          </cell>
          <cell r="C199" t="str">
            <v>13-M-1</v>
          </cell>
        </row>
        <row r="200">
          <cell r="B200" t="str">
            <v>Sudan Cemetery</v>
          </cell>
          <cell r="C200" t="str">
            <v>13-N-1</v>
          </cell>
        </row>
        <row r="201">
          <cell r="B201" t="str">
            <v>Alligator Bayou</v>
          </cell>
          <cell r="C201" t="str">
            <v>13-N-2</v>
          </cell>
        </row>
        <row r="202">
          <cell r="B202" t="str">
            <v>Mound Cemetery</v>
          </cell>
          <cell r="C202" t="str">
            <v>13-N-3</v>
          </cell>
        </row>
        <row r="203">
          <cell r="B203" t="str">
            <v>Kent</v>
          </cell>
          <cell r="C203" t="str">
            <v>13-N-4</v>
          </cell>
        </row>
        <row r="204">
          <cell r="B204" t="str">
            <v>Davis</v>
          </cell>
          <cell r="C204" t="str">
            <v>13-N-5</v>
          </cell>
        </row>
        <row r="205">
          <cell r="B205" t="str">
            <v>Jerusalem Church</v>
          </cell>
          <cell r="C205" t="str">
            <v>13-N-6</v>
          </cell>
        </row>
        <row r="206">
          <cell r="B206" t="str">
            <v>Clay Hill</v>
          </cell>
          <cell r="C206" t="str">
            <v>13-N-7</v>
          </cell>
        </row>
        <row r="207">
          <cell r="B207" t="str">
            <v>Findley</v>
          </cell>
          <cell r="C207" t="str">
            <v>13-N-8</v>
          </cell>
        </row>
        <row r="208">
          <cell r="B208" t="str">
            <v>Red Oak</v>
          </cell>
          <cell r="C208" t="str">
            <v>13-N-9</v>
          </cell>
        </row>
        <row r="209">
          <cell r="B209" t="str">
            <v>Taylor</v>
          </cell>
          <cell r="C209" t="str">
            <v>13-N-10</v>
          </cell>
        </row>
        <row r="210">
          <cell r="B210" t="str">
            <v>Grant</v>
          </cell>
          <cell r="C210" t="str">
            <v>13-N-11</v>
          </cell>
        </row>
        <row r="211">
          <cell r="B211" t="str">
            <v>Murdock</v>
          </cell>
          <cell r="C211" t="str">
            <v>13-N-12</v>
          </cell>
        </row>
        <row r="212">
          <cell r="B212" t="str">
            <v>Rawlinson</v>
          </cell>
          <cell r="C212" t="str">
            <v>13-N-13</v>
          </cell>
        </row>
        <row r="213">
          <cell r="B213" t="str">
            <v>Connor</v>
          </cell>
          <cell r="C213" t="str">
            <v>13-N-14</v>
          </cell>
        </row>
        <row r="214">
          <cell r="B214" t="str">
            <v>Nickel</v>
          </cell>
          <cell r="C214" t="str">
            <v>13-N-15</v>
          </cell>
        </row>
        <row r="215">
          <cell r="B215" t="str">
            <v>Starkley</v>
          </cell>
          <cell r="C215" t="str">
            <v>13-N-16</v>
          </cell>
        </row>
        <row r="216">
          <cell r="B216" t="str">
            <v>Greer</v>
          </cell>
          <cell r="C216" t="str">
            <v>13-N-17</v>
          </cell>
        </row>
        <row r="217">
          <cell r="B217" t="str">
            <v>Lakeside</v>
          </cell>
          <cell r="C217" t="str">
            <v>13-N-18</v>
          </cell>
        </row>
        <row r="218">
          <cell r="B218" t="str">
            <v>Riverside</v>
          </cell>
          <cell r="C218" t="str">
            <v>13-N-19</v>
          </cell>
        </row>
        <row r="219">
          <cell r="B219" t="str">
            <v>Castile</v>
          </cell>
          <cell r="C219" t="str">
            <v>13-N-21</v>
          </cell>
        </row>
        <row r="220">
          <cell r="B220" t="str">
            <v>Whitehall</v>
          </cell>
          <cell r="C220" t="str">
            <v>13-N-23</v>
          </cell>
        </row>
        <row r="221">
          <cell r="B221" t="str">
            <v>Barrett</v>
          </cell>
          <cell r="C221" t="str">
            <v>13-O-1</v>
          </cell>
        </row>
        <row r="222">
          <cell r="B222" t="str">
            <v>Green River</v>
          </cell>
          <cell r="C222" t="str">
            <v>13-O-2</v>
          </cell>
        </row>
        <row r="223">
          <cell r="B223" t="str">
            <v>Huber</v>
          </cell>
          <cell r="C223" t="str">
            <v>13-O-3</v>
          </cell>
        </row>
        <row r="224">
          <cell r="B224" t="str">
            <v>Nickey</v>
          </cell>
          <cell r="C224" t="str">
            <v>13-O-4</v>
          </cell>
        </row>
        <row r="225">
          <cell r="B225" t="str">
            <v>Belle Meade</v>
          </cell>
          <cell r="C225" t="str">
            <v>13-O-5</v>
          </cell>
        </row>
        <row r="226">
          <cell r="B226" t="str">
            <v>New Bethel</v>
          </cell>
          <cell r="C226" t="str">
            <v>13-O-6</v>
          </cell>
        </row>
        <row r="227">
          <cell r="B227" t="str">
            <v>Beck</v>
          </cell>
          <cell r="C227" t="str">
            <v>13-O-7</v>
          </cell>
        </row>
        <row r="228">
          <cell r="B228" t="str">
            <v>Stoddard</v>
          </cell>
          <cell r="C228" t="str">
            <v>13-O-8</v>
          </cell>
        </row>
        <row r="229">
          <cell r="B229" t="str">
            <v>Collins</v>
          </cell>
          <cell r="C229" t="str">
            <v>13-O-9</v>
          </cell>
        </row>
        <row r="230">
          <cell r="B230" t="str">
            <v>Hollywood (Bowdre)</v>
          </cell>
          <cell r="C230" t="str">
            <v>13-O-10</v>
          </cell>
        </row>
        <row r="231">
          <cell r="B231" t="str">
            <v>Commerce</v>
          </cell>
          <cell r="C231" t="str">
            <v>13-O-11</v>
          </cell>
        </row>
        <row r="232">
          <cell r="B232" t="str">
            <v>Indian Creek</v>
          </cell>
          <cell r="C232" t="str">
            <v>13-O-12</v>
          </cell>
        </row>
        <row r="233">
          <cell r="B233" t="str">
            <v>Walls (Harris)</v>
          </cell>
          <cell r="C233" t="str">
            <v>13-P-1</v>
          </cell>
        </row>
        <row r="234">
          <cell r="B234" t="str">
            <v>Turkey Ridge</v>
          </cell>
          <cell r="C234" t="str">
            <v>13-P-3</v>
          </cell>
        </row>
        <row r="235">
          <cell r="B235" t="str">
            <v>Dogwood Ridge</v>
          </cell>
          <cell r="C235" t="str">
            <v>13-P-4</v>
          </cell>
        </row>
        <row r="236">
          <cell r="B236" t="str">
            <v>Shannon</v>
          </cell>
          <cell r="C236" t="str">
            <v>13-P-5</v>
          </cell>
        </row>
        <row r="237">
          <cell r="B237" t="str">
            <v>Cheatham</v>
          </cell>
          <cell r="C237" t="str">
            <v>13-P-6</v>
          </cell>
        </row>
        <row r="238">
          <cell r="B238" t="str">
            <v>Norfolk</v>
          </cell>
          <cell r="C238" t="str">
            <v>13-P-7</v>
          </cell>
        </row>
        <row r="239">
          <cell r="B239" t="str">
            <v>Lake Cormorant</v>
          </cell>
          <cell r="C239" t="str">
            <v>13-P-8</v>
          </cell>
        </row>
        <row r="240">
          <cell r="B240" t="str">
            <v>Withers</v>
          </cell>
          <cell r="C240" t="str">
            <v>13-P-9</v>
          </cell>
        </row>
        <row r="241">
          <cell r="B241" t="str">
            <v>Irby</v>
          </cell>
          <cell r="C241" t="str">
            <v>13-P-10</v>
          </cell>
        </row>
        <row r="242">
          <cell r="B242" t="str">
            <v>Woodlyn</v>
          </cell>
          <cell r="C242" t="str">
            <v>13-P-11</v>
          </cell>
        </row>
        <row r="243">
          <cell r="B243" t="str">
            <v>Toltec</v>
          </cell>
          <cell r="C243" t="str">
            <v>14-H-1</v>
          </cell>
        </row>
        <row r="244">
          <cell r="B244" t="str">
            <v>Keo</v>
          </cell>
          <cell r="C244" t="str">
            <v>14-H-2</v>
          </cell>
        </row>
        <row r="245">
          <cell r="B245" t="str">
            <v>Webster's Camp</v>
          </cell>
          <cell r="C245" t="str">
            <v>14-L-1</v>
          </cell>
        </row>
        <row r="246">
          <cell r="B246" t="str">
            <v>Bonner</v>
          </cell>
          <cell r="C246" t="str">
            <v>14-M-2</v>
          </cell>
        </row>
        <row r="247">
          <cell r="B247" t="str">
            <v>Broom</v>
          </cell>
          <cell r="C247" t="str">
            <v>14-M-3</v>
          </cell>
        </row>
        <row r="248">
          <cell r="B248" t="str">
            <v>Moore</v>
          </cell>
          <cell r="C248" t="str">
            <v>14-N-i</v>
          </cell>
        </row>
        <row r="249">
          <cell r="B249" t="str">
            <v>Steagall</v>
          </cell>
          <cell r="C249" t="str">
            <v>14-N-2</v>
          </cell>
        </row>
        <row r="250">
          <cell r="B250" t="str">
            <v>Bowie</v>
          </cell>
          <cell r="C250" t="str">
            <v>14-N-4</v>
          </cell>
        </row>
        <row r="251">
          <cell r="B251" t="str">
            <v>Helena Crossing</v>
          </cell>
          <cell r="C251" t="str">
            <v>14-N-6</v>
          </cell>
        </row>
        <row r="252">
          <cell r="B252" t="str">
            <v>Whitehall</v>
          </cell>
          <cell r="C252" t="str">
            <v>14-N-7</v>
          </cell>
        </row>
        <row r="253">
          <cell r="B253" t="str">
            <v>Forrest Place</v>
          </cell>
          <cell r="C253" t="str">
            <v>14-N-8</v>
          </cell>
        </row>
        <row r="254">
          <cell r="B254" t="str">
            <v>Evansville</v>
          </cell>
          <cell r="C254" t="str">
            <v>14-O-1</v>
          </cell>
        </row>
        <row r="255">
          <cell r="B255" t="str">
            <v>Owens</v>
          </cell>
          <cell r="C255" t="str">
            <v>14-O-2</v>
          </cell>
        </row>
        <row r="256">
          <cell r="B256" t="str">
            <v>Beaverdam</v>
          </cell>
          <cell r="C256" t="str">
            <v>14-O-3</v>
          </cell>
        </row>
        <row r="257">
          <cell r="B257" t="str">
            <v>Mhoon Landing</v>
          </cell>
          <cell r="C257" t="str">
            <v>14-O-4</v>
          </cell>
        </row>
        <row r="258">
          <cell r="B258" t="str">
            <v>Johnson Cemetery</v>
          </cell>
          <cell r="C258" t="str">
            <v>14-O-6</v>
          </cell>
        </row>
        <row r="259">
          <cell r="B259" t="str">
            <v>Oakwood</v>
          </cell>
          <cell r="C259" t="str">
            <v>14-O-7</v>
          </cell>
        </row>
        <row r="260">
          <cell r="B260" t="str">
            <v>Dundee</v>
          </cell>
          <cell r="C260" t="str">
            <v>14-O-8</v>
          </cell>
        </row>
        <row r="261">
          <cell r="B261" t="str">
            <v>West</v>
          </cell>
          <cell r="C261" t="str">
            <v>14-O-10</v>
          </cell>
        </row>
        <row r="262">
          <cell r="B262" t="str">
            <v>Kendall</v>
          </cell>
          <cell r="C262" t="str">
            <v>14-O-11</v>
          </cell>
        </row>
        <row r="263">
          <cell r="B263" t="str">
            <v>Canon</v>
          </cell>
          <cell r="C263" t="str">
            <v>14-O-13</v>
          </cell>
        </row>
        <row r="264">
          <cell r="B264" t="str">
            <v>Pritchard</v>
          </cell>
          <cell r="C264" t="str">
            <v>14-P-2</v>
          </cell>
        </row>
        <row r="265">
          <cell r="B265" t="str">
            <v>Coldwater</v>
          </cell>
          <cell r="C265" t="str">
            <v>14-P-4</v>
          </cell>
        </row>
        <row r="266">
          <cell r="B266" t="str">
            <v>Greer</v>
          </cell>
          <cell r="C266" t="str">
            <v>15-H-1</v>
          </cell>
        </row>
        <row r="267">
          <cell r="B267" t="str">
            <v>Walt</v>
          </cell>
          <cell r="C267" t="str">
            <v>15-I-1</v>
          </cell>
        </row>
        <row r="268">
          <cell r="B268" t="str">
            <v>Baytown</v>
          </cell>
          <cell r="C268" t="str">
            <v>15-L-2</v>
          </cell>
        </row>
        <row r="269">
          <cell r="B269" t="str">
            <v>Tinsley</v>
          </cell>
          <cell r="C269" t="str">
            <v>15-M-1</v>
          </cell>
        </row>
        <row r="270">
          <cell r="B270" t="str">
            <v>Hugo</v>
          </cell>
          <cell r="C270" t="str">
            <v>15-M-6</v>
          </cell>
        </row>
        <row r="271">
          <cell r="B271" t="str">
            <v>Rogers Mound</v>
          </cell>
          <cell r="C271" t="str">
            <v>15-M-7</v>
          </cell>
        </row>
        <row r="272">
          <cell r="B272" t="str">
            <v>Fitzhugh</v>
          </cell>
          <cell r="C272" t="str">
            <v>15-N-1</v>
          </cell>
        </row>
        <row r="273">
          <cell r="B273" t="str">
            <v>Ellis</v>
          </cell>
          <cell r="C273" t="str">
            <v>15-N-2</v>
          </cell>
        </row>
        <row r="274">
          <cell r="B274" t="str">
            <v>Old Town</v>
          </cell>
          <cell r="C274" t="str">
            <v>15-N-3</v>
          </cell>
        </row>
        <row r="275">
          <cell r="B275" t="str">
            <v>Buie</v>
          </cell>
          <cell r="C275" t="str">
            <v>15-N-4</v>
          </cell>
        </row>
        <row r="276">
          <cell r="B276" t="str">
            <v>Parchman</v>
          </cell>
          <cell r="C276" t="str">
            <v>15-N-5</v>
          </cell>
        </row>
        <row r="277">
          <cell r="B277" t="str">
            <v>Carson</v>
          </cell>
          <cell r="C277" t="str">
            <v>15-N-6</v>
          </cell>
        </row>
        <row r="278">
          <cell r="B278" t="str">
            <v>Dickerson</v>
          </cell>
          <cell r="C278" t="str">
            <v>15-N-10</v>
          </cell>
        </row>
        <row r="279">
          <cell r="B279" t="str">
            <v>Salomon</v>
          </cell>
          <cell r="C279" t="str">
            <v>15-O-1</v>
          </cell>
        </row>
        <row r="280">
          <cell r="B280" t="str">
            <v>Barbee</v>
          </cell>
          <cell r="C280" t="str">
            <v>15-O-2</v>
          </cell>
        </row>
        <row r="281">
          <cell r="B281" t="str">
            <v>Lula</v>
          </cell>
          <cell r="C281" t="str">
            <v>15-O-4</v>
          </cell>
        </row>
        <row r="282">
          <cell r="B282" t="str">
            <v>Moon</v>
          </cell>
          <cell r="C282" t="str">
            <v>15-O-5</v>
          </cell>
        </row>
        <row r="283">
          <cell r="B283" t="str">
            <v>Posey</v>
          </cell>
          <cell r="C283" t="str">
            <v>15-O-6</v>
          </cell>
        </row>
        <row r="284">
          <cell r="B284" t="str">
            <v>Prowell</v>
          </cell>
          <cell r="C284" t="str">
            <v>15-O-7</v>
          </cell>
        </row>
        <row r="285">
          <cell r="B285" t="str">
            <v>Hull Brake</v>
          </cell>
          <cell r="C285" t="str">
            <v>15-O-9</v>
          </cell>
        </row>
        <row r="286">
          <cell r="B286" t="str">
            <v>Wilford</v>
          </cell>
          <cell r="C286" t="str">
            <v>15-O-10</v>
          </cell>
        </row>
        <row r="287">
          <cell r="B287" t="str">
            <v>Morrison</v>
          </cell>
          <cell r="C287" t="str">
            <v>15-O-11</v>
          </cell>
        </row>
        <row r="288">
          <cell r="B288" t="str">
            <v>D'Orr</v>
          </cell>
          <cell r="C288" t="str">
            <v>15-O-12</v>
          </cell>
        </row>
        <row r="289">
          <cell r="B289" t="str">
            <v>Allison</v>
          </cell>
          <cell r="C289" t="str">
            <v>15-O-13</v>
          </cell>
        </row>
        <row r="290">
          <cell r="B290" t="str">
            <v>Whiting</v>
          </cell>
          <cell r="C290" t="str">
            <v>15-O-15</v>
          </cell>
        </row>
        <row r="291">
          <cell r="B291" t="str">
            <v>Tidwell</v>
          </cell>
          <cell r="C291" t="str">
            <v>15-O-16</v>
          </cell>
        </row>
        <row r="292">
          <cell r="B292" t="str">
            <v>Ware</v>
          </cell>
          <cell r="C292" t="str">
            <v>15-O-18</v>
          </cell>
        </row>
        <row r="293">
          <cell r="B293" t="str">
            <v>Thomas</v>
          </cell>
          <cell r="C293" t="str">
            <v>15-P-1</v>
          </cell>
        </row>
        <row r="294">
          <cell r="B294" t="str">
            <v>Taylor</v>
          </cell>
          <cell r="C294" t="str">
            <v>15-P-2</v>
          </cell>
        </row>
        <row r="295">
          <cell r="B295" t="str">
            <v>Indian Creek</v>
          </cell>
          <cell r="C295" t="str">
            <v>15-P-3</v>
          </cell>
        </row>
        <row r="296">
          <cell r="B296" t="str">
            <v>Corn Lake</v>
          </cell>
          <cell r="C296" t="str">
            <v>15-P-4</v>
          </cell>
        </row>
        <row r="297">
          <cell r="B297" t="str">
            <v>Noble Lake</v>
          </cell>
          <cell r="C297" t="str">
            <v>16-I-3</v>
          </cell>
        </row>
        <row r="298">
          <cell r="B298" t="str">
            <v>Douglas</v>
          </cell>
          <cell r="C298" t="str">
            <v>16-J-1</v>
          </cell>
        </row>
        <row r="299">
          <cell r="B299" t="str">
            <v>Jones (Old River Landing)</v>
          </cell>
          <cell r="C299" t="str">
            <v>16-K-1</v>
          </cell>
        </row>
        <row r="300">
          <cell r="B300" t="str">
            <v>Bitely Place</v>
          </cell>
          <cell r="C300" t="str">
            <v>16-L-1</v>
          </cell>
        </row>
        <row r="301">
          <cell r="B301" t="str">
            <v>Stovall</v>
          </cell>
          <cell r="C301" t="str">
            <v>16-L-3</v>
          </cell>
        </row>
        <row r="302">
          <cell r="B302" t="str">
            <v>Brandenburg</v>
          </cell>
          <cell r="C302" t="str">
            <v>16-L-4</v>
          </cell>
        </row>
        <row r="303">
          <cell r="B303" t="str">
            <v>Dupree</v>
          </cell>
          <cell r="C303" t="str">
            <v>16-L-6</v>
          </cell>
        </row>
        <row r="304">
          <cell r="B304" t="str">
            <v>Avenue</v>
          </cell>
          <cell r="C304" t="str">
            <v>16-M-1</v>
          </cell>
        </row>
        <row r="305">
          <cell r="B305" t="str">
            <v>Tomanelli</v>
          </cell>
          <cell r="C305" t="str">
            <v>16-M-2</v>
          </cell>
        </row>
        <row r="306">
          <cell r="B306" t="str">
            <v>Yates Bayou</v>
          </cell>
          <cell r="C306" t="str">
            <v>16-M-3</v>
          </cell>
        </row>
        <row r="307">
          <cell r="B307" t="str">
            <v>Mount Olive</v>
          </cell>
          <cell r="C307" t="str">
            <v>16-M-5</v>
          </cell>
        </row>
        <row r="308">
          <cell r="B308" t="str">
            <v>Stokes Bayou</v>
          </cell>
          <cell r="C308" t="str">
            <v>16-M-6</v>
          </cell>
        </row>
        <row r="309">
          <cell r="B309" t="str">
            <v>Acree</v>
          </cell>
          <cell r="C309" t="str">
            <v>16-N-1</v>
          </cell>
        </row>
        <row r="310">
          <cell r="B310" t="str">
            <v>Alligator</v>
          </cell>
          <cell r="C310" t="str">
            <v>16-N-2</v>
          </cell>
        </row>
        <row r="311">
          <cell r="B311" t="str">
            <v>Ellis</v>
          </cell>
          <cell r="C311" t="str">
            <v>16-N-3</v>
          </cell>
        </row>
        <row r="312">
          <cell r="B312" t="str">
            <v>Rufus Davis</v>
          </cell>
          <cell r="C312" t="str">
            <v>16-N-4</v>
          </cell>
        </row>
        <row r="313">
          <cell r="B313" t="str">
            <v>Little Sunflower</v>
          </cell>
          <cell r="C313" t="str">
            <v>16-N-5</v>
          </cell>
        </row>
        <row r="314">
          <cell r="B314" t="str">
            <v>Oliver</v>
          </cell>
          <cell r="C314" t="str">
            <v>16-N-6</v>
          </cell>
        </row>
        <row r="315">
          <cell r="B315" t="str">
            <v>Bramlett</v>
          </cell>
          <cell r="C315" t="str">
            <v>16-N-7</v>
          </cell>
        </row>
        <row r="316">
          <cell r="B316" t="str">
            <v>Mattson</v>
          </cell>
          <cell r="C316" t="str">
            <v>16-N-9</v>
          </cell>
        </row>
        <row r="317">
          <cell r="B317" t="str">
            <v>Myer</v>
          </cell>
          <cell r="C317" t="str">
            <v>16-N-10</v>
          </cell>
        </row>
        <row r="318">
          <cell r="B318" t="str">
            <v>Hopson Bayou</v>
          </cell>
          <cell r="C318" t="str">
            <v>16-N-1i</v>
          </cell>
        </row>
        <row r="319">
          <cell r="B319" t="str">
            <v>Black Bayou</v>
          </cell>
          <cell r="C319" t="str">
            <v>16-N-12</v>
          </cell>
        </row>
        <row r="320">
          <cell r="B320" t="str">
            <v>Harris Bayou</v>
          </cell>
          <cell r="C320" t="str">
            <v>16-N-14</v>
          </cell>
        </row>
        <row r="321">
          <cell r="B321" t="str">
            <v>Howden Lake</v>
          </cell>
          <cell r="C321" t="str">
            <v>16-N-17</v>
          </cell>
        </row>
        <row r="322">
          <cell r="B322" t="str">
            <v>Bobo</v>
          </cell>
          <cell r="C322" t="str">
            <v>16-N-18</v>
          </cell>
        </row>
        <row r="323">
          <cell r="B323" t="str">
            <v>Crawford Lake</v>
          </cell>
          <cell r="C323" t="str">
            <v>16-N-19</v>
          </cell>
        </row>
        <row r="324">
          <cell r="B324" t="str">
            <v>Aderholt</v>
          </cell>
          <cell r="C324" t="str">
            <v>16-N-20</v>
          </cell>
        </row>
        <row r="325">
          <cell r="B325" t="str">
            <v>Dorr (Clark)</v>
          </cell>
          <cell r="C325" t="str">
            <v>16-N-22</v>
          </cell>
        </row>
        <row r="326">
          <cell r="B326" t="str">
            <v>Hopkins</v>
          </cell>
          <cell r="C326" t="str">
            <v>16-N-23</v>
          </cell>
        </row>
        <row r="327">
          <cell r="B327" t="str">
            <v>Doady</v>
          </cell>
          <cell r="C327" t="str">
            <v>16-N-25</v>
          </cell>
        </row>
        <row r="328">
          <cell r="B328" t="str">
            <v>Dunn</v>
          </cell>
          <cell r="C328" t="str">
            <v>16-O-1</v>
          </cell>
        </row>
        <row r="329">
          <cell r="B329" t="str">
            <v>Spendthrift</v>
          </cell>
          <cell r="C329" t="str">
            <v>16-O-2</v>
          </cell>
        </row>
        <row r="330">
          <cell r="B330" t="str">
            <v>Everett</v>
          </cell>
          <cell r="C330" t="str">
            <v>16-O-3</v>
          </cell>
        </row>
        <row r="331">
          <cell r="B331" t="str">
            <v>Garmon</v>
          </cell>
          <cell r="C331" t="str">
            <v>16-O-6</v>
          </cell>
        </row>
        <row r="332">
          <cell r="B332" t="str">
            <v>Henderson</v>
          </cell>
          <cell r="C332" t="str">
            <v>16-O-7</v>
          </cell>
        </row>
        <row r="333">
          <cell r="B333" t="str">
            <v>Norman</v>
          </cell>
          <cell r="C333" t="str">
            <v>16-O-8</v>
          </cell>
        </row>
        <row r="334">
          <cell r="B334" t="str">
            <v>Oxbow Bend</v>
          </cell>
          <cell r="C334" t="str">
            <v>16-O-11</v>
          </cell>
        </row>
        <row r="335">
          <cell r="B335" t="str">
            <v>Denton</v>
          </cell>
          <cell r="C335" t="str">
            <v>16-O-13</v>
          </cell>
        </row>
        <row r="336">
          <cell r="B336" t="str">
            <v>Stover</v>
          </cell>
          <cell r="C336" t="str">
            <v>16-O-14</v>
          </cell>
        </row>
        <row r="337">
          <cell r="B337" t="str">
            <v>Garner</v>
          </cell>
          <cell r="C337" t="str">
            <v>16-O-15</v>
          </cell>
        </row>
        <row r="338">
          <cell r="B338" t="str">
            <v>Flower</v>
          </cell>
          <cell r="C338" t="str">
            <v>16-O-16</v>
          </cell>
        </row>
        <row r="339">
          <cell r="B339" t="str">
            <v>Longstreet</v>
          </cell>
          <cell r="C339" t="str">
            <v>16-O-17</v>
          </cell>
        </row>
        <row r="340">
          <cell r="B340" t="str">
            <v>Charleston</v>
          </cell>
          <cell r="C340" t="str">
            <v>16-P-1</v>
          </cell>
        </row>
        <row r="341">
          <cell r="B341" t="str">
            <v>Shady Grove</v>
          </cell>
          <cell r="C341" t="str">
            <v>16-P-2</v>
          </cell>
        </row>
        <row r="342">
          <cell r="B342" t="str">
            <v>Twin Lakes</v>
          </cell>
          <cell r="C342" t="str">
            <v>16-P-3</v>
          </cell>
        </row>
        <row r="343">
          <cell r="B343" t="str">
            <v>White</v>
          </cell>
          <cell r="C343" t="str">
            <v>16-P-4</v>
          </cell>
        </row>
        <row r="344">
          <cell r="B344" t="str">
            <v>Crosslyn</v>
          </cell>
          <cell r="C344" t="str">
            <v>16-P-5</v>
          </cell>
        </row>
        <row r="345">
          <cell r="B345" t="str">
            <v>Cox</v>
          </cell>
          <cell r="C345" t="str">
            <v>16-P-6</v>
          </cell>
        </row>
        <row r="346">
          <cell r="B346" t="str">
            <v>Mitchell</v>
          </cell>
          <cell r="C346" t="str">
            <v>16-P-7</v>
          </cell>
        </row>
        <row r="347">
          <cell r="B347" t="str">
            <v>Blue Lake</v>
          </cell>
          <cell r="C347" t="str">
            <v>16-P-8</v>
          </cell>
        </row>
        <row r="348">
          <cell r="B348" t="str">
            <v>Carmichael</v>
          </cell>
          <cell r="C348" t="str">
            <v>16-P-9</v>
          </cell>
        </row>
        <row r="349">
          <cell r="B349" t="str">
            <v>Menard</v>
          </cell>
          <cell r="C349" t="str">
            <v>17-K-1</v>
          </cell>
        </row>
        <row r="350">
          <cell r="B350" t="str">
            <v>Thiele Hill</v>
          </cell>
          <cell r="C350" t="str">
            <v>17-K-2</v>
          </cell>
        </row>
        <row r="351">
          <cell r="B351" t="str">
            <v>Wallace</v>
          </cell>
          <cell r="C351" t="str">
            <v>17-K-3</v>
          </cell>
        </row>
        <row r="352">
          <cell r="B352" t="str">
            <v>Almond</v>
          </cell>
          <cell r="C352" t="str">
            <v>17-K-4</v>
          </cell>
        </row>
        <row r="353">
          <cell r="B353" t="str">
            <v>Cook Mound</v>
          </cell>
          <cell r="C353" t="str">
            <v>17-K-5</v>
          </cell>
        </row>
        <row r="354">
          <cell r="B354" t="str">
            <v>Bond</v>
          </cell>
          <cell r="C354" t="str">
            <v>17-K-6</v>
          </cell>
        </row>
        <row r="355">
          <cell r="B355" t="str">
            <v>Alma Brown</v>
          </cell>
          <cell r="C355" t="str">
            <v>17-K-7</v>
          </cell>
        </row>
        <row r="356">
          <cell r="B356" t="str">
            <v>Massey</v>
          </cell>
          <cell r="C356" t="str">
            <v>17-L-1</v>
          </cell>
        </row>
        <row r="357">
          <cell r="B357" t="str">
            <v>Poor</v>
          </cell>
          <cell r="C357" t="str">
            <v>17-L-3</v>
          </cell>
        </row>
        <row r="358">
          <cell r="B358" t="str">
            <v>Wynn</v>
          </cell>
          <cell r="C358" t="str">
            <v>17-L-4</v>
          </cell>
        </row>
        <row r="359">
          <cell r="B359" t="str">
            <v>Waxhaw</v>
          </cell>
          <cell r="C359" t="str">
            <v>17-L-5</v>
          </cell>
        </row>
        <row r="360">
          <cell r="B360" t="str">
            <v>Bear Ridge</v>
          </cell>
          <cell r="C360" t="str">
            <v>17-M-1</v>
          </cell>
        </row>
        <row r="361">
          <cell r="B361" t="str">
            <v>Blanchard</v>
          </cell>
          <cell r="C361" t="str">
            <v>17-M-2</v>
          </cell>
        </row>
        <row r="362">
          <cell r="B362" t="str">
            <v>Mound City</v>
          </cell>
          <cell r="C362" t="str">
            <v>17-M-6</v>
          </cell>
        </row>
        <row r="363">
          <cell r="B363" t="str">
            <v>Moore</v>
          </cell>
          <cell r="C363" t="str">
            <v>17-M-7</v>
          </cell>
        </row>
        <row r="364">
          <cell r="B364" t="str">
            <v>Spinks</v>
          </cell>
          <cell r="C364" t="str">
            <v>17-M-9</v>
          </cell>
        </row>
        <row r="365">
          <cell r="B365" t="str">
            <v>Reynolds</v>
          </cell>
          <cell r="C365" t="str">
            <v>17-M-10</v>
          </cell>
        </row>
        <row r="366">
          <cell r="B366" t="str">
            <v>Bush</v>
          </cell>
          <cell r="C366" t="str">
            <v>17-M-11</v>
          </cell>
        </row>
        <row r="367">
          <cell r="B367" t="str">
            <v>O'Donnell</v>
          </cell>
          <cell r="C367" t="str">
            <v>17-M-12</v>
          </cell>
        </row>
        <row r="368">
          <cell r="B368" t="str">
            <v>Boles Lake</v>
          </cell>
          <cell r="C368" t="str">
            <v>17-M-13</v>
          </cell>
        </row>
        <row r="369">
          <cell r="B369" t="str">
            <v>Boykin Bogue</v>
          </cell>
          <cell r="C369" t="str">
            <v>17-M-14</v>
          </cell>
        </row>
        <row r="370">
          <cell r="B370" t="str">
            <v>MacGowan</v>
          </cell>
          <cell r="C370" t="str">
            <v>17-M-16</v>
          </cell>
        </row>
        <row r="371">
          <cell r="B371" t="str">
            <v>Nelson</v>
          </cell>
          <cell r="C371" t="str">
            <v>17-M-17</v>
          </cell>
        </row>
        <row r="372">
          <cell r="B372" t="str">
            <v>Roosevelt</v>
          </cell>
          <cell r="C372" t="str">
            <v>17-M-18</v>
          </cell>
        </row>
        <row r="373">
          <cell r="B373" t="str">
            <v>Monroe</v>
          </cell>
          <cell r="C373" t="str">
            <v>17-M-22</v>
          </cell>
        </row>
        <row r="374">
          <cell r="B374" t="str">
            <v>Merigold</v>
          </cell>
          <cell r="C374" t="str">
            <v>17-N-1</v>
          </cell>
        </row>
        <row r="375">
          <cell r="B375" t="str">
            <v>Walford</v>
          </cell>
          <cell r="C375" t="str">
            <v>17-N-2</v>
          </cell>
        </row>
        <row r="376">
          <cell r="B376" t="str">
            <v>Debow</v>
          </cell>
          <cell r="C376" t="str">
            <v>17-N-3</v>
          </cell>
        </row>
        <row r="377">
          <cell r="B377" t="str">
            <v>Penitentiary</v>
          </cell>
          <cell r="C377" t="str">
            <v>17-N-4</v>
          </cell>
        </row>
        <row r="378">
          <cell r="B378" t="str">
            <v>May</v>
          </cell>
          <cell r="C378" t="str">
            <v>17-N-5</v>
          </cell>
        </row>
        <row r="379">
          <cell r="B379" t="str">
            <v>Sidd Dodd</v>
          </cell>
          <cell r="C379" t="str">
            <v>17-N-6</v>
          </cell>
        </row>
        <row r="380">
          <cell r="B380" t="str">
            <v>Baltzer</v>
          </cell>
          <cell r="C380" t="str">
            <v>17-N-7</v>
          </cell>
        </row>
        <row r="381">
          <cell r="B381" t="str">
            <v>Boyer</v>
          </cell>
          <cell r="C381" t="str">
            <v>17-N-8</v>
          </cell>
        </row>
        <row r="382">
          <cell r="B382" t="str">
            <v>Vance</v>
          </cell>
          <cell r="C382" t="str">
            <v>17-N-9</v>
          </cell>
        </row>
        <row r="383">
          <cell r="B383" t="str">
            <v>Dockery</v>
          </cell>
          <cell r="C383" t="str">
            <v>17-N-11</v>
          </cell>
        </row>
        <row r="384">
          <cell r="B384" t="str">
            <v>Long Lake</v>
          </cell>
          <cell r="C384" t="str">
            <v>17-N-12</v>
          </cell>
        </row>
        <row r="385">
          <cell r="B385" t="str">
            <v>Kimball</v>
          </cell>
          <cell r="C385" t="str">
            <v>17-N-14</v>
          </cell>
        </row>
        <row r="386">
          <cell r="B386" t="str">
            <v>Cook</v>
          </cell>
          <cell r="C386" t="str">
            <v>17-N-15</v>
          </cell>
        </row>
        <row r="387">
          <cell r="B387" t="str">
            <v>Wilnot</v>
          </cell>
          <cell r="C387" t="str">
            <v>17-N-16</v>
          </cell>
        </row>
        <row r="388">
          <cell r="B388" t="str">
            <v>Joe Smith</v>
          </cell>
          <cell r="C388" t="str">
            <v>17-N-18</v>
          </cell>
        </row>
        <row r="389">
          <cell r="B389" t="str">
            <v>Buford</v>
          </cell>
          <cell r="C389" t="str">
            <v>17-O-1</v>
          </cell>
        </row>
        <row r="390">
          <cell r="B390" t="str">
            <v>Petty</v>
          </cell>
          <cell r="C390" t="str">
            <v>17-O-3</v>
          </cell>
        </row>
        <row r="391">
          <cell r="B391" t="str">
            <v>Flant</v>
          </cell>
          <cell r="C391" t="str">
            <v>17-O-4</v>
          </cell>
        </row>
        <row r="392">
          <cell r="B392" t="str">
            <v>King</v>
          </cell>
          <cell r="C392" t="str">
            <v>17-O-5</v>
          </cell>
        </row>
        <row r="393">
          <cell r="B393" t="str">
            <v>Jernberg</v>
          </cell>
          <cell r="C393" t="str">
            <v>17-O-6</v>
          </cell>
        </row>
        <row r="394">
          <cell r="B394" t="str">
            <v>Falls</v>
          </cell>
          <cell r="C394" t="str">
            <v>17-O-8</v>
          </cell>
        </row>
        <row r="395">
          <cell r="B395" t="str">
            <v>Powell Bayou</v>
          </cell>
          <cell r="C395" t="str">
            <v>17-O-9</v>
          </cell>
        </row>
        <row r="396">
          <cell r="B396" t="str">
            <v>Cassidy Bayou</v>
          </cell>
          <cell r="C396" t="str">
            <v>17-O-11</v>
          </cell>
        </row>
        <row r="397">
          <cell r="B397" t="str">
            <v>Rome</v>
          </cell>
          <cell r="C397" t="str">
            <v>17-O-12</v>
          </cell>
        </row>
        <row r="398">
          <cell r="B398" t="str">
            <v>W.E. Smith</v>
          </cell>
          <cell r="C398" t="str">
            <v>17-O-13</v>
          </cell>
        </row>
        <row r="399">
          <cell r="B399" t="str">
            <v>Tippo Bayou</v>
          </cell>
          <cell r="C399" t="str">
            <v>17-P-1</v>
          </cell>
        </row>
        <row r="400">
          <cell r="B400" t="str">
            <v>Cason</v>
          </cell>
          <cell r="C400" t="str">
            <v>17-P-2</v>
          </cell>
        </row>
        <row r="401">
          <cell r="B401" t="str">
            <v>Stainback #1</v>
          </cell>
          <cell r="C401" t="str">
            <v>17-P-5</v>
          </cell>
        </row>
        <row r="402">
          <cell r="B402" t="str">
            <v>Medley</v>
          </cell>
          <cell r="C402" t="str">
            <v>18-K-1</v>
          </cell>
        </row>
        <row r="403">
          <cell r="B403" t="str">
            <v>Westlake</v>
          </cell>
          <cell r="C403" t="str">
            <v>18-K-2</v>
          </cell>
        </row>
        <row r="404">
          <cell r="B404" t="str">
            <v>Bellaire</v>
          </cell>
          <cell r="C404" t="str">
            <v>18-K-3</v>
          </cell>
        </row>
        <row r="405">
          <cell r="B405" t="str">
            <v>Gibson</v>
          </cell>
          <cell r="C405" t="str">
            <v>18-K-4</v>
          </cell>
        </row>
        <row r="406">
          <cell r="B406" t="str">
            <v>Jones</v>
          </cell>
          <cell r="C406" t="str">
            <v>18-K-5</v>
          </cell>
        </row>
        <row r="407">
          <cell r="B407" t="str">
            <v>Pamell</v>
          </cell>
          <cell r="C407" t="str">
            <v>18-K-6</v>
          </cell>
        </row>
        <row r="408">
          <cell r="B408" t="str">
            <v>Neblett Landing</v>
          </cell>
          <cell r="C408" t="str">
            <v>18-L-1</v>
          </cell>
        </row>
        <row r="409">
          <cell r="B409" t="str">
            <v>Perkins</v>
          </cell>
          <cell r="C409" t="str">
            <v>18-L-2</v>
          </cell>
        </row>
        <row r="410">
          <cell r="B410" t="str">
            <v>Shadyside Landing</v>
          </cell>
          <cell r="C410" t="str">
            <v>18-L-3</v>
          </cell>
        </row>
        <row r="411">
          <cell r="B411" t="str">
            <v>Richland</v>
          </cell>
          <cell r="C411" t="str">
            <v>18-L-4</v>
          </cell>
        </row>
        <row r="412">
          <cell r="B412" t="str">
            <v>Porter Bayou</v>
          </cell>
          <cell r="C412" t="str">
            <v>18-M-1</v>
          </cell>
        </row>
        <row r="413">
          <cell r="B413" t="str">
            <v>Noble</v>
          </cell>
          <cell r="C413" t="str">
            <v>18-M-2</v>
          </cell>
        </row>
        <row r="414">
          <cell r="B414" t="str">
            <v>Stringtown</v>
          </cell>
          <cell r="C414" t="str">
            <v>18-M-3</v>
          </cell>
        </row>
        <row r="415">
          <cell r="B415" t="str">
            <v>Lipe</v>
          </cell>
          <cell r="C415" t="str">
            <v>18-M-4</v>
          </cell>
        </row>
        <row r="416">
          <cell r="B416" t="str">
            <v>Brooks</v>
          </cell>
          <cell r="C416" t="str">
            <v>18-M-5</v>
          </cell>
        </row>
        <row r="417">
          <cell r="B417" t="str">
            <v>Choctaw</v>
          </cell>
          <cell r="C417" t="str">
            <v>18-M-6</v>
          </cell>
        </row>
        <row r="418">
          <cell r="B418" t="str">
            <v>Priscilla</v>
          </cell>
          <cell r="C418" t="str">
            <v>18-M-7</v>
          </cell>
        </row>
        <row r="419">
          <cell r="B419" t="str">
            <v>Marlow</v>
          </cell>
          <cell r="C419" t="str">
            <v>18-N-1</v>
          </cell>
        </row>
        <row r="420">
          <cell r="B420" t="str">
            <v>Marlow Cemetery</v>
          </cell>
          <cell r="C420" t="str">
            <v>18-N-2</v>
          </cell>
        </row>
        <row r="421">
          <cell r="B421" t="str">
            <v>Cooper</v>
          </cell>
          <cell r="C421" t="str">
            <v>18-N-3</v>
          </cell>
        </row>
        <row r="422">
          <cell r="B422" t="str">
            <v>Steiner</v>
          </cell>
          <cell r="C422" t="str">
            <v>18-N-4</v>
          </cell>
        </row>
        <row r="423">
          <cell r="B423" t="str">
            <v>Boyer</v>
          </cell>
          <cell r="C423" t="str">
            <v>18-N-7</v>
          </cell>
        </row>
        <row r="424">
          <cell r="B424" t="str">
            <v>MacGregor</v>
          </cell>
          <cell r="C424" t="str">
            <v>18-N-8</v>
          </cell>
        </row>
        <row r="425">
          <cell r="B425" t="str">
            <v>Eastland</v>
          </cell>
          <cell r="C425" t="str">
            <v>18-N-9</v>
          </cell>
        </row>
        <row r="426">
          <cell r="B426" t="str">
            <v>Asack</v>
          </cell>
          <cell r="C426" t="str">
            <v>18-N-11</v>
          </cell>
        </row>
        <row r="427">
          <cell r="B427" t="str">
            <v>Barry</v>
          </cell>
          <cell r="C427" t="str">
            <v>18-O-1</v>
          </cell>
        </row>
        <row r="428">
          <cell r="B428" t="str">
            <v>Lester Way</v>
          </cell>
          <cell r="C428" t="str">
            <v>18-P-1</v>
          </cell>
        </row>
        <row r="429">
          <cell r="B429" t="str">
            <v>Whaley</v>
          </cell>
          <cell r="C429" t="str">
            <v>18-P-2</v>
          </cell>
        </row>
        <row r="430">
          <cell r="B430" t="str">
            <v>Jack Leflore</v>
          </cell>
          <cell r="C430" t="str">
            <v>18-P-3</v>
          </cell>
        </row>
        <row r="431">
          <cell r="B431" t="str">
            <v>Teoc Creek (Neil #1)</v>
          </cell>
          <cell r="C431" t="str">
            <v>18-P-6</v>
          </cell>
        </row>
        <row r="432">
          <cell r="B432" t="str">
            <v>Neil #3</v>
          </cell>
          <cell r="C432" t="str">
            <v>18-P-7</v>
          </cell>
        </row>
        <row r="433">
          <cell r="B433" t="str">
            <v>Jacks</v>
          </cell>
          <cell r="C433" t="str">
            <v>18-P-8</v>
          </cell>
        </row>
        <row r="434">
          <cell r="B434" t="str">
            <v>Winterville</v>
          </cell>
          <cell r="C434" t="str">
            <v>19-L-1</v>
          </cell>
        </row>
        <row r="435">
          <cell r="B435" t="str">
            <v>Ely</v>
          </cell>
          <cell r="C435" t="str">
            <v>19-L-3</v>
          </cell>
        </row>
        <row r="436">
          <cell r="B436" t="str">
            <v>Metcalfe</v>
          </cell>
          <cell r="C436" t="str">
            <v>19-L-4</v>
          </cell>
        </row>
        <row r="437">
          <cell r="B437" t="str">
            <v>Ireland</v>
          </cell>
          <cell r="C437" t="str">
            <v>19-L-5</v>
          </cell>
        </row>
        <row r="438">
          <cell r="B438" t="str">
            <v>Refuge</v>
          </cell>
          <cell r="C438" t="str">
            <v>19-L-6</v>
          </cell>
        </row>
        <row r="439">
          <cell r="B439" t="str">
            <v>Ash Bayou</v>
          </cell>
          <cell r="C439" t="str">
            <v>19-L-7</v>
          </cell>
        </row>
        <row r="440">
          <cell r="B440" t="str">
            <v>Leland</v>
          </cell>
          <cell r="C440" t="str">
            <v>19-M-1</v>
          </cell>
        </row>
        <row r="441">
          <cell r="B441" t="str">
            <v>Sheldon</v>
          </cell>
          <cell r="C441" t="str">
            <v>19-M-2</v>
          </cell>
        </row>
        <row r="442">
          <cell r="B442" t="str">
            <v>Sherwood</v>
          </cell>
          <cell r="C442" t="str">
            <v>19-M-3</v>
          </cell>
        </row>
        <row r="443">
          <cell r="B443" t="str">
            <v>Dunleith</v>
          </cell>
          <cell r="C443" t="str">
            <v>19-M-4</v>
          </cell>
        </row>
        <row r="444">
          <cell r="B444" t="str">
            <v>Hollyknowe</v>
          </cell>
          <cell r="C444" t="str">
            <v>19-M-5</v>
          </cell>
        </row>
        <row r="445">
          <cell r="B445" t="str">
            <v>Arcola School</v>
          </cell>
          <cell r="C445" t="str">
            <v>19-M-6</v>
          </cell>
        </row>
        <row r="446">
          <cell r="B446" t="str">
            <v>Polk</v>
          </cell>
          <cell r="C446" t="str">
            <v>19-M-7</v>
          </cell>
        </row>
        <row r="447">
          <cell r="B447" t="str">
            <v>Kirk</v>
          </cell>
          <cell r="C447" t="str">
            <v>19-M-8</v>
          </cell>
        </row>
        <row r="448">
          <cell r="B448" t="str">
            <v>King</v>
          </cell>
          <cell r="C448" t="str">
            <v>19-M-9</v>
          </cell>
        </row>
        <row r="449">
          <cell r="B449" t="str">
            <v>Hebe</v>
          </cell>
          <cell r="C449" t="str">
            <v>19-M-10</v>
          </cell>
        </row>
        <row r="450">
          <cell r="B450" t="str">
            <v>Kinlock</v>
          </cell>
          <cell r="C450" t="str">
            <v>19-N-1</v>
          </cell>
        </row>
        <row r="451">
          <cell r="B451" t="str">
            <v>Shields</v>
          </cell>
          <cell r="C451" t="str">
            <v>19-N-2</v>
          </cell>
        </row>
        <row r="452">
          <cell r="B452" t="str">
            <v>Bay Lake</v>
          </cell>
          <cell r="C452" t="str">
            <v>19-N-3</v>
          </cell>
        </row>
        <row r="453">
          <cell r="B453" t="str">
            <v>Failing</v>
          </cell>
          <cell r="C453" t="str">
            <v>19-N-5</v>
          </cell>
        </row>
        <row r="454">
          <cell r="B454" t="str">
            <v>Lake Dawson</v>
          </cell>
          <cell r="C454" t="str">
            <v>19-N-6</v>
          </cell>
        </row>
        <row r="455">
          <cell r="B455" t="str">
            <v>Mitchell</v>
          </cell>
          <cell r="C455" t="str">
            <v>19-N-7</v>
          </cell>
        </row>
        <row r="456">
          <cell r="B456" t="str">
            <v>Moorehead Bayou</v>
          </cell>
          <cell r="C456" t="str">
            <v>19-N-9</v>
          </cell>
        </row>
        <row r="457">
          <cell r="B457" t="str">
            <v>Jackson Bayou</v>
          </cell>
          <cell r="C457" t="str">
            <v>19-N-10</v>
          </cell>
        </row>
        <row r="458">
          <cell r="B458" t="str">
            <v>Sky Lake</v>
          </cell>
          <cell r="C458" t="str">
            <v>19-N-11</v>
          </cell>
        </row>
        <row r="459">
          <cell r="B459" t="str">
            <v>McLean</v>
          </cell>
          <cell r="C459" t="str">
            <v>19-O-1</v>
          </cell>
        </row>
        <row r="460">
          <cell r="B460" t="str">
            <v>Shell Bluff</v>
          </cell>
          <cell r="C460" t="str">
            <v>19-O-2</v>
          </cell>
        </row>
        <row r="461">
          <cell r="B461" t="str">
            <v>Fleming</v>
          </cell>
          <cell r="C461" t="str">
            <v>19-O-3</v>
          </cell>
        </row>
        <row r="462">
          <cell r="B462" t="str">
            <v>Archer</v>
          </cell>
          <cell r="C462" t="str">
            <v>19-O-4</v>
          </cell>
        </row>
        <row r="463">
          <cell r="B463" t="str">
            <v>Pritchard</v>
          </cell>
          <cell r="C463" t="str">
            <v>19-O-7</v>
          </cell>
        </row>
        <row r="464">
          <cell r="B464" t="str">
            <v>Polk</v>
          </cell>
          <cell r="C464" t="str">
            <v>19-O-8</v>
          </cell>
        </row>
        <row r="465">
          <cell r="B465" t="str">
            <v>Campbell</v>
          </cell>
          <cell r="C465" t="str">
            <v>19-O-9</v>
          </cell>
        </row>
        <row r="466">
          <cell r="B466" t="str">
            <v>Hunt</v>
          </cell>
          <cell r="C466" t="str">
            <v>19-O-1O</v>
          </cell>
        </row>
        <row r="467">
          <cell r="B467" t="str">
            <v>Nichols</v>
          </cell>
          <cell r="C467" t="str">
            <v>19-O-11</v>
          </cell>
        </row>
        <row r="468">
          <cell r="B468" t="str">
            <v>Simmons</v>
          </cell>
          <cell r="C468" t="str">
            <v>19-O-12</v>
          </cell>
        </row>
        <row r="469">
          <cell r="B469" t="str">
            <v>Paxton</v>
          </cell>
          <cell r="C469" t="str">
            <v>19-O-13</v>
          </cell>
        </row>
        <row r="470">
          <cell r="B470" t="str">
            <v>Montgomery</v>
          </cell>
          <cell r="C470" t="str">
            <v>19-O-14</v>
          </cell>
        </row>
        <row r="471">
          <cell r="B471" t="str">
            <v>Wall</v>
          </cell>
          <cell r="C471" t="str">
            <v>19-O-15</v>
          </cell>
        </row>
        <row r="472">
          <cell r="B472" t="str">
            <v>Palusha Creek</v>
          </cell>
          <cell r="C472" t="str">
            <v>19-P-1</v>
          </cell>
        </row>
        <row r="473">
          <cell r="B473" t="str">
            <v>Roebuck</v>
          </cell>
          <cell r="C473" t="str">
            <v>19-P-2</v>
          </cell>
        </row>
        <row r="474">
          <cell r="B474" t="str">
            <v>Phillipi</v>
          </cell>
          <cell r="C474" t="str">
            <v>19-P-3</v>
          </cell>
        </row>
        <row r="475">
          <cell r="B475" t="str">
            <v>Bloomfield Church</v>
          </cell>
          <cell r="C475" t="str">
            <v>20-K-2</v>
          </cell>
        </row>
        <row r="476">
          <cell r="B476" t="str">
            <v>Law</v>
          </cell>
          <cell r="C476" t="str">
            <v>20-L-1</v>
          </cell>
        </row>
        <row r="477">
          <cell r="B477" t="str">
            <v>Silver Lake</v>
          </cell>
          <cell r="C477" t="str">
            <v>20-L-2</v>
          </cell>
        </row>
        <row r="478">
          <cell r="B478" t="str">
            <v>Griffin</v>
          </cell>
          <cell r="C478" t="str">
            <v>20-L-3</v>
          </cell>
        </row>
        <row r="479">
          <cell r="B479" t="str">
            <v>Arcola</v>
          </cell>
          <cell r="C479" t="str">
            <v>20-M-1</v>
          </cell>
        </row>
        <row r="480">
          <cell r="B480" t="str">
            <v>McGee</v>
          </cell>
          <cell r="C480" t="str">
            <v>20-M-2</v>
          </cell>
        </row>
        <row r="481">
          <cell r="B481" t="str">
            <v>Panther Bum</v>
          </cell>
          <cell r="C481" t="str">
            <v>20-M-3</v>
          </cell>
        </row>
        <row r="482">
          <cell r="B482" t="str">
            <v>Lessiedell</v>
          </cell>
          <cell r="C482" t="str">
            <v>20-M-4</v>
          </cell>
        </row>
        <row r="483">
          <cell r="B483" t="str">
            <v>Swan Lake</v>
          </cell>
          <cell r="C483" t="str">
            <v>20-M-5</v>
          </cell>
        </row>
        <row r="484">
          <cell r="B484" t="str">
            <v>Clower</v>
          </cell>
          <cell r="C484" t="str">
            <v>20-M-6</v>
          </cell>
        </row>
        <row r="485">
          <cell r="B485" t="str">
            <v>Percy Jones</v>
          </cell>
          <cell r="C485" t="str">
            <v>20-M-7</v>
          </cell>
        </row>
        <row r="486">
          <cell r="B486" t="str">
            <v>Woods</v>
          </cell>
          <cell r="C486" t="str">
            <v>20-M-8</v>
          </cell>
        </row>
        <row r="487">
          <cell r="B487" t="str">
            <v>Bear Garden</v>
          </cell>
          <cell r="C487" t="str">
            <v>20-M-9</v>
          </cell>
        </row>
        <row r="488">
          <cell r="B488" t="str">
            <v>Midnight</v>
          </cell>
          <cell r="C488" t="str">
            <v>20-N-1</v>
          </cell>
        </row>
        <row r="489">
          <cell r="B489" t="str">
            <v>Summerfield</v>
          </cell>
          <cell r="C489" t="str">
            <v>20-N-2</v>
          </cell>
        </row>
        <row r="490">
          <cell r="B490" t="str">
            <v>Kongo</v>
          </cell>
          <cell r="C490" t="str">
            <v>20-N-4</v>
          </cell>
        </row>
        <row r="491">
          <cell r="B491" t="str">
            <v>Cold Lake</v>
          </cell>
          <cell r="C491" t="str">
            <v>20-N-5</v>
          </cell>
        </row>
        <row r="492">
          <cell r="B492" t="str">
            <v>Gooden Lake</v>
          </cell>
          <cell r="C492" t="str">
            <v>20-N-6</v>
          </cell>
        </row>
        <row r="493">
          <cell r="B493" t="str">
            <v>McCoy</v>
          </cell>
          <cell r="C493" t="str">
            <v>20-N-7</v>
          </cell>
        </row>
        <row r="494">
          <cell r="B494" t="str">
            <v>Jaketown</v>
          </cell>
          <cell r="C494" t="str">
            <v>2O-O-1</v>
          </cell>
        </row>
        <row r="495">
          <cell r="B495" t="str">
            <v>Belzoni</v>
          </cell>
          <cell r="C495" t="str">
            <v>2O-O-2</v>
          </cell>
        </row>
        <row r="496">
          <cell r="B496" t="str">
            <v>Fort (Lamkin)</v>
          </cell>
          <cell r="C496" t="str">
            <v>2O-O-3</v>
          </cell>
        </row>
        <row r="497">
          <cell r="B497" t="str">
            <v>Holly</v>
          </cell>
          <cell r="C497" t="str">
            <v>2O-O-4</v>
          </cell>
        </row>
        <row r="498">
          <cell r="B498" t="str">
            <v>Silver City</v>
          </cell>
          <cell r="C498" t="str">
            <v>2O-O-5</v>
          </cell>
        </row>
        <row r="499">
          <cell r="B499" t="str">
            <v>Colson</v>
          </cell>
          <cell r="C499" t="str">
            <v>2O-O-6</v>
          </cell>
        </row>
        <row r="500">
          <cell r="B500" t="str">
            <v>Payne</v>
          </cell>
          <cell r="C500" t="str">
            <v>2O-O-7</v>
          </cell>
        </row>
        <row r="501">
          <cell r="B501" t="str">
            <v>Tchula Lake</v>
          </cell>
          <cell r="C501" t="str">
            <v>2O-O-9</v>
          </cell>
        </row>
        <row r="502">
          <cell r="B502" t="str">
            <v>Brooks</v>
          </cell>
          <cell r="C502" t="str">
            <v>2O-O-1O</v>
          </cell>
        </row>
        <row r="503">
          <cell r="B503" t="str">
            <v>Quafalorma</v>
          </cell>
          <cell r="C503" t="str">
            <v>2O-O-12</v>
          </cell>
        </row>
        <row r="504">
          <cell r="B504" t="str">
            <v>Horseshoe Brake</v>
          </cell>
          <cell r="C504" t="str">
            <v>2O-O-13</v>
          </cell>
        </row>
        <row r="505">
          <cell r="B505" t="str">
            <v>Bee Lake</v>
          </cell>
          <cell r="C505" t="str">
            <v>2O-O-14</v>
          </cell>
        </row>
        <row r="506">
          <cell r="B506" t="str">
            <v>Peaster</v>
          </cell>
          <cell r="C506" t="str">
            <v>2O-O-18</v>
          </cell>
        </row>
        <row r="507">
          <cell r="B507" t="str">
            <v>Welsh Camp</v>
          </cell>
          <cell r="C507" t="str">
            <v>2O-O-2O</v>
          </cell>
        </row>
        <row r="508">
          <cell r="B508" t="str">
            <v>Gamewood</v>
          </cell>
          <cell r="C508" t="str">
            <v>20-P-1</v>
          </cell>
        </row>
        <row r="509">
          <cell r="B509" t="str">
            <v>Little Crane Lake</v>
          </cell>
          <cell r="C509" t="str">
            <v>21-J-5</v>
          </cell>
        </row>
        <row r="510">
          <cell r="B510" t="str">
            <v>Head</v>
          </cell>
          <cell r="C510" t="str">
            <v>21-K-1</v>
          </cell>
        </row>
        <row r="511">
          <cell r="B511" t="str">
            <v>McIntosh</v>
          </cell>
          <cell r="C511" t="str">
            <v>21-K-2</v>
          </cell>
        </row>
        <row r="512">
          <cell r="B512" t="str">
            <v>Tensas Bayou</v>
          </cell>
          <cell r="C512" t="str">
            <v>21-K-4</v>
          </cell>
        </row>
        <row r="513">
          <cell r="B513" t="str">
            <v>Bethlehem</v>
          </cell>
          <cell r="C513" t="str">
            <v>21-K-11</v>
          </cell>
        </row>
        <row r="514">
          <cell r="B514" t="str">
            <v>East Carroll</v>
          </cell>
          <cell r="C514" t="str">
            <v>21-K-12</v>
          </cell>
        </row>
        <row r="515">
          <cell r="B515" t="str">
            <v>Mayersville</v>
          </cell>
          <cell r="C515" t="str">
            <v>21-L-1</v>
          </cell>
        </row>
        <row r="516">
          <cell r="B516" t="str">
            <v>Rose Hill</v>
          </cell>
          <cell r="C516" t="str">
            <v>21-L-2</v>
          </cell>
        </row>
        <row r="517">
          <cell r="B517" t="str">
            <v>Lake Providence</v>
          </cell>
          <cell r="C517" t="str">
            <v>21-L-3</v>
          </cell>
        </row>
        <row r="518">
          <cell r="B518" t="str">
            <v>Wilson Bayou</v>
          </cell>
          <cell r="C518" t="str">
            <v>21-L-4</v>
          </cell>
        </row>
        <row r="519">
          <cell r="B519" t="str">
            <v>Rolling Fork</v>
          </cell>
          <cell r="C519" t="str">
            <v>21-M-1</v>
          </cell>
        </row>
        <row r="520">
          <cell r="B520" t="str">
            <v>Mount Helena</v>
          </cell>
          <cell r="C520" t="str">
            <v>21-M-2</v>
          </cell>
        </row>
        <row r="521">
          <cell r="B521" t="str">
            <v>Anguilla</v>
          </cell>
          <cell r="C521" t="str">
            <v>21-M-3</v>
          </cell>
        </row>
        <row r="522">
          <cell r="B522" t="str">
            <v>Lowery</v>
          </cell>
          <cell r="C522" t="str">
            <v>21-M-4</v>
          </cell>
        </row>
        <row r="523">
          <cell r="B523" t="str">
            <v>Cary</v>
          </cell>
          <cell r="C523" t="str">
            <v>21-M-5</v>
          </cell>
        </row>
        <row r="524">
          <cell r="B524" t="str">
            <v>Moore</v>
          </cell>
          <cell r="C524" t="str">
            <v>21-M-6</v>
          </cell>
        </row>
        <row r="525">
          <cell r="B525" t="str">
            <v>Grace</v>
          </cell>
          <cell r="C525" t="str">
            <v>21-M-7</v>
          </cell>
        </row>
        <row r="526">
          <cell r="B526" t="str">
            <v>Lamidoux</v>
          </cell>
          <cell r="C526" t="str">
            <v>21-M-8</v>
          </cell>
        </row>
        <row r="527">
          <cell r="B527" t="str">
            <v>Allsworth</v>
          </cell>
          <cell r="C527" t="str">
            <v>21-M-9</v>
          </cell>
        </row>
        <row r="528">
          <cell r="B528" t="str">
            <v>Flannigan</v>
          </cell>
          <cell r="C528" t="str">
            <v>21-M-10</v>
          </cell>
        </row>
        <row r="529">
          <cell r="B529" t="str">
            <v>Chipman</v>
          </cell>
          <cell r="C529" t="str">
            <v>21-M-11</v>
          </cell>
        </row>
        <row r="530">
          <cell r="B530" t="str">
            <v>Lake George</v>
          </cell>
          <cell r="C530" t="str">
            <v>21-N-1</v>
          </cell>
        </row>
        <row r="531">
          <cell r="B531" t="str">
            <v>Perry</v>
          </cell>
          <cell r="C531" t="str">
            <v>21-N-2</v>
          </cell>
        </row>
        <row r="532">
          <cell r="B532" t="str">
            <v>Spanish Fort</v>
          </cell>
          <cell r="C532" t="str">
            <v>21-N-3</v>
          </cell>
        </row>
        <row r="533">
          <cell r="B533" t="str">
            <v>Mabin</v>
          </cell>
          <cell r="C533" t="str">
            <v>21-N-4</v>
          </cell>
        </row>
        <row r="534">
          <cell r="B534" t="str">
            <v>Yucatan</v>
          </cell>
          <cell r="C534" t="str">
            <v>21-N-5</v>
          </cell>
        </row>
        <row r="535">
          <cell r="B535" t="str">
            <v>Screws</v>
          </cell>
          <cell r="C535" t="str">
            <v>21-N-6</v>
          </cell>
        </row>
        <row r="536">
          <cell r="B536" t="str">
            <v>Stalonia</v>
          </cell>
          <cell r="C536" t="str">
            <v>21-N-7</v>
          </cell>
        </row>
        <row r="537">
          <cell r="B537" t="str">
            <v>Shannon</v>
          </cell>
          <cell r="C537" t="str">
            <v>21-N-8</v>
          </cell>
        </row>
        <row r="538">
          <cell r="B538" t="str">
            <v>Waller</v>
          </cell>
          <cell r="C538" t="str">
            <v>21-N-9</v>
          </cell>
        </row>
        <row r="539">
          <cell r="B539" t="str">
            <v>Savory</v>
          </cell>
          <cell r="C539" t="str">
            <v>21-N-10</v>
          </cell>
        </row>
        <row r="540">
          <cell r="B540" t="str">
            <v>Godfrey Smith</v>
          </cell>
          <cell r="C540" t="str">
            <v>21-N-12</v>
          </cell>
        </row>
        <row r="541">
          <cell r="B541" t="str">
            <v>Erickson (Lake View)</v>
          </cell>
          <cell r="C541" t="str">
            <v>21-N-13</v>
          </cell>
        </row>
        <row r="542">
          <cell r="B542" t="str">
            <v>Tanglewood</v>
          </cell>
          <cell r="C542" t="str">
            <v>21-N-15</v>
          </cell>
        </row>
        <row r="543">
          <cell r="B543" t="str">
            <v>Robinson (Rialto)</v>
          </cell>
          <cell r="C543" t="str">
            <v>21-N-16</v>
          </cell>
        </row>
        <row r="544">
          <cell r="B544" t="str">
            <v>Rugby</v>
          </cell>
          <cell r="C544" t="str">
            <v>21-N-17</v>
          </cell>
        </row>
        <row r="545">
          <cell r="B545" t="str">
            <v>Wilzone</v>
          </cell>
          <cell r="C545" t="str">
            <v>21-N-19</v>
          </cell>
        </row>
        <row r="546">
          <cell r="B546" t="str">
            <v>Jerusalem</v>
          </cell>
          <cell r="C546" t="str">
            <v>21-N-20</v>
          </cell>
        </row>
        <row r="547">
          <cell r="B547" t="str">
            <v>Boston Bayou</v>
          </cell>
          <cell r="C547" t="str">
            <v>21-O-1</v>
          </cell>
        </row>
        <row r="548">
          <cell r="B548" t="str">
            <v>Ingersoll</v>
          </cell>
          <cell r="C548" t="str">
            <v>21-O-2</v>
          </cell>
        </row>
        <row r="549">
          <cell r="B549" t="str">
            <v>Clark's Ferry (Schaeffer's or Tokeba)</v>
          </cell>
          <cell r="C549" t="str">
            <v>21-O-3</v>
          </cell>
        </row>
        <row r="550">
          <cell r="B550" t="str">
            <v>McNeer</v>
          </cell>
          <cell r="C550" t="str">
            <v>21-O-4</v>
          </cell>
        </row>
        <row r="551">
          <cell r="B551" t="str">
            <v>Crump</v>
          </cell>
          <cell r="C551" t="str">
            <v>21-O-5</v>
          </cell>
        </row>
        <row r="552">
          <cell r="B552" t="str">
            <v>Reaver Brown</v>
          </cell>
          <cell r="C552" t="str">
            <v>21-O-6</v>
          </cell>
        </row>
        <row r="553">
          <cell r="B553" t="str">
            <v>Love</v>
          </cell>
          <cell r="C553" t="str">
            <v>21-O-7</v>
          </cell>
        </row>
        <row r="554">
          <cell r="B554" t="str">
            <v>Shellwood</v>
          </cell>
          <cell r="C554" t="str">
            <v>21-O-9</v>
          </cell>
        </row>
        <row r="555">
          <cell r="B555" t="str">
            <v>Champlin</v>
          </cell>
          <cell r="C555" t="str">
            <v>21-O-1O</v>
          </cell>
        </row>
        <row r="556">
          <cell r="B556" t="str">
            <v>York Hill</v>
          </cell>
          <cell r="C556" t="str">
            <v>21-O-11</v>
          </cell>
        </row>
        <row r="557">
          <cell r="B557" t="str">
            <v>Pete Clark</v>
          </cell>
          <cell r="C557" t="str">
            <v>21-O-12</v>
          </cell>
        </row>
        <row r="558">
          <cell r="B558" t="str">
            <v>Poverty Point</v>
          </cell>
          <cell r="C558" t="str">
            <v>22-K-1</v>
          </cell>
        </row>
        <row r="559">
          <cell r="B559" t="str">
            <v>Motley</v>
          </cell>
          <cell r="C559" t="str">
            <v>22-K-2</v>
          </cell>
        </row>
        <row r="560">
          <cell r="B560" t="str">
            <v>Jackson</v>
          </cell>
          <cell r="C560" t="str">
            <v>22-K-3</v>
          </cell>
        </row>
        <row r="561">
          <cell r="B561" t="str">
            <v>Raffman</v>
          </cell>
          <cell r="C561" t="str">
            <v>22-K-4</v>
          </cell>
        </row>
        <row r="562">
          <cell r="B562" t="str">
            <v>Manning</v>
          </cell>
          <cell r="C562" t="str">
            <v>22-K-5</v>
          </cell>
        </row>
        <row r="563">
          <cell r="B563" t="str">
            <v>Johnson</v>
          </cell>
          <cell r="C563" t="str">
            <v>22-K-6</v>
          </cell>
        </row>
        <row r="564">
          <cell r="B564" t="str">
            <v>McNeal</v>
          </cell>
          <cell r="C564" t="str">
            <v>22-K-8</v>
          </cell>
        </row>
        <row r="565">
          <cell r="B565" t="str">
            <v>Mackey</v>
          </cell>
          <cell r="C565" t="str">
            <v>22-K-9</v>
          </cell>
        </row>
        <row r="566">
          <cell r="B566" t="str">
            <v>Neeley</v>
          </cell>
          <cell r="C566" t="str">
            <v>22-K-10</v>
          </cell>
        </row>
        <row r="567">
          <cell r="B567" t="str">
            <v>Crowfoot</v>
          </cell>
          <cell r="C567" t="str">
            <v>22-K-11</v>
          </cell>
        </row>
        <row r="568">
          <cell r="B568" t="str">
            <v>Weld</v>
          </cell>
          <cell r="C568" t="str">
            <v>22-K-14</v>
          </cell>
        </row>
        <row r="569">
          <cell r="B569" t="str">
            <v>Stickley</v>
          </cell>
          <cell r="C569" t="str">
            <v>22-K-17</v>
          </cell>
        </row>
        <row r="570">
          <cell r="B570" t="str">
            <v>Panther Lake</v>
          </cell>
          <cell r="C570" t="str">
            <v>22-K-20</v>
          </cell>
        </row>
        <row r="571">
          <cell r="B571" t="str">
            <v>Turtle</v>
          </cell>
          <cell r="C571" t="str">
            <v>22-K-21</v>
          </cell>
        </row>
        <row r="572">
          <cell r="B572" t="str">
            <v>Magna Vista</v>
          </cell>
          <cell r="C572" t="str">
            <v>22-L-1</v>
          </cell>
        </row>
        <row r="573">
          <cell r="B573" t="str">
            <v>Julice</v>
          </cell>
          <cell r="C573" t="str">
            <v>22-L-2</v>
          </cell>
        </row>
        <row r="574">
          <cell r="B574" t="str">
            <v>Transylvania</v>
          </cell>
          <cell r="C574" t="str">
            <v>22-L-3</v>
          </cell>
        </row>
        <row r="575">
          <cell r="B575" t="str">
            <v>Hagaman</v>
          </cell>
          <cell r="C575" t="str">
            <v>22-L-6</v>
          </cell>
        </row>
        <row r="576">
          <cell r="B576" t="str">
            <v>Thornton</v>
          </cell>
          <cell r="C576" t="str">
            <v>22-M-1</v>
          </cell>
        </row>
        <row r="577">
          <cell r="B577" t="str">
            <v>Jeff Davis</v>
          </cell>
          <cell r="C577" t="str">
            <v>22-M-2</v>
          </cell>
        </row>
        <row r="578">
          <cell r="B578" t="str">
            <v>Aden</v>
          </cell>
          <cell r="C578" t="str">
            <v>22-M-3</v>
          </cell>
        </row>
        <row r="579">
          <cell r="B579" t="str">
            <v>Blanton</v>
          </cell>
          <cell r="C579" t="str">
            <v>22-M-4</v>
          </cell>
        </row>
        <row r="580">
          <cell r="B580" t="str">
            <v>Haynes Bluff</v>
          </cell>
          <cell r="C580" t="str">
            <v>22-M-5</v>
          </cell>
        </row>
        <row r="581">
          <cell r="B581" t="str">
            <v>Manny</v>
          </cell>
          <cell r="C581" t="str">
            <v>22-M-6</v>
          </cell>
        </row>
        <row r="582">
          <cell r="B582" t="str">
            <v>Johnson</v>
          </cell>
          <cell r="C582" t="str">
            <v>22-M-7</v>
          </cell>
        </row>
        <row r="583">
          <cell r="B583" t="str">
            <v>Hardee</v>
          </cell>
          <cell r="C583" t="str">
            <v>22-M-8</v>
          </cell>
        </row>
        <row r="584">
          <cell r="B584" t="str">
            <v>Rowe</v>
          </cell>
          <cell r="C584" t="str">
            <v>22-M-9</v>
          </cell>
        </row>
        <row r="585">
          <cell r="B585" t="str">
            <v>Burroughs</v>
          </cell>
          <cell r="C585" t="str">
            <v>22-M-10</v>
          </cell>
        </row>
        <row r="586">
          <cell r="B586" t="str">
            <v>Leist</v>
          </cell>
          <cell r="C586" t="str">
            <v>22-N-1</v>
          </cell>
        </row>
        <row r="587">
          <cell r="B587" t="str">
            <v>No Mistake</v>
          </cell>
          <cell r="C587" t="str">
            <v>22-N-3</v>
          </cell>
        </row>
        <row r="588">
          <cell r="B588" t="str">
            <v>Barry</v>
          </cell>
          <cell r="C588" t="str">
            <v>22-N-4</v>
          </cell>
        </row>
        <row r="589">
          <cell r="B589" t="str">
            <v>Enola</v>
          </cell>
          <cell r="C589" t="str">
            <v>22-N-5</v>
          </cell>
        </row>
        <row r="590">
          <cell r="B590" t="str">
            <v>Dornbush</v>
          </cell>
          <cell r="C590" t="str">
            <v>22-N-6</v>
          </cell>
        </row>
        <row r="591">
          <cell r="B591" t="str">
            <v>Potato Hill Bayou</v>
          </cell>
          <cell r="C591" t="str">
            <v>22-N-8</v>
          </cell>
        </row>
        <row r="592">
          <cell r="B592" t="str">
            <v>Fairview</v>
          </cell>
          <cell r="C592" t="str">
            <v>22-N-9</v>
          </cell>
        </row>
        <row r="593">
          <cell r="B593" t="str">
            <v>Landrum</v>
          </cell>
          <cell r="C593" t="str">
            <v>22-N-10</v>
          </cell>
        </row>
        <row r="594">
          <cell r="B594" t="str">
            <v>Friedlander</v>
          </cell>
          <cell r="C594" t="str">
            <v>22-N-11</v>
          </cell>
        </row>
        <row r="595">
          <cell r="B595" t="str">
            <v>Harworth</v>
          </cell>
          <cell r="C595" t="str">
            <v>22-N-12</v>
          </cell>
        </row>
        <row r="596">
          <cell r="B596" t="str">
            <v>Trammel</v>
          </cell>
          <cell r="C596" t="str">
            <v>22-N-13</v>
          </cell>
        </row>
        <row r="597">
          <cell r="B597" t="str">
            <v>Little Spanish Fort</v>
          </cell>
          <cell r="C597" t="str">
            <v>22-N-14</v>
          </cell>
        </row>
        <row r="598">
          <cell r="B598" t="str">
            <v>Anthony's Fork</v>
          </cell>
          <cell r="C598" t="str">
            <v>22-N-15</v>
          </cell>
        </row>
        <row r="599">
          <cell r="B599" t="str">
            <v>Hollis (Anderson Landing)</v>
          </cell>
          <cell r="C599" t="str">
            <v>22-N-16</v>
          </cell>
        </row>
        <row r="600">
          <cell r="B600" t="str">
            <v>Cowan</v>
          </cell>
          <cell r="C600" t="str">
            <v>22-N-17</v>
          </cell>
        </row>
        <row r="601">
          <cell r="B601" t="str">
            <v>Kitterman</v>
          </cell>
          <cell r="C601" t="str">
            <v>22-N-18</v>
          </cell>
        </row>
        <row r="602">
          <cell r="B602" t="str">
            <v>Russell</v>
          </cell>
          <cell r="C602" t="str">
            <v>22-N-19</v>
          </cell>
        </row>
        <row r="603">
          <cell r="B603" t="str">
            <v>Mengel</v>
          </cell>
          <cell r="C603" t="str">
            <v>22-N-20</v>
          </cell>
        </row>
        <row r="604">
          <cell r="B604" t="str">
            <v>Gammel</v>
          </cell>
          <cell r="C604" t="str">
            <v>22-N-21</v>
          </cell>
        </row>
        <row r="605">
          <cell r="B605" t="str">
            <v>Evans</v>
          </cell>
          <cell r="C605" t="str">
            <v>22-N-22</v>
          </cell>
        </row>
        <row r="606">
          <cell r="B606" t="str">
            <v>Salem Plantation</v>
          </cell>
          <cell r="C606" t="str">
            <v>22-N-26</v>
          </cell>
        </row>
        <row r="607">
          <cell r="B607" t="str">
            <v>King Mounds</v>
          </cell>
          <cell r="C607" t="str">
            <v>22-N-27</v>
          </cell>
        </row>
        <row r="608">
          <cell r="B608" t="str">
            <v>Hancock</v>
          </cell>
          <cell r="C608" t="str">
            <v>22-N-28</v>
          </cell>
        </row>
        <row r="609">
          <cell r="B609" t="str">
            <v>Milner</v>
          </cell>
          <cell r="C609" t="str">
            <v>22-N-34</v>
          </cell>
        </row>
        <row r="610">
          <cell r="B610" t="str">
            <v>Mott</v>
          </cell>
          <cell r="C610" t="str">
            <v>23-J-1</v>
          </cell>
        </row>
        <row r="611">
          <cell r="B611" t="str">
            <v>Fuller</v>
          </cell>
          <cell r="C611" t="str">
            <v>23-K-1</v>
          </cell>
        </row>
        <row r="612">
          <cell r="B612" t="str">
            <v>Insley</v>
          </cell>
          <cell r="C612" t="str">
            <v>23-K-2</v>
          </cell>
        </row>
        <row r="613">
          <cell r="B613" t="str">
            <v>Indian Bayou</v>
          </cell>
          <cell r="C613" t="str">
            <v>23-K-3</v>
          </cell>
        </row>
        <row r="614">
          <cell r="B614" t="str">
            <v>Marsden</v>
          </cell>
          <cell r="C614" t="str">
            <v>23-K-4</v>
          </cell>
        </row>
        <row r="615">
          <cell r="B615" t="str">
            <v>Biggs</v>
          </cell>
          <cell r="C615" t="str">
            <v>23-K-5</v>
          </cell>
        </row>
        <row r="616">
          <cell r="B616" t="str">
            <v>Montgomery</v>
          </cell>
          <cell r="C616" t="str">
            <v>23-K-7</v>
          </cell>
        </row>
        <row r="617">
          <cell r="B617" t="str">
            <v>Lake Place</v>
          </cell>
          <cell r="C617" t="str">
            <v>23-K-8</v>
          </cell>
        </row>
        <row r="618">
          <cell r="B618" t="str">
            <v>Mount Nebo</v>
          </cell>
          <cell r="C618" t="str">
            <v>23-K-12</v>
          </cell>
        </row>
        <row r="619">
          <cell r="B619" t="str">
            <v>Taxodium</v>
          </cell>
          <cell r="C619" t="str">
            <v>23-K-15</v>
          </cell>
        </row>
        <row r="620">
          <cell r="B620" t="str">
            <v>Joes Bayou</v>
          </cell>
          <cell r="C620" t="str">
            <v>23-K-16</v>
          </cell>
        </row>
        <row r="621">
          <cell r="B621" t="str">
            <v>Sheperd</v>
          </cell>
          <cell r="C621" t="str">
            <v>23-K-20</v>
          </cell>
        </row>
        <row r="622">
          <cell r="B622" t="str">
            <v>Parks</v>
          </cell>
          <cell r="C622" t="str">
            <v>23-K-21</v>
          </cell>
        </row>
        <row r="623">
          <cell r="B623" t="str">
            <v>Bear Lake</v>
          </cell>
          <cell r="C623" t="str">
            <v>23-K-25</v>
          </cell>
        </row>
        <row r="624">
          <cell r="B624" t="str">
            <v>Fitzhugh</v>
          </cell>
          <cell r="C624" t="str">
            <v>23-L-1</v>
          </cell>
        </row>
        <row r="625">
          <cell r="B625" t="str">
            <v>Scott</v>
          </cell>
          <cell r="C625" t="str">
            <v>23-L-2</v>
          </cell>
        </row>
        <row r="626">
          <cell r="B626" t="str">
            <v>Sevier</v>
          </cell>
          <cell r="C626" t="str">
            <v>23-L-3</v>
          </cell>
        </row>
        <row r="627">
          <cell r="B627" t="str">
            <v>Patterson</v>
          </cell>
          <cell r="C627" t="str">
            <v>23-L-4</v>
          </cell>
        </row>
        <row r="628">
          <cell r="B628" t="str">
            <v>Mound</v>
          </cell>
          <cell r="C628" t="str">
            <v>23-L-8</v>
          </cell>
        </row>
        <row r="629">
          <cell r="B629" t="str">
            <v>Compton Lake</v>
          </cell>
          <cell r="C629" t="str">
            <v>23-L-9</v>
          </cell>
        </row>
        <row r="630">
          <cell r="B630" t="str">
            <v>Hopkins</v>
          </cell>
          <cell r="C630" t="str">
            <v>23-L-10</v>
          </cell>
        </row>
        <row r="631">
          <cell r="B631" t="str">
            <v>Willow Lake</v>
          </cell>
          <cell r="C631" t="str">
            <v>23-L-11</v>
          </cell>
        </row>
        <row r="632">
          <cell r="B632" t="str">
            <v>Folk</v>
          </cell>
          <cell r="C632" t="str">
            <v>23-L-12</v>
          </cell>
        </row>
        <row r="633">
          <cell r="B633" t="str">
            <v>Willow Bayou</v>
          </cell>
          <cell r="C633" t="str">
            <v>23-L-17</v>
          </cell>
        </row>
        <row r="634">
          <cell r="B634" t="str">
            <v>Kings Crossing</v>
          </cell>
          <cell r="C634" t="str">
            <v>23-M-1</v>
          </cell>
        </row>
        <row r="635">
          <cell r="B635" t="str">
            <v>Blakely</v>
          </cell>
          <cell r="C635" t="str">
            <v>23-M-2</v>
          </cell>
        </row>
        <row r="636">
          <cell r="B636" t="str">
            <v>Ferris</v>
          </cell>
          <cell r="C636" t="str">
            <v>23-M-3</v>
          </cell>
        </row>
        <row r="637">
          <cell r="B637" t="str">
            <v>Snyder</v>
          </cell>
          <cell r="C637" t="str">
            <v>24-J-1</v>
          </cell>
        </row>
        <row r="638">
          <cell r="B638" t="str">
            <v>Brannin</v>
          </cell>
          <cell r="C638" t="str">
            <v>24-J-2</v>
          </cell>
        </row>
        <row r="639">
          <cell r="B639" t="str">
            <v>Harris</v>
          </cell>
          <cell r="C639" t="str">
            <v>24-J-3</v>
          </cell>
        </row>
        <row r="640">
          <cell r="B640" t="str">
            <v>Grovell</v>
          </cell>
          <cell r="C640" t="str">
            <v>24-J-5</v>
          </cell>
        </row>
        <row r="641">
          <cell r="B641" t="str">
            <v>Dean Lake</v>
          </cell>
          <cell r="C641" t="str">
            <v>24-J-6</v>
          </cell>
        </row>
        <row r="642">
          <cell r="B642" t="str">
            <v>Turkey Point Landing</v>
          </cell>
          <cell r="C642" t="str">
            <v>24-J-8</v>
          </cell>
        </row>
        <row r="643">
          <cell r="B643" t="str">
            <v>Canebrake</v>
          </cell>
          <cell r="C643" t="str">
            <v>24-J-9</v>
          </cell>
        </row>
        <row r="644">
          <cell r="B644" t="str">
            <v>Swampers</v>
          </cell>
          <cell r="C644" t="str">
            <v>24-J-25</v>
          </cell>
        </row>
        <row r="645">
          <cell r="B645" t="str">
            <v>Laborde</v>
          </cell>
          <cell r="C645" t="str">
            <v>24-J-26</v>
          </cell>
        </row>
        <row r="646">
          <cell r="B646" t="str">
            <v>New Hope</v>
          </cell>
          <cell r="C646" t="str">
            <v>24-J-27</v>
          </cell>
        </row>
        <row r="647">
          <cell r="B647" t="str">
            <v>Chelly Landing</v>
          </cell>
          <cell r="C647" t="str">
            <v>24-J-29</v>
          </cell>
        </row>
        <row r="648">
          <cell r="B648" t="str">
            <v>Ulmer</v>
          </cell>
          <cell r="C648" t="str">
            <v>24-J-30</v>
          </cell>
        </row>
        <row r="649">
          <cell r="B649" t="str">
            <v>MacMurray</v>
          </cell>
          <cell r="C649" t="str">
            <v>24-J-31</v>
          </cell>
        </row>
        <row r="650">
          <cell r="B650" t="str">
            <v>Egypt</v>
          </cell>
          <cell r="C650" t="str">
            <v>24-J-32</v>
          </cell>
        </row>
        <row r="651">
          <cell r="B651" t="str">
            <v>Shackleford Church</v>
          </cell>
          <cell r="C651" t="str">
            <v>24-K-3</v>
          </cell>
        </row>
        <row r="652">
          <cell r="B652" t="str">
            <v>Jacoby (GeColby)</v>
          </cell>
          <cell r="C652" t="str">
            <v>24-K-4</v>
          </cell>
        </row>
        <row r="653">
          <cell r="B653" t="str">
            <v>Blanche</v>
          </cell>
          <cell r="C653" t="str">
            <v>24-K-6</v>
          </cell>
        </row>
        <row r="654">
          <cell r="B654" t="str">
            <v>Caney Bayou</v>
          </cell>
          <cell r="C654" t="str">
            <v>24-K-7</v>
          </cell>
        </row>
        <row r="655">
          <cell r="B655" t="str">
            <v>Du Rosset</v>
          </cell>
          <cell r="C655" t="str">
            <v>24-K-8</v>
          </cell>
        </row>
        <row r="656">
          <cell r="B656" t="str">
            <v>Fisher</v>
          </cell>
          <cell r="C656" t="str">
            <v>24-K-9</v>
          </cell>
        </row>
        <row r="657">
          <cell r="B657" t="str">
            <v>Balmoral</v>
          </cell>
          <cell r="C657" t="str">
            <v>24-L-1</v>
          </cell>
        </row>
        <row r="658">
          <cell r="B658" t="str">
            <v>Somerset</v>
          </cell>
          <cell r="C658" t="str">
            <v>24-L-2</v>
          </cell>
        </row>
        <row r="659">
          <cell r="B659" t="str">
            <v>Muir</v>
          </cell>
          <cell r="C659" t="str">
            <v>24-L-5</v>
          </cell>
        </row>
        <row r="660">
          <cell r="B660" t="str">
            <v>Quimby</v>
          </cell>
          <cell r="C660" t="str">
            <v>24-L-6</v>
          </cell>
        </row>
        <row r="661">
          <cell r="B661" t="str">
            <v>Routh</v>
          </cell>
          <cell r="C661" t="str">
            <v>24-L-7</v>
          </cell>
        </row>
        <row r="662">
          <cell r="B662" t="str">
            <v>Clark Bayou</v>
          </cell>
          <cell r="C662" t="str">
            <v>24-L-9</v>
          </cell>
        </row>
        <row r="663">
          <cell r="B663" t="str">
            <v>New Ground</v>
          </cell>
          <cell r="C663" t="str">
            <v>24-L-12</v>
          </cell>
        </row>
        <row r="664">
          <cell r="B664" t="str">
            <v>Elk Ridge</v>
          </cell>
          <cell r="C664" t="str">
            <v>24-L-13</v>
          </cell>
        </row>
        <row r="665">
          <cell r="B665" t="str">
            <v>Beasely</v>
          </cell>
          <cell r="C665" t="str">
            <v>24-L-14</v>
          </cell>
        </row>
        <row r="666">
          <cell r="B666" t="str">
            <v>Lone</v>
          </cell>
          <cell r="C666" t="str">
            <v>24-L-15</v>
          </cell>
        </row>
        <row r="667">
          <cell r="B667" t="str">
            <v>Yokena</v>
          </cell>
          <cell r="C667" t="str">
            <v>24-M-1</v>
          </cell>
        </row>
        <row r="668">
          <cell r="B668" t="str">
            <v>Glass</v>
          </cell>
          <cell r="C668" t="str">
            <v>24-M-2</v>
          </cell>
        </row>
        <row r="669">
          <cell r="B669" t="str">
            <v>Bogue Desha</v>
          </cell>
          <cell r="C669" t="str">
            <v>24-M-3</v>
          </cell>
        </row>
        <row r="670">
          <cell r="B670" t="str">
            <v>Ring</v>
          </cell>
          <cell r="C670" t="str">
            <v>24-M-5</v>
          </cell>
        </row>
        <row r="671">
          <cell r="B671" t="str">
            <v>Burthe (Bluff)</v>
          </cell>
          <cell r="C671" t="str">
            <v>24-M-6</v>
          </cell>
        </row>
        <row r="672">
          <cell r="B672" t="str">
            <v>Oak Bend</v>
          </cell>
          <cell r="C672" t="str">
            <v>24-M-7</v>
          </cell>
        </row>
        <row r="673">
          <cell r="B673" t="str">
            <v>Taylor</v>
          </cell>
          <cell r="C673" t="str">
            <v>25-I-1</v>
          </cell>
        </row>
        <row r="674">
          <cell r="B674" t="str">
            <v>Pritchard Landing</v>
          </cell>
          <cell r="C674" t="str">
            <v>25-I-2</v>
          </cell>
        </row>
        <row r="675">
          <cell r="B675" t="str">
            <v>King</v>
          </cell>
          <cell r="C675" t="str">
            <v>25-I-3</v>
          </cell>
        </row>
        <row r="676">
          <cell r="B676" t="str">
            <v>Boothe Landing</v>
          </cell>
          <cell r="C676" t="str">
            <v>25-I-4</v>
          </cell>
        </row>
        <row r="677">
          <cell r="B677" t="str">
            <v>McGuffee</v>
          </cell>
          <cell r="C677" t="str">
            <v>25-I-5</v>
          </cell>
        </row>
        <row r="678">
          <cell r="B678" t="str">
            <v>Mitchell</v>
          </cell>
          <cell r="C678" t="str">
            <v>25-I-8</v>
          </cell>
        </row>
        <row r="679">
          <cell r="B679" t="str">
            <v>Peck</v>
          </cell>
          <cell r="C679" t="str">
            <v>25-J-1</v>
          </cell>
        </row>
        <row r="680">
          <cell r="B680" t="str">
            <v>Peck Mounds</v>
          </cell>
          <cell r="C680" t="str">
            <v>25-J-2</v>
          </cell>
        </row>
        <row r="681">
          <cell r="B681" t="str">
            <v>Natchez Fort</v>
          </cell>
          <cell r="C681" t="str">
            <v>25-J-3</v>
          </cell>
        </row>
        <row r="682">
          <cell r="B682" t="str">
            <v>Hedgeland</v>
          </cell>
          <cell r="C682" t="str">
            <v>25-J-4</v>
          </cell>
        </row>
        <row r="683">
          <cell r="B683" t="str">
            <v>Ditto Lake</v>
          </cell>
          <cell r="C683" t="str">
            <v>25-J-5</v>
          </cell>
        </row>
        <row r="684">
          <cell r="B684" t="str">
            <v>Lake Louis</v>
          </cell>
          <cell r="C684" t="str">
            <v>25-J-6</v>
          </cell>
        </row>
        <row r="685">
          <cell r="B685" t="str">
            <v>Alphenia</v>
          </cell>
          <cell r="C685" t="str">
            <v>25-J-7</v>
          </cell>
        </row>
        <row r="686">
          <cell r="B686" t="str">
            <v>Cut-off Landing</v>
          </cell>
          <cell r="C686" t="str">
            <v>25-J-9</v>
          </cell>
        </row>
        <row r="687">
          <cell r="B687" t="str">
            <v>Hopeka</v>
          </cell>
          <cell r="C687" t="str">
            <v>25-J-10</v>
          </cell>
        </row>
        <row r="688">
          <cell r="B688" t="str">
            <v>Elfringham</v>
          </cell>
          <cell r="C688" t="str">
            <v>25-J-13</v>
          </cell>
        </row>
        <row r="689">
          <cell r="B689" t="str">
            <v>Hoover Lake</v>
          </cell>
          <cell r="C689" t="str">
            <v>25-J-14</v>
          </cell>
        </row>
        <row r="690">
          <cell r="B690" t="str">
            <v>Kimbal</v>
          </cell>
          <cell r="C690" t="str">
            <v>25-J-15</v>
          </cell>
        </row>
        <row r="691">
          <cell r="B691" t="str">
            <v>Bixler</v>
          </cell>
          <cell r="C691" t="str">
            <v>25-J-16</v>
          </cell>
        </row>
        <row r="692">
          <cell r="B692" t="str">
            <v>Graves</v>
          </cell>
          <cell r="C692" t="str">
            <v>25-J-17</v>
          </cell>
        </row>
        <row r="693">
          <cell r="B693" t="str">
            <v>Jim Bodman</v>
          </cell>
          <cell r="C693" t="str">
            <v>25-K-2</v>
          </cell>
        </row>
        <row r="694">
          <cell r="B694" t="str">
            <v>Mound Plantation</v>
          </cell>
          <cell r="C694" t="str">
            <v>25-K-3</v>
          </cell>
        </row>
        <row r="695">
          <cell r="B695" t="str">
            <v>Avondale</v>
          </cell>
          <cell r="C695" t="str">
            <v>25-K-5</v>
          </cell>
        </row>
        <row r="696">
          <cell r="B696" t="str">
            <v>Mayflower</v>
          </cell>
          <cell r="C696" t="str">
            <v>25-K-8</v>
          </cell>
        </row>
        <row r="697">
          <cell r="B697" t="str">
            <v>Sundown</v>
          </cell>
          <cell r="C697" t="str">
            <v>25-K-9</v>
          </cell>
        </row>
        <row r="698">
          <cell r="B698" t="str">
            <v>Aubrey</v>
          </cell>
          <cell r="C698" t="str">
            <v>25-K-10</v>
          </cell>
        </row>
        <row r="699">
          <cell r="B699" t="str">
            <v>Cooter Point</v>
          </cell>
          <cell r="C699" t="str">
            <v>25-K-11</v>
          </cell>
        </row>
        <row r="700">
          <cell r="B700" t="str">
            <v>Azucena</v>
          </cell>
          <cell r="C700" t="str">
            <v>25-K-14</v>
          </cell>
        </row>
        <row r="701">
          <cell r="B701" t="str">
            <v>Steep Bayou</v>
          </cell>
          <cell r="C701" t="str">
            <v>25-K-15</v>
          </cell>
        </row>
        <row r="702">
          <cell r="B702" t="str">
            <v>Mackett Lake</v>
          </cell>
          <cell r="C702" t="str">
            <v>25-K-17</v>
          </cell>
        </row>
        <row r="703">
          <cell r="B703" t="str">
            <v>Formosa</v>
          </cell>
          <cell r="C703" t="str">
            <v>25-K-19</v>
          </cell>
        </row>
        <row r="704">
          <cell r="B704" t="str">
            <v>New China Grove</v>
          </cell>
          <cell r="C704" t="str">
            <v>25-K-21</v>
          </cell>
        </row>
        <row r="705">
          <cell r="B705" t="str">
            <v>Reno Brake</v>
          </cell>
          <cell r="C705" t="str">
            <v>25-K-22</v>
          </cell>
        </row>
        <row r="706">
          <cell r="B706" t="str">
            <v>Truly</v>
          </cell>
          <cell r="C706" t="str">
            <v>25-L-1</v>
          </cell>
        </row>
        <row r="707">
          <cell r="B707" t="str">
            <v>Chevalier</v>
          </cell>
          <cell r="C707" t="str">
            <v>26-H-1</v>
          </cell>
        </row>
        <row r="708">
          <cell r="B708" t="str">
            <v>Gorum</v>
          </cell>
          <cell r="C708" t="str">
            <v>26-H-2</v>
          </cell>
        </row>
        <row r="709">
          <cell r="B709" t="str">
            <v>Crooks</v>
          </cell>
          <cell r="C709" t="str">
            <v>26-H-3</v>
          </cell>
        </row>
        <row r="710">
          <cell r="B710" t="str">
            <v>Old Rhinehart</v>
          </cell>
          <cell r="C710" t="str">
            <v>26-H-6</v>
          </cell>
        </row>
        <row r="711">
          <cell r="B711" t="str">
            <v>Troyville</v>
          </cell>
          <cell r="C711" t="str">
            <v>26-I-1</v>
          </cell>
        </row>
        <row r="712">
          <cell r="B712" t="str">
            <v>Watson Landing</v>
          </cell>
          <cell r="C712" t="str">
            <v>26-I-2</v>
          </cell>
        </row>
        <row r="713">
          <cell r="B713" t="str">
            <v>Perrin</v>
          </cell>
          <cell r="C713" t="str">
            <v>26-I-3</v>
          </cell>
        </row>
        <row r="714">
          <cell r="B714" t="str">
            <v>Archie</v>
          </cell>
          <cell r="C714" t="str">
            <v>26-I-4</v>
          </cell>
        </row>
        <row r="715">
          <cell r="B715" t="str">
            <v>Caney Mounds</v>
          </cell>
          <cell r="C715" t="str">
            <v>26-I-5</v>
          </cell>
        </row>
        <row r="716">
          <cell r="B716" t="str">
            <v>Pickett Island</v>
          </cell>
          <cell r="C716" t="str">
            <v>26-I-8</v>
          </cell>
        </row>
        <row r="717">
          <cell r="B717" t="str">
            <v>Lamarque Landing</v>
          </cell>
          <cell r="C717" t="str">
            <v>26-J-1</v>
          </cell>
        </row>
        <row r="718">
          <cell r="B718" t="str">
            <v>Cypress Grove</v>
          </cell>
          <cell r="C718" t="str">
            <v>26-J-2</v>
          </cell>
        </row>
        <row r="719">
          <cell r="B719" t="str">
            <v>Elkhorn</v>
          </cell>
          <cell r="C719" t="str">
            <v>26-J-3</v>
          </cell>
        </row>
        <row r="720">
          <cell r="B720" t="str">
            <v>Indian Village</v>
          </cell>
          <cell r="C720" t="str">
            <v>26-J-4</v>
          </cell>
        </row>
        <row r="721">
          <cell r="B721" t="str">
            <v>Churupa</v>
          </cell>
          <cell r="C721" t="str">
            <v>26-J-5</v>
          </cell>
        </row>
        <row r="722">
          <cell r="B722" t="str">
            <v>Shanty Lake</v>
          </cell>
          <cell r="C722" t="str">
            <v>26-J-6</v>
          </cell>
        </row>
        <row r="723">
          <cell r="B723" t="str">
            <v>Dunbarton</v>
          </cell>
          <cell r="C723" t="str">
            <v>26-J-7</v>
          </cell>
        </row>
        <row r="724">
          <cell r="B724" t="str">
            <v>Ballina</v>
          </cell>
          <cell r="C724" t="str">
            <v>26-J-8</v>
          </cell>
        </row>
        <row r="725">
          <cell r="B725" t="str">
            <v>Frogmore</v>
          </cell>
          <cell r="C725" t="str">
            <v>26-J-9</v>
          </cell>
        </row>
        <row r="726">
          <cell r="B726" t="str">
            <v>Turtle Lake</v>
          </cell>
          <cell r="C726" t="str">
            <v>26-J-10</v>
          </cell>
        </row>
        <row r="727">
          <cell r="B727" t="str">
            <v>Ferriday</v>
          </cell>
          <cell r="C727" t="str">
            <v>26-J-11</v>
          </cell>
        </row>
        <row r="728">
          <cell r="B728" t="str">
            <v>Section 35 Mound</v>
          </cell>
          <cell r="C728" t="str">
            <v>26-J-12</v>
          </cell>
        </row>
        <row r="729">
          <cell r="B729" t="str">
            <v>Haphazard</v>
          </cell>
          <cell r="C729" t="str">
            <v>26-J-14</v>
          </cell>
        </row>
        <row r="730">
          <cell r="B730" t="str">
            <v>Black Lake</v>
          </cell>
          <cell r="C730" t="str">
            <v>26-J-16</v>
          </cell>
        </row>
        <row r="731">
          <cell r="B731" t="str">
            <v>Collins</v>
          </cell>
          <cell r="C731" t="str">
            <v>26-J-17</v>
          </cell>
        </row>
        <row r="732">
          <cell r="B732" t="str">
            <v>Anna</v>
          </cell>
          <cell r="C732" t="str">
            <v>26-K-1</v>
          </cell>
        </row>
        <row r="733">
          <cell r="B733" t="str">
            <v>Fatherland</v>
          </cell>
          <cell r="C733" t="str">
            <v>26-K-2</v>
          </cell>
        </row>
        <row r="734">
          <cell r="B734" t="str">
            <v>Foster</v>
          </cell>
          <cell r="C734" t="str">
            <v>26-K-3</v>
          </cell>
        </row>
        <row r="735">
          <cell r="B735" t="str">
            <v>Emerald</v>
          </cell>
          <cell r="C735" t="str">
            <v>26-L-1</v>
          </cell>
        </row>
        <row r="736">
          <cell r="B736" t="str">
            <v>Gordon</v>
          </cell>
          <cell r="C736" t="str">
            <v>26-L-2</v>
          </cell>
        </row>
        <row r="737">
          <cell r="B737" t="str">
            <v>Clear Creek Bay</v>
          </cell>
          <cell r="C737" t="str">
            <v>27-G-1</v>
          </cell>
        </row>
        <row r="738">
          <cell r="B738" t="str">
            <v>Burnham</v>
          </cell>
          <cell r="C738" t="str">
            <v>27-H-2</v>
          </cell>
        </row>
        <row r="739">
          <cell r="B739" t="str">
            <v>Coles Island</v>
          </cell>
          <cell r="C739" t="str">
            <v>27-H-3</v>
          </cell>
        </row>
        <row r="740">
          <cell r="B740" t="str">
            <v>Cad Mounds</v>
          </cell>
          <cell r="C740" t="str">
            <v>27-H-4</v>
          </cell>
        </row>
        <row r="741">
          <cell r="B741" t="str">
            <v>Camp Bayou</v>
          </cell>
          <cell r="C741" t="str">
            <v>27-H-6</v>
          </cell>
        </row>
        <row r="742">
          <cell r="B742" t="str">
            <v>Sanson</v>
          </cell>
          <cell r="C742" t="str">
            <v>27-H-10</v>
          </cell>
        </row>
        <row r="743">
          <cell r="B743" t="str">
            <v>Russell Landing</v>
          </cell>
          <cell r="C743" t="str">
            <v>27-H-11</v>
          </cell>
        </row>
        <row r="744">
          <cell r="B744" t="str">
            <v>Duck Slough</v>
          </cell>
          <cell r="C744" t="str">
            <v>27-H-12</v>
          </cell>
        </row>
        <row r="745">
          <cell r="B745" t="str">
            <v>Wiley</v>
          </cell>
          <cell r="C745" t="str">
            <v>27-I-1</v>
          </cell>
        </row>
        <row r="746">
          <cell r="B746" t="str">
            <v>Mayes</v>
          </cell>
          <cell r="C746" t="str">
            <v>27-I-2</v>
          </cell>
        </row>
        <row r="747">
          <cell r="B747" t="str">
            <v>Mazique</v>
          </cell>
          <cell r="C747" t="str">
            <v>27-K-1</v>
          </cell>
        </row>
        <row r="748">
          <cell r="B748" t="str">
            <v>Chase</v>
          </cell>
          <cell r="C748" t="str">
            <v>27-K-2</v>
          </cell>
        </row>
        <row r="749">
          <cell r="B749" t="str">
            <v>Rodriguez</v>
          </cell>
          <cell r="C749" t="str">
            <v>28-G-5</v>
          </cell>
        </row>
        <row r="750">
          <cell r="B750" t="str">
            <v>Marksville</v>
          </cell>
          <cell r="C750" t="str">
            <v>28-H-1</v>
          </cell>
        </row>
        <row r="751">
          <cell r="B751" t="str">
            <v>Greenhouse</v>
          </cell>
          <cell r="C751" t="str">
            <v>28-H-2</v>
          </cell>
        </row>
        <row r="752">
          <cell r="B752" t="str">
            <v>L'Eau Noire</v>
          </cell>
          <cell r="C752" t="str">
            <v>28-H-4</v>
          </cell>
        </row>
        <row r="753">
          <cell r="B753" t="str">
            <v>Bordelon</v>
          </cell>
          <cell r="C753" t="str">
            <v>28-H-5</v>
          </cell>
        </row>
        <row r="754">
          <cell r="B754" t="str">
            <v>Saline Point</v>
          </cell>
          <cell r="C754" t="str">
            <v>28-H-7</v>
          </cell>
        </row>
        <row r="755">
          <cell r="B755" t="str">
            <v>Saucier</v>
          </cell>
          <cell r="C755" t="str">
            <v>28-H-8</v>
          </cell>
        </row>
        <row r="756">
          <cell r="B756" t="str">
            <v>Nick</v>
          </cell>
          <cell r="C756" t="str">
            <v>28-H-9</v>
          </cell>
        </row>
        <row r="757">
          <cell r="B757" t="str">
            <v>Baptiste</v>
          </cell>
          <cell r="C757" t="str">
            <v>28-H-10</v>
          </cell>
        </row>
        <row r="758">
          <cell r="B758" t="str">
            <v>Egg Bend (Moore's Laborde)</v>
          </cell>
          <cell r="C758" t="str">
            <v>28-H-11</v>
          </cell>
        </row>
        <row r="759">
          <cell r="B759" t="str">
            <v>Moncla</v>
          </cell>
          <cell r="C759" t="str">
            <v>28-H-12</v>
          </cell>
        </row>
        <row r="760">
          <cell r="B760" t="str">
            <v>Lord</v>
          </cell>
          <cell r="C760" t="str">
            <v>28-H-13</v>
          </cell>
        </row>
        <row r="761">
          <cell r="B761" t="str">
            <v>Lamartiniere</v>
          </cell>
          <cell r="C761" t="str">
            <v>28-H-14</v>
          </cell>
        </row>
        <row r="762">
          <cell r="B762" t="str">
            <v>Prinz</v>
          </cell>
          <cell r="C762" t="str">
            <v>28-H-15</v>
          </cell>
        </row>
        <row r="763">
          <cell r="B763" t="str">
            <v>Indian Village</v>
          </cell>
          <cell r="C763" t="str">
            <v>28-H-17</v>
          </cell>
        </row>
        <row r="764">
          <cell r="B764" t="str">
            <v>Laborde</v>
          </cell>
          <cell r="C764" t="str">
            <v>28-H-18</v>
          </cell>
        </row>
        <row r="765">
          <cell r="B765" t="str">
            <v>Juneau</v>
          </cell>
          <cell r="C765" t="str">
            <v>28-H-19</v>
          </cell>
        </row>
        <row r="766">
          <cell r="B766" t="str">
            <v>Coco</v>
          </cell>
          <cell r="C766" t="str">
            <v>28-H-25</v>
          </cell>
        </row>
        <row r="767">
          <cell r="B767" t="str">
            <v>Mayer</v>
          </cell>
          <cell r="C767" t="str">
            <v>28-H-32</v>
          </cell>
        </row>
        <row r="768">
          <cell r="B768" t="str">
            <v>Glendale</v>
          </cell>
          <cell r="C768" t="str">
            <v>28-J-1</v>
          </cell>
        </row>
        <row r="769">
          <cell r="B769" t="str">
            <v>Smith Creek</v>
          </cell>
          <cell r="C769" t="str">
            <v>28-J-3</v>
          </cell>
        </row>
        <row r="770">
          <cell r="B770" t="str">
            <v>Bayou Rouge</v>
          </cell>
          <cell r="C770" t="str">
            <v>29-I-1</v>
          </cell>
        </row>
        <row r="771">
          <cell r="B771" t="str">
            <v>Tunica Mounds</v>
          </cell>
          <cell r="C771" t="str">
            <v>29-J-1</v>
          </cell>
        </row>
        <row r="772">
          <cell r="B772" t="str">
            <v>Angola Farm</v>
          </cell>
          <cell r="C772" t="str">
            <v>29-J-2</v>
          </cell>
        </row>
        <row r="773">
          <cell r="B773" t="str">
            <v>Angola Gate</v>
          </cell>
          <cell r="C773" t="str">
            <v>29-J-3</v>
          </cell>
        </row>
        <row r="774">
          <cell r="B774" t="str">
            <v>Livonia</v>
          </cell>
          <cell r="C774" t="str">
            <v>30-J-1</v>
          </cell>
        </row>
        <row r="775">
          <cell r="B775" t="str">
            <v>Riddle</v>
          </cell>
          <cell r="C775" t="str">
            <v>30-K-1</v>
          </cell>
        </row>
        <row r="776">
          <cell r="B776" t="str">
            <v>Smithfield</v>
          </cell>
          <cell r="C776" t="str">
            <v>30-K-2</v>
          </cell>
        </row>
        <row r="777">
          <cell r="B777" t="str">
            <v>Bayou Portage</v>
          </cell>
          <cell r="C777" t="str">
            <v>31-I-1</v>
          </cell>
        </row>
        <row r="778">
          <cell r="B778" t="str">
            <v>Unnamed</v>
          </cell>
          <cell r="C778" t="str">
            <v>31-I-2</v>
          </cell>
        </row>
        <row r="779">
          <cell r="B779" t="str">
            <v>Butte la Rose</v>
          </cell>
          <cell r="C779" t="str">
            <v>31-J-7</v>
          </cell>
        </row>
        <row r="780">
          <cell r="B780" t="str">
            <v>Rosedale</v>
          </cell>
          <cell r="C780" t="str">
            <v>31-K-1</v>
          </cell>
        </row>
        <row r="781">
          <cell r="B781" t="str">
            <v>Peter Hill</v>
          </cell>
          <cell r="C781" t="str">
            <v>31-K-2</v>
          </cell>
        </row>
        <row r="782">
          <cell r="B782" t="str">
            <v>Reed Mounds</v>
          </cell>
          <cell r="C782" t="str">
            <v>31-K-3</v>
          </cell>
        </row>
        <row r="783">
          <cell r="B783" t="str">
            <v>Mayes Place Camp</v>
          </cell>
          <cell r="C783" t="str">
            <v>31-K-4</v>
          </cell>
        </row>
        <row r="784">
          <cell r="B784" t="str">
            <v>Kleinpeter</v>
          </cell>
          <cell r="C784" t="str">
            <v>31-L-4</v>
          </cell>
        </row>
        <row r="785">
          <cell r="B785" t="str">
            <v>Medora</v>
          </cell>
          <cell r="C785" t="str">
            <v>31-L-6</v>
          </cell>
        </row>
        <row r="786">
          <cell r="B786" t="str">
            <v>Sunrise</v>
          </cell>
          <cell r="C786" t="str">
            <v>31-L-7</v>
          </cell>
        </row>
        <row r="787">
          <cell r="B787" t="str">
            <v>Head of Island</v>
          </cell>
          <cell r="C787" t="str">
            <v>31-M-5</v>
          </cell>
        </row>
        <row r="788">
          <cell r="B788" t="str">
            <v>Booth</v>
          </cell>
          <cell r="C788" t="str">
            <v>31-N-1</v>
          </cell>
        </row>
        <row r="789">
          <cell r="B789" t="str">
            <v>Rose Mound</v>
          </cell>
          <cell r="C789" t="str">
            <v>31-N-2</v>
          </cell>
        </row>
        <row r="790">
          <cell r="B790" t="str">
            <v>Whitehall</v>
          </cell>
          <cell r="C790" t="str">
            <v>31-N-4</v>
          </cell>
        </row>
        <row r="791">
          <cell r="B791" t="str">
            <v>Tickfaw #1</v>
          </cell>
          <cell r="C791" t="str">
            <v>31-O-5</v>
          </cell>
        </row>
        <row r="792">
          <cell r="B792" t="str">
            <v>Tickfaw #2</v>
          </cell>
          <cell r="C792" t="str">
            <v>31-O-6</v>
          </cell>
        </row>
        <row r="793">
          <cell r="B793" t="str">
            <v>North Pass</v>
          </cell>
          <cell r="C793" t="str">
            <v>31-O-10</v>
          </cell>
        </row>
        <row r="794">
          <cell r="B794" t="str">
            <v>Unnamed</v>
          </cell>
          <cell r="C794" t="str">
            <v>31-O-12</v>
          </cell>
        </row>
        <row r="795">
          <cell r="B795" t="str">
            <v>Tchefuncte</v>
          </cell>
          <cell r="C795" t="str">
            <v>31-P-1</v>
          </cell>
        </row>
        <row r="796">
          <cell r="B796" t="str">
            <v>Lake Ponchartrain</v>
          </cell>
          <cell r="C796" t="str">
            <v>31-P-3</v>
          </cell>
        </row>
        <row r="797">
          <cell r="B797" t="str">
            <v>Unnamed</v>
          </cell>
          <cell r="C797" t="str">
            <v>31-Q-5</v>
          </cell>
        </row>
        <row r="798">
          <cell r="B798" t="str">
            <v>Unnamed</v>
          </cell>
          <cell r="C798" t="str">
            <v>31-Q-6</v>
          </cell>
        </row>
        <row r="799">
          <cell r="B799" t="str">
            <v>Unnamed</v>
          </cell>
          <cell r="C799" t="str">
            <v>31-Q-12</v>
          </cell>
        </row>
        <row r="800">
          <cell r="B800" t="str">
            <v>Unnamed</v>
          </cell>
          <cell r="C800" t="str">
            <v>31-Q-14</v>
          </cell>
        </row>
        <row r="801">
          <cell r="B801" t="str">
            <v>Doucette</v>
          </cell>
          <cell r="C801" t="str">
            <v>31-Q-15</v>
          </cell>
        </row>
        <row r="802">
          <cell r="B802" t="str">
            <v>Indian Village Lodge</v>
          </cell>
          <cell r="C802" t="str">
            <v>31-R-1</v>
          </cell>
        </row>
        <row r="803">
          <cell r="B803" t="str">
            <v>Lafayette Mounds</v>
          </cell>
          <cell r="C803" t="str">
            <v>32-I-1</v>
          </cell>
        </row>
        <row r="804">
          <cell r="B804" t="str">
            <v>Ruth Canal</v>
          </cell>
          <cell r="C804" t="str">
            <v>32-I-2</v>
          </cell>
        </row>
        <row r="805">
          <cell r="B805" t="str">
            <v>Bayou Chene</v>
          </cell>
          <cell r="C805" t="str">
            <v>32-J-2</v>
          </cell>
        </row>
        <row r="806">
          <cell r="B806" t="str">
            <v>Portage</v>
          </cell>
          <cell r="C806" t="str">
            <v>32-J-5</v>
          </cell>
        </row>
        <row r="807">
          <cell r="B807" t="str">
            <v>Bayou Sorrel</v>
          </cell>
          <cell r="C807" t="str">
            <v>32-K-1</v>
          </cell>
        </row>
        <row r="808">
          <cell r="B808" t="str">
            <v>Schwing Place</v>
          </cell>
          <cell r="C808" t="str">
            <v>32-K-2</v>
          </cell>
        </row>
        <row r="809">
          <cell r="B809" t="str">
            <v>Big Bayou Pigeon</v>
          </cell>
          <cell r="C809" t="str">
            <v>32-K-3</v>
          </cell>
        </row>
        <row r="810">
          <cell r="B810" t="str">
            <v>Little Bayou Pigeon</v>
          </cell>
          <cell r="C810" t="str">
            <v>32-K-6</v>
          </cell>
        </row>
        <row r="811">
          <cell r="B811" t="str">
            <v>Bayou Goula</v>
          </cell>
          <cell r="C811" t="str">
            <v>32-L-1</v>
          </cell>
        </row>
        <row r="812">
          <cell r="B812" t="str">
            <v>Clara Murray</v>
          </cell>
          <cell r="C812" t="str">
            <v>32-L-2</v>
          </cell>
        </row>
        <row r="813">
          <cell r="B813" t="str">
            <v>Grand Bayou Mound</v>
          </cell>
          <cell r="C813" t="str">
            <v>32-L-3</v>
          </cell>
        </row>
        <row r="814">
          <cell r="B814" t="str">
            <v>Broussard</v>
          </cell>
          <cell r="C814" t="str">
            <v>32-L-5</v>
          </cell>
        </row>
        <row r="815">
          <cell r="B815" t="str">
            <v>Gesmar</v>
          </cell>
          <cell r="C815" t="str">
            <v>32-L-6</v>
          </cell>
        </row>
        <row r="816">
          <cell r="B816" t="str">
            <v>Mount Houmas</v>
          </cell>
          <cell r="C816" t="str">
            <v>32-L-7</v>
          </cell>
        </row>
        <row r="817">
          <cell r="B817" t="str">
            <v>Unnamed</v>
          </cell>
          <cell r="C817" t="str">
            <v>32-N-1</v>
          </cell>
        </row>
        <row r="818">
          <cell r="B818" t="str">
            <v>Dutch Bayou</v>
          </cell>
          <cell r="C818" t="str">
            <v>32-N-2</v>
          </cell>
        </row>
        <row r="819">
          <cell r="B819" t="str">
            <v>Blind Ridge</v>
          </cell>
          <cell r="C819" t="str">
            <v>32-N-3</v>
          </cell>
        </row>
        <row r="820">
          <cell r="B820" t="str">
            <v>Labranche</v>
          </cell>
          <cell r="C820" t="str">
            <v>32-O-2</v>
          </cell>
        </row>
        <row r="821">
          <cell r="B821" t="str">
            <v>Bayou Trepagnier</v>
          </cell>
          <cell r="C821" t="str">
            <v>32-O-3</v>
          </cell>
        </row>
        <row r="822">
          <cell r="B822" t="str">
            <v>Bayou jasmine</v>
          </cell>
          <cell r="C822" t="str">
            <v>32-O-5</v>
          </cell>
        </row>
        <row r="823">
          <cell r="B823" t="str">
            <v>Bonnabel</v>
          </cell>
          <cell r="C823" t="str">
            <v>32-P-7</v>
          </cell>
        </row>
        <row r="824">
          <cell r="B824" t="str">
            <v>Bayou Tchoupitoulas</v>
          </cell>
          <cell r="C824" t="str">
            <v>32-P-8</v>
          </cell>
        </row>
        <row r="825">
          <cell r="B825" t="str">
            <v>Metairie</v>
          </cell>
          <cell r="C825" t="str">
            <v>32-P-9</v>
          </cell>
        </row>
        <row r="826">
          <cell r="B826" t="str">
            <v>Indian Beach</v>
          </cell>
          <cell r="C826" t="str">
            <v>32-P-10</v>
          </cell>
        </row>
        <row r="827">
          <cell r="B827" t="str">
            <v>Big Oak Island</v>
          </cell>
          <cell r="C827" t="str">
            <v>32-Q-2</v>
          </cell>
        </row>
        <row r="828">
          <cell r="B828" t="str">
            <v>Bayou Bienvenue</v>
          </cell>
          <cell r="C828" t="str">
            <v>32-Q-5</v>
          </cell>
        </row>
        <row r="829">
          <cell r="B829" t="str">
            <v>Dwyer Canal</v>
          </cell>
          <cell r="C829" t="str">
            <v>32-Q-7</v>
          </cell>
        </row>
        <row r="830">
          <cell r="B830" t="str">
            <v>Little Woods</v>
          </cell>
          <cell r="C830" t="str">
            <v>32-Q-8</v>
          </cell>
        </row>
        <row r="831">
          <cell r="B831" t="str">
            <v>Paris Road</v>
          </cell>
          <cell r="C831" t="str">
            <v>32-Q-9</v>
          </cell>
        </row>
        <row r="832">
          <cell r="B832" t="str">
            <v>South Point</v>
          </cell>
          <cell r="C832" t="str">
            <v>32-Q-10</v>
          </cell>
        </row>
        <row r="833">
          <cell r="B833" t="str">
            <v>Pine Island</v>
          </cell>
          <cell r="C833" t="str">
            <v>32-Q-15</v>
          </cell>
        </row>
        <row r="834">
          <cell r="B834" t="str">
            <v>Linsley</v>
          </cell>
          <cell r="C834" t="str">
            <v>32-Q-17</v>
          </cell>
        </row>
        <row r="835">
          <cell r="B835" t="str">
            <v>Ideal Camp</v>
          </cell>
          <cell r="C835" t="str">
            <v>32-R-5</v>
          </cell>
        </row>
        <row r="836">
          <cell r="B836" t="str">
            <v>Alligator Point</v>
          </cell>
          <cell r="C836" t="str">
            <v>32-R-6</v>
          </cell>
        </row>
        <row r="837">
          <cell r="B837" t="str">
            <v>Truloix Point</v>
          </cell>
          <cell r="C837" t="str">
            <v>32-R-8</v>
          </cell>
        </row>
        <row r="838">
          <cell r="B838" t="str">
            <v>Lake St</v>
          </cell>
          <cell r="C838" t="str">
            <v>32-R-9</v>
          </cell>
        </row>
        <row r="839">
          <cell r="B839" t="str">
            <v>Rabbit Island</v>
          </cell>
          <cell r="C839" t="str">
            <v>32-R-10</v>
          </cell>
        </row>
        <row r="840">
          <cell r="B840" t="str">
            <v>Little Rigolets</v>
          </cell>
          <cell r="C840" t="str">
            <v>32-R-11</v>
          </cell>
        </row>
        <row r="841">
          <cell r="B841" t="str">
            <v>Mulatto Bayou</v>
          </cell>
          <cell r="C841" t="str">
            <v>32-R-15</v>
          </cell>
        </row>
        <row r="842">
          <cell r="B842" t="str">
            <v>Garcia</v>
          </cell>
          <cell r="C842" t="str">
            <v>32-R-17</v>
          </cell>
        </row>
        <row r="843">
          <cell r="B843" t="str">
            <v>Lake Borgne</v>
          </cell>
          <cell r="C843" t="str">
            <v>32-S-2</v>
          </cell>
        </row>
        <row r="844">
          <cell r="B844" t="str">
            <v>Malheureux Point</v>
          </cell>
          <cell r="C844" t="str">
            <v>32-S-4</v>
          </cell>
        </row>
        <row r="845">
          <cell r="B845" t="str">
            <v>Johnson Bayou</v>
          </cell>
          <cell r="C845" t="str">
            <v>32-S-6</v>
          </cell>
        </row>
        <row r="846">
          <cell r="B846" t="str">
            <v>Heron Bay</v>
          </cell>
          <cell r="C846" t="str">
            <v>32-S-8</v>
          </cell>
        </row>
        <row r="847">
          <cell r="B847" t="str">
            <v>Isle au Pitre</v>
          </cell>
          <cell r="C847" t="str">
            <v>32-T-1</v>
          </cell>
        </row>
        <row r="848">
          <cell r="B848" t="str">
            <v>Grand Pass</v>
          </cell>
          <cell r="C848" t="str">
            <v>32-T-2</v>
          </cell>
        </row>
        <row r="849">
          <cell r="B849" t="str">
            <v>Cat Island</v>
          </cell>
          <cell r="C849" t="str">
            <v>32-T-3</v>
          </cell>
        </row>
        <row r="850">
          <cell r="B850" t="str">
            <v>Bayou Pierre</v>
          </cell>
          <cell r="C850" t="str">
            <v>32-T-4</v>
          </cell>
        </row>
        <row r="851">
          <cell r="B851" t="str">
            <v>Grand Pass #2</v>
          </cell>
          <cell r="C851" t="str">
            <v>32-T-5</v>
          </cell>
        </row>
        <row r="852">
          <cell r="B852" t="str">
            <v>Door Point</v>
          </cell>
          <cell r="C852" t="str">
            <v>32-T-6</v>
          </cell>
        </row>
        <row r="853">
          <cell r="B853" t="str">
            <v>Northwest Jack Williams Bay</v>
          </cell>
          <cell r="C853" t="str">
            <v>32-T-7</v>
          </cell>
        </row>
        <row r="854">
          <cell r="B854" t="str">
            <v>Intercoastal City</v>
          </cell>
          <cell r="C854" t="str">
            <v>33-H-1</v>
          </cell>
        </row>
        <row r="855">
          <cell r="B855" t="str">
            <v>Vermilion Bayou</v>
          </cell>
          <cell r="C855" t="str">
            <v>33-H-6</v>
          </cell>
        </row>
        <row r="856">
          <cell r="B856" t="str">
            <v>Bayou Hebert</v>
          </cell>
          <cell r="C856" t="str">
            <v>33-I-2</v>
          </cell>
        </row>
        <row r="857">
          <cell r="B857" t="str">
            <v>Weeks Island</v>
          </cell>
          <cell r="C857" t="str">
            <v>33-I-3</v>
          </cell>
        </row>
        <row r="858">
          <cell r="B858" t="str">
            <v>Avery Island</v>
          </cell>
          <cell r="C858" t="str">
            <v>33-I-4</v>
          </cell>
        </row>
        <row r="859">
          <cell r="B859" t="str">
            <v>Bourgeois Landing</v>
          </cell>
          <cell r="C859" t="str">
            <v>33-J-1</v>
          </cell>
        </row>
        <row r="860">
          <cell r="B860" t="str">
            <v>Cemetaire</v>
          </cell>
          <cell r="C860" t="str">
            <v>33-J-2</v>
          </cell>
        </row>
        <row r="861">
          <cell r="B861" t="str">
            <v>Charenton Beach</v>
          </cell>
          <cell r="C861" t="str">
            <v>33-J-7</v>
          </cell>
        </row>
        <row r="862">
          <cell r="B862" t="str">
            <v>Little Goddel Bayou</v>
          </cell>
          <cell r="C862" t="str">
            <v>33-K-1</v>
          </cell>
        </row>
        <row r="863">
          <cell r="B863" t="str">
            <v>Big Bayou Pigeon Canal</v>
          </cell>
          <cell r="C863" t="str">
            <v>33-K-3</v>
          </cell>
        </row>
        <row r="864">
          <cell r="B864" t="str">
            <v>Big Goddel Bayou</v>
          </cell>
          <cell r="C864" t="str">
            <v>33-K-6</v>
          </cell>
        </row>
        <row r="865">
          <cell r="B865" t="str">
            <v>Goddel Ridge</v>
          </cell>
          <cell r="C865" t="str">
            <v>33-L-2</v>
          </cell>
        </row>
        <row r="866">
          <cell r="B866" t="str">
            <v>Shell Point</v>
          </cell>
          <cell r="C866" t="str">
            <v>33-L-5</v>
          </cell>
        </row>
        <row r="867">
          <cell r="B867" t="str">
            <v>Miller</v>
          </cell>
          <cell r="C867" t="str">
            <v>33-L-12</v>
          </cell>
        </row>
        <row r="868">
          <cell r="B868" t="str">
            <v>Bonnet Bayou</v>
          </cell>
          <cell r="C868" t="str">
            <v>33-L-14</v>
          </cell>
        </row>
        <row r="869">
          <cell r="B869" t="str">
            <v>Grand Bayou</v>
          </cell>
          <cell r="C869" t="str">
            <v>33-L-15</v>
          </cell>
        </row>
        <row r="870">
          <cell r="B870" t="str">
            <v>Bayou Gros Bee</v>
          </cell>
          <cell r="C870" t="str">
            <v>33-L-20</v>
          </cell>
        </row>
        <row r="871">
          <cell r="B871" t="str">
            <v>Bayou Boeuf</v>
          </cell>
          <cell r="C871" t="str">
            <v>33-N-3</v>
          </cell>
        </row>
        <row r="872">
          <cell r="B872" t="str">
            <v>Bite a Mer</v>
          </cell>
          <cell r="C872" t="str">
            <v>33-O-1</v>
          </cell>
        </row>
        <row r="873">
          <cell r="B873" t="str">
            <v>Sims</v>
          </cell>
          <cell r="C873" t="str">
            <v>33-O-2</v>
          </cell>
        </row>
        <row r="874">
          <cell r="B874" t="str">
            <v>Bayou Petit</v>
          </cell>
          <cell r="C874" t="str">
            <v>33-O-3</v>
          </cell>
        </row>
        <row r="875">
          <cell r="B875" t="str">
            <v>Bayou des Allemands</v>
          </cell>
          <cell r="C875" t="str">
            <v>33-O-4</v>
          </cell>
        </row>
        <row r="876">
          <cell r="B876" t="str">
            <v>Bayou Gauche</v>
          </cell>
          <cell r="C876" t="str">
            <v>33-O-5</v>
          </cell>
        </row>
        <row r="877">
          <cell r="B877" t="str">
            <v>Eighty Arpent</v>
          </cell>
          <cell r="C877" t="str">
            <v>33-Q-1</v>
          </cell>
        </row>
        <row r="878">
          <cell r="B878" t="str">
            <v>Dupre</v>
          </cell>
          <cell r="C878" t="str">
            <v>33-Q-2</v>
          </cell>
        </row>
        <row r="879">
          <cell r="B879" t="str">
            <v>Reggio</v>
          </cell>
          <cell r="C879" t="str">
            <v>33-Q-3</v>
          </cell>
        </row>
        <row r="880">
          <cell r="B880" t="str">
            <v>Kenilworth Canal</v>
          </cell>
          <cell r="C880" t="str">
            <v>33-Q-4</v>
          </cell>
        </row>
        <row r="881">
          <cell r="B881" t="str">
            <v>Scarsdale</v>
          </cell>
          <cell r="C881" t="str">
            <v>33-Q-9</v>
          </cell>
        </row>
        <row r="882">
          <cell r="B882" t="str">
            <v>Delacroix #1</v>
          </cell>
          <cell r="C882" t="str">
            <v>33-Q-10</v>
          </cell>
        </row>
        <row r="883">
          <cell r="B883" t="str">
            <v>Lake Lery</v>
          </cell>
          <cell r="C883" t="str">
            <v>33-Q-11</v>
          </cell>
        </row>
        <row r="884">
          <cell r="B884" t="str">
            <v>Cut-off Bayou</v>
          </cell>
          <cell r="C884" t="str">
            <v>33-R-2</v>
          </cell>
        </row>
        <row r="885">
          <cell r="B885" t="str">
            <v>Bayou Terre aux Boeufs</v>
          </cell>
          <cell r="C885" t="str">
            <v>33-R-3</v>
          </cell>
        </row>
        <row r="886">
          <cell r="B886" t="str">
            <v>Bayou Biloxi</v>
          </cell>
          <cell r="C886" t="str">
            <v>33-R-6</v>
          </cell>
        </row>
        <row r="887">
          <cell r="B887" t="str">
            <v>Magnolia</v>
          </cell>
          <cell r="C887" t="str">
            <v>33-R-9</v>
          </cell>
        </row>
        <row r="888">
          <cell r="B888" t="str">
            <v>North of Cut-off Lagoon</v>
          </cell>
          <cell r="C888" t="str">
            <v>33-R-10</v>
          </cell>
        </row>
        <row r="889">
          <cell r="B889" t="str">
            <v>S.W. of Cut-off Lagoon</v>
          </cell>
          <cell r="C889" t="str">
            <v>33-R-11</v>
          </cell>
        </row>
        <row r="890">
          <cell r="B890" t="str">
            <v>Shell Beach</v>
          </cell>
          <cell r="C890" t="str">
            <v>33-R-13</v>
          </cell>
        </row>
        <row r="891">
          <cell r="B891" t="str">
            <v>Pirate Point</v>
          </cell>
          <cell r="C891" t="str">
            <v>33-S-2</v>
          </cell>
        </row>
        <row r="892">
          <cell r="B892" t="str">
            <v>Lawson Bay</v>
          </cell>
          <cell r="C892" t="str">
            <v>33-S-3</v>
          </cell>
        </row>
        <row r="893">
          <cell r="B893" t="str">
            <v>Bayou Petre</v>
          </cell>
          <cell r="C893" t="str">
            <v>33-S-6</v>
          </cell>
        </row>
        <row r="894">
          <cell r="B894" t="str">
            <v>Six Mile Canal</v>
          </cell>
          <cell r="C894" t="str">
            <v>34-G-1</v>
          </cell>
        </row>
        <row r="895">
          <cell r="B895" t="str">
            <v>Morgan</v>
          </cell>
          <cell r="C895" t="str">
            <v>34-G-2</v>
          </cell>
        </row>
        <row r="896">
          <cell r="B896" t="str">
            <v>Veazey</v>
          </cell>
          <cell r="C896" t="str">
            <v>34-G-4/5</v>
          </cell>
        </row>
        <row r="897">
          <cell r="B897" t="str">
            <v>Lee's Ridge</v>
          </cell>
          <cell r="C897" t="str">
            <v>34-H-2</v>
          </cell>
        </row>
        <row r="898">
          <cell r="B898" t="str">
            <v>Indian Point</v>
          </cell>
          <cell r="C898" t="str">
            <v>34-H-4</v>
          </cell>
        </row>
        <row r="899">
          <cell r="B899" t="str">
            <v>North Lake</v>
          </cell>
          <cell r="C899" t="str">
            <v>34-H-8</v>
          </cell>
        </row>
        <row r="900">
          <cell r="B900" t="str">
            <v>Cheniere au Tigre</v>
          </cell>
          <cell r="C900" t="str">
            <v>34-H-10</v>
          </cell>
        </row>
        <row r="901">
          <cell r="B901" t="str">
            <v>Oyster Bayou</v>
          </cell>
          <cell r="C901" t="str">
            <v>34-I-2</v>
          </cell>
        </row>
        <row r="902">
          <cell r="B902" t="str">
            <v>Bayou Cypremort</v>
          </cell>
          <cell r="C902" t="str">
            <v>34-I-3</v>
          </cell>
        </row>
        <row r="903">
          <cell r="B903" t="str">
            <v>Bayou Chene</v>
          </cell>
          <cell r="C903" t="str">
            <v>34-I-5</v>
          </cell>
        </row>
        <row r="904">
          <cell r="B904" t="str">
            <v>Bayou Bartholomew</v>
          </cell>
          <cell r="C904" t="str">
            <v>34-J-2</v>
          </cell>
        </row>
        <row r="905">
          <cell r="B905" t="str">
            <v>Burns</v>
          </cell>
          <cell r="C905" t="str">
            <v>34-J-4</v>
          </cell>
        </row>
        <row r="906">
          <cell r="B906" t="str">
            <v>Rabbit Island</v>
          </cell>
          <cell r="C906" t="str">
            <v>34-J-5</v>
          </cell>
        </row>
        <row r="907">
          <cell r="B907" t="str">
            <v>Possum Point</v>
          </cell>
          <cell r="C907" t="str">
            <v>34-K-6</v>
          </cell>
        </row>
        <row r="908">
          <cell r="B908" t="str">
            <v>Patterson</v>
          </cell>
          <cell r="C908" t="str">
            <v>34-K-19</v>
          </cell>
        </row>
        <row r="909">
          <cell r="B909" t="str">
            <v>Pennison</v>
          </cell>
          <cell r="C909" t="str">
            <v>34-L-8</v>
          </cell>
        </row>
        <row r="910">
          <cell r="B910" t="str">
            <v>Waterproof Point</v>
          </cell>
          <cell r="C910" t="str">
            <v>34-M-2</v>
          </cell>
        </row>
        <row r="911">
          <cell r="B911" t="str">
            <v>Gibson</v>
          </cell>
          <cell r="C911" t="str">
            <v>34-M-5</v>
          </cell>
        </row>
        <row r="912">
          <cell r="B912" t="str">
            <v>Mandalay</v>
          </cell>
          <cell r="C912" t="str">
            <v>34-M-6</v>
          </cell>
        </row>
        <row r="913">
          <cell r="B913" t="str">
            <v>Bayou Blue</v>
          </cell>
          <cell r="C913" t="str">
            <v>34-N-2</v>
          </cell>
        </row>
        <row r="914">
          <cell r="B914" t="str">
            <v>Bayou Terrebonne</v>
          </cell>
          <cell r="C914" t="str">
            <v>34-N-3</v>
          </cell>
        </row>
        <row r="915">
          <cell r="B915" t="str">
            <v>Houma</v>
          </cell>
          <cell r="C915" t="str">
            <v>34-N-4</v>
          </cell>
        </row>
        <row r="916">
          <cell r="B916" t="str">
            <v>Sanders</v>
          </cell>
          <cell r="C916" t="str">
            <v>34-N-5</v>
          </cell>
        </row>
        <row r="917">
          <cell r="B917" t="str">
            <v>Bergerson School</v>
          </cell>
          <cell r="C917" t="str">
            <v>34-N-6</v>
          </cell>
        </row>
        <row r="918">
          <cell r="B918" t="str">
            <v>Eagle Island Bayou</v>
          </cell>
          <cell r="C918" t="str">
            <v>34-N-7</v>
          </cell>
        </row>
        <row r="919">
          <cell r="B919" t="str">
            <v>Tabatiere Perdue</v>
          </cell>
          <cell r="C919" t="str">
            <v>34-O-1</v>
          </cell>
        </row>
        <row r="920">
          <cell r="B920" t="str">
            <v>Chandiere Casse</v>
          </cell>
          <cell r="C920" t="str">
            <v>34-O-3</v>
          </cell>
        </row>
        <row r="921">
          <cell r="B921" t="str">
            <v>Lower Bayou des Allemands</v>
          </cell>
          <cell r="C921" t="str">
            <v>34-O-4</v>
          </cell>
        </row>
        <row r="922">
          <cell r="B922" t="str">
            <v>Bois Chactas</v>
          </cell>
          <cell r="C922" t="str">
            <v>34-O-5</v>
          </cell>
        </row>
        <row r="923">
          <cell r="B923" t="str">
            <v>Camardelle</v>
          </cell>
          <cell r="C923" t="str">
            <v>34-O-6</v>
          </cell>
        </row>
        <row r="924">
          <cell r="B924" t="str">
            <v>La Rose</v>
          </cell>
          <cell r="C924" t="str">
            <v>34-O-7</v>
          </cell>
        </row>
        <row r="925">
          <cell r="B925" t="str">
            <v>Bayou L'Eau Bleu</v>
          </cell>
          <cell r="C925" t="str">
            <v>34-O-11</v>
          </cell>
        </row>
        <row r="926">
          <cell r="B926" t="str">
            <v>Bayou Matherne</v>
          </cell>
          <cell r="C926" t="str">
            <v>34-O-16</v>
          </cell>
        </row>
        <row r="927">
          <cell r="B927" t="str">
            <v>Temple Mound</v>
          </cell>
          <cell r="C927" t="str">
            <v>34-O-17</v>
          </cell>
        </row>
        <row r="928">
          <cell r="B928" t="str">
            <v>Toups Place</v>
          </cell>
          <cell r="C928" t="str">
            <v>34-O-18</v>
          </cell>
        </row>
        <row r="929">
          <cell r="B929" t="str">
            <v>Little Lake #4</v>
          </cell>
          <cell r="C929" t="str">
            <v>34-P-4</v>
          </cell>
        </row>
        <row r="930">
          <cell r="B930" t="str">
            <v>Dupree Cut-off</v>
          </cell>
          <cell r="C930" t="str">
            <v>34-P-16</v>
          </cell>
        </row>
        <row r="931">
          <cell r="B931" t="str">
            <v>The Graveyard</v>
          </cell>
          <cell r="C931" t="str">
            <v>34-P-18</v>
          </cell>
        </row>
        <row r="932">
          <cell r="B932" t="str">
            <v>Bayou des Oies</v>
          </cell>
          <cell r="C932" t="str">
            <v>34-P-20</v>
          </cell>
        </row>
        <row r="933">
          <cell r="B933" t="str">
            <v>Berthaud</v>
          </cell>
          <cell r="C933" t="str">
            <v>34-P-22</v>
          </cell>
        </row>
        <row r="934">
          <cell r="B934" t="str">
            <v>Spoonbill Bay</v>
          </cell>
          <cell r="C934" t="str">
            <v>34-P-29</v>
          </cell>
        </row>
        <row r="935">
          <cell r="B935" t="str">
            <v>Bayou DuPont</v>
          </cell>
          <cell r="C935" t="str">
            <v>34-P-33</v>
          </cell>
        </row>
        <row r="936">
          <cell r="B936" t="str">
            <v>Cheniere St</v>
          </cell>
          <cell r="C936" t="str">
            <v>34-P-34</v>
          </cell>
        </row>
        <row r="937">
          <cell r="B937" t="str">
            <v>River aux Chenes</v>
          </cell>
          <cell r="C937" t="str">
            <v>34-Q-2</v>
          </cell>
        </row>
        <row r="938">
          <cell r="B938" t="str">
            <v>Orange Bayou</v>
          </cell>
          <cell r="C938" t="str">
            <v>34-Q-3</v>
          </cell>
        </row>
        <row r="939">
          <cell r="B939" t="str">
            <v>Pointe a la Hache</v>
          </cell>
          <cell r="C939" t="str">
            <v>34-Q-7</v>
          </cell>
        </row>
        <row r="940">
          <cell r="B940" t="str">
            <v>Lake of Second Trees</v>
          </cell>
          <cell r="C940" t="str">
            <v>34-R-2</v>
          </cell>
        </row>
        <row r="941">
          <cell r="B941" t="str">
            <v>Grand Coquille</v>
          </cell>
          <cell r="C941" t="str">
            <v>34-R-4</v>
          </cell>
        </row>
        <row r="942">
          <cell r="B942" t="str">
            <v>Bayou Terre aux Boeufs</v>
          </cell>
          <cell r="C942" t="str">
            <v>34-R-8</v>
          </cell>
        </row>
        <row r="943">
          <cell r="B943" t="str">
            <v>Machias Lake</v>
          </cell>
          <cell r="C943" t="str">
            <v>34S-3</v>
          </cell>
        </row>
        <row r="944">
          <cell r="B944" t="str">
            <v>Lake Athanasio</v>
          </cell>
          <cell r="C944" t="str">
            <v>34-S-4</v>
          </cell>
        </row>
        <row r="945">
          <cell r="B945" t="str">
            <v>Pass Fernandia</v>
          </cell>
          <cell r="C945" t="str">
            <v>34S-5</v>
          </cell>
        </row>
        <row r="946">
          <cell r="B946" t="str">
            <v>Oyster Bayou</v>
          </cell>
          <cell r="C946" t="str">
            <v>35-I-1</v>
          </cell>
        </row>
        <row r="947">
          <cell r="B947" t="str">
            <v>Carrion Crow Lake</v>
          </cell>
          <cell r="C947" t="str">
            <v>35-L-2</v>
          </cell>
        </row>
        <row r="948">
          <cell r="B948" t="str">
            <v>Carrion Crow Bayou</v>
          </cell>
          <cell r="C948" t="str">
            <v>35-L-4</v>
          </cell>
        </row>
        <row r="949">
          <cell r="B949" t="str">
            <v>Bayou Penchant</v>
          </cell>
          <cell r="C949" t="str">
            <v>35-M-1</v>
          </cell>
        </row>
        <row r="950">
          <cell r="B950" t="str">
            <v>Fredericks Point</v>
          </cell>
          <cell r="C950" t="str">
            <v>35-M-2</v>
          </cell>
        </row>
        <row r="951">
          <cell r="B951" t="str">
            <v>Bayou du Large</v>
          </cell>
          <cell r="C951" t="str">
            <v>35-M-3</v>
          </cell>
        </row>
        <row r="952">
          <cell r="B952" t="str">
            <v>Bayou Penchant</v>
          </cell>
          <cell r="C952" t="str">
            <v>35-M-12</v>
          </cell>
        </row>
        <row r="953">
          <cell r="B953" t="str">
            <v>Teles Island</v>
          </cell>
          <cell r="C953" t="str">
            <v>35-M-20</v>
          </cell>
        </row>
        <row r="954">
          <cell r="B954" t="str">
            <v>Bayou Decade</v>
          </cell>
          <cell r="C954" t="str">
            <v>35-M-22</v>
          </cell>
        </row>
        <row r="955">
          <cell r="B955" t="str">
            <v>Rangia Lake</v>
          </cell>
          <cell r="C955" t="str">
            <v>35-M-26</v>
          </cell>
        </row>
        <row r="956">
          <cell r="B956" t="str">
            <v>Bayou du Large</v>
          </cell>
          <cell r="C956" t="str">
            <v>35-M-29</v>
          </cell>
        </row>
        <row r="957">
          <cell r="B957" t="str">
            <v>Bayou New Route</v>
          </cell>
          <cell r="C957" t="str">
            <v>35-M-31</v>
          </cell>
        </row>
        <row r="958">
          <cell r="B958" t="str">
            <v>Lake Penchant</v>
          </cell>
          <cell r="C958" t="str">
            <v>35-M-32</v>
          </cell>
        </row>
        <row r="959">
          <cell r="B959" t="str">
            <v>Little Caremo Bayou</v>
          </cell>
          <cell r="C959" t="str">
            <v>35-M-34</v>
          </cell>
        </row>
        <row r="960">
          <cell r="B960" t="str">
            <v>Four Point Bayou</v>
          </cell>
          <cell r="C960" t="str">
            <v>35-N-2</v>
          </cell>
        </row>
        <row r="961">
          <cell r="B961" t="str">
            <v>Ellesley</v>
          </cell>
          <cell r="C961" t="str">
            <v>35-N-3</v>
          </cell>
        </row>
        <row r="962">
          <cell r="B962" t="str">
            <v>Bayou la Carpe</v>
          </cell>
          <cell r="C962" t="str">
            <v>35-N-4</v>
          </cell>
        </row>
        <row r="963">
          <cell r="B963" t="str">
            <v>Bayou Sale</v>
          </cell>
          <cell r="C963" t="str">
            <v>35-N-5</v>
          </cell>
        </row>
        <row r="964">
          <cell r="B964" t="str">
            <v>Bayou Dulac</v>
          </cell>
          <cell r="C964" t="str">
            <v>35-N-6</v>
          </cell>
        </row>
        <row r="965">
          <cell r="B965" t="str">
            <v>Mound Bayou</v>
          </cell>
          <cell r="C965" t="str">
            <v>35-N-7</v>
          </cell>
        </row>
        <row r="966">
          <cell r="B966" t="str">
            <v>Bayou Terrebonne</v>
          </cell>
          <cell r="C966" t="str">
            <v>35-N-8</v>
          </cell>
        </row>
        <row r="967">
          <cell r="B967" t="str">
            <v>Indian Mound</v>
          </cell>
          <cell r="C967" t="str">
            <v>35-N-10</v>
          </cell>
        </row>
        <row r="968">
          <cell r="B968" t="str">
            <v>Dulac</v>
          </cell>
          <cell r="C968" t="str">
            <v>35-N-12</v>
          </cell>
        </row>
        <row r="969">
          <cell r="B969" t="str">
            <v>Pointe au Chien</v>
          </cell>
          <cell r="C969" t="str">
            <v>35-O-1</v>
          </cell>
        </row>
        <row r="970">
          <cell r="B970" t="str">
            <v>Pointe au Chien #3</v>
          </cell>
          <cell r="C970" t="str">
            <v>35-O-2</v>
          </cell>
        </row>
        <row r="971">
          <cell r="B971" t="str">
            <v>Bayou Cutler</v>
          </cell>
          <cell r="C971" t="str">
            <v>35-P-1</v>
          </cell>
        </row>
        <row r="972">
          <cell r="B972" t="str">
            <v>Leeville</v>
          </cell>
          <cell r="C972" t="str">
            <v>35-P-2</v>
          </cell>
        </row>
        <row r="973">
          <cell r="B973" t="str">
            <v>Mouth of Robinson Canal</v>
          </cell>
          <cell r="C973" t="str">
            <v>35-Q-1</v>
          </cell>
        </row>
        <row r="974">
          <cell r="B974" t="str">
            <v>Pointe Cheniere Ronquille</v>
          </cell>
          <cell r="C974" t="str">
            <v>35-Q-2</v>
          </cell>
        </row>
        <row r="975">
          <cell r="B975" t="str">
            <v>Bayou Robinson</v>
          </cell>
          <cell r="C975" t="str">
            <v>35-Q-3</v>
          </cell>
        </row>
        <row r="976">
          <cell r="B976" t="str">
            <v>Bayou DuPont</v>
          </cell>
          <cell r="C976" t="str">
            <v>35-Q-6</v>
          </cell>
        </row>
        <row r="977">
          <cell r="B977" t="str">
            <v>Robinson Bayou</v>
          </cell>
          <cell r="C977" t="str">
            <v>35-Q-7</v>
          </cell>
        </row>
        <row r="978">
          <cell r="B978" t="str">
            <v>Lower Bayou Robinson</v>
          </cell>
          <cell r="C978" t="str">
            <v>35-Q-8</v>
          </cell>
        </row>
        <row r="979">
          <cell r="B979" t="str">
            <v>Saturday Island</v>
          </cell>
          <cell r="C979" t="str">
            <v>35-Q-10</v>
          </cell>
        </row>
        <row r="980">
          <cell r="B980" t="str">
            <v>Pelican Isle</v>
          </cell>
          <cell r="C980" t="str">
            <v>35-R-1</v>
          </cell>
        </row>
        <row r="981">
          <cell r="B981" t="str">
            <v>Buras Mounds</v>
          </cell>
          <cell r="C981" t="str">
            <v>35-R-2</v>
          </cell>
        </row>
        <row r="982">
          <cell r="B982" t="str">
            <v>Adams Bay</v>
          </cell>
          <cell r="C982" t="str">
            <v>35-R-3</v>
          </cell>
        </row>
        <row r="983">
          <cell r="B983" t="str">
            <v>Seabreeze Pass</v>
          </cell>
          <cell r="C983" t="str">
            <v>36-N-1</v>
          </cell>
        </row>
        <row r="984">
          <cell r="B984" t="str">
            <v>Bayou Sale</v>
          </cell>
          <cell r="C984" t="str">
            <v>36-N-4</v>
          </cell>
        </row>
        <row r="985">
          <cell r="B985" t="str">
            <v>Bayou Petit Caillou</v>
          </cell>
          <cell r="C985" t="str">
            <v>36-N-6</v>
          </cell>
        </row>
        <row r="986">
          <cell r="B986" t="str">
            <v>Bayou Petit Caillou (N.W.)</v>
          </cell>
          <cell r="C986" t="str">
            <v>36-N-8</v>
          </cell>
        </row>
        <row r="987">
          <cell r="B987" t="str">
            <v>Bayou Petit Caillou</v>
          </cell>
          <cell r="C987" t="str">
            <v>36-N-9</v>
          </cell>
        </row>
        <row r="988">
          <cell r="B988" t="str">
            <v>Bayou Petit Caillou</v>
          </cell>
          <cell r="C988" t="str">
            <v>36-N-10</v>
          </cell>
        </row>
        <row r="989">
          <cell r="B989" t="str">
            <v>Bayou Lafourche</v>
          </cell>
          <cell r="C989" t="str">
            <v>36-P-1</v>
          </cell>
        </row>
        <row r="990">
          <cell r="B990" t="str">
            <v>Cheniere Caminada</v>
          </cell>
          <cell r="C990" t="str">
            <v>36-P-3</v>
          </cell>
        </row>
        <row r="991">
          <cell r="B991" t="str">
            <v>Caminada Bay</v>
          </cell>
          <cell r="C991" t="str">
            <v>36-P-4</v>
          </cell>
        </row>
        <row r="992">
          <cell r="B992" t="str">
            <v>West of Belle Pass</v>
          </cell>
          <cell r="C992" t="str">
            <v>36-P-7</v>
          </cell>
        </row>
        <row r="993">
          <cell r="B993" t="str">
            <v>Point Lake</v>
          </cell>
          <cell r="C993" t="str">
            <v>23-L-16</v>
          </cell>
        </row>
        <row r="994">
          <cell r="B994" t="str">
            <v>Hedgeland Landing</v>
          </cell>
          <cell r="C994" t="str">
            <v>25-J-19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">
          <cell r="B1" t="str">
            <v>NAME1_</v>
          </cell>
          <cell r="C1" t="str">
            <v>NAME2_</v>
          </cell>
          <cell r="D1" t="str">
            <v>X_COORD</v>
          </cell>
          <cell r="E1" t="str">
            <v>Y_COORD</v>
          </cell>
        </row>
        <row r="2">
          <cell r="B2" t="str">
            <v>10-M-12</v>
          </cell>
          <cell r="C2" t="str">
            <v>Turnbow</v>
          </cell>
          <cell r="D2">
            <v>723628</v>
          </cell>
          <cell r="E2">
            <v>3923780</v>
          </cell>
        </row>
        <row r="3">
          <cell r="B3" t="str">
            <v>10-N-10</v>
          </cell>
          <cell r="C3" t="str">
            <v>Cross Country Clu</v>
          </cell>
          <cell r="D3">
            <v>710604</v>
          </cell>
          <cell r="E3">
            <v>3902820</v>
          </cell>
        </row>
        <row r="4">
          <cell r="B4" t="str">
            <v>10-N-11</v>
          </cell>
          <cell r="C4" t="str">
            <v>Delta</v>
          </cell>
          <cell r="D4">
            <v>718249</v>
          </cell>
          <cell r="E4">
            <v>3908200</v>
          </cell>
        </row>
        <row r="5">
          <cell r="B5" t="str">
            <v>10-N-12</v>
          </cell>
          <cell r="C5" t="str">
            <v>Fortune</v>
          </cell>
          <cell r="D5">
            <v>723828</v>
          </cell>
          <cell r="E5">
            <v>3923620</v>
          </cell>
        </row>
        <row r="6">
          <cell r="B6" t="str">
            <v>10-N-14</v>
          </cell>
          <cell r="D6">
            <v>724391</v>
          </cell>
          <cell r="E6">
            <v>3916560</v>
          </cell>
        </row>
        <row r="7">
          <cell r="B7" t="str">
            <v>10-N-15</v>
          </cell>
          <cell r="C7" t="str">
            <v>Fortune</v>
          </cell>
          <cell r="D7">
            <v>722759</v>
          </cell>
          <cell r="E7">
            <v>3920810</v>
          </cell>
        </row>
        <row r="8">
          <cell r="B8" t="str">
            <v>10-N-16</v>
          </cell>
          <cell r="D8">
            <v>725939</v>
          </cell>
          <cell r="E8">
            <v>3919300</v>
          </cell>
        </row>
        <row r="9">
          <cell r="B9" t="str">
            <v>10-N-18</v>
          </cell>
          <cell r="D9">
            <v>726605</v>
          </cell>
          <cell r="E9">
            <v>3914210</v>
          </cell>
        </row>
        <row r="10">
          <cell r="B10" t="str">
            <v>10-N-19</v>
          </cell>
          <cell r="D10">
            <v>720872</v>
          </cell>
          <cell r="E10">
            <v>3918070</v>
          </cell>
        </row>
        <row r="11">
          <cell r="B11" t="str">
            <v>10-N-2</v>
          </cell>
          <cell r="D11">
            <v>705111</v>
          </cell>
          <cell r="E11">
            <v>3934460</v>
          </cell>
        </row>
        <row r="12">
          <cell r="B12" t="str">
            <v>10-N-20</v>
          </cell>
          <cell r="D12">
            <v>724513</v>
          </cell>
          <cell r="E12">
            <v>3925910</v>
          </cell>
        </row>
        <row r="13">
          <cell r="B13" t="str">
            <v>10-N-4</v>
          </cell>
          <cell r="D13">
            <v>722303</v>
          </cell>
          <cell r="E13">
            <v>3912550</v>
          </cell>
        </row>
        <row r="14">
          <cell r="B14" t="str">
            <v>10-N-5</v>
          </cell>
          <cell r="D14">
            <v>721297</v>
          </cell>
          <cell r="E14">
            <v>3910730</v>
          </cell>
        </row>
        <row r="15">
          <cell r="B15" t="str">
            <v>10-N-6</v>
          </cell>
          <cell r="C15" t="str">
            <v>Block</v>
          </cell>
          <cell r="D15">
            <v>719445</v>
          </cell>
          <cell r="E15">
            <v>3906080</v>
          </cell>
        </row>
        <row r="16">
          <cell r="B16" t="str">
            <v>10-N-7</v>
          </cell>
          <cell r="D16">
            <v>718091</v>
          </cell>
          <cell r="E16">
            <v>3903240</v>
          </cell>
        </row>
        <row r="17">
          <cell r="B17" t="str">
            <v>10-N-8</v>
          </cell>
          <cell r="C17" t="str">
            <v>Williams</v>
          </cell>
          <cell r="D17">
            <v>718946</v>
          </cell>
          <cell r="E17">
            <v>3911480</v>
          </cell>
        </row>
        <row r="18">
          <cell r="B18" t="str">
            <v>10-N-9</v>
          </cell>
          <cell r="D18">
            <v>725617</v>
          </cell>
          <cell r="E18">
            <v>3911520</v>
          </cell>
        </row>
        <row r="19">
          <cell r="B19" t="str">
            <v>10-O-1</v>
          </cell>
          <cell r="C19" t="str">
            <v>Miller</v>
          </cell>
          <cell r="D19">
            <v>731417</v>
          </cell>
          <cell r="E19">
            <v>3932510</v>
          </cell>
        </row>
        <row r="20">
          <cell r="B20" t="str">
            <v>10-O-10</v>
          </cell>
          <cell r="C20" t="str">
            <v>Deep Landing</v>
          </cell>
          <cell r="D20">
            <v>734285</v>
          </cell>
          <cell r="E20">
            <v>3956700</v>
          </cell>
        </row>
        <row r="21">
          <cell r="B21" t="str">
            <v>10-O-2</v>
          </cell>
          <cell r="C21" t="str">
            <v>Potter</v>
          </cell>
          <cell r="D21">
            <v>739178</v>
          </cell>
          <cell r="E21">
            <v>3944290</v>
          </cell>
        </row>
        <row r="22">
          <cell r="B22" t="str">
            <v>10-O-3</v>
          </cell>
          <cell r="C22" t="str">
            <v>Lepanto</v>
          </cell>
          <cell r="D22">
            <v>742046</v>
          </cell>
          <cell r="E22">
            <v>3945230</v>
          </cell>
        </row>
        <row r="23">
          <cell r="B23" t="str">
            <v>10-O-4</v>
          </cell>
          <cell r="C23" t="str">
            <v>Hazel</v>
          </cell>
          <cell r="D23">
            <v>735913</v>
          </cell>
          <cell r="E23">
            <v>3935230</v>
          </cell>
        </row>
        <row r="24">
          <cell r="B24" t="str">
            <v>10-O-5</v>
          </cell>
          <cell r="D24">
            <v>734445</v>
          </cell>
          <cell r="E24">
            <v>3942690</v>
          </cell>
        </row>
        <row r="25">
          <cell r="B25" t="str">
            <v>10-O-6</v>
          </cell>
          <cell r="C25" t="str">
            <v>Shanty</v>
          </cell>
          <cell r="D25">
            <v>729778</v>
          </cell>
          <cell r="E25">
            <v>3934790</v>
          </cell>
        </row>
        <row r="26">
          <cell r="B26" t="str">
            <v>10-O-6</v>
          </cell>
          <cell r="C26" t="str">
            <v>Taylor Shanty</v>
          </cell>
          <cell r="D26">
            <v>729724</v>
          </cell>
          <cell r="E26">
            <v>3934480</v>
          </cell>
        </row>
        <row r="27">
          <cell r="B27" t="str">
            <v>10-O-7</v>
          </cell>
          <cell r="C27" t="str">
            <v>Warren Mound</v>
          </cell>
          <cell r="D27">
            <v>736484</v>
          </cell>
          <cell r="E27">
            <v>3940720</v>
          </cell>
        </row>
        <row r="28">
          <cell r="B28" t="str">
            <v>10-O-8</v>
          </cell>
          <cell r="D28">
            <v>731479</v>
          </cell>
          <cell r="E28">
            <v>3958240</v>
          </cell>
        </row>
        <row r="29">
          <cell r="B29" t="str">
            <v>10-O-9</v>
          </cell>
          <cell r="D29">
            <v>728663</v>
          </cell>
          <cell r="E29">
            <v>3944800</v>
          </cell>
        </row>
        <row r="30">
          <cell r="B30" t="str">
            <v>10-P-1</v>
          </cell>
          <cell r="C30" t="str">
            <v>Carson Lake</v>
          </cell>
          <cell r="D30">
            <v>767741</v>
          </cell>
          <cell r="E30">
            <v>3942790</v>
          </cell>
        </row>
        <row r="31">
          <cell r="B31" t="str">
            <v>10-P-11</v>
          </cell>
          <cell r="D31">
            <v>756404</v>
          </cell>
          <cell r="E31">
            <v>3933470</v>
          </cell>
        </row>
        <row r="32">
          <cell r="B32" t="str">
            <v>10-P-11</v>
          </cell>
          <cell r="C32" t="str">
            <v>Joiner</v>
          </cell>
          <cell r="D32">
            <v>755911</v>
          </cell>
          <cell r="E32">
            <v>3933630</v>
          </cell>
        </row>
        <row r="33">
          <cell r="B33" t="str">
            <v>10-P-12</v>
          </cell>
          <cell r="C33" t="str">
            <v>Shelby</v>
          </cell>
          <cell r="D33">
            <v>770615</v>
          </cell>
          <cell r="E33">
            <v>3941400</v>
          </cell>
        </row>
        <row r="34">
          <cell r="B34" t="str">
            <v>10-P-14</v>
          </cell>
          <cell r="C34" t="str">
            <v>Bell</v>
          </cell>
          <cell r="D34">
            <v>766470</v>
          </cell>
          <cell r="E34">
            <v>3937230</v>
          </cell>
        </row>
        <row r="35">
          <cell r="B35" t="str">
            <v>10-P-14</v>
          </cell>
          <cell r="D35">
            <v>766790</v>
          </cell>
          <cell r="E35">
            <v>3937070</v>
          </cell>
        </row>
        <row r="36">
          <cell r="B36" t="str">
            <v>10-P-2</v>
          </cell>
          <cell r="D36">
            <v>761396</v>
          </cell>
          <cell r="E36">
            <v>3935270</v>
          </cell>
        </row>
        <row r="37">
          <cell r="B37" t="str">
            <v>10-P-3</v>
          </cell>
          <cell r="D37">
            <v>759953</v>
          </cell>
          <cell r="E37">
            <v>3933300</v>
          </cell>
        </row>
        <row r="38">
          <cell r="B38" t="str">
            <v>10-P-4</v>
          </cell>
          <cell r="C38" t="str">
            <v>Notgrass</v>
          </cell>
          <cell r="D38">
            <v>762690</v>
          </cell>
          <cell r="E38">
            <v>3937510</v>
          </cell>
        </row>
        <row r="39">
          <cell r="B39" t="str">
            <v>10-P-6</v>
          </cell>
          <cell r="C39" t="str">
            <v>Gant</v>
          </cell>
          <cell r="D39">
            <v>755039</v>
          </cell>
          <cell r="E39">
            <v>3953180</v>
          </cell>
        </row>
        <row r="40">
          <cell r="B40" t="str">
            <v>10-Q-1</v>
          </cell>
          <cell r="C40" t="str">
            <v>Nodena</v>
          </cell>
          <cell r="D40">
            <v>773722</v>
          </cell>
          <cell r="E40">
            <v>3943560</v>
          </cell>
        </row>
        <row r="41">
          <cell r="B41" t="str">
            <v>10-Q-2</v>
          </cell>
          <cell r="C41" t="str">
            <v>Sherman Mound</v>
          </cell>
          <cell r="D41">
            <v>773649</v>
          </cell>
          <cell r="E41">
            <v>3948200</v>
          </cell>
        </row>
        <row r="42">
          <cell r="B42" t="str">
            <v>10-Q-3</v>
          </cell>
          <cell r="C42" t="str">
            <v>Turnage</v>
          </cell>
          <cell r="D42">
            <v>773403</v>
          </cell>
          <cell r="E42">
            <v>3940020</v>
          </cell>
        </row>
        <row r="43">
          <cell r="B43" t="str">
            <v>10-Q-4</v>
          </cell>
          <cell r="D43">
            <v>775748</v>
          </cell>
          <cell r="E43">
            <v>3941180</v>
          </cell>
        </row>
        <row r="44">
          <cell r="B44" t="str">
            <v>10-Q-6</v>
          </cell>
          <cell r="C44" t="str">
            <v>Harris</v>
          </cell>
          <cell r="D44">
            <v>775881</v>
          </cell>
          <cell r="E44">
            <v>3932780</v>
          </cell>
        </row>
        <row r="45">
          <cell r="B45" t="str">
            <v>10-R-1</v>
          </cell>
          <cell r="C45" t="str">
            <v>Bishop</v>
          </cell>
          <cell r="D45">
            <v>803381</v>
          </cell>
          <cell r="E45">
            <v>3944610</v>
          </cell>
        </row>
        <row r="46">
          <cell r="B46" t="str">
            <v>11-M-1</v>
          </cell>
          <cell r="C46" t="str">
            <v>Cherry Valley</v>
          </cell>
          <cell r="D46">
            <v>703846</v>
          </cell>
          <cell r="E46">
            <v>3918520</v>
          </cell>
        </row>
        <row r="47">
          <cell r="B47" t="str">
            <v>11-M-2</v>
          </cell>
          <cell r="C47" t="str">
            <v>Unnamed</v>
          </cell>
          <cell r="D47">
            <v>703563</v>
          </cell>
          <cell r="E47">
            <v>3915480</v>
          </cell>
        </row>
        <row r="48">
          <cell r="B48" t="str">
            <v>11-N-1</v>
          </cell>
          <cell r="C48" t="str">
            <v>Parkin</v>
          </cell>
          <cell r="D48">
            <v>723001</v>
          </cell>
          <cell r="E48">
            <v>3904260</v>
          </cell>
        </row>
        <row r="49">
          <cell r="B49" t="str">
            <v>11-N-10</v>
          </cell>
          <cell r="C49" t="str">
            <v>Cross Country Clu</v>
          </cell>
          <cell r="D49">
            <v>711918</v>
          </cell>
          <cell r="E49">
            <v>3903350</v>
          </cell>
        </row>
        <row r="50">
          <cell r="B50" t="str">
            <v>11-N-11</v>
          </cell>
          <cell r="C50" t="str">
            <v>Delta</v>
          </cell>
          <cell r="D50">
            <v>718240</v>
          </cell>
          <cell r="E50">
            <v>3908650</v>
          </cell>
        </row>
        <row r="51">
          <cell r="B51" t="str">
            <v>11-N-12</v>
          </cell>
          <cell r="C51" t="str">
            <v>Turnbow</v>
          </cell>
          <cell r="D51">
            <v>723526</v>
          </cell>
          <cell r="E51">
            <v>3923250</v>
          </cell>
        </row>
        <row r="52">
          <cell r="B52" t="str">
            <v>11-N-13</v>
          </cell>
          <cell r="D52">
            <v>721213</v>
          </cell>
          <cell r="E52">
            <v>3907830</v>
          </cell>
        </row>
        <row r="53">
          <cell r="B53" t="str">
            <v>11-N-14</v>
          </cell>
          <cell r="D53">
            <v>724244</v>
          </cell>
          <cell r="E53">
            <v>3916840</v>
          </cell>
        </row>
        <row r="54">
          <cell r="B54" t="str">
            <v>11-N-15</v>
          </cell>
          <cell r="C54" t="str">
            <v>Fortune</v>
          </cell>
          <cell r="D54">
            <v>722896</v>
          </cell>
          <cell r="E54">
            <v>3920980</v>
          </cell>
        </row>
        <row r="55">
          <cell r="B55" t="str">
            <v>11-N-16</v>
          </cell>
          <cell r="D55">
            <v>725859</v>
          </cell>
          <cell r="E55">
            <v>3919100</v>
          </cell>
        </row>
        <row r="56">
          <cell r="B56" t="str">
            <v>11-N-18</v>
          </cell>
          <cell r="D56">
            <v>726632</v>
          </cell>
          <cell r="E56">
            <v>3914270</v>
          </cell>
        </row>
        <row r="57">
          <cell r="B57" t="str">
            <v>11-N-19</v>
          </cell>
          <cell r="D57">
            <v>720570</v>
          </cell>
          <cell r="E57">
            <v>3917700</v>
          </cell>
        </row>
        <row r="58">
          <cell r="B58" t="str">
            <v>11-N-2</v>
          </cell>
          <cell r="D58">
            <v>723996</v>
          </cell>
          <cell r="E58">
            <v>3906680</v>
          </cell>
        </row>
        <row r="59">
          <cell r="B59" t="str">
            <v>11-N-20</v>
          </cell>
          <cell r="D59">
            <v>724220</v>
          </cell>
          <cell r="E59">
            <v>3926520</v>
          </cell>
        </row>
        <row r="60">
          <cell r="B60" t="str">
            <v>11-N-21</v>
          </cell>
          <cell r="D60">
            <v>712253</v>
          </cell>
          <cell r="E60">
            <v>3914140</v>
          </cell>
        </row>
        <row r="61">
          <cell r="B61" t="str">
            <v>11-N-3</v>
          </cell>
          <cell r="D61">
            <v>725959</v>
          </cell>
          <cell r="E61">
            <v>3907140</v>
          </cell>
        </row>
        <row r="62">
          <cell r="B62" t="str">
            <v>11-N-4</v>
          </cell>
          <cell r="D62">
            <v>722160</v>
          </cell>
          <cell r="E62">
            <v>3912690</v>
          </cell>
        </row>
        <row r="63">
          <cell r="B63" t="str">
            <v>11-N-5</v>
          </cell>
          <cell r="D63">
            <v>721151</v>
          </cell>
          <cell r="E63">
            <v>3911040</v>
          </cell>
        </row>
        <row r="64">
          <cell r="B64" t="str">
            <v>11-N-6</v>
          </cell>
          <cell r="C64" t="str">
            <v>Block</v>
          </cell>
          <cell r="D64">
            <v>719334</v>
          </cell>
          <cell r="E64">
            <v>3905970</v>
          </cell>
        </row>
        <row r="65">
          <cell r="B65" t="str">
            <v>11-N-7</v>
          </cell>
          <cell r="D65">
            <v>718157</v>
          </cell>
          <cell r="E65">
            <v>3902740</v>
          </cell>
        </row>
        <row r="66">
          <cell r="B66" t="str">
            <v>11-N-8</v>
          </cell>
          <cell r="C66" t="str">
            <v>Williams</v>
          </cell>
          <cell r="D66">
            <v>719036</v>
          </cell>
          <cell r="E66">
            <v>3911200</v>
          </cell>
        </row>
        <row r="67">
          <cell r="B67" t="str">
            <v>11-N-9</v>
          </cell>
          <cell r="D67">
            <v>725394</v>
          </cell>
          <cell r="E67">
            <v>3911400</v>
          </cell>
        </row>
        <row r="68">
          <cell r="B68" t="str">
            <v>11-O-1</v>
          </cell>
          <cell r="D68">
            <v>729657</v>
          </cell>
          <cell r="E68">
            <v>3927280</v>
          </cell>
        </row>
        <row r="69">
          <cell r="B69" t="str">
            <v>11-O-10</v>
          </cell>
          <cell r="C69" t="str">
            <v>Barton Ranch</v>
          </cell>
          <cell r="D69">
            <v>737565</v>
          </cell>
          <cell r="E69">
            <v>3917620</v>
          </cell>
        </row>
        <row r="70">
          <cell r="B70" t="str">
            <v>11-O-11</v>
          </cell>
          <cell r="D70">
            <v>737635</v>
          </cell>
          <cell r="E70">
            <v>3913030</v>
          </cell>
        </row>
        <row r="71">
          <cell r="B71" t="str">
            <v>11-O-13</v>
          </cell>
          <cell r="C71" t="str">
            <v>Tyronza Sta.</v>
          </cell>
          <cell r="D71">
            <v>740173</v>
          </cell>
          <cell r="E71">
            <v>3929670</v>
          </cell>
        </row>
        <row r="72">
          <cell r="B72" t="str">
            <v>11-O-16</v>
          </cell>
          <cell r="C72" t="str">
            <v>Berry</v>
          </cell>
          <cell r="D72">
            <v>731259</v>
          </cell>
          <cell r="E72">
            <v>3906880</v>
          </cell>
        </row>
        <row r="73">
          <cell r="B73" t="str">
            <v>11-O-4</v>
          </cell>
          <cell r="C73" t="str">
            <v>Cummins</v>
          </cell>
          <cell r="D73">
            <v>728933</v>
          </cell>
          <cell r="E73">
            <v>3924230</v>
          </cell>
        </row>
        <row r="74">
          <cell r="B74" t="str">
            <v>11-O-5</v>
          </cell>
          <cell r="D74">
            <v>734896</v>
          </cell>
          <cell r="E74">
            <v>3921420</v>
          </cell>
        </row>
        <row r="75">
          <cell r="B75" t="str">
            <v>11-O-6</v>
          </cell>
          <cell r="D75">
            <v>733572</v>
          </cell>
          <cell r="E75">
            <v>3922880</v>
          </cell>
        </row>
        <row r="76">
          <cell r="B76" t="str">
            <v>11-O-7</v>
          </cell>
          <cell r="C76" t="str">
            <v>Lewis</v>
          </cell>
          <cell r="D76">
            <v>730385</v>
          </cell>
          <cell r="E76">
            <v>3909670</v>
          </cell>
        </row>
        <row r="77">
          <cell r="B77" t="str">
            <v>11-O-8</v>
          </cell>
          <cell r="D77">
            <v>731014</v>
          </cell>
          <cell r="E77">
            <v>3911940</v>
          </cell>
        </row>
        <row r="78">
          <cell r="B78" t="str">
            <v>11-O-9</v>
          </cell>
          <cell r="D78">
            <v>737500</v>
          </cell>
          <cell r="E78">
            <v>3915420</v>
          </cell>
        </row>
        <row r="79">
          <cell r="B79" t="str">
            <v>11-P-1</v>
          </cell>
          <cell r="C79" t="str">
            <v>Shawnee Village</v>
          </cell>
          <cell r="D79">
            <v>760581</v>
          </cell>
          <cell r="E79">
            <v>3929480</v>
          </cell>
        </row>
        <row r="80">
          <cell r="B80" t="str">
            <v>11-P-11</v>
          </cell>
          <cell r="C80" t="str">
            <v>Pecan Point</v>
          </cell>
          <cell r="D80">
            <v>762211</v>
          </cell>
          <cell r="E80">
            <v>3927160</v>
          </cell>
        </row>
        <row r="81">
          <cell r="B81" t="str">
            <v>11-P-11</v>
          </cell>
          <cell r="C81" t="str">
            <v>Friends</v>
          </cell>
          <cell r="D81">
            <v>761821</v>
          </cell>
          <cell r="E81">
            <v>3927010</v>
          </cell>
        </row>
        <row r="82">
          <cell r="B82" t="str">
            <v>11-P-2</v>
          </cell>
          <cell r="C82" t="str">
            <v>Bradley</v>
          </cell>
          <cell r="D82">
            <v>757538</v>
          </cell>
          <cell r="E82">
            <v>3910770</v>
          </cell>
        </row>
        <row r="83">
          <cell r="B83" t="str">
            <v>11-P-3</v>
          </cell>
          <cell r="D83">
            <v>752551</v>
          </cell>
          <cell r="E83">
            <v>3915750</v>
          </cell>
        </row>
        <row r="84">
          <cell r="B84" t="str">
            <v>11-P-4</v>
          </cell>
          <cell r="D84">
            <v>753177</v>
          </cell>
          <cell r="E84">
            <v>3919090</v>
          </cell>
        </row>
        <row r="85">
          <cell r="B85" t="str">
            <v>11-P-5</v>
          </cell>
          <cell r="C85" t="str">
            <v>Lambethville</v>
          </cell>
          <cell r="D85">
            <v>757105</v>
          </cell>
          <cell r="E85">
            <v>3914790</v>
          </cell>
        </row>
        <row r="86">
          <cell r="B86" t="str">
            <v>11-P-6</v>
          </cell>
          <cell r="C86" t="str">
            <v>PecanPoint</v>
          </cell>
          <cell r="D86">
            <v>768804</v>
          </cell>
          <cell r="E86">
            <v>3927740</v>
          </cell>
        </row>
        <row r="87">
          <cell r="B87" t="str">
            <v>11-P-8</v>
          </cell>
          <cell r="C87" t="str">
            <v>Banks</v>
          </cell>
          <cell r="D87">
            <v>750764</v>
          </cell>
          <cell r="E87">
            <v>3911400</v>
          </cell>
        </row>
        <row r="88">
          <cell r="B88" t="str">
            <v>11-Q-10</v>
          </cell>
          <cell r="C88" t="str">
            <v>Richardson Landin</v>
          </cell>
          <cell r="D88">
            <v>778351</v>
          </cell>
          <cell r="E88">
            <v>3930430</v>
          </cell>
        </row>
        <row r="89">
          <cell r="B89" t="str">
            <v>11-Q-3</v>
          </cell>
          <cell r="C89" t="str">
            <v>Merrel</v>
          </cell>
          <cell r="D89">
            <v>785178</v>
          </cell>
          <cell r="E89">
            <v>3916920</v>
          </cell>
        </row>
        <row r="90">
          <cell r="B90" t="str">
            <v>12-K-4</v>
          </cell>
          <cell r="D90">
            <v>638954</v>
          </cell>
          <cell r="E90">
            <v>3877460</v>
          </cell>
        </row>
        <row r="91">
          <cell r="B91" t="str">
            <v>12-K-5</v>
          </cell>
          <cell r="D91">
            <v>642964</v>
          </cell>
          <cell r="E91">
            <v>3877410</v>
          </cell>
        </row>
        <row r="92">
          <cell r="B92" t="str">
            <v>12-N-10</v>
          </cell>
          <cell r="C92" t="str">
            <v>De Rossetts</v>
          </cell>
          <cell r="D92">
            <v>712002</v>
          </cell>
          <cell r="E92">
            <v>3883460</v>
          </cell>
        </row>
        <row r="93">
          <cell r="B93" t="str">
            <v>12-N-12</v>
          </cell>
          <cell r="C93" t="str">
            <v>Widener Cemetery</v>
          </cell>
          <cell r="D93">
            <v>711858</v>
          </cell>
          <cell r="E93">
            <v>3877380</v>
          </cell>
        </row>
        <row r="94">
          <cell r="B94" t="str">
            <v>12-N-13</v>
          </cell>
          <cell r="C94" t="str">
            <v>Parks</v>
          </cell>
          <cell r="D94">
            <v>722345</v>
          </cell>
          <cell r="E94">
            <v>3887390</v>
          </cell>
        </row>
        <row r="95">
          <cell r="B95" t="str">
            <v>12-N-14</v>
          </cell>
          <cell r="C95" t="str">
            <v>Crow Creek</v>
          </cell>
          <cell r="D95">
            <v>706769</v>
          </cell>
          <cell r="E95">
            <v>3875990</v>
          </cell>
        </row>
        <row r="96">
          <cell r="B96" t="str">
            <v>12-N-15</v>
          </cell>
          <cell r="C96" t="str">
            <v>Swan Lake</v>
          </cell>
          <cell r="D96">
            <v>711410</v>
          </cell>
          <cell r="E96">
            <v>3891100</v>
          </cell>
        </row>
        <row r="97">
          <cell r="B97" t="str">
            <v>12-N-16</v>
          </cell>
          <cell r="C97" t="str">
            <v>Dent</v>
          </cell>
          <cell r="D97">
            <v>726598</v>
          </cell>
          <cell r="E97">
            <v>3886430</v>
          </cell>
        </row>
        <row r="98">
          <cell r="B98" t="str">
            <v>12-N-17</v>
          </cell>
          <cell r="C98" t="str">
            <v>Little Eddy</v>
          </cell>
          <cell r="D98">
            <v>707731</v>
          </cell>
          <cell r="E98">
            <v>3882260</v>
          </cell>
        </row>
        <row r="99">
          <cell r="B99" t="str">
            <v>12-N-2</v>
          </cell>
          <cell r="C99" t="str">
            <v>Manly</v>
          </cell>
          <cell r="D99">
            <v>707407</v>
          </cell>
          <cell r="E99">
            <v>3879830</v>
          </cell>
        </row>
        <row r="100">
          <cell r="B100" t="str">
            <v>12-N-3</v>
          </cell>
          <cell r="C100" t="str">
            <v>Rose Mounds</v>
          </cell>
          <cell r="D100">
            <v>718174</v>
          </cell>
          <cell r="E100">
            <v>3898880</v>
          </cell>
        </row>
        <row r="101">
          <cell r="B101" t="str">
            <v>12-N-4</v>
          </cell>
          <cell r="C101" t="str">
            <v>Big Eddy</v>
          </cell>
          <cell r="D101">
            <v>708718</v>
          </cell>
          <cell r="E101">
            <v>3887090</v>
          </cell>
        </row>
        <row r="102">
          <cell r="B102" t="str">
            <v>12-N-5</v>
          </cell>
          <cell r="C102" t="str">
            <v>Welshans</v>
          </cell>
          <cell r="D102">
            <v>712871</v>
          </cell>
          <cell r="E102">
            <v>3899040</v>
          </cell>
        </row>
        <row r="103">
          <cell r="B103" t="str">
            <v>12-N-6</v>
          </cell>
          <cell r="C103" t="str">
            <v>Westmoreland</v>
          </cell>
          <cell r="D103">
            <v>714237</v>
          </cell>
          <cell r="E103">
            <v>3896840</v>
          </cell>
        </row>
        <row r="104">
          <cell r="B104" t="str">
            <v>12-N-7</v>
          </cell>
          <cell r="C104" t="str">
            <v>Lansing</v>
          </cell>
          <cell r="D104">
            <v>719917</v>
          </cell>
          <cell r="E104">
            <v>3893260</v>
          </cell>
        </row>
        <row r="105">
          <cell r="B105" t="str">
            <v>12-N-8</v>
          </cell>
          <cell r="C105" t="str">
            <v>Beckles</v>
          </cell>
          <cell r="D105">
            <v>721339</v>
          </cell>
          <cell r="E105">
            <v>3895560</v>
          </cell>
        </row>
        <row r="106">
          <cell r="B106" t="str">
            <v>12-N-9</v>
          </cell>
          <cell r="C106" t="str">
            <v>Burns</v>
          </cell>
          <cell r="D106">
            <v>716798</v>
          </cell>
          <cell r="E106">
            <v>3885180</v>
          </cell>
        </row>
        <row r="107">
          <cell r="B107" t="str">
            <v>12-O-1</v>
          </cell>
          <cell r="C107" t="str">
            <v>Turner</v>
          </cell>
          <cell r="D107">
            <v>745304</v>
          </cell>
          <cell r="E107">
            <v>3887020</v>
          </cell>
        </row>
        <row r="108">
          <cell r="B108" t="str">
            <v>12-O-2</v>
          </cell>
          <cell r="C108" t="str">
            <v>Pouncey</v>
          </cell>
          <cell r="D108">
            <v>740720</v>
          </cell>
          <cell r="E108">
            <v>3879600</v>
          </cell>
        </row>
        <row r="109">
          <cell r="B109" t="str">
            <v>12-O-3</v>
          </cell>
          <cell r="D109">
            <v>734704</v>
          </cell>
          <cell r="E109">
            <v>3876770</v>
          </cell>
        </row>
        <row r="110">
          <cell r="B110" t="str">
            <v>12-O-4</v>
          </cell>
          <cell r="C110" t="str">
            <v>Davis</v>
          </cell>
          <cell r="D110">
            <v>733867</v>
          </cell>
          <cell r="E110">
            <v>3878950</v>
          </cell>
        </row>
        <row r="111">
          <cell r="B111" t="str">
            <v>12-O-5</v>
          </cell>
          <cell r="D111">
            <v>729200</v>
          </cell>
          <cell r="E111">
            <v>3876410</v>
          </cell>
        </row>
        <row r="112">
          <cell r="B112" t="str">
            <v>12-O-6</v>
          </cell>
          <cell r="C112" t="str">
            <v>Rhodes</v>
          </cell>
          <cell r="D112">
            <v>748933</v>
          </cell>
          <cell r="E112">
            <v>3881330</v>
          </cell>
        </row>
        <row r="113">
          <cell r="B113" t="str">
            <v>12-P-1</v>
          </cell>
          <cell r="C113" t="str">
            <v>Mound Place</v>
          </cell>
          <cell r="D113">
            <v>750991</v>
          </cell>
          <cell r="E113">
            <v>3885290</v>
          </cell>
        </row>
        <row r="114">
          <cell r="B114" t="str">
            <v>12-P-2</v>
          </cell>
          <cell r="C114" t="str">
            <v>Chuckalissa</v>
          </cell>
          <cell r="D114">
            <v>761730</v>
          </cell>
          <cell r="E114">
            <v>3882630</v>
          </cell>
        </row>
        <row r="115">
          <cell r="B115" t="str">
            <v>13-M-1</v>
          </cell>
          <cell r="C115" t="str">
            <v>Hughes</v>
          </cell>
          <cell r="D115">
            <v>702635</v>
          </cell>
          <cell r="E115">
            <v>3859970</v>
          </cell>
        </row>
        <row r="116">
          <cell r="B116" t="str">
            <v>13-N-1</v>
          </cell>
          <cell r="D116">
            <v>714448</v>
          </cell>
          <cell r="E116">
            <v>3854850</v>
          </cell>
        </row>
        <row r="117">
          <cell r="B117" t="str">
            <v>13-N-10</v>
          </cell>
          <cell r="D117">
            <v>728018</v>
          </cell>
          <cell r="E117">
            <v>3854800</v>
          </cell>
        </row>
        <row r="118">
          <cell r="B118" t="str">
            <v>13-N-11</v>
          </cell>
          <cell r="D118">
            <v>718452</v>
          </cell>
          <cell r="E118">
            <v>3848280</v>
          </cell>
        </row>
        <row r="119">
          <cell r="B119" t="str">
            <v>13-N-12</v>
          </cell>
          <cell r="D119">
            <v>723276</v>
          </cell>
          <cell r="E119">
            <v>3852430</v>
          </cell>
        </row>
        <row r="120">
          <cell r="B120" t="str">
            <v>13-N-13</v>
          </cell>
          <cell r="C120" t="str">
            <v>Rawlinson</v>
          </cell>
          <cell r="D120">
            <v>720591</v>
          </cell>
          <cell r="E120">
            <v>3865460</v>
          </cell>
        </row>
        <row r="121">
          <cell r="B121" t="str">
            <v>13-N-14</v>
          </cell>
          <cell r="C121" t="str">
            <v>Connor</v>
          </cell>
          <cell r="D121">
            <v>711133</v>
          </cell>
          <cell r="E121">
            <v>3858060</v>
          </cell>
        </row>
        <row r="122">
          <cell r="B122" t="str">
            <v>13-N-15</v>
          </cell>
          <cell r="C122" t="str">
            <v>Nickel</v>
          </cell>
          <cell r="D122">
            <v>725272</v>
          </cell>
          <cell r="E122">
            <v>3870650</v>
          </cell>
        </row>
        <row r="123">
          <cell r="B123" t="str">
            <v>13-N-16</v>
          </cell>
          <cell r="D123">
            <v>721537</v>
          </cell>
          <cell r="E123">
            <v>3850030</v>
          </cell>
        </row>
        <row r="124">
          <cell r="B124" t="str">
            <v>13-N-17</v>
          </cell>
          <cell r="D124">
            <v>711877</v>
          </cell>
          <cell r="E124">
            <v>3848220</v>
          </cell>
        </row>
        <row r="125">
          <cell r="B125" t="str">
            <v>13-N-18</v>
          </cell>
          <cell r="D125">
            <v>717950</v>
          </cell>
          <cell r="E125">
            <v>3872000</v>
          </cell>
        </row>
        <row r="126">
          <cell r="B126" t="str">
            <v>13-N-19</v>
          </cell>
          <cell r="D126">
            <v>711815</v>
          </cell>
          <cell r="E126">
            <v>3870420</v>
          </cell>
        </row>
        <row r="127">
          <cell r="B127" t="str">
            <v>13-N-2</v>
          </cell>
          <cell r="D127">
            <v>720657</v>
          </cell>
          <cell r="E127">
            <v>3854570</v>
          </cell>
        </row>
        <row r="128">
          <cell r="B128" t="str">
            <v>13-N-21</v>
          </cell>
          <cell r="C128" t="str">
            <v>Castile Landing</v>
          </cell>
          <cell r="D128">
            <v>709415</v>
          </cell>
          <cell r="E128">
            <v>3871820</v>
          </cell>
        </row>
        <row r="129">
          <cell r="B129" t="str">
            <v>13-N-23</v>
          </cell>
          <cell r="D129">
            <v>724090</v>
          </cell>
          <cell r="E129">
            <v>3848450</v>
          </cell>
        </row>
        <row r="130">
          <cell r="B130" t="str">
            <v>13-N-3</v>
          </cell>
          <cell r="D130">
            <v>722513</v>
          </cell>
          <cell r="E130">
            <v>3859730</v>
          </cell>
        </row>
        <row r="131">
          <cell r="B131" t="str">
            <v>13-N-4</v>
          </cell>
          <cell r="D131">
            <v>725729</v>
          </cell>
          <cell r="E131">
            <v>3854530</v>
          </cell>
        </row>
        <row r="132">
          <cell r="B132" t="str">
            <v>13-N-5</v>
          </cell>
          <cell r="C132" t="str">
            <v>Davis</v>
          </cell>
          <cell r="D132">
            <v>725132</v>
          </cell>
          <cell r="E132">
            <v>3858990</v>
          </cell>
        </row>
        <row r="133">
          <cell r="B133" t="str">
            <v>13-N-6</v>
          </cell>
          <cell r="D133">
            <v>723393</v>
          </cell>
          <cell r="E133">
            <v>3855190</v>
          </cell>
        </row>
        <row r="134">
          <cell r="B134" t="str">
            <v>13-N-7</v>
          </cell>
          <cell r="C134" t="str">
            <v>Clay Hill</v>
          </cell>
          <cell r="D134">
            <v>707553</v>
          </cell>
          <cell r="E134">
            <v>3860390</v>
          </cell>
        </row>
        <row r="135">
          <cell r="B135" t="str">
            <v>13-N-8</v>
          </cell>
          <cell r="D135">
            <v>726001</v>
          </cell>
          <cell r="E135">
            <v>3856560</v>
          </cell>
        </row>
        <row r="136">
          <cell r="B136" t="str">
            <v>13-N-9</v>
          </cell>
          <cell r="D136">
            <v>717363</v>
          </cell>
          <cell r="E136">
            <v>3850460</v>
          </cell>
        </row>
        <row r="137">
          <cell r="B137" t="str">
            <v>13-O-1</v>
          </cell>
          <cell r="D137">
            <v>731018</v>
          </cell>
          <cell r="E137">
            <v>3863390</v>
          </cell>
        </row>
        <row r="138">
          <cell r="B138" t="str">
            <v>13-O-10</v>
          </cell>
          <cell r="C138" t="str">
            <v>Hollywood</v>
          </cell>
          <cell r="D138">
            <v>738930</v>
          </cell>
          <cell r="E138">
            <v>3850540</v>
          </cell>
        </row>
        <row r="139">
          <cell r="B139" t="str">
            <v>13-O-11</v>
          </cell>
          <cell r="C139" t="str">
            <v>Commerce</v>
          </cell>
          <cell r="D139">
            <v>738460</v>
          </cell>
          <cell r="E139">
            <v>3854050</v>
          </cell>
        </row>
        <row r="140">
          <cell r="B140" t="str">
            <v>13-O-12</v>
          </cell>
          <cell r="D140">
            <v>741784</v>
          </cell>
          <cell r="E140">
            <v>3849650</v>
          </cell>
        </row>
        <row r="141">
          <cell r="B141" t="str">
            <v>13-O-3</v>
          </cell>
          <cell r="D141">
            <v>732403</v>
          </cell>
          <cell r="E141">
            <v>3869010</v>
          </cell>
        </row>
        <row r="142">
          <cell r="B142" t="str">
            <v>13-O-4</v>
          </cell>
          <cell r="D142">
            <v>737248</v>
          </cell>
          <cell r="E142">
            <v>3872690</v>
          </cell>
        </row>
        <row r="143">
          <cell r="B143" t="str">
            <v>13-O-5</v>
          </cell>
          <cell r="D143">
            <v>734106</v>
          </cell>
          <cell r="E143">
            <v>3864630</v>
          </cell>
        </row>
        <row r="144">
          <cell r="B144" t="str">
            <v>13-O-5</v>
          </cell>
          <cell r="D144">
            <v>734679</v>
          </cell>
          <cell r="E144">
            <v>3864300</v>
          </cell>
        </row>
        <row r="145">
          <cell r="B145" t="str">
            <v>13-O-6</v>
          </cell>
          <cell r="D145">
            <v>729228</v>
          </cell>
          <cell r="E145">
            <v>3872190</v>
          </cell>
        </row>
        <row r="146">
          <cell r="B146" t="str">
            <v>13-O-7</v>
          </cell>
          <cell r="D146">
            <v>737722</v>
          </cell>
          <cell r="E146">
            <v>3864960</v>
          </cell>
        </row>
        <row r="147">
          <cell r="B147" t="str">
            <v>13-O-7</v>
          </cell>
          <cell r="D147">
            <v>737896</v>
          </cell>
          <cell r="E147">
            <v>3864740</v>
          </cell>
        </row>
        <row r="148">
          <cell r="B148" t="str">
            <v>13-O-8</v>
          </cell>
          <cell r="D148">
            <v>730526</v>
          </cell>
          <cell r="E148">
            <v>3870920</v>
          </cell>
        </row>
        <row r="149">
          <cell r="B149" t="str">
            <v>13-O-9</v>
          </cell>
          <cell r="D149">
            <v>736559</v>
          </cell>
          <cell r="E149">
            <v>3874560</v>
          </cell>
        </row>
        <row r="150">
          <cell r="B150" t="str">
            <v>13-P-1</v>
          </cell>
          <cell r="C150" t="str">
            <v>Walls</v>
          </cell>
          <cell r="D150">
            <v>753912</v>
          </cell>
          <cell r="E150">
            <v>3873640</v>
          </cell>
        </row>
        <row r="151">
          <cell r="B151" t="str">
            <v>13-P-10</v>
          </cell>
          <cell r="D151">
            <v>759581</v>
          </cell>
          <cell r="E151">
            <v>3865800</v>
          </cell>
        </row>
        <row r="152">
          <cell r="B152" t="str">
            <v>13-P-11</v>
          </cell>
          <cell r="D152">
            <v>753993</v>
          </cell>
          <cell r="E152">
            <v>3871310</v>
          </cell>
        </row>
        <row r="153">
          <cell r="B153" t="str">
            <v>13-P-3</v>
          </cell>
          <cell r="D153">
            <v>757391</v>
          </cell>
          <cell r="E153">
            <v>3867500</v>
          </cell>
        </row>
        <row r="154">
          <cell r="B154" t="str">
            <v>13-P-4</v>
          </cell>
          <cell r="D154">
            <v>759719</v>
          </cell>
          <cell r="E154">
            <v>3868400</v>
          </cell>
        </row>
        <row r="155">
          <cell r="B155" t="str">
            <v>13-P-5</v>
          </cell>
          <cell r="D155">
            <v>753463</v>
          </cell>
          <cell r="E155">
            <v>3863500</v>
          </cell>
        </row>
        <row r="156">
          <cell r="B156" t="str">
            <v>13-P-6</v>
          </cell>
          <cell r="D156">
            <v>756529</v>
          </cell>
          <cell r="E156">
            <v>3871730</v>
          </cell>
        </row>
        <row r="157">
          <cell r="B157" t="str">
            <v>13-P-7</v>
          </cell>
          <cell r="D157">
            <v>751930</v>
          </cell>
          <cell r="E157">
            <v>3869960</v>
          </cell>
        </row>
        <row r="158">
          <cell r="B158" t="str">
            <v>13-P-8</v>
          </cell>
          <cell r="D158">
            <v>753981</v>
          </cell>
          <cell r="E158">
            <v>3866890</v>
          </cell>
        </row>
        <row r="159">
          <cell r="B159" t="str">
            <v>13-P-9</v>
          </cell>
          <cell r="D159">
            <v>755964</v>
          </cell>
          <cell r="E159">
            <v>3865550</v>
          </cell>
        </row>
        <row r="160">
          <cell r="B160" t="str">
            <v>14-H-1</v>
          </cell>
          <cell r="C160" t="str">
            <v>Toltec</v>
          </cell>
          <cell r="D160">
            <v>587477</v>
          </cell>
          <cell r="E160">
            <v>3834590</v>
          </cell>
        </row>
        <row r="161">
          <cell r="B161" t="str">
            <v>14-H-2</v>
          </cell>
          <cell r="C161" t="str">
            <v>Keo</v>
          </cell>
          <cell r="D161">
            <v>587483</v>
          </cell>
          <cell r="E161">
            <v>3826720</v>
          </cell>
        </row>
        <row r="162">
          <cell r="B162" t="str">
            <v>14-L-1</v>
          </cell>
          <cell r="C162" t="str">
            <v>Websters Camp</v>
          </cell>
          <cell r="D162">
            <v>667839</v>
          </cell>
          <cell r="E162">
            <v>3820000</v>
          </cell>
        </row>
        <row r="163">
          <cell r="B163" t="str">
            <v>14-M-2</v>
          </cell>
          <cell r="C163" t="str">
            <v>Bonner</v>
          </cell>
          <cell r="D163">
            <v>694247</v>
          </cell>
          <cell r="E163">
            <v>3835880</v>
          </cell>
        </row>
        <row r="164">
          <cell r="B164" t="str">
            <v>14-M-3</v>
          </cell>
          <cell r="C164" t="str">
            <v>Broom</v>
          </cell>
          <cell r="D164">
            <v>685878</v>
          </cell>
          <cell r="E164">
            <v>3828190</v>
          </cell>
        </row>
        <row r="165">
          <cell r="B165" t="str">
            <v>14-N-1</v>
          </cell>
          <cell r="C165" t="str">
            <v>Moore</v>
          </cell>
          <cell r="D165">
            <v>715414</v>
          </cell>
          <cell r="E165">
            <v>3833060</v>
          </cell>
        </row>
        <row r="166">
          <cell r="B166" t="str">
            <v>14-N-2</v>
          </cell>
          <cell r="D166">
            <v>717745</v>
          </cell>
          <cell r="E166">
            <v>3834450</v>
          </cell>
        </row>
        <row r="167">
          <cell r="B167" t="str">
            <v>14-N-4</v>
          </cell>
          <cell r="C167" t="str">
            <v>Bowie</v>
          </cell>
          <cell r="D167">
            <v>715513</v>
          </cell>
          <cell r="E167">
            <v>3822960</v>
          </cell>
        </row>
        <row r="168">
          <cell r="B168" t="str">
            <v>14-N-6</v>
          </cell>
          <cell r="C168" t="str">
            <v>Helena</v>
          </cell>
          <cell r="D168">
            <v>720022</v>
          </cell>
          <cell r="E168">
            <v>3820480</v>
          </cell>
        </row>
        <row r="169">
          <cell r="B169" t="str">
            <v>14-N-7</v>
          </cell>
          <cell r="C169" t="str">
            <v>Whitehall</v>
          </cell>
          <cell r="D169">
            <v>721528</v>
          </cell>
          <cell r="E169">
            <v>3843080</v>
          </cell>
        </row>
        <row r="170">
          <cell r="B170" t="str">
            <v>14-N-8</v>
          </cell>
          <cell r="C170" t="str">
            <v>Forrest Place</v>
          </cell>
          <cell r="D170">
            <v>711844</v>
          </cell>
          <cell r="E170">
            <v>3840600</v>
          </cell>
        </row>
        <row r="171">
          <cell r="B171" t="str">
            <v>14-O-1</v>
          </cell>
          <cell r="C171" t="str">
            <v>Evansville</v>
          </cell>
          <cell r="D171">
            <v>738667</v>
          </cell>
          <cell r="E171">
            <v>3834610</v>
          </cell>
        </row>
        <row r="172">
          <cell r="B172" t="str">
            <v>14-O-10</v>
          </cell>
          <cell r="C172" t="str">
            <v>West</v>
          </cell>
          <cell r="D172">
            <v>731828</v>
          </cell>
          <cell r="E172">
            <v>3824450</v>
          </cell>
        </row>
        <row r="173">
          <cell r="B173" t="str">
            <v>14-O-11</v>
          </cell>
          <cell r="D173">
            <v>749901</v>
          </cell>
          <cell r="E173">
            <v>3845370</v>
          </cell>
        </row>
        <row r="174">
          <cell r="B174" t="str">
            <v>14-O-13</v>
          </cell>
          <cell r="C174" t="str">
            <v>Dundee</v>
          </cell>
          <cell r="D174">
            <v>750314</v>
          </cell>
          <cell r="E174">
            <v>3826660</v>
          </cell>
        </row>
        <row r="175">
          <cell r="B175" t="str">
            <v>14-O-2</v>
          </cell>
          <cell r="C175" t="str">
            <v>Owens</v>
          </cell>
          <cell r="D175">
            <v>735397</v>
          </cell>
          <cell r="E175">
            <v>3832040</v>
          </cell>
        </row>
        <row r="176">
          <cell r="B176" t="str">
            <v>14-O-3</v>
          </cell>
          <cell r="C176" t="str">
            <v>Beaverdam</v>
          </cell>
          <cell r="D176">
            <v>737449</v>
          </cell>
          <cell r="E176">
            <v>3833090</v>
          </cell>
        </row>
        <row r="177">
          <cell r="B177" t="str">
            <v>14-O-4</v>
          </cell>
          <cell r="D177">
            <v>736459</v>
          </cell>
          <cell r="E177">
            <v>3845290</v>
          </cell>
        </row>
        <row r="178">
          <cell r="B178" t="str">
            <v>14-O-6</v>
          </cell>
          <cell r="D178">
            <v>741295</v>
          </cell>
          <cell r="E178">
            <v>3845950</v>
          </cell>
        </row>
        <row r="179">
          <cell r="B179" t="str">
            <v>14-O-7</v>
          </cell>
          <cell r="D179">
            <v>737112</v>
          </cell>
          <cell r="E179">
            <v>3841160</v>
          </cell>
        </row>
        <row r="180">
          <cell r="B180" t="str">
            <v>14-O-8</v>
          </cell>
          <cell r="C180" t="str">
            <v>Dundee</v>
          </cell>
          <cell r="D180">
            <v>732480</v>
          </cell>
          <cell r="E180">
            <v>3821700</v>
          </cell>
        </row>
        <row r="181">
          <cell r="B181" t="str">
            <v>14-P-2</v>
          </cell>
          <cell r="C181" t="str">
            <v>Pritchard</v>
          </cell>
          <cell r="D181">
            <v>752967</v>
          </cell>
          <cell r="E181">
            <v>3842770</v>
          </cell>
        </row>
        <row r="182">
          <cell r="B182" t="str">
            <v>14-P-4</v>
          </cell>
          <cell r="D182">
            <v>764931</v>
          </cell>
          <cell r="E182">
            <v>3846780</v>
          </cell>
        </row>
        <row r="183">
          <cell r="B183" t="str">
            <v>15-H-1</v>
          </cell>
          <cell r="C183" t="str">
            <v>Greer</v>
          </cell>
          <cell r="D183">
            <v>586728</v>
          </cell>
          <cell r="E183">
            <v>3810740</v>
          </cell>
        </row>
        <row r="184">
          <cell r="B184" t="str">
            <v>15-I-1</v>
          </cell>
          <cell r="C184" t="str">
            <v>Walt</v>
          </cell>
          <cell r="D184">
            <v>611772</v>
          </cell>
          <cell r="E184">
            <v>3795690</v>
          </cell>
        </row>
        <row r="185">
          <cell r="B185" t="str">
            <v>15-L-2</v>
          </cell>
          <cell r="C185" t="str">
            <v>Baytown</v>
          </cell>
          <cell r="D185">
            <v>678893</v>
          </cell>
          <cell r="E185">
            <v>3806090</v>
          </cell>
        </row>
        <row r="186">
          <cell r="B186" t="str">
            <v>15-M-1</v>
          </cell>
          <cell r="C186" t="str">
            <v>Tinsley</v>
          </cell>
          <cell r="D186">
            <v>688201</v>
          </cell>
          <cell r="E186">
            <v>3800420</v>
          </cell>
        </row>
        <row r="187">
          <cell r="B187" t="str">
            <v>15-M-6</v>
          </cell>
          <cell r="C187" t="str">
            <v>Hugo</v>
          </cell>
          <cell r="D187">
            <v>699055</v>
          </cell>
          <cell r="E187">
            <v>3805680</v>
          </cell>
        </row>
        <row r="188">
          <cell r="B188" t="str">
            <v>15-M-7</v>
          </cell>
          <cell r="D188">
            <v>705273</v>
          </cell>
          <cell r="E188">
            <v>3796560</v>
          </cell>
        </row>
        <row r="189">
          <cell r="B189" t="str">
            <v>15-N-1</v>
          </cell>
          <cell r="C189" t="str">
            <v>Hugh</v>
          </cell>
          <cell r="D189">
            <v>719663</v>
          </cell>
          <cell r="E189">
            <v>3813750</v>
          </cell>
        </row>
        <row r="190">
          <cell r="B190" t="str">
            <v>15-N-10</v>
          </cell>
          <cell r="C190" t="str">
            <v>Dickerson</v>
          </cell>
          <cell r="D190">
            <v>718506</v>
          </cell>
          <cell r="E190">
            <v>3799260</v>
          </cell>
        </row>
        <row r="191">
          <cell r="B191" t="str">
            <v>15-N-2</v>
          </cell>
          <cell r="C191" t="str">
            <v>Ellis</v>
          </cell>
          <cell r="D191">
            <v>718757</v>
          </cell>
          <cell r="E191">
            <v>3810440</v>
          </cell>
        </row>
        <row r="192">
          <cell r="B192" t="str">
            <v>15-N-3</v>
          </cell>
          <cell r="C192" t="str">
            <v>Old Town</v>
          </cell>
          <cell r="D192">
            <v>708268</v>
          </cell>
          <cell r="E192">
            <v>3808000</v>
          </cell>
        </row>
        <row r="193">
          <cell r="B193" t="str">
            <v>15-N-4</v>
          </cell>
          <cell r="D193">
            <v>707130</v>
          </cell>
          <cell r="E193">
            <v>3806300</v>
          </cell>
        </row>
        <row r="194">
          <cell r="B194" t="str">
            <v>15-N-5</v>
          </cell>
          <cell r="C194" t="str">
            <v>Parchman</v>
          </cell>
          <cell r="D194">
            <v>725377</v>
          </cell>
          <cell r="E194">
            <v>3803580</v>
          </cell>
        </row>
        <row r="195">
          <cell r="B195" t="str">
            <v>15-N-6</v>
          </cell>
          <cell r="C195" t="str">
            <v>Carson</v>
          </cell>
          <cell r="D195">
            <v>711345</v>
          </cell>
          <cell r="E195">
            <v>3796520</v>
          </cell>
        </row>
        <row r="196">
          <cell r="B196" t="str">
            <v>15-O-1</v>
          </cell>
          <cell r="D196">
            <v>731320</v>
          </cell>
          <cell r="E196">
            <v>3804150</v>
          </cell>
        </row>
        <row r="197">
          <cell r="B197" t="str">
            <v>15-O-1</v>
          </cell>
          <cell r="C197" t="str">
            <v>Lula</v>
          </cell>
          <cell r="D197">
            <v>732691</v>
          </cell>
          <cell r="E197">
            <v>3818280</v>
          </cell>
        </row>
        <row r="198">
          <cell r="B198" t="str">
            <v>15-O-10</v>
          </cell>
          <cell r="D198">
            <v>730327</v>
          </cell>
          <cell r="E198">
            <v>3808290</v>
          </cell>
        </row>
        <row r="199">
          <cell r="B199" t="str">
            <v>15-O-11</v>
          </cell>
          <cell r="D199">
            <v>749529</v>
          </cell>
          <cell r="E199">
            <v>3793350</v>
          </cell>
        </row>
        <row r="200">
          <cell r="B200" t="str">
            <v>15-O-12</v>
          </cell>
          <cell r="D200">
            <v>747038</v>
          </cell>
          <cell r="E200">
            <v>3795120</v>
          </cell>
        </row>
        <row r="201">
          <cell r="B201" t="str">
            <v>15-O-13</v>
          </cell>
          <cell r="D201">
            <v>749809</v>
          </cell>
          <cell r="E201">
            <v>3812020</v>
          </cell>
        </row>
        <row r="202">
          <cell r="B202" t="str">
            <v>15-O-15</v>
          </cell>
          <cell r="D202">
            <v>740672</v>
          </cell>
          <cell r="E202">
            <v>3799610</v>
          </cell>
        </row>
        <row r="203">
          <cell r="B203" t="str">
            <v>15-O-16</v>
          </cell>
          <cell r="D203">
            <v>743878</v>
          </cell>
          <cell r="E203">
            <v>3798940</v>
          </cell>
        </row>
        <row r="204">
          <cell r="B204" t="str">
            <v>15-O-18</v>
          </cell>
          <cell r="D204">
            <v>745014</v>
          </cell>
          <cell r="E204">
            <v>3793760</v>
          </cell>
        </row>
        <row r="205">
          <cell r="B205" t="str">
            <v>15-O-2</v>
          </cell>
          <cell r="D205">
            <v>732861</v>
          </cell>
          <cell r="E205">
            <v>3812570</v>
          </cell>
        </row>
        <row r="206">
          <cell r="B206" t="str">
            <v>15-O-4</v>
          </cell>
          <cell r="D206">
            <v>730087</v>
          </cell>
          <cell r="E206">
            <v>3816170</v>
          </cell>
        </row>
        <row r="207">
          <cell r="B207" t="str">
            <v>15-O-5</v>
          </cell>
          <cell r="D207">
            <v>731401</v>
          </cell>
          <cell r="E207">
            <v>3810120</v>
          </cell>
        </row>
        <row r="208">
          <cell r="B208" t="str">
            <v>15-O-6</v>
          </cell>
          <cell r="D208">
            <v>747160</v>
          </cell>
          <cell r="E208">
            <v>3801430</v>
          </cell>
        </row>
        <row r="209">
          <cell r="B209" t="str">
            <v>15-O-7</v>
          </cell>
          <cell r="C209" t="str">
            <v>Powell</v>
          </cell>
          <cell r="D209">
            <v>738262</v>
          </cell>
          <cell r="E209">
            <v>3793390</v>
          </cell>
        </row>
        <row r="210">
          <cell r="B210" t="str">
            <v>15-O-9</v>
          </cell>
          <cell r="D210">
            <v>730147</v>
          </cell>
          <cell r="E210">
            <v>3805840</v>
          </cell>
        </row>
        <row r="211">
          <cell r="B211" t="str">
            <v>15-P-1</v>
          </cell>
          <cell r="C211" t="str">
            <v>Thomas</v>
          </cell>
          <cell r="D211">
            <v>770245</v>
          </cell>
          <cell r="E211">
            <v>3800320</v>
          </cell>
        </row>
        <row r="212">
          <cell r="B212" t="str">
            <v>15-P-2</v>
          </cell>
          <cell r="D212">
            <v>753223</v>
          </cell>
          <cell r="E212">
            <v>3813380</v>
          </cell>
        </row>
        <row r="213">
          <cell r="B213" t="str">
            <v>15-P-3</v>
          </cell>
          <cell r="C213" t="str">
            <v>Indian Cr.</v>
          </cell>
          <cell r="D213">
            <v>761736</v>
          </cell>
          <cell r="E213">
            <v>3814530</v>
          </cell>
        </row>
        <row r="214">
          <cell r="B214" t="str">
            <v>15-P-4</v>
          </cell>
          <cell r="C214" t="str">
            <v>Corn Lake</v>
          </cell>
          <cell r="D214">
            <v>758880</v>
          </cell>
          <cell r="E214">
            <v>3809960</v>
          </cell>
        </row>
        <row r="215">
          <cell r="B215" t="str">
            <v>16-I-3</v>
          </cell>
          <cell r="C215" t="str">
            <v>Noble Lake</v>
          </cell>
          <cell r="D215">
            <v>604263</v>
          </cell>
          <cell r="E215">
            <v>3784450</v>
          </cell>
        </row>
        <row r="216">
          <cell r="B216" t="str">
            <v>16-J-1</v>
          </cell>
          <cell r="C216" t="str">
            <v>Douglas</v>
          </cell>
          <cell r="D216">
            <v>637241</v>
          </cell>
          <cell r="E216">
            <v>3768590</v>
          </cell>
        </row>
        <row r="217">
          <cell r="B217" t="str">
            <v>16-K-1</v>
          </cell>
          <cell r="C217" t="str">
            <v>Jones</v>
          </cell>
          <cell r="D217">
            <v>649623</v>
          </cell>
          <cell r="E217">
            <v>3764910</v>
          </cell>
        </row>
        <row r="218">
          <cell r="B218" t="str">
            <v>16-L-3</v>
          </cell>
          <cell r="C218" t="str">
            <v>Stovall</v>
          </cell>
          <cell r="D218">
            <v>670514</v>
          </cell>
          <cell r="E218">
            <v>3787350</v>
          </cell>
        </row>
        <row r="219">
          <cell r="B219" t="str">
            <v>16-L-3</v>
          </cell>
          <cell r="D219">
            <v>670287</v>
          </cell>
          <cell r="E219">
            <v>3787260</v>
          </cell>
        </row>
        <row r="220">
          <cell r="B220" t="str">
            <v>16-L-6</v>
          </cell>
          <cell r="C220" t="str">
            <v>Dupress</v>
          </cell>
          <cell r="D220">
            <v>682776</v>
          </cell>
          <cell r="E220">
            <v>3783580</v>
          </cell>
        </row>
        <row r="221">
          <cell r="B221" t="str">
            <v>16-M-1</v>
          </cell>
          <cell r="C221" t="str">
            <v>Avenue</v>
          </cell>
          <cell r="D221">
            <v>690527</v>
          </cell>
          <cell r="E221">
            <v>3784280</v>
          </cell>
        </row>
        <row r="222">
          <cell r="B222" t="str">
            <v>16-M-2</v>
          </cell>
          <cell r="C222" t="str">
            <v>Tomanelli</v>
          </cell>
          <cell r="D222">
            <v>699076</v>
          </cell>
          <cell r="E222">
            <v>3770770</v>
          </cell>
        </row>
        <row r="223">
          <cell r="B223" t="str">
            <v>16-M-3</v>
          </cell>
          <cell r="C223" t="str">
            <v>Yates</v>
          </cell>
          <cell r="D223">
            <v>704609</v>
          </cell>
          <cell r="E223">
            <v>3766240</v>
          </cell>
        </row>
        <row r="224">
          <cell r="B224" t="str">
            <v>16-M-5</v>
          </cell>
          <cell r="D224">
            <v>699196</v>
          </cell>
          <cell r="E224">
            <v>3765030</v>
          </cell>
        </row>
        <row r="225">
          <cell r="B225" t="str">
            <v>16-M-6</v>
          </cell>
          <cell r="C225" t="str">
            <v>Stokes B.</v>
          </cell>
          <cell r="D225">
            <v>697259</v>
          </cell>
          <cell r="E225">
            <v>3766410</v>
          </cell>
        </row>
        <row r="226">
          <cell r="B226" t="str">
            <v>16-N-1</v>
          </cell>
          <cell r="D226">
            <v>712291</v>
          </cell>
          <cell r="E226">
            <v>3775070</v>
          </cell>
        </row>
        <row r="227">
          <cell r="B227" t="str">
            <v>16-N-10</v>
          </cell>
          <cell r="D227">
            <v>726680</v>
          </cell>
          <cell r="E227">
            <v>3775580</v>
          </cell>
        </row>
        <row r="228">
          <cell r="B228" t="str">
            <v>16-N-11</v>
          </cell>
          <cell r="D228">
            <v>728068</v>
          </cell>
          <cell r="E228">
            <v>3770230</v>
          </cell>
        </row>
        <row r="229">
          <cell r="B229" t="str">
            <v>16-N-12</v>
          </cell>
          <cell r="D229">
            <v>710870</v>
          </cell>
          <cell r="E229">
            <v>3782870</v>
          </cell>
        </row>
        <row r="230">
          <cell r="B230" t="str">
            <v>16-N-14</v>
          </cell>
          <cell r="D230">
            <v>713449</v>
          </cell>
          <cell r="E230">
            <v>3787130</v>
          </cell>
        </row>
        <row r="231">
          <cell r="B231" t="str">
            <v>16-N-17</v>
          </cell>
          <cell r="D231">
            <v>709954</v>
          </cell>
          <cell r="E231">
            <v>3768080</v>
          </cell>
        </row>
        <row r="232">
          <cell r="B232" t="str">
            <v>16-N-18</v>
          </cell>
          <cell r="D232">
            <v>721593</v>
          </cell>
          <cell r="E232">
            <v>3784940</v>
          </cell>
        </row>
        <row r="233">
          <cell r="B233" t="str">
            <v>16-N-19</v>
          </cell>
          <cell r="C233" t="str">
            <v>Crawford</v>
          </cell>
          <cell r="D233">
            <v>723849</v>
          </cell>
          <cell r="E233">
            <v>3771110</v>
          </cell>
        </row>
        <row r="234">
          <cell r="B234" t="str">
            <v>16-N-2</v>
          </cell>
          <cell r="D234">
            <v>708800</v>
          </cell>
          <cell r="E234">
            <v>3773690</v>
          </cell>
        </row>
        <row r="235">
          <cell r="B235" t="str">
            <v>16-N-20</v>
          </cell>
          <cell r="D235">
            <v>718565</v>
          </cell>
          <cell r="E235">
            <v>3786690</v>
          </cell>
        </row>
        <row r="236">
          <cell r="B236" t="str">
            <v>16-N-22</v>
          </cell>
          <cell r="D236">
            <v>724631</v>
          </cell>
          <cell r="E236">
            <v>3784290</v>
          </cell>
        </row>
        <row r="237">
          <cell r="B237" t="str">
            <v>16-N-23</v>
          </cell>
          <cell r="D237">
            <v>724988</v>
          </cell>
          <cell r="E237">
            <v>3782020</v>
          </cell>
        </row>
        <row r="238">
          <cell r="B238" t="str">
            <v>16-N-25</v>
          </cell>
          <cell r="D238">
            <v>728389</v>
          </cell>
          <cell r="E238">
            <v>3772850</v>
          </cell>
        </row>
        <row r="239">
          <cell r="B239" t="str">
            <v>16-N-3</v>
          </cell>
          <cell r="D239">
            <v>724608</v>
          </cell>
          <cell r="E239">
            <v>3779450</v>
          </cell>
        </row>
        <row r="240">
          <cell r="B240" t="str">
            <v>16-N-4</v>
          </cell>
          <cell r="D240">
            <v>717339</v>
          </cell>
          <cell r="E240">
            <v>3791340</v>
          </cell>
        </row>
        <row r="241">
          <cell r="B241" t="str">
            <v>16-N-5</v>
          </cell>
          <cell r="D241">
            <v>717835</v>
          </cell>
          <cell r="E241">
            <v>3789150</v>
          </cell>
        </row>
        <row r="242">
          <cell r="B242" t="str">
            <v>16-N-6</v>
          </cell>
          <cell r="C242" t="str">
            <v>Oliver</v>
          </cell>
          <cell r="D242">
            <v>720830</v>
          </cell>
          <cell r="E242">
            <v>3768970</v>
          </cell>
        </row>
        <row r="243">
          <cell r="B243" t="str">
            <v>16-N-7</v>
          </cell>
          <cell r="D243">
            <v>712966</v>
          </cell>
          <cell r="E243">
            <v>3778930</v>
          </cell>
        </row>
        <row r="244">
          <cell r="B244" t="str">
            <v>16-N-7</v>
          </cell>
          <cell r="D244">
            <v>712826</v>
          </cell>
          <cell r="E244">
            <v>3778730</v>
          </cell>
        </row>
        <row r="245">
          <cell r="B245" t="str">
            <v>16-N-9</v>
          </cell>
          <cell r="D245">
            <v>728912</v>
          </cell>
          <cell r="E245">
            <v>3776890</v>
          </cell>
        </row>
        <row r="246">
          <cell r="B246" t="str">
            <v>16-O-1</v>
          </cell>
          <cell r="D246">
            <v>732175</v>
          </cell>
          <cell r="E246">
            <v>3788240</v>
          </cell>
        </row>
        <row r="247">
          <cell r="B247" t="str">
            <v>16-O-11</v>
          </cell>
          <cell r="D247">
            <v>735663</v>
          </cell>
          <cell r="E247">
            <v>3789290</v>
          </cell>
        </row>
        <row r="248">
          <cell r="B248" t="str">
            <v>16-O-13</v>
          </cell>
          <cell r="D248">
            <v>744963</v>
          </cell>
          <cell r="E248">
            <v>3782580</v>
          </cell>
        </row>
        <row r="249">
          <cell r="B249" t="str">
            <v>16-O-13</v>
          </cell>
          <cell r="D249">
            <v>745199</v>
          </cell>
          <cell r="E249">
            <v>3782250</v>
          </cell>
        </row>
        <row r="250">
          <cell r="B250" t="str">
            <v>16-O-14</v>
          </cell>
          <cell r="D250">
            <v>751284</v>
          </cell>
          <cell r="E250">
            <v>3768900</v>
          </cell>
        </row>
        <row r="251">
          <cell r="B251" t="str">
            <v>16-O-15</v>
          </cell>
          <cell r="D251">
            <v>733696</v>
          </cell>
          <cell r="E251">
            <v>3773320</v>
          </cell>
        </row>
        <row r="252">
          <cell r="B252" t="str">
            <v>16-O-16</v>
          </cell>
          <cell r="D252">
            <v>734081</v>
          </cell>
          <cell r="E252">
            <v>3771220</v>
          </cell>
        </row>
        <row r="253">
          <cell r="B253" t="str">
            <v>16-O-17</v>
          </cell>
          <cell r="D253">
            <v>749689</v>
          </cell>
          <cell r="E253">
            <v>3777960</v>
          </cell>
        </row>
        <row r="254">
          <cell r="B254" t="str">
            <v>16-O-2</v>
          </cell>
          <cell r="D254">
            <v>732685</v>
          </cell>
          <cell r="E254">
            <v>3778260</v>
          </cell>
        </row>
        <row r="255">
          <cell r="B255" t="str">
            <v>16-O-3</v>
          </cell>
          <cell r="D255">
            <v>740305</v>
          </cell>
          <cell r="E255">
            <v>3767380</v>
          </cell>
        </row>
        <row r="256">
          <cell r="B256" t="str">
            <v>16-O-6</v>
          </cell>
          <cell r="D256">
            <v>744428</v>
          </cell>
          <cell r="E256">
            <v>3786320</v>
          </cell>
        </row>
        <row r="257">
          <cell r="B257" t="str">
            <v>16-O-7</v>
          </cell>
          <cell r="D257">
            <v>737614</v>
          </cell>
          <cell r="E257">
            <v>3781730</v>
          </cell>
        </row>
        <row r="258">
          <cell r="B258" t="str">
            <v>16-O-8</v>
          </cell>
          <cell r="D258">
            <v>736443</v>
          </cell>
          <cell r="E258">
            <v>3776050</v>
          </cell>
        </row>
        <row r="259">
          <cell r="B259" t="str">
            <v>16-P-1</v>
          </cell>
          <cell r="D259">
            <v>771187</v>
          </cell>
          <cell r="E259">
            <v>3766640</v>
          </cell>
        </row>
        <row r="260">
          <cell r="B260" t="str">
            <v>16-P-2</v>
          </cell>
          <cell r="D260">
            <v>753408</v>
          </cell>
          <cell r="E260">
            <v>3789490</v>
          </cell>
        </row>
        <row r="261">
          <cell r="B261" t="str">
            <v>16-P-3</v>
          </cell>
          <cell r="D261">
            <v>757671</v>
          </cell>
          <cell r="E261">
            <v>3783870</v>
          </cell>
        </row>
        <row r="262">
          <cell r="B262" t="str">
            <v>16-P-4</v>
          </cell>
          <cell r="D262">
            <v>755259</v>
          </cell>
          <cell r="E262">
            <v>3783170</v>
          </cell>
        </row>
        <row r="263">
          <cell r="B263" t="str">
            <v>16-P-5</v>
          </cell>
          <cell r="D263">
            <v>754652</v>
          </cell>
          <cell r="E263">
            <v>3787410</v>
          </cell>
        </row>
        <row r="264">
          <cell r="B264" t="str">
            <v>16-P-6</v>
          </cell>
          <cell r="D264">
            <v>755436</v>
          </cell>
          <cell r="E264">
            <v>3785510</v>
          </cell>
        </row>
        <row r="265">
          <cell r="B265" t="str">
            <v>16-P-7</v>
          </cell>
          <cell r="D265">
            <v>757214</v>
          </cell>
          <cell r="E265">
            <v>3781300</v>
          </cell>
        </row>
        <row r="266">
          <cell r="B266" t="str">
            <v>16-P-8</v>
          </cell>
          <cell r="D266">
            <v>757541</v>
          </cell>
          <cell r="E266">
            <v>3779450</v>
          </cell>
        </row>
        <row r="267">
          <cell r="B267" t="str">
            <v>17-K-1</v>
          </cell>
          <cell r="D267">
            <v>659554</v>
          </cell>
          <cell r="E267">
            <v>3759090</v>
          </cell>
        </row>
        <row r="268">
          <cell r="B268" t="str">
            <v>17-K-3</v>
          </cell>
          <cell r="D268">
            <v>660004</v>
          </cell>
          <cell r="E268">
            <v>3762160</v>
          </cell>
        </row>
        <row r="269">
          <cell r="B269" t="str">
            <v>17-K-5</v>
          </cell>
          <cell r="D269">
            <v>660234</v>
          </cell>
          <cell r="E269">
            <v>3737720</v>
          </cell>
        </row>
        <row r="270">
          <cell r="B270" t="str">
            <v>17-K-6</v>
          </cell>
          <cell r="D270">
            <v>659546</v>
          </cell>
          <cell r="E270">
            <v>3740130</v>
          </cell>
        </row>
        <row r="271">
          <cell r="B271" t="str">
            <v>17-K-7</v>
          </cell>
          <cell r="D271">
            <v>658649</v>
          </cell>
          <cell r="E271">
            <v>3735930</v>
          </cell>
        </row>
        <row r="272">
          <cell r="B272" t="str">
            <v>17-L-1</v>
          </cell>
          <cell r="D272">
            <v>661971</v>
          </cell>
          <cell r="E272">
            <v>3762660</v>
          </cell>
        </row>
        <row r="273">
          <cell r="B273" t="str">
            <v>17-L-3</v>
          </cell>
          <cell r="D273">
            <v>662038</v>
          </cell>
          <cell r="E273">
            <v>3759430</v>
          </cell>
        </row>
        <row r="274">
          <cell r="B274" t="str">
            <v>17-L-4</v>
          </cell>
          <cell r="D274">
            <v>662679</v>
          </cell>
          <cell r="E274">
            <v>3753780</v>
          </cell>
        </row>
        <row r="275">
          <cell r="B275" t="str">
            <v>17-L-5</v>
          </cell>
          <cell r="C275" t="str">
            <v>Bear Ridge</v>
          </cell>
          <cell r="D275">
            <v>683037</v>
          </cell>
          <cell r="E275">
            <v>3753260</v>
          </cell>
        </row>
        <row r="276">
          <cell r="B276" t="str">
            <v>17-M-1</v>
          </cell>
          <cell r="D276">
            <v>685270</v>
          </cell>
          <cell r="E276">
            <v>3755230</v>
          </cell>
        </row>
        <row r="277">
          <cell r="B277" t="str">
            <v>17-M-10</v>
          </cell>
          <cell r="D277">
            <v>695653</v>
          </cell>
          <cell r="E277">
            <v>3746440</v>
          </cell>
        </row>
        <row r="278">
          <cell r="B278" t="str">
            <v>17-M-11</v>
          </cell>
          <cell r="D278">
            <v>692713</v>
          </cell>
          <cell r="E278">
            <v>3749490</v>
          </cell>
        </row>
        <row r="279">
          <cell r="B279" t="str">
            <v>17-M-11</v>
          </cell>
          <cell r="D279">
            <v>692678</v>
          </cell>
          <cell r="E279">
            <v>3749940</v>
          </cell>
        </row>
        <row r="280">
          <cell r="B280" t="str">
            <v>17-M-12</v>
          </cell>
          <cell r="D280">
            <v>692098</v>
          </cell>
          <cell r="E280">
            <v>3746610</v>
          </cell>
        </row>
        <row r="281">
          <cell r="B281" t="str">
            <v>17-M-13</v>
          </cell>
          <cell r="D281">
            <v>689311</v>
          </cell>
          <cell r="E281">
            <v>3745220</v>
          </cell>
        </row>
        <row r="282">
          <cell r="B282" t="str">
            <v>17-M-14</v>
          </cell>
          <cell r="D282">
            <v>687720</v>
          </cell>
          <cell r="E282">
            <v>3748200</v>
          </cell>
        </row>
        <row r="283">
          <cell r="B283" t="str">
            <v>17-M-16</v>
          </cell>
          <cell r="D283">
            <v>686378</v>
          </cell>
          <cell r="E283">
            <v>3745900</v>
          </cell>
        </row>
        <row r="284">
          <cell r="B284" t="str">
            <v>17-M-17</v>
          </cell>
          <cell r="D284">
            <v>686501</v>
          </cell>
          <cell r="E284">
            <v>3743370</v>
          </cell>
        </row>
        <row r="285">
          <cell r="B285" t="str">
            <v>17-M-18</v>
          </cell>
          <cell r="D285">
            <v>701217</v>
          </cell>
          <cell r="E285">
            <v>3749670</v>
          </cell>
        </row>
        <row r="286">
          <cell r="B286" t="str">
            <v>17-M-2</v>
          </cell>
          <cell r="C286" t="str">
            <v>Blanchard</v>
          </cell>
          <cell r="D286">
            <v>693955</v>
          </cell>
          <cell r="E286">
            <v>3758170</v>
          </cell>
        </row>
        <row r="287">
          <cell r="B287" t="str">
            <v>17-M-22</v>
          </cell>
          <cell r="C287" t="str">
            <v>Monroe</v>
          </cell>
          <cell r="D287">
            <v>699143</v>
          </cell>
          <cell r="E287">
            <v>3739490</v>
          </cell>
        </row>
        <row r="288">
          <cell r="B288" t="str">
            <v>17-M-6</v>
          </cell>
          <cell r="C288" t="str">
            <v>Mound City</v>
          </cell>
          <cell r="D288">
            <v>691968</v>
          </cell>
          <cell r="E288">
            <v>3738080</v>
          </cell>
        </row>
        <row r="289">
          <cell r="B289" t="str">
            <v>17-M-9</v>
          </cell>
          <cell r="D289">
            <v>699280</v>
          </cell>
          <cell r="E289">
            <v>3741710</v>
          </cell>
        </row>
        <row r="290">
          <cell r="B290" t="str">
            <v>17-N-1</v>
          </cell>
          <cell r="D290">
            <v>712155</v>
          </cell>
          <cell r="E290">
            <v>3746510</v>
          </cell>
        </row>
        <row r="291">
          <cell r="B291" t="str">
            <v>17-N-11</v>
          </cell>
          <cell r="D291">
            <v>722617</v>
          </cell>
          <cell r="E291">
            <v>3749500</v>
          </cell>
        </row>
        <row r="292">
          <cell r="B292" t="str">
            <v>17-N-12</v>
          </cell>
          <cell r="D292">
            <v>724949</v>
          </cell>
          <cell r="E292">
            <v>3750420</v>
          </cell>
        </row>
        <row r="293">
          <cell r="B293" t="str">
            <v>17-N-14</v>
          </cell>
          <cell r="D293">
            <v>721317</v>
          </cell>
          <cell r="E293">
            <v>3751680</v>
          </cell>
        </row>
        <row r="294">
          <cell r="B294" t="str">
            <v>17-N-15</v>
          </cell>
          <cell r="D294">
            <v>716142</v>
          </cell>
          <cell r="E294">
            <v>3746290</v>
          </cell>
        </row>
        <row r="295">
          <cell r="B295" t="str">
            <v>17-N-16</v>
          </cell>
          <cell r="D295">
            <v>714802</v>
          </cell>
          <cell r="E295">
            <v>3744300</v>
          </cell>
        </row>
        <row r="296">
          <cell r="B296" t="str">
            <v>17-N-18</v>
          </cell>
          <cell r="D296">
            <v>717750</v>
          </cell>
          <cell r="E296">
            <v>3742890</v>
          </cell>
        </row>
        <row r="297">
          <cell r="B297" t="str">
            <v>17-N-2</v>
          </cell>
          <cell r="D297">
            <v>717172</v>
          </cell>
          <cell r="E297">
            <v>3739900</v>
          </cell>
        </row>
        <row r="298">
          <cell r="B298" t="str">
            <v>17-N-3</v>
          </cell>
          <cell r="D298">
            <v>724733</v>
          </cell>
          <cell r="E298">
            <v>3762040</v>
          </cell>
        </row>
        <row r="299">
          <cell r="B299" t="str">
            <v>17-N-4</v>
          </cell>
          <cell r="D299">
            <v>727586</v>
          </cell>
          <cell r="E299">
            <v>3753390</v>
          </cell>
        </row>
        <row r="300">
          <cell r="B300" t="str">
            <v>17-N-5</v>
          </cell>
          <cell r="D300">
            <v>718743</v>
          </cell>
          <cell r="E300">
            <v>3757850</v>
          </cell>
        </row>
        <row r="301">
          <cell r="B301" t="str">
            <v>17-N-6</v>
          </cell>
          <cell r="D301">
            <v>721501</v>
          </cell>
          <cell r="E301">
            <v>3757310</v>
          </cell>
        </row>
        <row r="302">
          <cell r="B302" t="str">
            <v>17-N-7</v>
          </cell>
          <cell r="D302">
            <v>722422</v>
          </cell>
          <cell r="E302">
            <v>3763230</v>
          </cell>
        </row>
        <row r="303">
          <cell r="B303" t="str">
            <v>17-N-8</v>
          </cell>
          <cell r="D303">
            <v>720805</v>
          </cell>
          <cell r="E303">
            <v>3746770</v>
          </cell>
        </row>
        <row r="304">
          <cell r="B304" t="str">
            <v>17-N-9</v>
          </cell>
          <cell r="D304">
            <v>723418</v>
          </cell>
          <cell r="E304">
            <v>3744880</v>
          </cell>
        </row>
        <row r="305">
          <cell r="B305" t="str">
            <v>17-O-1</v>
          </cell>
          <cell r="D305">
            <v>744284</v>
          </cell>
          <cell r="E305">
            <v>3763070</v>
          </cell>
        </row>
        <row r="306">
          <cell r="B306" t="str">
            <v>17-O-11</v>
          </cell>
          <cell r="D306">
            <v>747168</v>
          </cell>
          <cell r="E306">
            <v>3760620</v>
          </cell>
        </row>
        <row r="307">
          <cell r="B307" t="str">
            <v>17-O-12</v>
          </cell>
          <cell r="D307">
            <v>732607</v>
          </cell>
          <cell r="E307">
            <v>3758840</v>
          </cell>
        </row>
        <row r="308">
          <cell r="B308" t="str">
            <v>17-O-13</v>
          </cell>
          <cell r="D308">
            <v>746334</v>
          </cell>
          <cell r="E308">
            <v>3755310</v>
          </cell>
        </row>
        <row r="309">
          <cell r="B309" t="str">
            <v>17-O-3</v>
          </cell>
          <cell r="D309">
            <v>744166</v>
          </cell>
          <cell r="E309">
            <v>3759100</v>
          </cell>
        </row>
        <row r="310">
          <cell r="B310" t="str">
            <v>17-O-4</v>
          </cell>
          <cell r="D310">
            <v>749424</v>
          </cell>
          <cell r="E310">
            <v>3751410</v>
          </cell>
        </row>
        <row r="311">
          <cell r="B311" t="str">
            <v>17-O-5</v>
          </cell>
          <cell r="D311">
            <v>750972</v>
          </cell>
          <cell r="E311">
            <v>3755410</v>
          </cell>
        </row>
        <row r="312">
          <cell r="B312" t="str">
            <v>17-O-6</v>
          </cell>
          <cell r="D312">
            <v>740443</v>
          </cell>
          <cell r="E312">
            <v>3757750</v>
          </cell>
        </row>
        <row r="313">
          <cell r="B313" t="str">
            <v>17-O-8</v>
          </cell>
          <cell r="D313">
            <v>749833</v>
          </cell>
          <cell r="E313">
            <v>3742890</v>
          </cell>
        </row>
        <row r="314">
          <cell r="B314" t="str">
            <v>17-O-9</v>
          </cell>
          <cell r="D314">
            <v>732311</v>
          </cell>
          <cell r="E314">
            <v>3746000</v>
          </cell>
        </row>
        <row r="315">
          <cell r="B315" t="str">
            <v>17-P-1</v>
          </cell>
          <cell r="D315">
            <v>761077</v>
          </cell>
          <cell r="E315">
            <v>3760720</v>
          </cell>
        </row>
        <row r="316">
          <cell r="B316" t="str">
            <v>17-P-2</v>
          </cell>
          <cell r="D316">
            <v>756494</v>
          </cell>
          <cell r="E316">
            <v>3738610</v>
          </cell>
        </row>
        <row r="317">
          <cell r="B317" t="str">
            <v>18-K-1</v>
          </cell>
          <cell r="C317" t="str">
            <v>Medley</v>
          </cell>
          <cell r="D317">
            <v>657161</v>
          </cell>
          <cell r="E317">
            <v>3710200</v>
          </cell>
        </row>
        <row r="318">
          <cell r="B318" t="str">
            <v>18-K-2</v>
          </cell>
          <cell r="D318">
            <v>655034</v>
          </cell>
          <cell r="E318">
            <v>3712740</v>
          </cell>
        </row>
        <row r="319">
          <cell r="B319" t="str">
            <v>18-K-3</v>
          </cell>
          <cell r="D319">
            <v>653771</v>
          </cell>
          <cell r="E319">
            <v>3709910</v>
          </cell>
        </row>
        <row r="320">
          <cell r="B320" t="str">
            <v>18-K-4</v>
          </cell>
          <cell r="D320">
            <v>657710</v>
          </cell>
          <cell r="E320">
            <v>3714990</v>
          </cell>
        </row>
        <row r="321">
          <cell r="B321" t="str">
            <v>18-K-5</v>
          </cell>
          <cell r="D321">
            <v>655654</v>
          </cell>
          <cell r="E321">
            <v>3708640</v>
          </cell>
        </row>
        <row r="322">
          <cell r="B322" t="str">
            <v>18-K-6</v>
          </cell>
          <cell r="D322">
            <v>652469</v>
          </cell>
          <cell r="E322">
            <v>3708020</v>
          </cell>
        </row>
        <row r="323">
          <cell r="B323" t="str">
            <v>18-L-1</v>
          </cell>
          <cell r="D323">
            <v>683519</v>
          </cell>
          <cell r="E323">
            <v>3731260</v>
          </cell>
        </row>
        <row r="324">
          <cell r="B324" t="str">
            <v>18-L-3</v>
          </cell>
          <cell r="D324">
            <v>666686</v>
          </cell>
          <cell r="E324">
            <v>3714170</v>
          </cell>
        </row>
        <row r="325">
          <cell r="B325" t="str">
            <v>18-L-4</v>
          </cell>
          <cell r="D325">
            <v>662751</v>
          </cell>
          <cell r="E325">
            <v>3730940</v>
          </cell>
        </row>
        <row r="326">
          <cell r="B326" t="str">
            <v>18-M-1</v>
          </cell>
          <cell r="D326">
            <v>704900</v>
          </cell>
          <cell r="E326">
            <v>3716990</v>
          </cell>
        </row>
        <row r="327">
          <cell r="B327" t="str">
            <v>18-M-2</v>
          </cell>
          <cell r="D327">
            <v>686720</v>
          </cell>
          <cell r="E327">
            <v>3722200</v>
          </cell>
        </row>
        <row r="328">
          <cell r="B328" t="str">
            <v>18-M-3</v>
          </cell>
          <cell r="D328">
            <v>686117</v>
          </cell>
          <cell r="E328">
            <v>3716110</v>
          </cell>
        </row>
        <row r="329">
          <cell r="B329" t="str">
            <v>18-M-4</v>
          </cell>
          <cell r="D329">
            <v>701980</v>
          </cell>
          <cell r="E329">
            <v>3716240</v>
          </cell>
        </row>
        <row r="330">
          <cell r="B330" t="str">
            <v>18-M-5</v>
          </cell>
          <cell r="D330">
            <v>695292</v>
          </cell>
          <cell r="E330">
            <v>3734470</v>
          </cell>
        </row>
        <row r="331">
          <cell r="B331" t="str">
            <v>18-M-6</v>
          </cell>
          <cell r="D331">
            <v>704836</v>
          </cell>
          <cell r="E331">
            <v>3713830</v>
          </cell>
        </row>
        <row r="332">
          <cell r="B332" t="str">
            <v>18-M-7</v>
          </cell>
          <cell r="D332">
            <v>686230</v>
          </cell>
          <cell r="E332">
            <v>3712260</v>
          </cell>
        </row>
        <row r="333">
          <cell r="B333" t="str">
            <v>18-N-1</v>
          </cell>
          <cell r="D333">
            <v>723842</v>
          </cell>
          <cell r="E333">
            <v>3732700</v>
          </cell>
        </row>
        <row r="334">
          <cell r="B334" t="str">
            <v>18-N-11</v>
          </cell>
          <cell r="D334">
            <v>720364</v>
          </cell>
          <cell r="E334">
            <v>3725010</v>
          </cell>
        </row>
        <row r="335">
          <cell r="B335" t="str">
            <v>18-N-2</v>
          </cell>
          <cell r="D335">
            <v>725412</v>
          </cell>
          <cell r="E335">
            <v>3734730</v>
          </cell>
        </row>
        <row r="336">
          <cell r="B336" t="str">
            <v>18-N-3</v>
          </cell>
          <cell r="D336">
            <v>714695</v>
          </cell>
          <cell r="E336">
            <v>3733940</v>
          </cell>
        </row>
        <row r="337">
          <cell r="B337" t="str">
            <v>18-N-4</v>
          </cell>
          <cell r="D337">
            <v>721258</v>
          </cell>
          <cell r="E337">
            <v>3719990</v>
          </cell>
        </row>
        <row r="338">
          <cell r="B338" t="str">
            <v>18-N-7</v>
          </cell>
          <cell r="D338">
            <v>718394</v>
          </cell>
          <cell r="E338">
            <v>3711300</v>
          </cell>
        </row>
        <row r="339">
          <cell r="B339" t="str">
            <v>18-N-8</v>
          </cell>
          <cell r="D339">
            <v>726232</v>
          </cell>
          <cell r="E339">
            <v>3719880</v>
          </cell>
        </row>
        <row r="340">
          <cell r="B340" t="str">
            <v>18-N-9</v>
          </cell>
          <cell r="D340">
            <v>725886</v>
          </cell>
          <cell r="E340">
            <v>3727730</v>
          </cell>
        </row>
        <row r="341">
          <cell r="B341" t="str">
            <v>18-N-9</v>
          </cell>
          <cell r="D341">
            <v>726384</v>
          </cell>
          <cell r="E341">
            <v>3727200</v>
          </cell>
        </row>
        <row r="342">
          <cell r="B342" t="str">
            <v>18-O-1</v>
          </cell>
          <cell r="D342">
            <v>752322</v>
          </cell>
          <cell r="E342">
            <v>3720200</v>
          </cell>
        </row>
        <row r="343">
          <cell r="B343" t="str">
            <v>18-P-1</v>
          </cell>
          <cell r="D343">
            <v>756552</v>
          </cell>
          <cell r="E343">
            <v>3714690</v>
          </cell>
        </row>
        <row r="344">
          <cell r="B344" t="str">
            <v>18-P-2</v>
          </cell>
          <cell r="D344">
            <v>767295</v>
          </cell>
          <cell r="E344">
            <v>3724190</v>
          </cell>
        </row>
        <row r="345">
          <cell r="B345" t="str">
            <v>18-P-3</v>
          </cell>
          <cell r="D345">
            <v>763587</v>
          </cell>
          <cell r="E345">
            <v>3722980</v>
          </cell>
        </row>
        <row r="346">
          <cell r="B346" t="str">
            <v>18-P-3</v>
          </cell>
          <cell r="D346">
            <v>774753</v>
          </cell>
          <cell r="E346">
            <v>3729710</v>
          </cell>
        </row>
        <row r="347">
          <cell r="B347" t="str">
            <v>18-P-5</v>
          </cell>
          <cell r="D347">
            <v>755185</v>
          </cell>
          <cell r="E347">
            <v>3736780</v>
          </cell>
        </row>
        <row r="348">
          <cell r="B348" t="str">
            <v>18-P-6</v>
          </cell>
          <cell r="D348">
            <v>766283</v>
          </cell>
          <cell r="E348">
            <v>3719380</v>
          </cell>
        </row>
        <row r="349">
          <cell r="B349" t="str">
            <v>18-P-7</v>
          </cell>
          <cell r="D349">
            <v>764046</v>
          </cell>
          <cell r="E349">
            <v>3720430</v>
          </cell>
        </row>
        <row r="350">
          <cell r="B350" t="str">
            <v>18-P-8</v>
          </cell>
          <cell r="D350">
            <v>761689</v>
          </cell>
          <cell r="E350">
            <v>3732060</v>
          </cell>
        </row>
        <row r="351">
          <cell r="B351" t="str">
            <v>19-L-1</v>
          </cell>
          <cell r="D351">
            <v>679336</v>
          </cell>
          <cell r="E351">
            <v>3705750</v>
          </cell>
        </row>
        <row r="352">
          <cell r="B352" t="str">
            <v>19-L-3</v>
          </cell>
          <cell r="D352">
            <v>681400</v>
          </cell>
          <cell r="E352">
            <v>3704530</v>
          </cell>
        </row>
        <row r="353">
          <cell r="B353" t="str">
            <v>19-L-4</v>
          </cell>
          <cell r="D353">
            <v>684664</v>
          </cell>
          <cell r="E353">
            <v>3703710</v>
          </cell>
        </row>
        <row r="354">
          <cell r="B354" t="str">
            <v>19-L-5</v>
          </cell>
          <cell r="D354">
            <v>684088</v>
          </cell>
          <cell r="E354">
            <v>3704760</v>
          </cell>
        </row>
        <row r="355">
          <cell r="B355" t="str">
            <v>19-L-6</v>
          </cell>
          <cell r="D355">
            <v>676824</v>
          </cell>
          <cell r="E355">
            <v>3686170</v>
          </cell>
        </row>
        <row r="356">
          <cell r="B356" t="str">
            <v>19-L-7</v>
          </cell>
          <cell r="D356">
            <v>681276</v>
          </cell>
          <cell r="E356">
            <v>3691360</v>
          </cell>
        </row>
        <row r="357">
          <cell r="B357" t="str">
            <v>19-M-1</v>
          </cell>
          <cell r="D357">
            <v>696616</v>
          </cell>
          <cell r="E357">
            <v>3699360</v>
          </cell>
        </row>
        <row r="358">
          <cell r="B358" t="str">
            <v>19-M-10</v>
          </cell>
          <cell r="D358">
            <v>702078</v>
          </cell>
          <cell r="E358">
            <v>3690200</v>
          </cell>
        </row>
        <row r="359">
          <cell r="B359" t="str">
            <v>19-M-2</v>
          </cell>
          <cell r="D359">
            <v>687779</v>
          </cell>
          <cell r="E359">
            <v>3704450</v>
          </cell>
        </row>
        <row r="360">
          <cell r="B360" t="str">
            <v>19-M-3</v>
          </cell>
          <cell r="D360">
            <v>693504</v>
          </cell>
          <cell r="E360">
            <v>3697740</v>
          </cell>
        </row>
        <row r="361">
          <cell r="B361" t="str">
            <v>19-M-4</v>
          </cell>
          <cell r="D361">
            <v>700945</v>
          </cell>
          <cell r="E361">
            <v>3698070</v>
          </cell>
        </row>
        <row r="362">
          <cell r="B362" t="str">
            <v>19-M-5</v>
          </cell>
          <cell r="D362">
            <v>701359</v>
          </cell>
          <cell r="E362">
            <v>3695720</v>
          </cell>
        </row>
        <row r="363">
          <cell r="B363" t="str">
            <v>19-M-6</v>
          </cell>
          <cell r="D363">
            <v>696415</v>
          </cell>
          <cell r="E363">
            <v>3682620</v>
          </cell>
        </row>
        <row r="364">
          <cell r="B364" t="str">
            <v>19-M-7</v>
          </cell>
          <cell r="D364">
            <v>703309</v>
          </cell>
          <cell r="E364">
            <v>3700030</v>
          </cell>
        </row>
        <row r="365">
          <cell r="B365" t="str">
            <v>19-M-8</v>
          </cell>
          <cell r="D365">
            <v>687440</v>
          </cell>
          <cell r="E365">
            <v>3683120</v>
          </cell>
        </row>
        <row r="366">
          <cell r="B366" t="str">
            <v>19-M-9</v>
          </cell>
          <cell r="D366">
            <v>688022</v>
          </cell>
          <cell r="E366">
            <v>3681050</v>
          </cell>
        </row>
        <row r="367">
          <cell r="B367" t="str">
            <v>19-N-1</v>
          </cell>
          <cell r="D367">
            <v>712059</v>
          </cell>
          <cell r="E367">
            <v>3688530</v>
          </cell>
        </row>
        <row r="368">
          <cell r="B368" t="str">
            <v>19-N-10</v>
          </cell>
          <cell r="D368">
            <v>730038</v>
          </cell>
          <cell r="E368">
            <v>3683930</v>
          </cell>
        </row>
        <row r="369">
          <cell r="B369" t="str">
            <v>19-N-11</v>
          </cell>
          <cell r="D369">
            <v>731049</v>
          </cell>
          <cell r="E369">
            <v>3686400</v>
          </cell>
        </row>
        <row r="370">
          <cell r="B370" t="str">
            <v>19-N-2</v>
          </cell>
          <cell r="D370">
            <v>714533</v>
          </cell>
          <cell r="E370">
            <v>3695340</v>
          </cell>
        </row>
        <row r="371">
          <cell r="B371" t="str">
            <v>19-N-3</v>
          </cell>
          <cell r="D371">
            <v>711987</v>
          </cell>
          <cell r="E371">
            <v>3694960</v>
          </cell>
        </row>
        <row r="372">
          <cell r="B372" t="str">
            <v>19-N-5</v>
          </cell>
          <cell r="D372">
            <v>720713</v>
          </cell>
          <cell r="E372">
            <v>3703550</v>
          </cell>
        </row>
        <row r="373">
          <cell r="B373" t="str">
            <v>19-N-6</v>
          </cell>
          <cell r="D373">
            <v>720187</v>
          </cell>
          <cell r="E373">
            <v>3686180</v>
          </cell>
        </row>
        <row r="374">
          <cell r="B374" t="str">
            <v>19-N-7</v>
          </cell>
          <cell r="D374">
            <v>719493</v>
          </cell>
          <cell r="E374">
            <v>3705840</v>
          </cell>
        </row>
        <row r="375">
          <cell r="B375" t="str">
            <v>19-N-9</v>
          </cell>
          <cell r="D375">
            <v>729273</v>
          </cell>
          <cell r="E375">
            <v>3696310</v>
          </cell>
        </row>
        <row r="376">
          <cell r="B376" t="str">
            <v>19-O-10</v>
          </cell>
          <cell r="D376">
            <v>740434</v>
          </cell>
          <cell r="E376">
            <v>3688270</v>
          </cell>
        </row>
        <row r="377">
          <cell r="B377" t="str">
            <v>19-O-11</v>
          </cell>
          <cell r="D377">
            <v>739629</v>
          </cell>
          <cell r="E377">
            <v>3691580</v>
          </cell>
        </row>
        <row r="378">
          <cell r="B378" t="str">
            <v>19-O-12</v>
          </cell>
          <cell r="D378">
            <v>736160</v>
          </cell>
          <cell r="E378">
            <v>3685550</v>
          </cell>
        </row>
        <row r="379">
          <cell r="B379" t="str">
            <v>19-O-13</v>
          </cell>
          <cell r="D379">
            <v>734426</v>
          </cell>
          <cell r="E379">
            <v>3687100</v>
          </cell>
        </row>
        <row r="380">
          <cell r="B380" t="str">
            <v>19-O-14</v>
          </cell>
          <cell r="D380">
            <v>750431</v>
          </cell>
          <cell r="E380">
            <v>3686270</v>
          </cell>
        </row>
        <row r="381">
          <cell r="B381" t="str">
            <v>19-O-15</v>
          </cell>
          <cell r="D381">
            <v>747021</v>
          </cell>
          <cell r="E381">
            <v>3683350</v>
          </cell>
        </row>
        <row r="382">
          <cell r="B382" t="str">
            <v>19-O-2</v>
          </cell>
          <cell r="D382">
            <v>751416</v>
          </cell>
          <cell r="E382">
            <v>3698580</v>
          </cell>
        </row>
        <row r="383">
          <cell r="B383" t="str">
            <v>19-O-3</v>
          </cell>
          <cell r="C383" t="str">
            <v>Paxton</v>
          </cell>
          <cell r="D383">
            <v>752467</v>
          </cell>
          <cell r="E383">
            <v>3683590</v>
          </cell>
        </row>
        <row r="384">
          <cell r="B384" t="str">
            <v>19-O-4</v>
          </cell>
          <cell r="D384">
            <v>753434</v>
          </cell>
          <cell r="E384">
            <v>3689580</v>
          </cell>
        </row>
        <row r="385">
          <cell r="B385" t="str">
            <v>19-O-7</v>
          </cell>
          <cell r="D385">
            <v>735341</v>
          </cell>
          <cell r="E385">
            <v>3693620</v>
          </cell>
        </row>
        <row r="386">
          <cell r="B386" t="str">
            <v>19-O-8</v>
          </cell>
          <cell r="D386">
            <v>736732</v>
          </cell>
          <cell r="E386">
            <v>3691870</v>
          </cell>
        </row>
        <row r="387">
          <cell r="B387" t="str">
            <v>19-O-9</v>
          </cell>
          <cell r="D387">
            <v>733327</v>
          </cell>
          <cell r="E387">
            <v>3684970</v>
          </cell>
        </row>
        <row r="388">
          <cell r="B388" t="str">
            <v>19-P-1</v>
          </cell>
          <cell r="D388">
            <v>679536</v>
          </cell>
          <cell r="E388">
            <v>3705750</v>
          </cell>
        </row>
        <row r="389">
          <cell r="B389" t="str">
            <v>19-P-1</v>
          </cell>
          <cell r="D389">
            <v>758295</v>
          </cell>
          <cell r="E389">
            <v>3705460</v>
          </cell>
        </row>
        <row r="390">
          <cell r="B390" t="str">
            <v>19-P-2</v>
          </cell>
          <cell r="D390">
            <v>756078</v>
          </cell>
          <cell r="E390">
            <v>3701620</v>
          </cell>
        </row>
        <row r="391">
          <cell r="B391" t="str">
            <v>19-P-3</v>
          </cell>
          <cell r="D391">
            <v>681599</v>
          </cell>
          <cell r="E391">
            <v>3704840</v>
          </cell>
        </row>
        <row r="392">
          <cell r="B392" t="str">
            <v>19-P-3</v>
          </cell>
          <cell r="D392">
            <v>767781</v>
          </cell>
          <cell r="E392">
            <v>3683830</v>
          </cell>
        </row>
        <row r="393">
          <cell r="B393" t="str">
            <v>19-P-4</v>
          </cell>
          <cell r="D393">
            <v>684839</v>
          </cell>
          <cell r="E393">
            <v>3702890</v>
          </cell>
        </row>
        <row r="394">
          <cell r="B394" t="str">
            <v>19-P-5</v>
          </cell>
          <cell r="D394">
            <v>683916</v>
          </cell>
          <cell r="E394">
            <v>3704700</v>
          </cell>
        </row>
        <row r="395">
          <cell r="B395" t="str">
            <v>20-K-2</v>
          </cell>
          <cell r="D395">
            <v>660836</v>
          </cell>
          <cell r="E395">
            <v>3664040</v>
          </cell>
        </row>
        <row r="396">
          <cell r="B396" t="str">
            <v>20-L-1</v>
          </cell>
          <cell r="D396">
            <v>684625</v>
          </cell>
          <cell r="E396">
            <v>3661640</v>
          </cell>
        </row>
        <row r="397">
          <cell r="B397" t="str">
            <v>20-L-2</v>
          </cell>
          <cell r="D397">
            <v>684340</v>
          </cell>
          <cell r="E397">
            <v>3676460</v>
          </cell>
        </row>
        <row r="398">
          <cell r="B398" t="str">
            <v>20-L-3</v>
          </cell>
          <cell r="D398">
            <v>685474</v>
          </cell>
          <cell r="E398">
            <v>3665040</v>
          </cell>
        </row>
        <row r="399">
          <cell r="B399" t="str">
            <v>20-M-1</v>
          </cell>
          <cell r="D399">
            <v>696839</v>
          </cell>
          <cell r="E399">
            <v>3678140</v>
          </cell>
        </row>
        <row r="400">
          <cell r="B400" t="str">
            <v>20-M-2</v>
          </cell>
          <cell r="D400">
            <v>701081</v>
          </cell>
          <cell r="E400">
            <v>3662880</v>
          </cell>
        </row>
        <row r="401">
          <cell r="B401" t="str">
            <v>20-M-3</v>
          </cell>
          <cell r="D401">
            <v>698020</v>
          </cell>
          <cell r="E401">
            <v>3660270</v>
          </cell>
        </row>
        <row r="402">
          <cell r="B402" t="str">
            <v>20-M-4</v>
          </cell>
          <cell r="D402">
            <v>691027</v>
          </cell>
          <cell r="E402">
            <v>3662670</v>
          </cell>
        </row>
        <row r="403">
          <cell r="B403" t="str">
            <v>20-M-5</v>
          </cell>
          <cell r="D403">
            <v>688291</v>
          </cell>
          <cell r="E403">
            <v>3664480</v>
          </cell>
        </row>
        <row r="404">
          <cell r="B404" t="str">
            <v>20-M-6</v>
          </cell>
          <cell r="D404">
            <v>702315</v>
          </cell>
          <cell r="E404">
            <v>3668300</v>
          </cell>
        </row>
        <row r="405">
          <cell r="B405" t="str">
            <v>20-M-7</v>
          </cell>
          <cell r="D405">
            <v>689572</v>
          </cell>
          <cell r="E405">
            <v>3667170</v>
          </cell>
        </row>
        <row r="406">
          <cell r="B406" t="str">
            <v>20-M-8</v>
          </cell>
          <cell r="D406">
            <v>691100</v>
          </cell>
          <cell r="E406">
            <v>3665730</v>
          </cell>
        </row>
        <row r="407">
          <cell r="B407" t="str">
            <v>20-M-9</v>
          </cell>
          <cell r="D407">
            <v>690059</v>
          </cell>
          <cell r="E407">
            <v>3660630</v>
          </cell>
        </row>
        <row r="408">
          <cell r="B408" t="str">
            <v>20-N-1</v>
          </cell>
          <cell r="D408">
            <v>724827</v>
          </cell>
          <cell r="E408">
            <v>3657440</v>
          </cell>
        </row>
        <row r="409">
          <cell r="B409" t="str">
            <v>20-N-2</v>
          </cell>
          <cell r="D409">
            <v>718497</v>
          </cell>
          <cell r="E409">
            <v>3658120</v>
          </cell>
        </row>
        <row r="410">
          <cell r="B410" t="str">
            <v>20-N-4</v>
          </cell>
          <cell r="D410">
            <v>711169</v>
          </cell>
          <cell r="E410">
            <v>3666880</v>
          </cell>
        </row>
        <row r="411">
          <cell r="B411" t="str">
            <v>20-N-5</v>
          </cell>
          <cell r="D411">
            <v>719883</v>
          </cell>
          <cell r="E411">
            <v>3676970</v>
          </cell>
        </row>
        <row r="412">
          <cell r="B412" t="str">
            <v>20-N-6</v>
          </cell>
          <cell r="D412">
            <v>721165</v>
          </cell>
          <cell r="E412">
            <v>3666630</v>
          </cell>
        </row>
        <row r="413">
          <cell r="B413" t="str">
            <v>20-N-7</v>
          </cell>
          <cell r="D413">
            <v>724730</v>
          </cell>
          <cell r="E413">
            <v>3666190</v>
          </cell>
        </row>
        <row r="414">
          <cell r="B414" t="str">
            <v>20-O-1</v>
          </cell>
          <cell r="D414">
            <v>733349</v>
          </cell>
          <cell r="E414">
            <v>3679240</v>
          </cell>
        </row>
        <row r="415">
          <cell r="B415" t="str">
            <v>20-O-10</v>
          </cell>
          <cell r="D415">
            <v>751970</v>
          </cell>
          <cell r="E415">
            <v>3673780</v>
          </cell>
        </row>
        <row r="416">
          <cell r="B416" t="str">
            <v>20-O-12</v>
          </cell>
          <cell r="D416">
            <v>749138</v>
          </cell>
          <cell r="E416">
            <v>3664520</v>
          </cell>
        </row>
        <row r="417">
          <cell r="B417" t="str">
            <v>20-O-13</v>
          </cell>
          <cell r="D417">
            <v>751218</v>
          </cell>
          <cell r="E417">
            <v>3666130</v>
          </cell>
        </row>
        <row r="418">
          <cell r="B418" t="str">
            <v>20-O-14</v>
          </cell>
          <cell r="D418">
            <v>748386</v>
          </cell>
          <cell r="E418">
            <v>3656500</v>
          </cell>
        </row>
        <row r="419">
          <cell r="B419" t="str">
            <v>20-O-15</v>
          </cell>
          <cell r="D419">
            <v>747727</v>
          </cell>
          <cell r="E419">
            <v>3661960</v>
          </cell>
        </row>
        <row r="420">
          <cell r="B420" t="str">
            <v>20-O-18</v>
          </cell>
          <cell r="D420">
            <v>740531</v>
          </cell>
          <cell r="E420">
            <v>3666140</v>
          </cell>
        </row>
        <row r="421">
          <cell r="B421" t="str">
            <v>20-O-2</v>
          </cell>
          <cell r="D421">
            <v>734745</v>
          </cell>
          <cell r="E421">
            <v>3673870</v>
          </cell>
        </row>
        <row r="422">
          <cell r="B422" t="str">
            <v>20-O-20</v>
          </cell>
          <cell r="C422" t="str">
            <v>Welch Camp</v>
          </cell>
          <cell r="D422">
            <v>740288</v>
          </cell>
          <cell r="E422">
            <v>3673530</v>
          </cell>
        </row>
        <row r="423">
          <cell r="B423" t="str">
            <v>20-O-21</v>
          </cell>
          <cell r="D423">
            <v>747461</v>
          </cell>
          <cell r="E423">
            <v>3679560</v>
          </cell>
        </row>
        <row r="424">
          <cell r="B424" t="str">
            <v>20-O-3</v>
          </cell>
          <cell r="D424">
            <v>738855</v>
          </cell>
          <cell r="E424">
            <v>3660940</v>
          </cell>
        </row>
        <row r="425">
          <cell r="B425" t="str">
            <v>20-O-5</v>
          </cell>
          <cell r="D425">
            <v>733607</v>
          </cell>
          <cell r="E425">
            <v>3662890</v>
          </cell>
        </row>
        <row r="426">
          <cell r="B426" t="str">
            <v>20-O-6</v>
          </cell>
          <cell r="D426">
            <v>734014</v>
          </cell>
          <cell r="E426">
            <v>3665620</v>
          </cell>
        </row>
        <row r="427">
          <cell r="B427" t="str">
            <v>20-O-7</v>
          </cell>
          <cell r="D427">
            <v>737368</v>
          </cell>
          <cell r="E427">
            <v>3672720</v>
          </cell>
        </row>
        <row r="428">
          <cell r="B428" t="str">
            <v>20-O-9</v>
          </cell>
          <cell r="D428">
            <v>754279</v>
          </cell>
          <cell r="E428">
            <v>3675360</v>
          </cell>
        </row>
        <row r="429">
          <cell r="B429" t="str">
            <v>20-P-1</v>
          </cell>
          <cell r="D429">
            <v>761858</v>
          </cell>
          <cell r="E429">
            <v>3667880</v>
          </cell>
        </row>
        <row r="430">
          <cell r="B430" t="str">
            <v>21-K-1</v>
          </cell>
          <cell r="D430">
            <v>655167</v>
          </cell>
          <cell r="E430">
            <v>3636260</v>
          </cell>
        </row>
        <row r="431">
          <cell r="B431" t="str">
            <v>21-K-11</v>
          </cell>
          <cell r="D431">
            <v>657612</v>
          </cell>
          <cell r="E431">
            <v>3639000</v>
          </cell>
        </row>
        <row r="432">
          <cell r="B432" t="str">
            <v>21-K-12</v>
          </cell>
          <cell r="D432">
            <v>658306</v>
          </cell>
          <cell r="E432">
            <v>3635380</v>
          </cell>
        </row>
        <row r="433">
          <cell r="B433" t="str">
            <v>21-K-2</v>
          </cell>
          <cell r="D433">
            <v>655566</v>
          </cell>
          <cell r="E433">
            <v>3642970</v>
          </cell>
        </row>
        <row r="434">
          <cell r="B434" t="str">
            <v>21-K-4</v>
          </cell>
          <cell r="D434">
            <v>662552</v>
          </cell>
          <cell r="E434">
            <v>3625570</v>
          </cell>
        </row>
        <row r="435">
          <cell r="B435" t="str">
            <v>21-L-1</v>
          </cell>
          <cell r="D435">
            <v>681827</v>
          </cell>
          <cell r="E435">
            <v>3638890</v>
          </cell>
        </row>
        <row r="436">
          <cell r="B436" t="str">
            <v>21-L-2</v>
          </cell>
          <cell r="D436">
            <v>666129</v>
          </cell>
          <cell r="E436">
            <v>3642500</v>
          </cell>
        </row>
        <row r="437">
          <cell r="B437" t="str">
            <v>21-L-3</v>
          </cell>
          <cell r="D437">
            <v>671585</v>
          </cell>
          <cell r="E437">
            <v>3635160</v>
          </cell>
        </row>
        <row r="438">
          <cell r="B438" t="str">
            <v>21-L-4</v>
          </cell>
          <cell r="D438">
            <v>665299</v>
          </cell>
          <cell r="E438">
            <v>3639640</v>
          </cell>
        </row>
        <row r="439">
          <cell r="B439" t="str">
            <v>21-M-1</v>
          </cell>
          <cell r="D439">
            <v>698898</v>
          </cell>
          <cell r="E439">
            <v>3639960</v>
          </cell>
        </row>
        <row r="440">
          <cell r="B440" t="str">
            <v>21-M-10</v>
          </cell>
          <cell r="D440">
            <v>689096</v>
          </cell>
          <cell r="E440">
            <v>3628530</v>
          </cell>
        </row>
        <row r="441">
          <cell r="B441" t="str">
            <v>21-M-11</v>
          </cell>
          <cell r="D441">
            <v>701083</v>
          </cell>
          <cell r="E441">
            <v>3640780</v>
          </cell>
        </row>
        <row r="442">
          <cell r="B442" t="str">
            <v>21-M-2</v>
          </cell>
          <cell r="D442">
            <v>698609</v>
          </cell>
          <cell r="E442">
            <v>3646080</v>
          </cell>
        </row>
        <row r="443">
          <cell r="B443" t="str">
            <v>21-M-3</v>
          </cell>
          <cell r="D443">
            <v>701390</v>
          </cell>
          <cell r="E443">
            <v>3648010</v>
          </cell>
        </row>
        <row r="444">
          <cell r="B444" t="str">
            <v>21-M-4</v>
          </cell>
          <cell r="D444">
            <v>709738</v>
          </cell>
          <cell r="E444">
            <v>3633160</v>
          </cell>
        </row>
        <row r="445">
          <cell r="B445" t="str">
            <v>21-M-5</v>
          </cell>
          <cell r="D445">
            <v>695318</v>
          </cell>
          <cell r="E445">
            <v>3629560</v>
          </cell>
        </row>
        <row r="446">
          <cell r="B446" t="str">
            <v>21-M-6</v>
          </cell>
          <cell r="D446">
            <v>690171</v>
          </cell>
          <cell r="E446">
            <v>3626180</v>
          </cell>
        </row>
        <row r="447">
          <cell r="B447" t="str">
            <v>21-M-7</v>
          </cell>
          <cell r="D447">
            <v>690703</v>
          </cell>
          <cell r="E447">
            <v>3651110</v>
          </cell>
        </row>
        <row r="448">
          <cell r="B448" t="str">
            <v>21-M-8</v>
          </cell>
          <cell r="D448">
            <v>688844</v>
          </cell>
          <cell r="E448">
            <v>3648500</v>
          </cell>
        </row>
        <row r="449">
          <cell r="B449" t="str">
            <v>21-M-9</v>
          </cell>
          <cell r="D449">
            <v>690492</v>
          </cell>
          <cell r="E449">
            <v>3646520</v>
          </cell>
        </row>
        <row r="450">
          <cell r="B450" t="str">
            <v>21-N-1</v>
          </cell>
          <cell r="D450">
            <v>715856</v>
          </cell>
          <cell r="E450">
            <v>3631820</v>
          </cell>
        </row>
        <row r="451">
          <cell r="B451" t="str">
            <v>21-N-10</v>
          </cell>
          <cell r="D451">
            <v>712990</v>
          </cell>
          <cell r="E451">
            <v>3633850</v>
          </cell>
        </row>
        <row r="452">
          <cell r="B452" t="str">
            <v>21-N-12</v>
          </cell>
          <cell r="D452">
            <v>725327</v>
          </cell>
          <cell r="E452">
            <v>3648520</v>
          </cell>
        </row>
        <row r="453">
          <cell r="B453" t="str">
            <v>21-N-13</v>
          </cell>
          <cell r="D453">
            <v>730093</v>
          </cell>
          <cell r="E453">
            <v>3642840</v>
          </cell>
        </row>
        <row r="454">
          <cell r="B454" t="str">
            <v>21-N-15</v>
          </cell>
          <cell r="D454">
            <v>716865</v>
          </cell>
          <cell r="E454">
            <v>3636210</v>
          </cell>
        </row>
        <row r="455">
          <cell r="B455" t="str">
            <v>21-N-16</v>
          </cell>
          <cell r="D455">
            <v>731045</v>
          </cell>
          <cell r="E455">
            <v>3632050</v>
          </cell>
        </row>
        <row r="456">
          <cell r="B456" t="str">
            <v>21-N-17</v>
          </cell>
          <cell r="D456">
            <v>732188</v>
          </cell>
          <cell r="E456">
            <v>3629790</v>
          </cell>
        </row>
        <row r="457">
          <cell r="B457" t="str">
            <v>21-N-19</v>
          </cell>
          <cell r="D457">
            <v>731884</v>
          </cell>
          <cell r="E457">
            <v>3645630</v>
          </cell>
        </row>
        <row r="458">
          <cell r="B458" t="str">
            <v>21-N-2</v>
          </cell>
          <cell r="D458">
            <v>719289</v>
          </cell>
          <cell r="E458">
            <v>3631380</v>
          </cell>
        </row>
        <row r="459">
          <cell r="B459" t="str">
            <v>21-N-20</v>
          </cell>
          <cell r="D459">
            <v>713203</v>
          </cell>
          <cell r="E459">
            <v>3636600</v>
          </cell>
        </row>
        <row r="460">
          <cell r="B460" t="str">
            <v>21-N-22</v>
          </cell>
          <cell r="D460">
            <v>723414</v>
          </cell>
          <cell r="E460">
            <v>3642780</v>
          </cell>
        </row>
        <row r="461">
          <cell r="B461" t="str">
            <v>21-N-3</v>
          </cell>
          <cell r="D461">
            <v>712027</v>
          </cell>
          <cell r="E461">
            <v>3626480</v>
          </cell>
        </row>
        <row r="462">
          <cell r="B462" t="str">
            <v>21-N-4</v>
          </cell>
          <cell r="D462">
            <v>714961</v>
          </cell>
          <cell r="E462">
            <v>3627650</v>
          </cell>
        </row>
        <row r="463">
          <cell r="B463" t="str">
            <v>21-N-5</v>
          </cell>
          <cell r="D463">
            <v>720219</v>
          </cell>
          <cell r="E463">
            <v>3626280</v>
          </cell>
        </row>
        <row r="464">
          <cell r="B464" t="str">
            <v>21-N-6</v>
          </cell>
          <cell r="D464">
            <v>710967</v>
          </cell>
          <cell r="E464">
            <v>3625310</v>
          </cell>
        </row>
        <row r="465">
          <cell r="B465" t="str">
            <v>21-N-7</v>
          </cell>
          <cell r="D465">
            <v>713161</v>
          </cell>
          <cell r="E465">
            <v>3629630</v>
          </cell>
        </row>
        <row r="466">
          <cell r="B466" t="str">
            <v>21-N-9</v>
          </cell>
          <cell r="D466">
            <v>715028</v>
          </cell>
          <cell r="E466">
            <v>3630680</v>
          </cell>
        </row>
        <row r="467">
          <cell r="B467" t="str">
            <v>21-O-1</v>
          </cell>
          <cell r="D467">
            <v>739983</v>
          </cell>
          <cell r="E467">
            <v>3638310</v>
          </cell>
        </row>
        <row r="468">
          <cell r="B468" t="str">
            <v>21-O-10</v>
          </cell>
          <cell r="D468">
            <v>740470</v>
          </cell>
          <cell r="E468">
            <v>3635420</v>
          </cell>
        </row>
        <row r="469">
          <cell r="B469" t="str">
            <v>21-O-11</v>
          </cell>
          <cell r="D469">
            <v>744560</v>
          </cell>
          <cell r="E469">
            <v>3638620</v>
          </cell>
        </row>
        <row r="470">
          <cell r="B470" t="str">
            <v>21-O-12</v>
          </cell>
          <cell r="D470">
            <v>735555</v>
          </cell>
          <cell r="E470">
            <v>3640630</v>
          </cell>
        </row>
        <row r="471">
          <cell r="B471" t="str">
            <v>21-O-2</v>
          </cell>
          <cell r="D471">
            <v>751460</v>
          </cell>
          <cell r="E471">
            <v>3651250</v>
          </cell>
        </row>
        <row r="472">
          <cell r="B472" t="str">
            <v>21-O-3</v>
          </cell>
          <cell r="D472">
            <v>737677</v>
          </cell>
          <cell r="E472">
            <v>3638380</v>
          </cell>
        </row>
        <row r="473">
          <cell r="B473" t="str">
            <v>21-O-4</v>
          </cell>
          <cell r="D473">
            <v>738542</v>
          </cell>
          <cell r="E473">
            <v>3641560</v>
          </cell>
        </row>
        <row r="474">
          <cell r="B474" t="str">
            <v>21-O-5</v>
          </cell>
          <cell r="D474">
            <v>740360</v>
          </cell>
          <cell r="E474">
            <v>3650520</v>
          </cell>
        </row>
        <row r="475">
          <cell r="B475" t="str">
            <v>21-O-6</v>
          </cell>
          <cell r="D475">
            <v>733385</v>
          </cell>
          <cell r="E475">
            <v>3648500</v>
          </cell>
        </row>
        <row r="476">
          <cell r="B476" t="str">
            <v>21-O-7</v>
          </cell>
          <cell r="D476">
            <v>734720</v>
          </cell>
          <cell r="E476">
            <v>3650570</v>
          </cell>
        </row>
        <row r="477">
          <cell r="B477" t="str">
            <v>21-O-9</v>
          </cell>
          <cell r="D477">
            <v>735095</v>
          </cell>
          <cell r="E477">
            <v>3643780</v>
          </cell>
        </row>
        <row r="478">
          <cell r="B478" t="str">
            <v>22-K-1</v>
          </cell>
          <cell r="D478">
            <v>649372</v>
          </cell>
          <cell r="E478">
            <v>3611990</v>
          </cell>
        </row>
        <row r="479">
          <cell r="B479" t="str">
            <v>22-K-1</v>
          </cell>
          <cell r="D479">
            <v>646384</v>
          </cell>
          <cell r="E479">
            <v>3599350</v>
          </cell>
        </row>
        <row r="480">
          <cell r="B480" t="str">
            <v>22-K-10</v>
          </cell>
          <cell r="D480">
            <v>649381</v>
          </cell>
          <cell r="E480">
            <v>3621050</v>
          </cell>
        </row>
        <row r="481">
          <cell r="B481" t="str">
            <v>22-K-14</v>
          </cell>
          <cell r="D481">
            <v>655912</v>
          </cell>
          <cell r="E481">
            <v>3604640</v>
          </cell>
        </row>
        <row r="482">
          <cell r="B482" t="str">
            <v>22-K-17</v>
          </cell>
          <cell r="D482">
            <v>657079</v>
          </cell>
          <cell r="E482">
            <v>3609700</v>
          </cell>
        </row>
        <row r="483">
          <cell r="B483" t="str">
            <v>22-K-2</v>
          </cell>
          <cell r="D483">
            <v>649760</v>
          </cell>
          <cell r="E483">
            <v>3616090</v>
          </cell>
        </row>
        <row r="484">
          <cell r="B484" t="str">
            <v>22-K-20</v>
          </cell>
          <cell r="D484">
            <v>653646</v>
          </cell>
          <cell r="E484">
            <v>3600040</v>
          </cell>
        </row>
        <row r="485">
          <cell r="B485" t="str">
            <v>22-K-21</v>
          </cell>
          <cell r="D485">
            <v>646781</v>
          </cell>
          <cell r="E485">
            <v>3614860</v>
          </cell>
        </row>
        <row r="486">
          <cell r="B486" t="str">
            <v>22-K-3</v>
          </cell>
          <cell r="D486">
            <v>648950</v>
          </cell>
          <cell r="E486">
            <v>3610510</v>
          </cell>
        </row>
        <row r="487">
          <cell r="B487" t="str">
            <v>22-K-4</v>
          </cell>
          <cell r="D487">
            <v>657218</v>
          </cell>
          <cell r="E487">
            <v>3599250</v>
          </cell>
        </row>
        <row r="488">
          <cell r="B488" t="str">
            <v>22-K-5</v>
          </cell>
          <cell r="D488">
            <v>661859</v>
          </cell>
          <cell r="E488">
            <v>3621700</v>
          </cell>
        </row>
        <row r="489">
          <cell r="B489" t="str">
            <v>22-K-6</v>
          </cell>
          <cell r="D489">
            <v>651315</v>
          </cell>
          <cell r="E489">
            <v>3609860</v>
          </cell>
        </row>
        <row r="490">
          <cell r="B490" t="str">
            <v>22-K-8</v>
          </cell>
          <cell r="D490">
            <v>656582</v>
          </cell>
          <cell r="E490">
            <v>3607730</v>
          </cell>
        </row>
        <row r="491">
          <cell r="B491" t="str">
            <v>22-K-9</v>
          </cell>
          <cell r="D491">
            <v>648028</v>
          </cell>
          <cell r="E491">
            <v>3602440</v>
          </cell>
        </row>
        <row r="492">
          <cell r="B492" t="str">
            <v>22-L-1</v>
          </cell>
          <cell r="D492">
            <v>680819</v>
          </cell>
          <cell r="E492">
            <v>3613850</v>
          </cell>
        </row>
        <row r="493">
          <cell r="B493" t="str">
            <v>22-L-2</v>
          </cell>
          <cell r="D493">
            <v>666558</v>
          </cell>
          <cell r="E493">
            <v>3618180</v>
          </cell>
        </row>
        <row r="494">
          <cell r="B494" t="str">
            <v>22-L-3</v>
          </cell>
          <cell r="D494">
            <v>668746</v>
          </cell>
          <cell r="E494">
            <v>3617750</v>
          </cell>
        </row>
        <row r="495">
          <cell r="B495" t="str">
            <v>22-L-6</v>
          </cell>
          <cell r="D495">
            <v>672651</v>
          </cell>
          <cell r="E495">
            <v>3622170</v>
          </cell>
        </row>
        <row r="496">
          <cell r="B496" t="str">
            <v>22-M-1</v>
          </cell>
          <cell r="D496">
            <v>709172</v>
          </cell>
          <cell r="E496">
            <v>3614500</v>
          </cell>
        </row>
        <row r="497">
          <cell r="B497" t="str">
            <v>22-M-10</v>
          </cell>
          <cell r="D497">
            <v>711525</v>
          </cell>
          <cell r="E497">
            <v>3602560</v>
          </cell>
        </row>
        <row r="498">
          <cell r="B498" t="str">
            <v>22-M-2</v>
          </cell>
          <cell r="D498">
            <v>704256</v>
          </cell>
          <cell r="E498">
            <v>3613990</v>
          </cell>
        </row>
        <row r="499">
          <cell r="B499" t="str">
            <v>22-M-3</v>
          </cell>
          <cell r="D499">
            <v>702919</v>
          </cell>
          <cell r="E499">
            <v>3612370</v>
          </cell>
        </row>
        <row r="500">
          <cell r="B500" t="str">
            <v>22-M-4</v>
          </cell>
          <cell r="D500">
            <v>696028</v>
          </cell>
          <cell r="E500">
            <v>3623550</v>
          </cell>
        </row>
        <row r="501">
          <cell r="B501" t="str">
            <v>22-M-5</v>
          </cell>
          <cell r="D501">
            <v>709049</v>
          </cell>
          <cell r="E501">
            <v>3600690</v>
          </cell>
        </row>
        <row r="502">
          <cell r="B502" t="str">
            <v>22-M-6</v>
          </cell>
          <cell r="D502">
            <v>688894</v>
          </cell>
          <cell r="E502">
            <v>3617610</v>
          </cell>
        </row>
        <row r="503">
          <cell r="B503" t="str">
            <v>22-M-7</v>
          </cell>
          <cell r="D503">
            <v>689686</v>
          </cell>
          <cell r="E503">
            <v>3614500</v>
          </cell>
        </row>
        <row r="504">
          <cell r="B504" t="str">
            <v>22-M-8</v>
          </cell>
          <cell r="D504">
            <v>701168</v>
          </cell>
          <cell r="E504">
            <v>3608970</v>
          </cell>
        </row>
        <row r="505">
          <cell r="B505" t="str">
            <v>22-M-9</v>
          </cell>
          <cell r="D505">
            <v>701947</v>
          </cell>
          <cell r="E505">
            <v>3613480</v>
          </cell>
        </row>
        <row r="506">
          <cell r="B506" t="str">
            <v>22-N-10</v>
          </cell>
          <cell r="D506">
            <v>713126</v>
          </cell>
          <cell r="E506">
            <v>3623950</v>
          </cell>
        </row>
        <row r="507">
          <cell r="B507" t="str">
            <v>22-N-11</v>
          </cell>
          <cell r="D507">
            <v>720558</v>
          </cell>
          <cell r="E507">
            <v>3615240</v>
          </cell>
        </row>
        <row r="508">
          <cell r="B508" t="str">
            <v>22-N-12</v>
          </cell>
          <cell r="D508">
            <v>717937</v>
          </cell>
          <cell r="E508">
            <v>3616980</v>
          </cell>
        </row>
        <row r="509">
          <cell r="B509" t="str">
            <v>22-N-13</v>
          </cell>
          <cell r="D509">
            <v>720562</v>
          </cell>
          <cell r="E509">
            <v>3621000</v>
          </cell>
        </row>
        <row r="510">
          <cell r="B510" t="str">
            <v>22-N-14</v>
          </cell>
          <cell r="D510">
            <v>716984</v>
          </cell>
          <cell r="E510">
            <v>3619670</v>
          </cell>
        </row>
        <row r="511">
          <cell r="B511" t="str">
            <v>22-N-15</v>
          </cell>
          <cell r="D511">
            <v>719877</v>
          </cell>
          <cell r="E511">
            <v>3623240</v>
          </cell>
        </row>
        <row r="512">
          <cell r="B512" t="str">
            <v>22-N-16</v>
          </cell>
          <cell r="D512">
            <v>714095</v>
          </cell>
          <cell r="E512">
            <v>3619430</v>
          </cell>
        </row>
        <row r="513">
          <cell r="B513" t="str">
            <v>22-N-17</v>
          </cell>
          <cell r="D513">
            <v>715949</v>
          </cell>
          <cell r="E513">
            <v>3611540</v>
          </cell>
        </row>
        <row r="514">
          <cell r="B514" t="str">
            <v>22-N-18</v>
          </cell>
          <cell r="D514">
            <v>718943</v>
          </cell>
          <cell r="E514">
            <v>3612150</v>
          </cell>
        </row>
        <row r="515">
          <cell r="B515" t="str">
            <v>22-N-19</v>
          </cell>
          <cell r="D515">
            <v>719634</v>
          </cell>
          <cell r="E515">
            <v>3607280</v>
          </cell>
        </row>
        <row r="516">
          <cell r="B516" t="str">
            <v>22-N-20</v>
          </cell>
          <cell r="D516">
            <v>723120</v>
          </cell>
          <cell r="E516">
            <v>3615960</v>
          </cell>
        </row>
        <row r="517">
          <cell r="B517" t="str">
            <v>22-N-22</v>
          </cell>
          <cell r="D517">
            <v>713545</v>
          </cell>
          <cell r="E517">
            <v>3607890</v>
          </cell>
        </row>
        <row r="518">
          <cell r="B518" t="str">
            <v>22-N-26</v>
          </cell>
          <cell r="D518">
            <v>729278</v>
          </cell>
          <cell r="E518">
            <v>3621980</v>
          </cell>
        </row>
        <row r="519">
          <cell r="B519" t="str">
            <v>22-N-27</v>
          </cell>
          <cell r="D519">
            <v>714104</v>
          </cell>
          <cell r="E519">
            <v>3616720</v>
          </cell>
        </row>
        <row r="520">
          <cell r="B520" t="str">
            <v>22-N-28</v>
          </cell>
          <cell r="D520">
            <v>730491</v>
          </cell>
          <cell r="E520">
            <v>3623930</v>
          </cell>
        </row>
        <row r="521">
          <cell r="B521" t="str">
            <v>22-N-3</v>
          </cell>
          <cell r="D521">
            <v>728957</v>
          </cell>
          <cell r="E521">
            <v>3611580</v>
          </cell>
        </row>
        <row r="522">
          <cell r="B522" t="str">
            <v>22-N-34</v>
          </cell>
          <cell r="D522">
            <v>734570</v>
          </cell>
          <cell r="E522">
            <v>3624710</v>
          </cell>
        </row>
        <row r="523">
          <cell r="B523" t="str">
            <v>22-N-4</v>
          </cell>
          <cell r="D523">
            <v>729483</v>
          </cell>
          <cell r="E523">
            <v>3619420</v>
          </cell>
        </row>
        <row r="524">
          <cell r="B524" t="str">
            <v>22-N-5</v>
          </cell>
          <cell r="D524">
            <v>726642</v>
          </cell>
          <cell r="E524">
            <v>3623130</v>
          </cell>
        </row>
        <row r="525">
          <cell r="B525" t="str">
            <v>22-N-6</v>
          </cell>
          <cell r="D525">
            <v>713312</v>
          </cell>
          <cell r="E525">
            <v>3603310</v>
          </cell>
        </row>
        <row r="526">
          <cell r="B526" t="str">
            <v>22-N-8</v>
          </cell>
          <cell r="D526">
            <v>724586</v>
          </cell>
          <cell r="E526">
            <v>3622850</v>
          </cell>
        </row>
        <row r="527">
          <cell r="B527" t="str">
            <v>22-N-9</v>
          </cell>
          <cell r="D527">
            <v>715441</v>
          </cell>
          <cell r="E527">
            <v>3624210</v>
          </cell>
        </row>
        <row r="528">
          <cell r="B528" t="str">
            <v>23-J-1</v>
          </cell>
          <cell r="D528">
            <v>640859</v>
          </cell>
          <cell r="E528">
            <v>3575540</v>
          </cell>
        </row>
        <row r="529">
          <cell r="B529" t="str">
            <v>23-K-1</v>
          </cell>
          <cell r="D529">
            <v>651719</v>
          </cell>
          <cell r="E529">
            <v>3593240</v>
          </cell>
        </row>
        <row r="530">
          <cell r="B530" t="str">
            <v>23-K-12</v>
          </cell>
          <cell r="D530">
            <v>654244</v>
          </cell>
          <cell r="E530">
            <v>3589550</v>
          </cell>
        </row>
        <row r="531">
          <cell r="B531" t="str">
            <v>23-K-16</v>
          </cell>
          <cell r="D531">
            <v>646821</v>
          </cell>
          <cell r="E531">
            <v>3586060</v>
          </cell>
        </row>
        <row r="532">
          <cell r="B532" t="str">
            <v>23-K-2</v>
          </cell>
          <cell r="D532">
            <v>642786</v>
          </cell>
          <cell r="E532">
            <v>3584680</v>
          </cell>
        </row>
        <row r="533">
          <cell r="B533" t="str">
            <v>23-K-20</v>
          </cell>
          <cell r="D533">
            <v>644301</v>
          </cell>
          <cell r="E533">
            <v>3588370</v>
          </cell>
        </row>
        <row r="534">
          <cell r="B534" t="str">
            <v>23-K-21</v>
          </cell>
          <cell r="D534">
            <v>646616</v>
          </cell>
          <cell r="E534">
            <v>3583910</v>
          </cell>
        </row>
        <row r="535">
          <cell r="B535" t="str">
            <v>23-K-25</v>
          </cell>
          <cell r="D535">
            <v>662261</v>
          </cell>
          <cell r="E535">
            <v>3595730</v>
          </cell>
        </row>
        <row r="536">
          <cell r="B536" t="str">
            <v>23-K-3</v>
          </cell>
          <cell r="D536">
            <v>647383</v>
          </cell>
          <cell r="E536">
            <v>3574720</v>
          </cell>
        </row>
        <row r="537">
          <cell r="B537" t="str">
            <v>23-K-4</v>
          </cell>
          <cell r="D537">
            <v>641853</v>
          </cell>
          <cell r="E537">
            <v>3594770</v>
          </cell>
        </row>
        <row r="538">
          <cell r="B538" t="str">
            <v>23-K-5</v>
          </cell>
          <cell r="D538">
            <v>647257</v>
          </cell>
          <cell r="E538">
            <v>3572850</v>
          </cell>
        </row>
        <row r="539">
          <cell r="B539" t="str">
            <v>23-K-7</v>
          </cell>
          <cell r="D539">
            <v>642216</v>
          </cell>
          <cell r="E539">
            <v>3581030</v>
          </cell>
        </row>
        <row r="540">
          <cell r="B540" t="str">
            <v>23-K-8</v>
          </cell>
          <cell r="D540">
            <v>646584</v>
          </cell>
          <cell r="E540">
            <v>3589950</v>
          </cell>
        </row>
        <row r="541">
          <cell r="B541" t="str">
            <v>23-L-1</v>
          </cell>
          <cell r="D541">
            <v>680208</v>
          </cell>
          <cell r="E541">
            <v>3576470</v>
          </cell>
        </row>
        <row r="542">
          <cell r="B542" t="str">
            <v>23-L-10</v>
          </cell>
          <cell r="D542">
            <v>672977</v>
          </cell>
          <cell r="E542">
            <v>3573360</v>
          </cell>
        </row>
        <row r="543">
          <cell r="B543" t="str">
            <v>23-L-11</v>
          </cell>
          <cell r="D543">
            <v>667191</v>
          </cell>
          <cell r="E543">
            <v>3589760</v>
          </cell>
        </row>
        <row r="544">
          <cell r="B544" t="str">
            <v>23-L-12</v>
          </cell>
          <cell r="D544">
            <v>669886</v>
          </cell>
          <cell r="E544">
            <v>3575570</v>
          </cell>
        </row>
        <row r="545">
          <cell r="B545" t="str">
            <v>23-L-16</v>
          </cell>
          <cell r="D545">
            <v>668907</v>
          </cell>
          <cell r="E545">
            <v>3571050</v>
          </cell>
        </row>
        <row r="546">
          <cell r="B546" t="str">
            <v>23-L-17</v>
          </cell>
          <cell r="D546">
            <v>671279</v>
          </cell>
          <cell r="E546">
            <v>3593700</v>
          </cell>
        </row>
        <row r="547">
          <cell r="B547" t="str">
            <v>23-L-2</v>
          </cell>
          <cell r="D547">
            <v>675409</v>
          </cell>
          <cell r="E547">
            <v>3587650</v>
          </cell>
        </row>
        <row r="548">
          <cell r="B548" t="str">
            <v>23-L-3</v>
          </cell>
          <cell r="D548">
            <v>670757</v>
          </cell>
          <cell r="E548">
            <v>3586880</v>
          </cell>
        </row>
        <row r="549">
          <cell r="B549" t="str">
            <v>23-L-4</v>
          </cell>
          <cell r="D549">
            <v>669816</v>
          </cell>
          <cell r="E549">
            <v>3579630</v>
          </cell>
        </row>
        <row r="550">
          <cell r="B550" t="str">
            <v>23-L-8</v>
          </cell>
          <cell r="D550">
            <v>684851</v>
          </cell>
          <cell r="E550">
            <v>3581170</v>
          </cell>
        </row>
        <row r="551">
          <cell r="B551" t="str">
            <v>23-L-9</v>
          </cell>
          <cell r="D551">
            <v>681228</v>
          </cell>
          <cell r="E551">
            <v>3573420</v>
          </cell>
        </row>
        <row r="552">
          <cell r="B552" t="str">
            <v>23-M-1</v>
          </cell>
          <cell r="D552">
            <v>702351</v>
          </cell>
          <cell r="E552">
            <v>3586240</v>
          </cell>
        </row>
        <row r="553">
          <cell r="B553" t="str">
            <v>23-M-2</v>
          </cell>
          <cell r="D553">
            <v>705221</v>
          </cell>
          <cell r="E553">
            <v>3591960</v>
          </cell>
        </row>
        <row r="554">
          <cell r="B554" t="str">
            <v>23-M-3</v>
          </cell>
          <cell r="D554">
            <v>697799</v>
          </cell>
          <cell r="E554">
            <v>3575420</v>
          </cell>
        </row>
        <row r="555">
          <cell r="B555" t="str">
            <v>23-M-4</v>
          </cell>
          <cell r="D555">
            <v>697234</v>
          </cell>
          <cell r="E555">
            <v>3590430</v>
          </cell>
        </row>
        <row r="556">
          <cell r="B556" t="str">
            <v>24-J-1</v>
          </cell>
          <cell r="D556">
            <v>632347</v>
          </cell>
          <cell r="E556">
            <v>3554380</v>
          </cell>
        </row>
        <row r="557">
          <cell r="B557" t="str">
            <v>24-J-2</v>
          </cell>
          <cell r="D557">
            <v>633865</v>
          </cell>
          <cell r="E557">
            <v>3556760</v>
          </cell>
        </row>
        <row r="558">
          <cell r="B558" t="str">
            <v>24-J-25</v>
          </cell>
          <cell r="D558">
            <v>636452</v>
          </cell>
          <cell r="E558">
            <v>3563490</v>
          </cell>
        </row>
        <row r="559">
          <cell r="B559" t="str">
            <v>24-J-26</v>
          </cell>
          <cell r="D559">
            <v>641824</v>
          </cell>
          <cell r="E559">
            <v>3561760</v>
          </cell>
        </row>
        <row r="560">
          <cell r="B560" t="str">
            <v>24-J-27</v>
          </cell>
          <cell r="D560">
            <v>640260</v>
          </cell>
          <cell r="E560">
            <v>3564800</v>
          </cell>
        </row>
        <row r="561">
          <cell r="B561" t="str">
            <v>24-J-27</v>
          </cell>
          <cell r="D561">
            <v>640603</v>
          </cell>
          <cell r="E561">
            <v>3564830</v>
          </cell>
        </row>
        <row r="562">
          <cell r="B562" t="str">
            <v>24-J-29</v>
          </cell>
          <cell r="D562">
            <v>634450</v>
          </cell>
          <cell r="E562">
            <v>3559790</v>
          </cell>
        </row>
        <row r="563">
          <cell r="B563" t="str">
            <v>24-J-3</v>
          </cell>
          <cell r="D563">
            <v>635907</v>
          </cell>
          <cell r="E563">
            <v>3565870</v>
          </cell>
        </row>
        <row r="564">
          <cell r="B564" t="str">
            <v>24-J-30</v>
          </cell>
          <cell r="D564">
            <v>636383</v>
          </cell>
          <cell r="E564">
            <v>3558060</v>
          </cell>
        </row>
        <row r="565">
          <cell r="B565" t="str">
            <v>24-J-32</v>
          </cell>
          <cell r="D565">
            <v>632768</v>
          </cell>
          <cell r="E565">
            <v>3562970</v>
          </cell>
        </row>
        <row r="566">
          <cell r="B566" t="str">
            <v>24-J-6</v>
          </cell>
          <cell r="D566">
            <v>635302</v>
          </cell>
          <cell r="E566">
            <v>3543610</v>
          </cell>
        </row>
        <row r="567">
          <cell r="B567" t="str">
            <v>24-J-8</v>
          </cell>
          <cell r="D567">
            <v>638613</v>
          </cell>
          <cell r="E567">
            <v>3561820</v>
          </cell>
        </row>
        <row r="568">
          <cell r="B568" t="str">
            <v>24-J-9</v>
          </cell>
          <cell r="D568">
            <v>639012</v>
          </cell>
          <cell r="E568">
            <v>3566630</v>
          </cell>
        </row>
        <row r="569">
          <cell r="B569" t="str">
            <v>24-K-3</v>
          </cell>
          <cell r="D569">
            <v>659420</v>
          </cell>
          <cell r="E569">
            <v>3559320</v>
          </cell>
        </row>
        <row r="570">
          <cell r="B570" t="str">
            <v>24-K-4</v>
          </cell>
          <cell r="D570">
            <v>662249</v>
          </cell>
          <cell r="E570">
            <v>3547870</v>
          </cell>
        </row>
        <row r="571">
          <cell r="B571" t="str">
            <v>24-K-6</v>
          </cell>
          <cell r="D571">
            <v>645457</v>
          </cell>
          <cell r="E571">
            <v>3551400</v>
          </cell>
        </row>
        <row r="572">
          <cell r="B572" t="str">
            <v>24-K-7</v>
          </cell>
          <cell r="D572">
            <v>659157</v>
          </cell>
          <cell r="E572">
            <v>3545390</v>
          </cell>
        </row>
        <row r="573">
          <cell r="B573" t="str">
            <v>24-K-8</v>
          </cell>
          <cell r="D573">
            <v>657550</v>
          </cell>
          <cell r="E573">
            <v>3565510</v>
          </cell>
        </row>
        <row r="574">
          <cell r="B574" t="str">
            <v>24-K-9</v>
          </cell>
          <cell r="D574">
            <v>659817</v>
          </cell>
          <cell r="E574">
            <v>3551250</v>
          </cell>
        </row>
        <row r="575">
          <cell r="B575" t="str">
            <v>24-L-1</v>
          </cell>
          <cell r="D575">
            <v>666142</v>
          </cell>
          <cell r="E575">
            <v>3556270</v>
          </cell>
        </row>
        <row r="576">
          <cell r="B576" t="str">
            <v>24-L-12</v>
          </cell>
          <cell r="D576">
            <v>671514</v>
          </cell>
          <cell r="E576">
            <v>3549820</v>
          </cell>
        </row>
        <row r="577">
          <cell r="B577" t="str">
            <v>24-L-13</v>
          </cell>
          <cell r="D577">
            <v>677308</v>
          </cell>
          <cell r="E577">
            <v>3551950</v>
          </cell>
        </row>
        <row r="578">
          <cell r="B578" t="str">
            <v>24-L-14</v>
          </cell>
          <cell r="D578">
            <v>670893</v>
          </cell>
          <cell r="E578">
            <v>3547070</v>
          </cell>
        </row>
        <row r="579">
          <cell r="B579" t="str">
            <v>24-L-15</v>
          </cell>
          <cell r="D579">
            <v>672138</v>
          </cell>
          <cell r="E579">
            <v>3565430</v>
          </cell>
        </row>
        <row r="580">
          <cell r="B580" t="str">
            <v>24-L-2</v>
          </cell>
          <cell r="D580">
            <v>665834</v>
          </cell>
          <cell r="E580">
            <v>3561880</v>
          </cell>
        </row>
        <row r="581">
          <cell r="B581" t="str">
            <v>24-L-5</v>
          </cell>
          <cell r="D581">
            <v>671474</v>
          </cell>
          <cell r="E581">
            <v>3557360</v>
          </cell>
        </row>
        <row r="582">
          <cell r="B582" t="str">
            <v>24-L-6</v>
          </cell>
          <cell r="D582">
            <v>670730</v>
          </cell>
          <cell r="E582">
            <v>3567960</v>
          </cell>
        </row>
        <row r="583">
          <cell r="B583" t="str">
            <v>24-L-7</v>
          </cell>
          <cell r="D583">
            <v>668245</v>
          </cell>
          <cell r="E583">
            <v>3544040</v>
          </cell>
        </row>
        <row r="584">
          <cell r="B584" t="str">
            <v>24-L-9</v>
          </cell>
          <cell r="D584">
            <v>665862</v>
          </cell>
          <cell r="E584">
            <v>3547730</v>
          </cell>
        </row>
        <row r="585">
          <cell r="B585" t="str">
            <v>24-M-1</v>
          </cell>
          <cell r="D585">
            <v>693291</v>
          </cell>
          <cell r="E585">
            <v>3556950</v>
          </cell>
        </row>
        <row r="586">
          <cell r="B586" t="str">
            <v>24-M-2</v>
          </cell>
          <cell r="D586">
            <v>694497</v>
          </cell>
          <cell r="E586">
            <v>3568640</v>
          </cell>
        </row>
        <row r="587">
          <cell r="B587" t="str">
            <v>24-M-5</v>
          </cell>
          <cell r="D587">
            <v>699123</v>
          </cell>
          <cell r="E587">
            <v>3561050</v>
          </cell>
        </row>
        <row r="588">
          <cell r="B588" t="str">
            <v>24-M-6</v>
          </cell>
          <cell r="D588">
            <v>695737</v>
          </cell>
          <cell r="E588">
            <v>3565960</v>
          </cell>
        </row>
        <row r="589">
          <cell r="B589" t="str">
            <v>24-M-7</v>
          </cell>
          <cell r="D589">
            <v>690059</v>
          </cell>
          <cell r="E589">
            <v>3563790</v>
          </cell>
        </row>
        <row r="590">
          <cell r="B590" t="str">
            <v>25-I-1</v>
          </cell>
          <cell r="D590">
            <v>611220</v>
          </cell>
          <cell r="E590">
            <v>3514590</v>
          </cell>
        </row>
        <row r="591">
          <cell r="B591" t="str">
            <v>25-I-2</v>
          </cell>
          <cell r="D591">
            <v>614049</v>
          </cell>
          <cell r="E591">
            <v>3519630</v>
          </cell>
        </row>
        <row r="592">
          <cell r="B592" t="str">
            <v>25-I-3</v>
          </cell>
          <cell r="D592">
            <v>611694</v>
          </cell>
          <cell r="E592">
            <v>3522200</v>
          </cell>
        </row>
        <row r="593">
          <cell r="B593" t="str">
            <v>25-I-4</v>
          </cell>
          <cell r="D593">
            <v>613621</v>
          </cell>
          <cell r="E593">
            <v>3525440</v>
          </cell>
        </row>
        <row r="594">
          <cell r="B594" t="str">
            <v>25-I-5</v>
          </cell>
          <cell r="D594">
            <v>608599</v>
          </cell>
          <cell r="E594">
            <v>3529300</v>
          </cell>
        </row>
        <row r="595">
          <cell r="B595" t="str">
            <v>25-I-8</v>
          </cell>
          <cell r="D595">
            <v>615727</v>
          </cell>
          <cell r="E595">
            <v>3515410</v>
          </cell>
        </row>
        <row r="596">
          <cell r="B596" t="str">
            <v>25-J-1</v>
          </cell>
          <cell r="D596">
            <v>626353</v>
          </cell>
          <cell r="E596">
            <v>3521550</v>
          </cell>
        </row>
        <row r="597">
          <cell r="B597" t="str">
            <v>25-J-10</v>
          </cell>
          <cell r="D597">
            <v>633083</v>
          </cell>
          <cell r="E597">
            <v>3533500</v>
          </cell>
        </row>
        <row r="598">
          <cell r="B598" t="str">
            <v>25-J-13</v>
          </cell>
          <cell r="D598">
            <v>637229</v>
          </cell>
          <cell r="E598">
            <v>3517340</v>
          </cell>
        </row>
        <row r="599">
          <cell r="B599" t="str">
            <v>25-J-14</v>
          </cell>
          <cell r="D599">
            <v>632769</v>
          </cell>
          <cell r="E599">
            <v>3520470</v>
          </cell>
        </row>
        <row r="600">
          <cell r="B600" t="str">
            <v>25-J-15</v>
          </cell>
          <cell r="D600">
            <v>638997</v>
          </cell>
          <cell r="E600">
            <v>3538930</v>
          </cell>
        </row>
        <row r="601">
          <cell r="B601" t="str">
            <v>25-J-16</v>
          </cell>
          <cell r="D601">
            <v>638480</v>
          </cell>
          <cell r="E601">
            <v>3536630</v>
          </cell>
        </row>
        <row r="602">
          <cell r="B602" t="str">
            <v>25-J-2</v>
          </cell>
          <cell r="D602">
            <v>629564</v>
          </cell>
          <cell r="E602">
            <v>3522650</v>
          </cell>
        </row>
        <row r="603">
          <cell r="B603" t="str">
            <v>25-J-3</v>
          </cell>
          <cell r="D603">
            <v>627816</v>
          </cell>
          <cell r="E603">
            <v>3529720</v>
          </cell>
        </row>
        <row r="604">
          <cell r="B604" t="str">
            <v>25-J-4</v>
          </cell>
          <cell r="D604">
            <v>633352</v>
          </cell>
          <cell r="E604">
            <v>3525960</v>
          </cell>
        </row>
        <row r="605">
          <cell r="B605" t="str">
            <v>25-J-5</v>
          </cell>
          <cell r="D605">
            <v>629430</v>
          </cell>
          <cell r="E605">
            <v>3531710</v>
          </cell>
        </row>
        <row r="606">
          <cell r="B606" t="str">
            <v>25-J-6</v>
          </cell>
          <cell r="D606">
            <v>625617</v>
          </cell>
          <cell r="E606">
            <v>3518820</v>
          </cell>
        </row>
        <row r="607">
          <cell r="B607" t="str">
            <v>25-J-7</v>
          </cell>
          <cell r="D607">
            <v>636185</v>
          </cell>
          <cell r="E607">
            <v>3521400</v>
          </cell>
        </row>
        <row r="608">
          <cell r="B608" t="str">
            <v>25-J-9</v>
          </cell>
          <cell r="D608">
            <v>630922</v>
          </cell>
          <cell r="E608">
            <v>3539880</v>
          </cell>
        </row>
        <row r="609">
          <cell r="B609" t="str">
            <v>25-K-11</v>
          </cell>
          <cell r="D609">
            <v>643293</v>
          </cell>
          <cell r="E609">
            <v>3536690</v>
          </cell>
        </row>
        <row r="610">
          <cell r="B610" t="str">
            <v>25-K-11</v>
          </cell>
          <cell r="D610">
            <v>643466</v>
          </cell>
          <cell r="E610">
            <v>3536610</v>
          </cell>
        </row>
        <row r="611">
          <cell r="B611" t="str">
            <v>25-K-14</v>
          </cell>
          <cell r="D611">
            <v>646413</v>
          </cell>
          <cell r="E611">
            <v>3516780</v>
          </cell>
        </row>
        <row r="612">
          <cell r="B612" t="str">
            <v>25-K-15</v>
          </cell>
          <cell r="D612">
            <v>645689</v>
          </cell>
          <cell r="E612">
            <v>3514700</v>
          </cell>
        </row>
        <row r="613">
          <cell r="B613" t="str">
            <v>25-K-17</v>
          </cell>
          <cell r="D613">
            <v>651178</v>
          </cell>
          <cell r="E613">
            <v>3525850</v>
          </cell>
        </row>
        <row r="614">
          <cell r="B614" t="str">
            <v>25-K-19</v>
          </cell>
          <cell r="D614">
            <v>649764</v>
          </cell>
          <cell r="E614">
            <v>3532170</v>
          </cell>
        </row>
        <row r="615">
          <cell r="B615" t="str">
            <v>25-K-19</v>
          </cell>
          <cell r="D615">
            <v>645370</v>
          </cell>
          <cell r="E615">
            <v>3539650</v>
          </cell>
        </row>
        <row r="616">
          <cell r="B616" t="str">
            <v>25-K-2</v>
          </cell>
          <cell r="D616">
            <v>656206</v>
          </cell>
          <cell r="E616">
            <v>3530040</v>
          </cell>
        </row>
        <row r="617">
          <cell r="B617" t="str">
            <v>25-K-3</v>
          </cell>
          <cell r="D617">
            <v>661370</v>
          </cell>
          <cell r="E617">
            <v>3532120</v>
          </cell>
        </row>
        <row r="618">
          <cell r="B618" t="str">
            <v>25-K-5</v>
          </cell>
          <cell r="D618">
            <v>664402</v>
          </cell>
          <cell r="E618">
            <v>3533520</v>
          </cell>
        </row>
        <row r="619">
          <cell r="B619" t="str">
            <v>25-K-8</v>
          </cell>
          <cell r="D619">
            <v>650347</v>
          </cell>
          <cell r="E619">
            <v>3538840</v>
          </cell>
        </row>
        <row r="620">
          <cell r="B620" t="str">
            <v>25-L-1</v>
          </cell>
          <cell r="D620">
            <v>668276</v>
          </cell>
          <cell r="E620">
            <v>3516820</v>
          </cell>
        </row>
        <row r="621">
          <cell r="B621" t="str">
            <v>26-H-1</v>
          </cell>
          <cell r="D621">
            <v>590900</v>
          </cell>
          <cell r="E621">
            <v>3487600</v>
          </cell>
        </row>
        <row r="622">
          <cell r="B622" t="str">
            <v>26-H-2</v>
          </cell>
          <cell r="D622">
            <v>588000</v>
          </cell>
          <cell r="E622">
            <v>3486650</v>
          </cell>
        </row>
        <row r="623">
          <cell r="B623" t="str">
            <v>26-H-3</v>
          </cell>
          <cell r="D623">
            <v>593842</v>
          </cell>
          <cell r="E623">
            <v>3488010</v>
          </cell>
        </row>
        <row r="624">
          <cell r="B624" t="str">
            <v>26-H-6</v>
          </cell>
          <cell r="D624">
            <v>592354</v>
          </cell>
          <cell r="E624">
            <v>3499690</v>
          </cell>
        </row>
        <row r="625">
          <cell r="B625" t="str">
            <v>26-I-1</v>
          </cell>
          <cell r="D625">
            <v>590786</v>
          </cell>
          <cell r="E625">
            <v>3487590</v>
          </cell>
        </row>
        <row r="626">
          <cell r="B626" t="str">
            <v>26-I-1</v>
          </cell>
          <cell r="D626">
            <v>611286</v>
          </cell>
          <cell r="E626">
            <v>3498890</v>
          </cell>
        </row>
        <row r="627">
          <cell r="B627" t="str">
            <v>26-I-2</v>
          </cell>
          <cell r="D627">
            <v>611859</v>
          </cell>
          <cell r="E627">
            <v>3508340</v>
          </cell>
        </row>
        <row r="628">
          <cell r="B628" t="str">
            <v>26-I-3</v>
          </cell>
          <cell r="D628">
            <v>614784</v>
          </cell>
          <cell r="E628">
            <v>3510620</v>
          </cell>
        </row>
        <row r="629">
          <cell r="B629" t="str">
            <v>26-I-4</v>
          </cell>
          <cell r="D629">
            <v>597616</v>
          </cell>
          <cell r="E629">
            <v>3493070</v>
          </cell>
        </row>
        <row r="630">
          <cell r="B630" t="str">
            <v>26-I-5</v>
          </cell>
          <cell r="D630">
            <v>596481</v>
          </cell>
          <cell r="E630">
            <v>3486720</v>
          </cell>
        </row>
        <row r="631">
          <cell r="B631" t="str">
            <v>26-I-8</v>
          </cell>
          <cell r="D631">
            <v>596422</v>
          </cell>
          <cell r="E631">
            <v>3498550</v>
          </cell>
        </row>
        <row r="632">
          <cell r="B632" t="str">
            <v>26-J-1</v>
          </cell>
          <cell r="D632">
            <v>627211</v>
          </cell>
          <cell r="E632">
            <v>3509800</v>
          </cell>
        </row>
        <row r="633">
          <cell r="B633" t="str">
            <v>26-J-10</v>
          </cell>
          <cell r="D633">
            <v>632628</v>
          </cell>
          <cell r="E633">
            <v>3499150</v>
          </cell>
        </row>
        <row r="634">
          <cell r="B634" t="str">
            <v>26-J-11</v>
          </cell>
          <cell r="D634">
            <v>636566</v>
          </cell>
          <cell r="E634">
            <v>3498630</v>
          </cell>
        </row>
        <row r="635">
          <cell r="B635" t="str">
            <v>26-J-12</v>
          </cell>
          <cell r="D635">
            <v>629385</v>
          </cell>
          <cell r="E635">
            <v>3508780</v>
          </cell>
        </row>
        <row r="636">
          <cell r="B636" t="str">
            <v>26-J-14</v>
          </cell>
          <cell r="D636">
            <v>626226</v>
          </cell>
          <cell r="E636">
            <v>3507910</v>
          </cell>
        </row>
        <row r="637">
          <cell r="B637" t="str">
            <v>26-J-16</v>
          </cell>
          <cell r="D637">
            <v>622660</v>
          </cell>
          <cell r="E637">
            <v>3509600</v>
          </cell>
        </row>
        <row r="638">
          <cell r="B638" t="str">
            <v>26-J-17</v>
          </cell>
          <cell r="D638">
            <v>620364</v>
          </cell>
          <cell r="E638">
            <v>3501490</v>
          </cell>
        </row>
        <row r="639">
          <cell r="B639" t="str">
            <v>26-J-2</v>
          </cell>
          <cell r="D639">
            <v>627006</v>
          </cell>
          <cell r="E639">
            <v>3505280</v>
          </cell>
        </row>
        <row r="640">
          <cell r="B640" t="str">
            <v>26-J-3</v>
          </cell>
          <cell r="D640">
            <v>626341</v>
          </cell>
          <cell r="E640">
            <v>3499610</v>
          </cell>
        </row>
        <row r="641">
          <cell r="B641" t="str">
            <v>26-J-4</v>
          </cell>
          <cell r="D641">
            <v>641012</v>
          </cell>
          <cell r="E641">
            <v>3512600</v>
          </cell>
        </row>
        <row r="642">
          <cell r="B642" t="str">
            <v>26-J-5</v>
          </cell>
          <cell r="D642">
            <v>623693</v>
          </cell>
          <cell r="E642">
            <v>3501300</v>
          </cell>
        </row>
        <row r="643">
          <cell r="B643" t="str">
            <v>26-J-6</v>
          </cell>
          <cell r="D643">
            <v>624059</v>
          </cell>
          <cell r="E643">
            <v>3507430</v>
          </cell>
        </row>
        <row r="644">
          <cell r="B644" t="str">
            <v>26-J-7</v>
          </cell>
          <cell r="D644">
            <v>625509</v>
          </cell>
          <cell r="E644">
            <v>3510260</v>
          </cell>
        </row>
        <row r="645">
          <cell r="B645" t="str">
            <v>26-J-8</v>
          </cell>
          <cell r="D645">
            <v>623946</v>
          </cell>
          <cell r="E645">
            <v>3503840</v>
          </cell>
        </row>
        <row r="646">
          <cell r="B646" t="str">
            <v>26-J-9</v>
          </cell>
          <cell r="D646">
            <v>625924</v>
          </cell>
          <cell r="E646">
            <v>3496750</v>
          </cell>
        </row>
        <row r="647">
          <cell r="B647" t="str">
            <v>26-K-1</v>
          </cell>
          <cell r="D647">
            <v>655983</v>
          </cell>
          <cell r="E647">
            <v>3508540</v>
          </cell>
        </row>
        <row r="648">
          <cell r="B648" t="str">
            <v>26-K-2</v>
          </cell>
          <cell r="D648">
            <v>653634</v>
          </cell>
          <cell r="E648">
            <v>3489650</v>
          </cell>
        </row>
        <row r="649">
          <cell r="B649" t="str">
            <v>26-K-3</v>
          </cell>
          <cell r="D649">
            <v>658755</v>
          </cell>
          <cell r="E649">
            <v>3498250</v>
          </cell>
        </row>
        <row r="650">
          <cell r="B650" t="str">
            <v>26-K-35</v>
          </cell>
          <cell r="C650" t="str">
            <v>Section</v>
          </cell>
          <cell r="D650">
            <v>643330</v>
          </cell>
          <cell r="E650">
            <v>3508030</v>
          </cell>
        </row>
        <row r="651">
          <cell r="B651" t="str">
            <v>26-L-1</v>
          </cell>
          <cell r="D651">
            <v>667020</v>
          </cell>
          <cell r="E651">
            <v>3501280</v>
          </cell>
        </row>
        <row r="652">
          <cell r="B652" t="str">
            <v>26-L-2</v>
          </cell>
          <cell r="D652">
            <v>673983</v>
          </cell>
          <cell r="E652">
            <v>3509530</v>
          </cell>
        </row>
        <row r="653">
          <cell r="B653" t="str">
            <v>27-H-10</v>
          </cell>
          <cell r="D653">
            <v>579365</v>
          </cell>
          <cell r="E653">
            <v>3478810</v>
          </cell>
        </row>
        <row r="654">
          <cell r="B654" t="str">
            <v>27-H-11</v>
          </cell>
          <cell r="D654">
            <v>574712</v>
          </cell>
          <cell r="E654">
            <v>3481600</v>
          </cell>
        </row>
        <row r="655">
          <cell r="B655" t="str">
            <v>27-H-12</v>
          </cell>
          <cell r="D655">
            <v>576779</v>
          </cell>
          <cell r="E655">
            <v>3483820</v>
          </cell>
        </row>
        <row r="656">
          <cell r="B656" t="str">
            <v>27-H-2</v>
          </cell>
          <cell r="D656">
            <v>580710</v>
          </cell>
          <cell r="E656">
            <v>3463560</v>
          </cell>
        </row>
        <row r="657">
          <cell r="B657" t="str">
            <v>27-H-3</v>
          </cell>
          <cell r="D657">
            <v>582001</v>
          </cell>
          <cell r="E657">
            <v>3458770</v>
          </cell>
        </row>
        <row r="658">
          <cell r="B658" t="str">
            <v>27-H-4</v>
          </cell>
          <cell r="D658">
            <v>584693</v>
          </cell>
          <cell r="E658">
            <v>3481230</v>
          </cell>
        </row>
        <row r="659">
          <cell r="B659" t="str">
            <v>27-H-6</v>
          </cell>
          <cell r="D659">
            <v>587243</v>
          </cell>
          <cell r="E659">
            <v>3483640</v>
          </cell>
        </row>
        <row r="660">
          <cell r="B660" t="str">
            <v>27-I-1</v>
          </cell>
          <cell r="D660">
            <v>602797</v>
          </cell>
          <cell r="E660">
            <v>3470870</v>
          </cell>
        </row>
        <row r="661">
          <cell r="B661" t="str">
            <v>27-I-2</v>
          </cell>
          <cell r="D661">
            <v>601146</v>
          </cell>
          <cell r="E661">
            <v>3465710</v>
          </cell>
        </row>
        <row r="662">
          <cell r="B662" t="str">
            <v>27-K-1</v>
          </cell>
          <cell r="D662">
            <v>652675</v>
          </cell>
          <cell r="E662">
            <v>3477200</v>
          </cell>
        </row>
        <row r="663">
          <cell r="B663" t="str">
            <v>27-K-2</v>
          </cell>
          <cell r="D663">
            <v>658740</v>
          </cell>
          <cell r="E663">
            <v>3482320</v>
          </cell>
        </row>
        <row r="664">
          <cell r="B664" t="str">
            <v>27-K-3</v>
          </cell>
          <cell r="D664">
            <v>647305</v>
          </cell>
          <cell r="E664">
            <v>3474130</v>
          </cell>
        </row>
        <row r="665">
          <cell r="B665" t="str">
            <v>28-G-5</v>
          </cell>
          <cell r="D665">
            <v>565212</v>
          </cell>
          <cell r="E665">
            <v>3449200</v>
          </cell>
        </row>
        <row r="666">
          <cell r="B666" t="str">
            <v>28-H-1</v>
          </cell>
          <cell r="D666">
            <v>591488</v>
          </cell>
          <cell r="E666">
            <v>3443360</v>
          </cell>
        </row>
        <row r="667">
          <cell r="B667" t="str">
            <v>28-H-10</v>
          </cell>
          <cell r="D667">
            <v>592836</v>
          </cell>
          <cell r="E667">
            <v>3438560</v>
          </cell>
        </row>
        <row r="668">
          <cell r="B668" t="str">
            <v>28-H-11</v>
          </cell>
          <cell r="D668">
            <v>578935</v>
          </cell>
          <cell r="E668">
            <v>3444600</v>
          </cell>
        </row>
        <row r="669">
          <cell r="B669" t="str">
            <v>28-H-12</v>
          </cell>
          <cell r="D669">
            <v>582917</v>
          </cell>
          <cell r="E669">
            <v>3451730</v>
          </cell>
        </row>
        <row r="670">
          <cell r="B670" t="str">
            <v>28-H-13</v>
          </cell>
          <cell r="D670">
            <v>594054</v>
          </cell>
          <cell r="E670">
            <v>3452120</v>
          </cell>
        </row>
        <row r="671">
          <cell r="B671" t="str">
            <v>28-H-14</v>
          </cell>
          <cell r="D671">
            <v>577873</v>
          </cell>
          <cell r="E671">
            <v>3442340</v>
          </cell>
        </row>
        <row r="672">
          <cell r="B672" t="str">
            <v>28-H-15</v>
          </cell>
          <cell r="D672">
            <v>583102</v>
          </cell>
          <cell r="E672">
            <v>3441770</v>
          </cell>
        </row>
        <row r="673">
          <cell r="B673" t="str">
            <v>28-H-19</v>
          </cell>
          <cell r="D673">
            <v>580626</v>
          </cell>
          <cell r="E673">
            <v>3437500</v>
          </cell>
        </row>
        <row r="674">
          <cell r="B674" t="str">
            <v>28-H-2</v>
          </cell>
          <cell r="D674">
            <v>592213</v>
          </cell>
          <cell r="E674">
            <v>3445350</v>
          </cell>
        </row>
        <row r="675">
          <cell r="B675" t="str">
            <v>28-H-25</v>
          </cell>
          <cell r="D675">
            <v>582588</v>
          </cell>
          <cell r="E675">
            <v>3447600</v>
          </cell>
        </row>
        <row r="676">
          <cell r="B676" t="str">
            <v>28-H-32</v>
          </cell>
          <cell r="D676">
            <v>587020</v>
          </cell>
          <cell r="E676">
            <v>3452680</v>
          </cell>
        </row>
        <row r="677">
          <cell r="B677" t="str">
            <v>28-H-4</v>
          </cell>
          <cell r="D677">
            <v>594691</v>
          </cell>
          <cell r="E677">
            <v>3454230</v>
          </cell>
        </row>
        <row r="678">
          <cell r="B678" t="str">
            <v>28-H-5</v>
          </cell>
          <cell r="D678">
            <v>576268</v>
          </cell>
          <cell r="E678">
            <v>3438800</v>
          </cell>
        </row>
        <row r="679">
          <cell r="B679" t="str">
            <v>28-H-8</v>
          </cell>
          <cell r="D679">
            <v>586986</v>
          </cell>
          <cell r="E679">
            <v>3450560</v>
          </cell>
        </row>
        <row r="680">
          <cell r="B680" t="str">
            <v>28-H-9</v>
          </cell>
          <cell r="D680">
            <v>589525</v>
          </cell>
          <cell r="E680">
            <v>3442770</v>
          </cell>
        </row>
        <row r="681">
          <cell r="B681" t="str">
            <v>28-J-3</v>
          </cell>
          <cell r="D681">
            <v>641005</v>
          </cell>
          <cell r="E681">
            <v>3445650</v>
          </cell>
        </row>
        <row r="682">
          <cell r="B682" t="str">
            <v>29-J-1</v>
          </cell>
          <cell r="D682">
            <v>637509</v>
          </cell>
          <cell r="E682">
            <v>3422090</v>
          </cell>
        </row>
        <row r="683">
          <cell r="B683" t="str">
            <v>29-J-2</v>
          </cell>
          <cell r="D683">
            <v>634647</v>
          </cell>
          <cell r="E683">
            <v>3425470</v>
          </cell>
        </row>
        <row r="684">
          <cell r="B684" t="str">
            <v>29-J-3</v>
          </cell>
          <cell r="D684">
            <v>634572</v>
          </cell>
          <cell r="E684">
            <v>3422640</v>
          </cell>
        </row>
        <row r="685">
          <cell r="B685" t="str">
            <v>4-P-1</v>
          </cell>
          <cell r="C685" t="str">
            <v>Sturdivant</v>
          </cell>
          <cell r="D685">
            <v>764246</v>
          </cell>
          <cell r="E685">
            <v>4102360</v>
          </cell>
        </row>
        <row r="686">
          <cell r="B686" t="str">
            <v>4-Q-1</v>
          </cell>
          <cell r="C686" t="str">
            <v>Peter Bess</v>
          </cell>
          <cell r="D686">
            <v>770455</v>
          </cell>
          <cell r="E686">
            <v>4105120</v>
          </cell>
        </row>
        <row r="687">
          <cell r="B687" t="str">
            <v>4-Q-2</v>
          </cell>
          <cell r="C687" t="str">
            <v>Base Line</v>
          </cell>
          <cell r="D687">
            <v>785710</v>
          </cell>
          <cell r="E687">
            <v>4103020</v>
          </cell>
        </row>
        <row r="688">
          <cell r="B688" t="str">
            <v>4-Q-3</v>
          </cell>
          <cell r="C688" t="str">
            <v>Lakeville</v>
          </cell>
          <cell r="D688">
            <v>775282</v>
          </cell>
          <cell r="E688">
            <v>4107460</v>
          </cell>
        </row>
        <row r="689">
          <cell r="B689" t="str">
            <v>4-R-1</v>
          </cell>
          <cell r="C689" t="str">
            <v>Obermann</v>
          </cell>
          <cell r="D689">
            <v>798056</v>
          </cell>
          <cell r="E689">
            <v>4127120</v>
          </cell>
        </row>
        <row r="690">
          <cell r="B690" t="str">
            <v>4-R-16</v>
          </cell>
          <cell r="C690" t="str">
            <v>Sand Ridge</v>
          </cell>
          <cell r="D690">
            <v>802752</v>
          </cell>
          <cell r="E690">
            <v>4101270</v>
          </cell>
        </row>
        <row r="691">
          <cell r="B691" t="str">
            <v>4-S-1</v>
          </cell>
          <cell r="C691" t="str">
            <v>Brushy L.</v>
          </cell>
          <cell r="D691">
            <v>820108</v>
          </cell>
          <cell r="E691">
            <v>4106860</v>
          </cell>
        </row>
        <row r="692">
          <cell r="B692" t="str">
            <v>5-Q-3</v>
          </cell>
          <cell r="C692" t="str">
            <v>Durnell</v>
          </cell>
          <cell r="D692">
            <v>784456</v>
          </cell>
          <cell r="E692">
            <v>4096350</v>
          </cell>
        </row>
        <row r="693">
          <cell r="B693" t="str">
            <v>5-R-1</v>
          </cell>
          <cell r="C693" t="str">
            <v>Sikeston</v>
          </cell>
          <cell r="D693">
            <v>806056</v>
          </cell>
          <cell r="E693">
            <v>4081860</v>
          </cell>
        </row>
        <row r="694">
          <cell r="B694" t="str">
            <v>5-R-2</v>
          </cell>
          <cell r="C694" t="str">
            <v>East Lake</v>
          </cell>
          <cell r="D694">
            <v>807464</v>
          </cell>
          <cell r="E694">
            <v>4078680</v>
          </cell>
        </row>
        <row r="695">
          <cell r="B695" t="str">
            <v>5-R-21</v>
          </cell>
          <cell r="C695" t="str">
            <v>Beeson</v>
          </cell>
          <cell r="D695">
            <v>797099</v>
          </cell>
          <cell r="E695">
            <v>4078260</v>
          </cell>
        </row>
        <row r="696">
          <cell r="B696" t="str">
            <v>5-R-3</v>
          </cell>
          <cell r="C696" t="str">
            <v>Matthews</v>
          </cell>
          <cell r="D696">
            <v>805545</v>
          </cell>
          <cell r="E696">
            <v>4074250</v>
          </cell>
        </row>
        <row r="697">
          <cell r="B697" t="str">
            <v>5-R-8</v>
          </cell>
          <cell r="C697" t="str">
            <v>Morehouse</v>
          </cell>
          <cell r="D697">
            <v>796044</v>
          </cell>
          <cell r="E697">
            <v>4081050</v>
          </cell>
        </row>
        <row r="698">
          <cell r="B698" t="str">
            <v>5-S-1</v>
          </cell>
          <cell r="C698" t="str">
            <v>Charleston</v>
          </cell>
          <cell r="D698">
            <v>833026</v>
          </cell>
          <cell r="E698">
            <v>4091780</v>
          </cell>
        </row>
        <row r="699">
          <cell r="B699" t="str">
            <v>5-S-10</v>
          </cell>
          <cell r="C699" t="str">
            <v>John Short</v>
          </cell>
          <cell r="D699">
            <v>827607</v>
          </cell>
          <cell r="E699">
            <v>4074680</v>
          </cell>
        </row>
        <row r="700">
          <cell r="B700" t="str">
            <v>5-S-2</v>
          </cell>
          <cell r="C700" t="str">
            <v>Hoecake</v>
          </cell>
          <cell r="D700">
            <v>833560</v>
          </cell>
          <cell r="E700">
            <v>4074410</v>
          </cell>
        </row>
        <row r="701">
          <cell r="B701" t="str">
            <v>5-S-4</v>
          </cell>
          <cell r="C701" t="str">
            <v>Sandy Woods</v>
          </cell>
          <cell r="D701">
            <v>816096</v>
          </cell>
          <cell r="E701">
            <v>4098150</v>
          </cell>
        </row>
        <row r="702">
          <cell r="B702" t="str">
            <v>5-S-5</v>
          </cell>
          <cell r="C702" t="str">
            <v>Lusk Chapel</v>
          </cell>
          <cell r="D702">
            <v>820690</v>
          </cell>
          <cell r="E702">
            <v>4099360</v>
          </cell>
        </row>
        <row r="703">
          <cell r="B703" t="str">
            <v>5-S-6</v>
          </cell>
          <cell r="C703" t="str">
            <v>Myers</v>
          </cell>
          <cell r="D703">
            <v>833225</v>
          </cell>
          <cell r="E703">
            <v>4091780</v>
          </cell>
        </row>
        <row r="704">
          <cell r="B704" t="str">
            <v>5-T-1</v>
          </cell>
          <cell r="C704" t="str">
            <v>Crosno</v>
          </cell>
          <cell r="D704">
            <v>841830</v>
          </cell>
          <cell r="E704">
            <v>4076910</v>
          </cell>
        </row>
        <row r="705">
          <cell r="B705" t="str">
            <v>5-T-4</v>
          </cell>
          <cell r="C705" t="str">
            <v>O'Bryam Ridge</v>
          </cell>
          <cell r="D705">
            <v>838912</v>
          </cell>
          <cell r="E705">
            <v>4085060</v>
          </cell>
        </row>
        <row r="706">
          <cell r="B706" t="str">
            <v>5-T-5</v>
          </cell>
          <cell r="D706">
            <v>841504</v>
          </cell>
          <cell r="E706">
            <v>4084820</v>
          </cell>
        </row>
        <row r="707">
          <cell r="B707" t="str">
            <v>5-T-6</v>
          </cell>
          <cell r="C707" t="str">
            <v>Wickliffe</v>
          </cell>
          <cell r="D707">
            <v>848890</v>
          </cell>
          <cell r="E707">
            <v>4098260</v>
          </cell>
        </row>
        <row r="708">
          <cell r="B708" t="str">
            <v>5-T-7</v>
          </cell>
          <cell r="C708" t="str">
            <v>Weems</v>
          </cell>
          <cell r="D708">
            <v>836356</v>
          </cell>
          <cell r="E708">
            <v>4086060</v>
          </cell>
        </row>
        <row r="709">
          <cell r="B709" t="str">
            <v>6-P-1</v>
          </cell>
          <cell r="C709" t="str">
            <v>Stewart Sp.</v>
          </cell>
          <cell r="D709">
            <v>765237</v>
          </cell>
          <cell r="E709">
            <v>4049540</v>
          </cell>
        </row>
        <row r="710">
          <cell r="B710" t="str">
            <v>6-P-2</v>
          </cell>
          <cell r="C710" t="str">
            <v>Whittaker</v>
          </cell>
          <cell r="D710">
            <v>763766</v>
          </cell>
          <cell r="E710">
            <v>4047240</v>
          </cell>
        </row>
        <row r="711">
          <cell r="B711" t="str">
            <v>6-P-3</v>
          </cell>
          <cell r="C711" t="str">
            <v>Henderson</v>
          </cell>
          <cell r="D711">
            <v>764173</v>
          </cell>
          <cell r="E711">
            <v>4045110</v>
          </cell>
        </row>
        <row r="712">
          <cell r="B712" t="str">
            <v>6-Q-1</v>
          </cell>
          <cell r="C712" t="str">
            <v>Rich Woods</v>
          </cell>
          <cell r="D712">
            <v>771193</v>
          </cell>
          <cell r="E712">
            <v>4065270</v>
          </cell>
        </row>
        <row r="713">
          <cell r="B713" t="str">
            <v>6-Q-13</v>
          </cell>
          <cell r="C713" t="str">
            <v>Crumpecker</v>
          </cell>
          <cell r="D713">
            <v>782402</v>
          </cell>
          <cell r="E713">
            <v>4056700</v>
          </cell>
        </row>
        <row r="714">
          <cell r="B714" t="str">
            <v>6-Q-15</v>
          </cell>
          <cell r="C714" t="str">
            <v>Unnamed</v>
          </cell>
          <cell r="D714">
            <v>789033</v>
          </cell>
          <cell r="E714">
            <v>4058470</v>
          </cell>
        </row>
        <row r="715">
          <cell r="B715" t="str">
            <v>6-Q-2</v>
          </cell>
          <cell r="C715" t="str">
            <v>County Line</v>
          </cell>
          <cell r="D715">
            <v>771756</v>
          </cell>
          <cell r="E715">
            <v>4056300</v>
          </cell>
        </row>
        <row r="716">
          <cell r="B716" t="str">
            <v>6-Q-3</v>
          </cell>
          <cell r="C716" t="str">
            <v>Risco</v>
          </cell>
          <cell r="D716">
            <v>784945</v>
          </cell>
          <cell r="E716">
            <v>4049120</v>
          </cell>
        </row>
        <row r="717">
          <cell r="B717" t="str">
            <v>6-Q-4</v>
          </cell>
          <cell r="C717" t="str">
            <v>Wulfing Plates</v>
          </cell>
          <cell r="D717">
            <v>771274</v>
          </cell>
          <cell r="E717">
            <v>4045150</v>
          </cell>
        </row>
        <row r="718">
          <cell r="B718" t="str">
            <v>6-Q-5</v>
          </cell>
          <cell r="C718" t="str">
            <v>Broadwater</v>
          </cell>
          <cell r="D718">
            <v>777457</v>
          </cell>
          <cell r="E718">
            <v>4051570</v>
          </cell>
        </row>
        <row r="719">
          <cell r="B719" t="str">
            <v>6-R-1</v>
          </cell>
          <cell r="C719" t="str">
            <v>Lilbourn</v>
          </cell>
          <cell r="D719">
            <v>805749</v>
          </cell>
          <cell r="E719">
            <v>4052340</v>
          </cell>
        </row>
        <row r="720">
          <cell r="B720" t="str">
            <v>6-R-10</v>
          </cell>
          <cell r="C720" t="str">
            <v>Neumann</v>
          </cell>
          <cell r="D720">
            <v>807560</v>
          </cell>
          <cell r="E720">
            <v>4045290</v>
          </cell>
        </row>
        <row r="721">
          <cell r="B721" t="str">
            <v>6-R-3</v>
          </cell>
          <cell r="C721" t="str">
            <v>Black Bayou</v>
          </cell>
          <cell r="D721">
            <v>806894</v>
          </cell>
          <cell r="E721">
            <v>4063610</v>
          </cell>
        </row>
        <row r="722">
          <cell r="B722" t="str">
            <v>6-R-4</v>
          </cell>
          <cell r="C722" t="str">
            <v>Unnamed</v>
          </cell>
          <cell r="D722">
            <v>805229</v>
          </cell>
          <cell r="E722">
            <v>4059090</v>
          </cell>
        </row>
        <row r="723">
          <cell r="B723" t="str">
            <v>6-R-5</v>
          </cell>
          <cell r="C723" t="str">
            <v>Unnamed</v>
          </cell>
          <cell r="D723">
            <v>795638</v>
          </cell>
          <cell r="E723">
            <v>4069440</v>
          </cell>
        </row>
        <row r="724">
          <cell r="B724" t="str">
            <v>6-R-6</v>
          </cell>
          <cell r="C724" t="str">
            <v>Unnamed</v>
          </cell>
          <cell r="D724">
            <v>805733</v>
          </cell>
          <cell r="E724">
            <v>4060760</v>
          </cell>
        </row>
        <row r="725">
          <cell r="B725" t="str">
            <v>6-S-1</v>
          </cell>
          <cell r="C725" t="str">
            <v>Barker</v>
          </cell>
          <cell r="D725">
            <v>826023</v>
          </cell>
          <cell r="E725">
            <v>4066240</v>
          </cell>
        </row>
        <row r="726">
          <cell r="B726" t="str">
            <v>6-S-13</v>
          </cell>
          <cell r="C726" t="str">
            <v>Black Bayou</v>
          </cell>
          <cell r="D726">
            <v>821690</v>
          </cell>
          <cell r="E726">
            <v>4065480</v>
          </cell>
        </row>
        <row r="727">
          <cell r="B727" t="str">
            <v>6-S-2</v>
          </cell>
          <cell r="C727" t="str">
            <v>Spanish Grant</v>
          </cell>
          <cell r="D727">
            <v>821373</v>
          </cell>
          <cell r="E727">
            <v>4069440</v>
          </cell>
        </row>
        <row r="728">
          <cell r="B728" t="str">
            <v>6-S-3</v>
          </cell>
          <cell r="C728" t="str">
            <v>Barker</v>
          </cell>
          <cell r="D728">
            <v>822426</v>
          </cell>
          <cell r="E728">
            <v>4071830</v>
          </cell>
        </row>
        <row r="729">
          <cell r="B729" t="str">
            <v>6-S-4</v>
          </cell>
          <cell r="C729" t="str">
            <v>East Bayou</v>
          </cell>
          <cell r="D729">
            <v>821917</v>
          </cell>
          <cell r="E729">
            <v>4060510</v>
          </cell>
        </row>
        <row r="730">
          <cell r="B730" t="str">
            <v>6-S-5</v>
          </cell>
          <cell r="C730" t="str">
            <v>La Plant</v>
          </cell>
          <cell r="D730">
            <v>824249</v>
          </cell>
          <cell r="E730">
            <v>4063020</v>
          </cell>
        </row>
        <row r="731">
          <cell r="B731" t="str">
            <v>6-S-6</v>
          </cell>
          <cell r="C731" t="str">
            <v>Mound Field</v>
          </cell>
          <cell r="D731">
            <v>819529</v>
          </cell>
          <cell r="E731">
            <v>4049040</v>
          </cell>
        </row>
        <row r="732">
          <cell r="B732" t="str">
            <v>6-T-2</v>
          </cell>
          <cell r="C732" t="str">
            <v>Sassafras R.</v>
          </cell>
          <cell r="D732">
            <v>838911</v>
          </cell>
          <cell r="E732">
            <v>4071630</v>
          </cell>
        </row>
        <row r="733">
          <cell r="B733" t="str">
            <v>6-T-3</v>
          </cell>
          <cell r="C733" t="str">
            <v>O'Byam's Ft.</v>
          </cell>
          <cell r="D733">
            <v>847784</v>
          </cell>
          <cell r="E733">
            <v>4064770</v>
          </cell>
        </row>
        <row r="734">
          <cell r="B734" t="str">
            <v>6-T-5</v>
          </cell>
          <cell r="D734">
            <v>839437</v>
          </cell>
          <cell r="E734">
            <v>4064160</v>
          </cell>
        </row>
        <row r="735">
          <cell r="B735" t="str">
            <v>6-T-6</v>
          </cell>
          <cell r="D735">
            <v>837511</v>
          </cell>
          <cell r="E735">
            <v>4062700</v>
          </cell>
        </row>
        <row r="736">
          <cell r="B736" t="str">
            <v>6-T-9</v>
          </cell>
          <cell r="C736" t="str">
            <v>Beckwith's Ranch</v>
          </cell>
          <cell r="D736">
            <v>842335</v>
          </cell>
          <cell r="E736">
            <v>4064290</v>
          </cell>
        </row>
        <row r="737">
          <cell r="B737" t="str">
            <v>7-P-1</v>
          </cell>
          <cell r="C737" t="str">
            <v>Holcomb</v>
          </cell>
          <cell r="D737">
            <v>764533</v>
          </cell>
          <cell r="E737">
            <v>4030210</v>
          </cell>
        </row>
        <row r="738">
          <cell r="B738" t="str">
            <v>7-P-2</v>
          </cell>
          <cell r="C738" t="str">
            <v>Spence</v>
          </cell>
          <cell r="D738">
            <v>768299</v>
          </cell>
          <cell r="E738">
            <v>4023050</v>
          </cell>
        </row>
        <row r="739">
          <cell r="B739" t="str">
            <v>7-P-4</v>
          </cell>
          <cell r="C739" t="str">
            <v>Case School</v>
          </cell>
          <cell r="D739">
            <v>761064</v>
          </cell>
          <cell r="E739">
            <v>4033210</v>
          </cell>
        </row>
        <row r="740">
          <cell r="B740" t="str">
            <v>7-P-6</v>
          </cell>
          <cell r="C740" t="str">
            <v>Unnamed</v>
          </cell>
          <cell r="D740">
            <v>758755</v>
          </cell>
          <cell r="E740">
            <v>4035090</v>
          </cell>
        </row>
        <row r="741">
          <cell r="B741" t="str">
            <v>7-P-7</v>
          </cell>
          <cell r="C741" t="str">
            <v>Watson</v>
          </cell>
          <cell r="D741">
            <v>768163</v>
          </cell>
          <cell r="E741">
            <v>4017320</v>
          </cell>
        </row>
        <row r="742">
          <cell r="B742" t="str">
            <v>7-Q-1</v>
          </cell>
          <cell r="C742" t="str">
            <v>Wardell</v>
          </cell>
          <cell r="D742">
            <v>784105</v>
          </cell>
          <cell r="E742">
            <v>4026910</v>
          </cell>
        </row>
        <row r="743">
          <cell r="B743" t="str">
            <v>7-Q-11</v>
          </cell>
          <cell r="C743" t="str">
            <v>Tallapoosa</v>
          </cell>
          <cell r="D743">
            <v>787189</v>
          </cell>
          <cell r="E743">
            <v>4042350</v>
          </cell>
        </row>
        <row r="744">
          <cell r="B744" t="str">
            <v>7-Q-12</v>
          </cell>
          <cell r="C744" t="str">
            <v>Hartzell</v>
          </cell>
          <cell r="D744">
            <v>783671</v>
          </cell>
          <cell r="E744">
            <v>4039950</v>
          </cell>
        </row>
        <row r="745">
          <cell r="B745" t="str">
            <v>7-Q-2</v>
          </cell>
          <cell r="C745" t="str">
            <v>Pascola</v>
          </cell>
          <cell r="D745">
            <v>786820</v>
          </cell>
          <cell r="E745">
            <v>4017330</v>
          </cell>
        </row>
        <row r="746">
          <cell r="B746" t="str">
            <v>7-Q-3</v>
          </cell>
          <cell r="C746" t="str">
            <v>Wilbur</v>
          </cell>
          <cell r="D746">
            <v>787287</v>
          </cell>
          <cell r="E746">
            <v>4019920</v>
          </cell>
        </row>
        <row r="747">
          <cell r="B747" t="str">
            <v>7-Q-4</v>
          </cell>
          <cell r="C747" t="str">
            <v>Ingram River</v>
          </cell>
          <cell r="D747">
            <v>788304</v>
          </cell>
          <cell r="E747">
            <v>4022080</v>
          </cell>
        </row>
        <row r="748">
          <cell r="B748" t="str">
            <v>7-R-10</v>
          </cell>
          <cell r="C748" t="str">
            <v>Hunter</v>
          </cell>
          <cell r="D748">
            <v>807274</v>
          </cell>
          <cell r="E748">
            <v>4034360</v>
          </cell>
        </row>
        <row r="749">
          <cell r="B749" t="str">
            <v>7-R-11</v>
          </cell>
          <cell r="D749">
            <v>810611</v>
          </cell>
          <cell r="E749">
            <v>4035730</v>
          </cell>
        </row>
        <row r="750">
          <cell r="B750" t="str">
            <v>7-R-3</v>
          </cell>
          <cell r="C750" t="str">
            <v>Estes</v>
          </cell>
          <cell r="D750">
            <v>801133</v>
          </cell>
          <cell r="E750">
            <v>4026130</v>
          </cell>
        </row>
        <row r="751">
          <cell r="B751" t="str">
            <v>7-R-4</v>
          </cell>
          <cell r="C751" t="str">
            <v>Stewart</v>
          </cell>
          <cell r="D751">
            <v>799820</v>
          </cell>
          <cell r="E751">
            <v>4029030</v>
          </cell>
        </row>
        <row r="752">
          <cell r="B752" t="str">
            <v>7-R-5</v>
          </cell>
          <cell r="C752" t="str">
            <v>Double Bridge</v>
          </cell>
          <cell r="D752">
            <v>804688</v>
          </cell>
          <cell r="E752">
            <v>4035240</v>
          </cell>
        </row>
        <row r="753">
          <cell r="B753" t="str">
            <v>7-R-6</v>
          </cell>
          <cell r="C753" t="str">
            <v>Brinkerhoff</v>
          </cell>
          <cell r="D753">
            <v>795246</v>
          </cell>
          <cell r="E753">
            <v>4023450</v>
          </cell>
        </row>
        <row r="754">
          <cell r="B754" t="str">
            <v>7-R-7</v>
          </cell>
          <cell r="C754" t="str">
            <v>Portage</v>
          </cell>
          <cell r="D754">
            <v>798996</v>
          </cell>
          <cell r="E754">
            <v>4033170</v>
          </cell>
        </row>
        <row r="755">
          <cell r="B755" t="str">
            <v>7-R-8</v>
          </cell>
          <cell r="C755" t="str">
            <v>Reaves</v>
          </cell>
          <cell r="D755">
            <v>801607</v>
          </cell>
          <cell r="E755">
            <v>4035280</v>
          </cell>
        </row>
        <row r="756">
          <cell r="B756" t="str">
            <v>8-O-1</v>
          </cell>
          <cell r="C756" t="str">
            <v>Cockrum Landing</v>
          </cell>
          <cell r="D756">
            <v>739460</v>
          </cell>
          <cell r="E756">
            <v>3987390</v>
          </cell>
        </row>
        <row r="757">
          <cell r="B757" t="str">
            <v>8-O-2</v>
          </cell>
          <cell r="C757" t="str">
            <v>Wilkins</v>
          </cell>
          <cell r="D757">
            <v>742596</v>
          </cell>
          <cell r="E757">
            <v>3995420</v>
          </cell>
        </row>
        <row r="758">
          <cell r="B758" t="str">
            <v>8-O-3</v>
          </cell>
          <cell r="C758" t="str">
            <v>Gum Island</v>
          </cell>
          <cell r="D758">
            <v>744719</v>
          </cell>
          <cell r="E758">
            <v>3997250</v>
          </cell>
        </row>
        <row r="759">
          <cell r="B759" t="str">
            <v>8-O-5</v>
          </cell>
          <cell r="C759" t="str">
            <v>Seneca Slough</v>
          </cell>
          <cell r="D759">
            <v>746123</v>
          </cell>
          <cell r="E759">
            <v>3999350</v>
          </cell>
        </row>
        <row r="760">
          <cell r="B760" t="str">
            <v>8-O-8</v>
          </cell>
          <cell r="C760" t="str">
            <v>Law</v>
          </cell>
          <cell r="D760">
            <v>738907</v>
          </cell>
          <cell r="E760">
            <v>3992750</v>
          </cell>
        </row>
        <row r="761">
          <cell r="B761" t="str">
            <v>8-P-1</v>
          </cell>
          <cell r="C761" t="str">
            <v>Old Varney River</v>
          </cell>
          <cell r="D761">
            <v>749679</v>
          </cell>
          <cell r="E761">
            <v>4002970</v>
          </cell>
        </row>
        <row r="762">
          <cell r="B762" t="str">
            <v>8-P-2</v>
          </cell>
          <cell r="C762" t="str">
            <v>Kennett</v>
          </cell>
          <cell r="D762">
            <v>760148</v>
          </cell>
          <cell r="E762">
            <v>4012710</v>
          </cell>
        </row>
        <row r="763">
          <cell r="B763" t="str">
            <v>8-P-3</v>
          </cell>
          <cell r="C763" t="str">
            <v>Langdon</v>
          </cell>
          <cell r="D763">
            <v>760676</v>
          </cell>
          <cell r="E763">
            <v>3996510</v>
          </cell>
        </row>
        <row r="764">
          <cell r="B764" t="str">
            <v>8-P-5</v>
          </cell>
          <cell r="C764" t="str">
            <v>Treasure Island</v>
          </cell>
          <cell r="D764">
            <v>764919</v>
          </cell>
          <cell r="E764">
            <v>3996190</v>
          </cell>
        </row>
        <row r="765">
          <cell r="B765" t="str">
            <v>8-P-6</v>
          </cell>
          <cell r="C765" t="str">
            <v>Johnson Island</v>
          </cell>
          <cell r="D765">
            <v>765826</v>
          </cell>
          <cell r="E765">
            <v>4011460</v>
          </cell>
        </row>
        <row r="766">
          <cell r="B766" t="str">
            <v>8-P-7</v>
          </cell>
          <cell r="C766" t="str">
            <v>Cypress Pt.</v>
          </cell>
          <cell r="D766">
            <v>748560</v>
          </cell>
          <cell r="E766">
            <v>3999020</v>
          </cell>
        </row>
        <row r="767">
          <cell r="B767" t="str">
            <v>8-P-8</v>
          </cell>
          <cell r="D767">
            <v>765755</v>
          </cell>
          <cell r="E767">
            <v>4003230</v>
          </cell>
        </row>
        <row r="768">
          <cell r="B768" t="str">
            <v>8-Q-1</v>
          </cell>
          <cell r="C768" t="str">
            <v>Carney</v>
          </cell>
          <cell r="D768">
            <v>770852</v>
          </cell>
          <cell r="E768">
            <v>4013570</v>
          </cell>
        </row>
        <row r="769">
          <cell r="B769" t="str">
            <v>8-Q-10</v>
          </cell>
          <cell r="C769" t="str">
            <v>Hurley</v>
          </cell>
          <cell r="D769">
            <v>780205</v>
          </cell>
          <cell r="E769">
            <v>4001600</v>
          </cell>
        </row>
        <row r="770">
          <cell r="B770" t="str">
            <v>8-Q-11</v>
          </cell>
          <cell r="C770" t="str">
            <v>Hurley</v>
          </cell>
          <cell r="D770">
            <v>780158</v>
          </cell>
          <cell r="E770">
            <v>4004300</v>
          </cell>
        </row>
        <row r="771">
          <cell r="B771" t="str">
            <v>8-Q-12</v>
          </cell>
          <cell r="C771" t="str">
            <v>Blazer</v>
          </cell>
          <cell r="D771">
            <v>791290</v>
          </cell>
          <cell r="E771">
            <v>4012050</v>
          </cell>
        </row>
        <row r="772">
          <cell r="B772" t="str">
            <v>8-Q-3</v>
          </cell>
          <cell r="C772" t="str">
            <v>Canady</v>
          </cell>
          <cell r="D772">
            <v>791872</v>
          </cell>
          <cell r="E772">
            <v>4005340</v>
          </cell>
        </row>
        <row r="773">
          <cell r="B773" t="str">
            <v>8-Q-4</v>
          </cell>
          <cell r="C773" t="str">
            <v>Persimmon</v>
          </cell>
          <cell r="D773">
            <v>791867</v>
          </cell>
          <cell r="E773">
            <v>4000950</v>
          </cell>
        </row>
        <row r="774">
          <cell r="B774" t="str">
            <v>8-Q-5</v>
          </cell>
          <cell r="C774" t="str">
            <v>Holland</v>
          </cell>
          <cell r="D774">
            <v>785475</v>
          </cell>
          <cell r="E774">
            <v>3994950</v>
          </cell>
        </row>
        <row r="775">
          <cell r="B775" t="str">
            <v>8-Q-6</v>
          </cell>
          <cell r="C775" t="str">
            <v>McCay</v>
          </cell>
          <cell r="D775">
            <v>779810</v>
          </cell>
          <cell r="E775">
            <v>3991170</v>
          </cell>
        </row>
        <row r="776">
          <cell r="B776" t="str">
            <v>8-Q-7</v>
          </cell>
          <cell r="C776" t="str">
            <v>Campbell</v>
          </cell>
          <cell r="D776">
            <v>789617</v>
          </cell>
          <cell r="E776">
            <v>3992420</v>
          </cell>
        </row>
        <row r="777">
          <cell r="B777" t="str">
            <v>8-R-1</v>
          </cell>
          <cell r="C777" t="str">
            <v>Caruthersville</v>
          </cell>
          <cell r="D777">
            <v>797559</v>
          </cell>
          <cell r="E777">
            <v>4005740</v>
          </cell>
        </row>
        <row r="778">
          <cell r="B778" t="str">
            <v>8-R-2</v>
          </cell>
          <cell r="C778" t="str">
            <v>Kinfolk Ridge</v>
          </cell>
          <cell r="D778">
            <v>801545</v>
          </cell>
          <cell r="E778">
            <v>4003880</v>
          </cell>
        </row>
        <row r="779">
          <cell r="B779" t="str">
            <v>8-R-3</v>
          </cell>
          <cell r="D779">
            <v>803692</v>
          </cell>
          <cell r="E779">
            <v>4005300</v>
          </cell>
        </row>
        <row r="780">
          <cell r="B780" t="str">
            <v>9-O-1</v>
          </cell>
          <cell r="C780" t="str">
            <v>Carpenter's Landi</v>
          </cell>
          <cell r="D780">
            <v>730457</v>
          </cell>
          <cell r="E780">
            <v>3975190</v>
          </cell>
        </row>
        <row r="781">
          <cell r="B781" t="str">
            <v>9-O-3</v>
          </cell>
          <cell r="C781" t="str">
            <v>Shugtown</v>
          </cell>
          <cell r="D781">
            <v>730636</v>
          </cell>
          <cell r="E781">
            <v>3982190</v>
          </cell>
        </row>
        <row r="782">
          <cell r="B782" t="str">
            <v>9-O-4</v>
          </cell>
          <cell r="C782" t="str">
            <v>Lawhorn</v>
          </cell>
          <cell r="D782">
            <v>739634</v>
          </cell>
          <cell r="E782">
            <v>3980290</v>
          </cell>
        </row>
        <row r="783">
          <cell r="B783" t="str">
            <v>9-O-5</v>
          </cell>
          <cell r="C783" t="str">
            <v>McDuffee</v>
          </cell>
          <cell r="D783">
            <v>728020</v>
          </cell>
          <cell r="E783">
            <v>3959120</v>
          </cell>
        </row>
        <row r="784">
          <cell r="B784" t="str">
            <v>9-P-2</v>
          </cell>
          <cell r="C784" t="str">
            <v>Walnut Mound</v>
          </cell>
          <cell r="D784">
            <v>754987</v>
          </cell>
          <cell r="E784">
            <v>3961100</v>
          </cell>
        </row>
        <row r="785">
          <cell r="B785" t="str">
            <v>9-P-3</v>
          </cell>
          <cell r="C785" t="str">
            <v>Jackson Mounds</v>
          </cell>
          <cell r="D785">
            <v>760648</v>
          </cell>
          <cell r="E785">
            <v>3971160</v>
          </cell>
        </row>
        <row r="786">
          <cell r="B786" t="str">
            <v>9-Q-2</v>
          </cell>
          <cell r="C786" t="str">
            <v>Chickasawba</v>
          </cell>
          <cell r="D786">
            <v>776899</v>
          </cell>
          <cell r="E786">
            <v>3980070</v>
          </cell>
        </row>
        <row r="787">
          <cell r="B787" t="str">
            <v>9-R-1</v>
          </cell>
          <cell r="C787" t="str">
            <v>Hale's Point</v>
          </cell>
          <cell r="D787">
            <v>805318</v>
          </cell>
          <cell r="E787">
            <v>3978210</v>
          </cell>
        </row>
        <row r="788">
          <cell r="B788" t="str">
            <v>Control Point</v>
          </cell>
          <cell r="C788" t="str">
            <v>NE LA/MS border w</v>
          </cell>
          <cell r="D788">
            <v>670737</v>
          </cell>
          <cell r="E788">
            <v>3654220</v>
          </cell>
        </row>
        <row r="789">
          <cell r="B789" t="str">
            <v>Control Point</v>
          </cell>
          <cell r="C789" t="str">
            <v>Intersection of B</v>
          </cell>
          <cell r="D789">
            <v>775757</v>
          </cell>
          <cell r="E789">
            <v>3625690</v>
          </cell>
        </row>
        <row r="790">
          <cell r="B790" t="str">
            <v>Control Point</v>
          </cell>
          <cell r="D790">
            <v>602926</v>
          </cell>
          <cell r="E790">
            <v>3600040</v>
          </cell>
        </row>
        <row r="791">
          <cell r="B791" t="str">
            <v>Control Point</v>
          </cell>
          <cell r="D791">
            <v>560586</v>
          </cell>
          <cell r="E791">
            <v>3518120</v>
          </cell>
        </row>
        <row r="792">
          <cell r="B792" t="str">
            <v>Control Point</v>
          </cell>
          <cell r="D792">
            <v>628465</v>
          </cell>
          <cell r="E792">
            <v>3429890</v>
          </cell>
        </row>
        <row r="793">
          <cell r="B793" t="str">
            <v>Control Point</v>
          </cell>
          <cell r="D793">
            <v>810314</v>
          </cell>
          <cell r="E793">
            <v>3426200</v>
          </cell>
        </row>
        <row r="794">
          <cell r="B794" t="str">
            <v>Control Point</v>
          </cell>
          <cell r="D794">
            <v>717211</v>
          </cell>
          <cell r="E794">
            <v>3545440</v>
          </cell>
        </row>
        <row r="795">
          <cell r="B795" t="str">
            <v>Control Point</v>
          </cell>
          <cell r="D795">
            <v>611200</v>
          </cell>
          <cell r="E795">
            <v>3459950</v>
          </cell>
        </row>
        <row r="796">
          <cell r="B796" t="str">
            <v>Control Point</v>
          </cell>
          <cell r="D796">
            <v>574473</v>
          </cell>
          <cell r="E796">
            <v>3443070</v>
          </cell>
        </row>
        <row r="797">
          <cell r="B797" t="str">
            <v>Intersection o</v>
          </cell>
          <cell r="C797" t="str">
            <v>west side of Miss</v>
          </cell>
          <cell r="D797">
            <v>669875</v>
          </cell>
          <cell r="E797">
            <v>3654340</v>
          </cell>
        </row>
        <row r="798">
          <cell r="B798" t="str">
            <v>6-T-1</v>
          </cell>
          <cell r="C798" t="str">
            <v>Beckwith's Fort</v>
          </cell>
          <cell r="D798">
            <v>837556</v>
          </cell>
          <cell r="E798">
            <v>4066640</v>
          </cell>
        </row>
      </sheetData>
      <sheetData sheetId="12"/>
      <sheetData sheetId="13"/>
      <sheetData sheetId="14">
        <row r="1">
          <cell r="H1" t="str">
            <v>Number</v>
          </cell>
          <cell r="I1" t="str">
            <v>Lat</v>
          </cell>
          <cell r="J1" t="str">
            <v>Long</v>
          </cell>
          <cell r="K1" t="str">
            <v>Northing</v>
          </cell>
          <cell r="L1" t="str">
            <v>Easting</v>
          </cell>
          <cell r="M1" t="str">
            <v>Mapped?</v>
          </cell>
          <cell r="N1" t="str">
            <v>Collection</v>
          </cell>
          <cell r="O1" t="str">
            <v>Phillips 1970</v>
          </cell>
          <cell r="P1" t="str">
            <v>Ford 1396</v>
          </cell>
          <cell r="Q1" t="str">
            <v>PFG 1951</v>
          </cell>
          <cell r="R1" t="str">
            <v>Brown</v>
          </cell>
          <cell r="S1" t="str">
            <v>Moore</v>
          </cell>
          <cell r="T1" t="str">
            <v>Thomas</v>
          </cell>
          <cell r="U1" t="str">
            <v>Total Number of Mounds</v>
          </cell>
          <cell r="V1" t="str">
            <v># of Conical</v>
          </cell>
          <cell r="W1" t="str">
            <v># of Rect</v>
          </cell>
          <cell r="X1" t="str">
            <v># of Unknown</v>
          </cell>
          <cell r="Y1" t="str">
            <v>Mound A Height</v>
          </cell>
          <cell r="Z1" t="str">
            <v>Max Height of Mound (ft)</v>
          </cell>
          <cell r="AA1" t="str">
            <v>Mound A Width</v>
          </cell>
          <cell r="AB1" t="str">
            <v>Height Mound A</v>
          </cell>
          <cell r="AC1" t="str">
            <v>Max Mound Area (ft^2)</v>
          </cell>
        </row>
        <row r="2">
          <cell r="H2" t="str">
            <v>19-L-1</v>
          </cell>
          <cell r="I2">
            <v>33.484990000000003</v>
          </cell>
          <cell r="J2">
            <v>-91.061746999999997</v>
          </cell>
          <cell r="K2">
            <v>3706735.9739999999</v>
          </cell>
          <cell r="L2">
            <v>680079.96699999995</v>
          </cell>
          <cell r="M2" t="str">
            <v>Yes</v>
          </cell>
          <cell r="N2" t="str">
            <v>1907, 1940, 1949</v>
          </cell>
          <cell r="O2" t="str">
            <v>Yes</v>
          </cell>
          <cell r="Q2" t="str">
            <v>Yes</v>
          </cell>
          <cell r="S2" t="str">
            <v>Yes</v>
          </cell>
          <cell r="U2">
            <v>21</v>
          </cell>
          <cell r="W2">
            <v>21</v>
          </cell>
          <cell r="Y2" t="str">
            <v xml:space="preserve">55 feet </v>
          </cell>
          <cell r="Z2" t="str">
            <v>55</v>
          </cell>
          <cell r="AA2" t="str">
            <v>Huge - with ramp</v>
          </cell>
        </row>
        <row r="3">
          <cell r="H3" t="str">
            <v>19-L-2</v>
          </cell>
          <cell r="I3">
            <v>33.459936999999996</v>
          </cell>
          <cell r="J3">
            <v>-91.074354</v>
          </cell>
          <cell r="K3">
            <v>3703935.9640000002</v>
          </cell>
          <cell r="L3">
            <v>678960.01500000001</v>
          </cell>
          <cell r="M3" t="str">
            <v>Yes</v>
          </cell>
          <cell r="N3">
            <v>1941</v>
          </cell>
          <cell r="O3" t="str">
            <v>No</v>
          </cell>
          <cell r="Q3" t="str">
            <v>Yes</v>
          </cell>
          <cell r="U3">
            <v>2</v>
          </cell>
          <cell r="X3">
            <v>2</v>
          </cell>
          <cell r="Y3" t="str">
            <v>?</v>
          </cell>
          <cell r="AA3" t="str">
            <v>?</v>
          </cell>
          <cell r="AB3" t="str">
            <v>?</v>
          </cell>
        </row>
        <row r="4">
          <cell r="H4" t="str">
            <v>19-L-3</v>
          </cell>
          <cell r="I4">
            <v>33.479391999999997</v>
          </cell>
          <cell r="J4">
            <v>-91.058954999999997</v>
          </cell>
          <cell r="K4">
            <v>3706120.0380000002</v>
          </cell>
          <cell r="L4">
            <v>680351.01300000004</v>
          </cell>
          <cell r="M4" t="str">
            <v>Yes</v>
          </cell>
          <cell r="N4" t="str">
            <v>1941, 1949</v>
          </cell>
          <cell r="O4" t="str">
            <v>Yes</v>
          </cell>
          <cell r="Q4" t="str">
            <v>Yes</v>
          </cell>
          <cell r="U4">
            <v>1</v>
          </cell>
          <cell r="X4">
            <v>1</v>
          </cell>
          <cell r="Y4" t="str">
            <v>1 meter high</v>
          </cell>
          <cell r="Z4">
            <v>3.2808398950131235</v>
          </cell>
          <cell r="AA4" t="str">
            <v>?</v>
          </cell>
          <cell r="AB4" t="str">
            <v>?</v>
          </cell>
        </row>
        <row r="5">
          <cell r="H5" t="str">
            <v>19-L-4</v>
          </cell>
          <cell r="I5">
            <v>33.468364999999999</v>
          </cell>
          <cell r="J5">
            <v>-91.000658000000001</v>
          </cell>
          <cell r="K5">
            <v>3705000.0010000002</v>
          </cell>
          <cell r="L5">
            <v>685792.04299999995</v>
          </cell>
          <cell r="M5" t="str">
            <v>Yes</v>
          </cell>
          <cell r="N5">
            <v>1941</v>
          </cell>
          <cell r="O5" t="str">
            <v>No</v>
          </cell>
          <cell r="Q5" t="str">
            <v>Yes</v>
          </cell>
          <cell r="U5">
            <v>4</v>
          </cell>
          <cell r="W5">
            <v>1</v>
          </cell>
          <cell r="X5" t="str">
            <v>3?</v>
          </cell>
          <cell r="Y5" t="str">
            <v>4 meters</v>
          </cell>
          <cell r="Z5">
            <v>13.123359580052494</v>
          </cell>
          <cell r="AA5" t="str">
            <v>16 x 13meters</v>
          </cell>
          <cell r="AB5">
            <v>4</v>
          </cell>
          <cell r="AC5">
            <v>2238.8933666756225</v>
          </cell>
        </row>
        <row r="6">
          <cell r="H6" t="str">
            <v>19-L-5</v>
          </cell>
          <cell r="I6">
            <v>33.480834999999999</v>
          </cell>
          <cell r="J6">
            <v>-91.015168000000003</v>
          </cell>
          <cell r="K6">
            <v>3706356.9909999999</v>
          </cell>
          <cell r="L6">
            <v>684417.03099999996</v>
          </cell>
          <cell r="M6" t="str">
            <v>Yes</v>
          </cell>
          <cell r="N6">
            <v>1941</v>
          </cell>
          <cell r="O6" t="str">
            <v>No</v>
          </cell>
          <cell r="Q6" t="str">
            <v>Yes</v>
          </cell>
          <cell r="U6">
            <v>0</v>
          </cell>
        </row>
        <row r="7">
          <cell r="H7" t="str">
            <v>19-L-6</v>
          </cell>
          <cell r="I7">
            <v>33.308571000000001</v>
          </cell>
          <cell r="J7">
            <v>-91.099384000000001</v>
          </cell>
          <cell r="K7">
            <v>3687107.9589999998</v>
          </cell>
          <cell r="L7">
            <v>676940.00300000003</v>
          </cell>
          <cell r="M7" t="str">
            <v>Yes</v>
          </cell>
          <cell r="N7">
            <v>1941</v>
          </cell>
          <cell r="O7" t="str">
            <v>No</v>
          </cell>
          <cell r="Q7" t="str">
            <v>Yes</v>
          </cell>
          <cell r="U7">
            <v>3</v>
          </cell>
          <cell r="W7">
            <v>1</v>
          </cell>
          <cell r="X7">
            <v>2</v>
          </cell>
          <cell r="Y7" t="str">
            <v>5 meters high, 22x30 meters</v>
          </cell>
          <cell r="Z7">
            <v>16.404199475065617</v>
          </cell>
          <cell r="AC7">
            <v>7104.1808750284172</v>
          </cell>
        </row>
        <row r="8">
          <cell r="H8" t="str">
            <v>19-L-7</v>
          </cell>
          <cell r="I8">
            <v>33.351412000000003</v>
          </cell>
          <cell r="J8">
            <v>-91.047477999999998</v>
          </cell>
          <cell r="K8">
            <v>3691947.946</v>
          </cell>
          <cell r="L8">
            <v>681684</v>
          </cell>
          <cell r="M8" t="str">
            <v>Yes</v>
          </cell>
          <cell r="N8">
            <v>1949</v>
          </cell>
          <cell r="O8" t="str">
            <v>No</v>
          </cell>
          <cell r="Q8" t="str">
            <v>Yes</v>
          </cell>
          <cell r="U8">
            <v>1</v>
          </cell>
          <cell r="X8">
            <v>1</v>
          </cell>
          <cell r="Y8" t="str">
            <v>2 meters high</v>
          </cell>
          <cell r="Z8">
            <v>6.5616797900262469</v>
          </cell>
          <cell r="AA8" t="str">
            <v>40 meters in diameter</v>
          </cell>
          <cell r="AB8" t="str">
            <v>2 meters</v>
          </cell>
          <cell r="AC8">
            <v>13526.328755613566</v>
          </cell>
        </row>
        <row r="9">
          <cell r="H9" t="str">
            <v>19-M-1</v>
          </cell>
          <cell r="I9">
            <v>33.419477000000001</v>
          </cell>
          <cell r="J9">
            <v>-90.891020999999995</v>
          </cell>
          <cell r="K9">
            <v>3699779.99</v>
          </cell>
          <cell r="L9">
            <v>696092.03799999994</v>
          </cell>
          <cell r="M9" t="str">
            <v>Yes</v>
          </cell>
          <cell r="N9">
            <v>1941</v>
          </cell>
          <cell r="O9" t="str">
            <v>No</v>
          </cell>
          <cell r="Q9" t="str">
            <v>Yes</v>
          </cell>
          <cell r="T9" t="str">
            <v>Yes</v>
          </cell>
          <cell r="U9">
            <v>5</v>
          </cell>
          <cell r="V9">
            <v>3</v>
          </cell>
          <cell r="W9">
            <v>2</v>
          </cell>
          <cell r="Y9" t="str">
            <v>?</v>
          </cell>
          <cell r="AA9" t="str">
            <v>?</v>
          </cell>
          <cell r="AB9" t="str">
            <v>?</v>
          </cell>
        </row>
        <row r="10">
          <cell r="H10" t="str">
            <v>19-M-2</v>
          </cell>
          <cell r="I10">
            <v>33.466321000000001</v>
          </cell>
          <cell r="J10">
            <v>-90.983576999999997</v>
          </cell>
          <cell r="K10">
            <v>3704804.0240000002</v>
          </cell>
          <cell r="L10">
            <v>687383.98100000003</v>
          </cell>
          <cell r="M10" t="str">
            <v>Yes</v>
          </cell>
          <cell r="N10" t="str">
            <v>1941?</v>
          </cell>
          <cell r="O10" t="str">
            <v>No</v>
          </cell>
          <cell r="Q10" t="str">
            <v>Yes</v>
          </cell>
          <cell r="U10">
            <v>1</v>
          </cell>
          <cell r="X10">
            <v>1</v>
          </cell>
          <cell r="Y10" t="str">
            <v>?</v>
          </cell>
          <cell r="AA10" t="str">
            <v>?</v>
          </cell>
          <cell r="AB10" t="str">
            <v>?</v>
          </cell>
        </row>
        <row r="11">
          <cell r="H11" t="str">
            <v>19-M-3</v>
          </cell>
          <cell r="I11">
            <v>33.414572999999997</v>
          </cell>
          <cell r="J11">
            <v>-90.908129000000002</v>
          </cell>
          <cell r="K11">
            <v>3699204.0150000001</v>
          </cell>
          <cell r="L11">
            <v>694512.00100000005</v>
          </cell>
          <cell r="M11" t="str">
            <v>Yes</v>
          </cell>
          <cell r="N11" t="str">
            <v>1941?</v>
          </cell>
          <cell r="O11" t="str">
            <v>No</v>
          </cell>
          <cell r="Q11" t="str">
            <v>Yes</v>
          </cell>
          <cell r="U11">
            <v>2</v>
          </cell>
          <cell r="X11">
            <v>2</v>
          </cell>
          <cell r="Y11" t="str">
            <v>2 meters</v>
          </cell>
          <cell r="Z11">
            <v>6.5616797900262469</v>
          </cell>
          <cell r="AA11" t="str">
            <v>60 meters in diameter</v>
          </cell>
          <cell r="AB11">
            <v>2</v>
          </cell>
          <cell r="AC11">
            <v>30434.239700130522</v>
          </cell>
        </row>
        <row r="12">
          <cell r="H12" t="str">
            <v>19-M-4</v>
          </cell>
          <cell r="I12">
            <v>33.407220000000002</v>
          </cell>
          <cell r="J12">
            <v>-90.839022</v>
          </cell>
          <cell r="K12">
            <v>3698519.9939999999</v>
          </cell>
          <cell r="L12">
            <v>700956.027</v>
          </cell>
          <cell r="M12" t="str">
            <v>Yes</v>
          </cell>
          <cell r="N12" t="str">
            <v>?</v>
          </cell>
          <cell r="O12" t="str">
            <v>No</v>
          </cell>
          <cell r="Q12" t="str">
            <v>Yes</v>
          </cell>
          <cell r="U12">
            <v>6</v>
          </cell>
          <cell r="V12">
            <v>3</v>
          </cell>
          <cell r="W12">
            <v>3</v>
          </cell>
          <cell r="Y12" t="str">
            <v>?</v>
          </cell>
          <cell r="AA12" t="str">
            <v>?</v>
          </cell>
          <cell r="AB12" t="str">
            <v>?</v>
          </cell>
        </row>
        <row r="13">
          <cell r="H13" t="str">
            <v>19-M-5</v>
          </cell>
          <cell r="I13">
            <v>33.397868000000003</v>
          </cell>
          <cell r="J13">
            <v>-90.838436999999999</v>
          </cell>
          <cell r="K13">
            <v>3697484.0010000002</v>
          </cell>
          <cell r="L13">
            <v>701031.98899999994</v>
          </cell>
          <cell r="M13" t="str">
            <v>Yes</v>
          </cell>
          <cell r="N13" t="str">
            <v>1941?</v>
          </cell>
          <cell r="O13" t="str">
            <v>No</v>
          </cell>
          <cell r="Q13" t="str">
            <v>Yes</v>
          </cell>
          <cell r="U13">
            <v>1</v>
          </cell>
          <cell r="X13">
            <v>1</v>
          </cell>
          <cell r="Y13" t="str">
            <v>1.5 meters</v>
          </cell>
          <cell r="Z13">
            <v>4.9212598425196852</v>
          </cell>
          <cell r="AA13" t="str">
            <v>30 meters in diameter</v>
          </cell>
          <cell r="AC13">
            <v>7608.5599250326304</v>
          </cell>
        </row>
        <row r="14">
          <cell r="H14" t="str">
            <v>19-M-6</v>
          </cell>
          <cell r="I14">
            <v>33.272399999999998</v>
          </cell>
          <cell r="J14">
            <v>-90.880287999999993</v>
          </cell>
          <cell r="K14">
            <v>3683489.9580000001</v>
          </cell>
          <cell r="L14">
            <v>697422.01399999997</v>
          </cell>
          <cell r="M14" t="str">
            <v>Yes</v>
          </cell>
          <cell r="N14">
            <v>1941</v>
          </cell>
          <cell r="O14" t="str">
            <v>No</v>
          </cell>
          <cell r="Q14" t="str">
            <v>Yes</v>
          </cell>
          <cell r="U14">
            <v>1</v>
          </cell>
          <cell r="X14">
            <v>1</v>
          </cell>
          <cell r="Y14" t="str">
            <v>?</v>
          </cell>
          <cell r="AA14" t="str">
            <v>?</v>
          </cell>
          <cell r="AB14" t="str">
            <v>?</v>
          </cell>
        </row>
        <row r="15">
          <cell r="H15" t="str">
            <v>19-M-7</v>
          </cell>
          <cell r="I15">
            <v>33.417878000000002</v>
          </cell>
          <cell r="J15">
            <v>-90.816844000000003</v>
          </cell>
          <cell r="K15">
            <v>3699745.0359999998</v>
          </cell>
          <cell r="L15">
            <v>702994.01</v>
          </cell>
          <cell r="M15" t="str">
            <v>Yes</v>
          </cell>
          <cell r="N15">
            <v>1941</v>
          </cell>
          <cell r="O15" t="str">
            <v>No</v>
          </cell>
          <cell r="Q15" t="str">
            <v>Yes</v>
          </cell>
          <cell r="U15">
            <v>1</v>
          </cell>
          <cell r="X15">
            <v>1</v>
          </cell>
          <cell r="Y15" t="str">
            <v>?</v>
          </cell>
          <cell r="AA15" t="str">
            <v>?</v>
          </cell>
          <cell r="AB15" t="str">
            <v>?</v>
          </cell>
        </row>
        <row r="16">
          <cell r="H16" t="str">
            <v>19-M-8</v>
          </cell>
          <cell r="I16">
            <v>33.259889999999999</v>
          </cell>
          <cell r="J16">
            <v>-90.995354000000006</v>
          </cell>
          <cell r="K16">
            <v>3681890.9580000001</v>
          </cell>
          <cell r="L16">
            <v>686730.03</v>
          </cell>
          <cell r="M16" t="str">
            <v>Yes</v>
          </cell>
          <cell r="N16" t="str">
            <v>1949, 1954</v>
          </cell>
          <cell r="O16" t="str">
            <v>Yes</v>
          </cell>
          <cell r="Q16" t="str">
            <v>No</v>
          </cell>
          <cell r="U16">
            <v>2</v>
          </cell>
          <cell r="V16">
            <v>2</v>
          </cell>
          <cell r="Y16" t="str">
            <v>2 meters high</v>
          </cell>
          <cell r="Z16">
            <v>6.5616797900262469</v>
          </cell>
          <cell r="AA16" t="str">
            <v>?</v>
          </cell>
          <cell r="AB16" t="str">
            <v>?</v>
          </cell>
        </row>
        <row r="17">
          <cell r="H17" t="str">
            <v>19-M-9</v>
          </cell>
          <cell r="I17">
            <v>33.253883999999999</v>
          </cell>
          <cell r="J17">
            <v>-90.991433999999998</v>
          </cell>
          <cell r="K17">
            <v>3681231.9580000001</v>
          </cell>
          <cell r="L17">
            <v>687108.04200000002</v>
          </cell>
          <cell r="M17" t="str">
            <v>Yes</v>
          </cell>
          <cell r="N17" t="str">
            <v>1949, 1954</v>
          </cell>
          <cell r="O17" t="str">
            <v>Yes</v>
          </cell>
          <cell r="Q17" t="str">
            <v>No</v>
          </cell>
          <cell r="U17">
            <v>2</v>
          </cell>
          <cell r="X17">
            <v>2</v>
          </cell>
          <cell r="Y17" t="str">
            <v>?</v>
          </cell>
          <cell r="AA17" t="str">
            <v>?</v>
          </cell>
          <cell r="AB17" t="str">
            <v>?</v>
          </cell>
        </row>
        <row r="18">
          <cell r="H18" t="str">
            <v>19-N-1</v>
          </cell>
          <cell r="I18">
            <v>33.316569999999999</v>
          </cell>
          <cell r="J18">
            <v>-90.709761</v>
          </cell>
          <cell r="K18">
            <v>3688724.0079999999</v>
          </cell>
          <cell r="L18">
            <v>713199.98199999996</v>
          </cell>
          <cell r="M18" t="str">
            <v>Yes</v>
          </cell>
          <cell r="N18">
            <v>1941</v>
          </cell>
          <cell r="O18" t="str">
            <v>Yes</v>
          </cell>
          <cell r="Q18" t="str">
            <v>Yes</v>
          </cell>
          <cell r="U18">
            <v>5</v>
          </cell>
          <cell r="W18">
            <v>3</v>
          </cell>
          <cell r="X18">
            <v>2</v>
          </cell>
          <cell r="Y18" t="str">
            <v>5 meters</v>
          </cell>
          <cell r="Z18">
            <v>16.404199475065617</v>
          </cell>
          <cell r="AA18" t="str">
            <v>?</v>
          </cell>
          <cell r="AB18">
            <v>5</v>
          </cell>
        </row>
        <row r="19">
          <cell r="H19" t="str">
            <v>19-N-10</v>
          </cell>
          <cell r="I19">
            <v>33.277831999999997</v>
          </cell>
          <cell r="J19">
            <v>-90.512328999999994</v>
          </cell>
          <cell r="K19">
            <v>3684848.9440000001</v>
          </cell>
          <cell r="L19">
            <v>731685.97100000002</v>
          </cell>
          <cell r="M19" t="str">
            <v>Yes</v>
          </cell>
          <cell r="N19">
            <v>1951</v>
          </cell>
          <cell r="O19" t="str">
            <v>No</v>
          </cell>
          <cell r="Q19" t="str">
            <v>No</v>
          </cell>
          <cell r="U19">
            <v>0</v>
          </cell>
        </row>
        <row r="20">
          <cell r="H20" t="str">
            <v>19-N-11</v>
          </cell>
          <cell r="I20">
            <v>33.290213999999999</v>
          </cell>
          <cell r="J20">
            <v>-90.503861000000001</v>
          </cell>
          <cell r="K20">
            <v>3686241.0350000001</v>
          </cell>
          <cell r="L20">
            <v>732441.97400000005</v>
          </cell>
          <cell r="M20" t="str">
            <v>Yes</v>
          </cell>
          <cell r="N20">
            <v>1951</v>
          </cell>
          <cell r="O20" t="str">
            <v>No</v>
          </cell>
          <cell r="Q20" t="str">
            <v>No</v>
          </cell>
          <cell r="U20">
            <v>2</v>
          </cell>
          <cell r="V20">
            <v>1</v>
          </cell>
          <cell r="X20">
            <v>1</v>
          </cell>
          <cell r="Y20" t="str">
            <v xml:space="preserve">4 meters </v>
          </cell>
          <cell r="Z20">
            <v>13.123359580052494</v>
          </cell>
          <cell r="AA20" t="str">
            <v>40 meters in diameter</v>
          </cell>
          <cell r="AC20">
            <v>13526.328755613566</v>
          </cell>
        </row>
        <row r="21">
          <cell r="H21" t="str">
            <v>19-N-12</v>
          </cell>
          <cell r="I21">
            <v>33.220916000000003</v>
          </cell>
          <cell r="J21">
            <v>-90.630809999999997</v>
          </cell>
          <cell r="K21">
            <v>3678279.9730000002</v>
          </cell>
          <cell r="L21">
            <v>720792.00399999996</v>
          </cell>
          <cell r="M21" t="str">
            <v>Yes</v>
          </cell>
          <cell r="N21" t="str">
            <v>?</v>
          </cell>
          <cell r="O21" t="str">
            <v>Yes</v>
          </cell>
          <cell r="Q21" t="str">
            <v>No</v>
          </cell>
          <cell r="U21">
            <v>1</v>
          </cell>
          <cell r="V21">
            <v>1</v>
          </cell>
          <cell r="Y21" t="str">
            <v>?</v>
          </cell>
          <cell r="AA21" t="str">
            <v>?</v>
          </cell>
          <cell r="AB21" t="str">
            <v>?</v>
          </cell>
        </row>
        <row r="22">
          <cell r="H22" t="str">
            <v>19-N-2</v>
          </cell>
          <cell r="I22">
            <v>33.391084999999997</v>
          </cell>
          <cell r="J22">
            <v>-90.715547000000001</v>
          </cell>
          <cell r="K22">
            <v>3696976.0150000001</v>
          </cell>
          <cell r="L22">
            <v>712479.99300000002</v>
          </cell>
          <cell r="M22" t="str">
            <v>Yes</v>
          </cell>
          <cell r="N22">
            <v>1941</v>
          </cell>
          <cell r="O22" t="str">
            <v>No</v>
          </cell>
          <cell r="Q22" t="str">
            <v>Yes</v>
          </cell>
          <cell r="U22">
            <v>3</v>
          </cell>
          <cell r="X22">
            <v>3</v>
          </cell>
          <cell r="Y22" t="str">
            <v>?</v>
          </cell>
          <cell r="AA22" t="str">
            <v>?</v>
          </cell>
          <cell r="AB22" t="str">
            <v>?</v>
          </cell>
        </row>
        <row r="23">
          <cell r="H23" t="str">
            <v>19-N-3</v>
          </cell>
          <cell r="I23">
            <v>33.393749999999997</v>
          </cell>
          <cell r="J23">
            <v>-90.723163</v>
          </cell>
          <cell r="K23">
            <v>3697256.0389999999</v>
          </cell>
          <cell r="L23">
            <v>711765.00300000003</v>
          </cell>
          <cell r="M23" t="str">
            <v>Yes</v>
          </cell>
          <cell r="N23">
            <v>1941</v>
          </cell>
          <cell r="O23" t="str">
            <v>No</v>
          </cell>
          <cell r="Q23" t="str">
            <v>Yes</v>
          </cell>
          <cell r="U23">
            <v>3</v>
          </cell>
          <cell r="W23">
            <v>1</v>
          </cell>
          <cell r="X23">
            <v>2</v>
          </cell>
          <cell r="Y23" t="str">
            <v>?</v>
          </cell>
          <cell r="AA23" t="str">
            <v>18 meters each side</v>
          </cell>
          <cell r="AC23">
            <v>3487.5069750139501</v>
          </cell>
        </row>
        <row r="24">
          <cell r="H24" t="str">
            <v>19-N-5</v>
          </cell>
          <cell r="I24">
            <v>33.453175000000002</v>
          </cell>
          <cell r="J24">
            <v>-90.626273999999995</v>
          </cell>
          <cell r="K24">
            <v>3704048.0359999998</v>
          </cell>
          <cell r="L24">
            <v>720628.01599999995</v>
          </cell>
          <cell r="M24" t="str">
            <v>Yes</v>
          </cell>
          <cell r="N24" t="str">
            <v>?</v>
          </cell>
          <cell r="O24" t="str">
            <v>Yes</v>
          </cell>
          <cell r="Q24" t="str">
            <v>Yes</v>
          </cell>
          <cell r="U24">
            <v>1</v>
          </cell>
          <cell r="V24">
            <v>1</v>
          </cell>
          <cell r="Y24" t="str">
            <v>?</v>
          </cell>
          <cell r="AA24" t="str">
            <v>?</v>
          </cell>
        </row>
        <row r="25">
          <cell r="H25" t="str">
            <v>19-N-5</v>
          </cell>
          <cell r="I25">
            <v>33.453175000000002</v>
          </cell>
          <cell r="J25">
            <v>-90.626273999999995</v>
          </cell>
          <cell r="K25">
            <v>3704048.0359999998</v>
          </cell>
          <cell r="L25">
            <v>720628.01599999995</v>
          </cell>
          <cell r="M25" t="str">
            <v>Yes</v>
          </cell>
          <cell r="N25">
            <v>1941</v>
          </cell>
          <cell r="O25" t="str">
            <v>No</v>
          </cell>
          <cell r="Q25" t="str">
            <v>Yes</v>
          </cell>
          <cell r="U25">
            <v>1</v>
          </cell>
          <cell r="X25">
            <v>1</v>
          </cell>
          <cell r="Y25" t="str">
            <v>?</v>
          </cell>
          <cell r="AA25" t="str">
            <v>?</v>
          </cell>
        </row>
        <row r="26">
          <cell r="H26" t="str">
            <v>19-N-6</v>
          </cell>
          <cell r="I26">
            <v>33.297342</v>
          </cell>
          <cell r="J26">
            <v>-90.626941000000002</v>
          </cell>
          <cell r="K26">
            <v>3686764.0189999999</v>
          </cell>
          <cell r="L26">
            <v>720960.01399999997</v>
          </cell>
          <cell r="M26" t="str">
            <v>Yes</v>
          </cell>
          <cell r="N26">
            <v>1941</v>
          </cell>
          <cell r="O26" t="str">
            <v>Yes</v>
          </cell>
          <cell r="Q26" t="str">
            <v>Yes</v>
          </cell>
          <cell r="U26">
            <v>4</v>
          </cell>
          <cell r="W26">
            <v>3</v>
          </cell>
          <cell r="X26">
            <v>1</v>
          </cell>
          <cell r="Y26" t="str">
            <v>?</v>
          </cell>
          <cell r="Z26">
            <v>4.9212598425196852</v>
          </cell>
          <cell r="AA26" t="str">
            <v>?</v>
          </cell>
          <cell r="AB26" t="str">
            <v>?</v>
          </cell>
        </row>
        <row r="27">
          <cell r="H27" t="str">
            <v>19-N-7</v>
          </cell>
          <cell r="I27">
            <v>33.488132</v>
          </cell>
          <cell r="J27">
            <v>-90.628140000000002</v>
          </cell>
          <cell r="K27">
            <v>3707921.014</v>
          </cell>
          <cell r="L27">
            <v>720365.97600000002</v>
          </cell>
          <cell r="M27" t="str">
            <v>Yes</v>
          </cell>
          <cell r="N27">
            <v>1941</v>
          </cell>
          <cell r="O27" t="str">
            <v>No</v>
          </cell>
          <cell r="Q27" t="str">
            <v>Yes</v>
          </cell>
          <cell r="U27">
            <v>1</v>
          </cell>
          <cell r="W27" t="str">
            <v>1?</v>
          </cell>
          <cell r="Y27" t="str">
            <v>1.5 meters</v>
          </cell>
          <cell r="AA27" t="str">
            <v>20 x 40 meters</v>
          </cell>
          <cell r="AB27">
            <v>1.5</v>
          </cell>
          <cell r="AC27">
            <v>6458.3462500258338</v>
          </cell>
        </row>
        <row r="28">
          <cell r="H28" t="str">
            <v>19-N-8</v>
          </cell>
          <cell r="I28">
            <v>33.489336000000002</v>
          </cell>
          <cell r="J28">
            <v>-90.652061000000003</v>
          </cell>
          <cell r="K28">
            <v>3708003.9959999998</v>
          </cell>
          <cell r="L28">
            <v>718139.99800000002</v>
          </cell>
          <cell r="M28" t="str">
            <v>Yes</v>
          </cell>
          <cell r="N28" t="str">
            <v>?</v>
          </cell>
          <cell r="O28" t="str">
            <v>Yes</v>
          </cell>
          <cell r="Q28" t="str">
            <v>Yes</v>
          </cell>
          <cell r="U28">
            <v>1</v>
          </cell>
          <cell r="X28">
            <v>1</v>
          </cell>
          <cell r="Y28" t="str">
            <v>?</v>
          </cell>
          <cell r="AA28" t="str">
            <v>?</v>
          </cell>
          <cell r="AB28" t="str">
            <v>?</v>
          </cell>
        </row>
        <row r="29">
          <cell r="H29" t="str">
            <v>19-N-9</v>
          </cell>
          <cell r="I29">
            <v>33.406342000000002</v>
          </cell>
          <cell r="J29">
            <v>-90.504132999999996</v>
          </cell>
          <cell r="K29">
            <v>3699119.9819999998</v>
          </cell>
          <cell r="L29">
            <v>732108.01899999997</v>
          </cell>
          <cell r="M29" t="str">
            <v>Yes</v>
          </cell>
          <cell r="N29">
            <v>1951</v>
          </cell>
          <cell r="O29" t="str">
            <v>Yes</v>
          </cell>
          <cell r="Q29" t="str">
            <v>No</v>
          </cell>
          <cell r="U29">
            <v>0</v>
          </cell>
        </row>
        <row r="30">
          <cell r="H30" t="str">
            <v>19-O-1</v>
          </cell>
          <cell r="I30">
            <v>33.471514999999997</v>
          </cell>
          <cell r="J30">
            <v>-90.312922999999998</v>
          </cell>
          <cell r="K30">
            <v>3706791.963</v>
          </cell>
          <cell r="L30">
            <v>749708.00100000005</v>
          </cell>
          <cell r="M30" t="str">
            <v>Yes</v>
          </cell>
          <cell r="N30">
            <v>1946</v>
          </cell>
          <cell r="O30" t="str">
            <v>Yes</v>
          </cell>
          <cell r="P30" t="str">
            <v>No</v>
          </cell>
          <cell r="Q30" t="str">
            <v>Yes</v>
          </cell>
          <cell r="U30">
            <v>2</v>
          </cell>
          <cell r="W30">
            <v>1</v>
          </cell>
          <cell r="X30">
            <v>1</v>
          </cell>
          <cell r="Y30" t="str">
            <v>5 meters</v>
          </cell>
          <cell r="Z30">
            <v>16.404199475065617</v>
          </cell>
          <cell r="AA30" t="str">
            <v>60 x 25 Meters</v>
          </cell>
          <cell r="AB30" t="str">
            <v>60 x 25 x 5 meters</v>
          </cell>
          <cell r="AC30">
            <v>16145.865625064584</v>
          </cell>
        </row>
        <row r="31">
          <cell r="H31" t="str">
            <v>19-O-10</v>
          </cell>
          <cell r="I31">
            <v>33.320515999999998</v>
          </cell>
          <cell r="J31">
            <v>-90.425618</v>
          </cell>
          <cell r="K31">
            <v>3689778.9610000001</v>
          </cell>
          <cell r="L31">
            <v>739646.96900000004</v>
          </cell>
          <cell r="M31" t="str">
            <v>Yes</v>
          </cell>
          <cell r="N31">
            <v>1951</v>
          </cell>
          <cell r="O31" t="str">
            <v>Yes</v>
          </cell>
          <cell r="Q31" t="str">
            <v>No</v>
          </cell>
          <cell r="U31">
            <v>0</v>
          </cell>
        </row>
        <row r="32">
          <cell r="H32" t="str">
            <v>19-O-11</v>
          </cell>
          <cell r="I32">
            <v>33.337693999999999</v>
          </cell>
          <cell r="J32">
            <v>-90.435714000000004</v>
          </cell>
          <cell r="K32">
            <v>3691661.0049999999</v>
          </cell>
          <cell r="L32">
            <v>738660.00800000003</v>
          </cell>
          <cell r="M32" t="str">
            <v>Yes</v>
          </cell>
          <cell r="N32">
            <v>1951</v>
          </cell>
          <cell r="O32" t="str">
            <v>Yes</v>
          </cell>
          <cell r="Q32" t="str">
            <v>No</v>
          </cell>
          <cell r="U32">
            <v>1</v>
          </cell>
          <cell r="X32">
            <v>1</v>
          </cell>
          <cell r="Y32" t="str">
            <v>1.5 meters high</v>
          </cell>
          <cell r="Z32">
            <v>4.9210000000000003</v>
          </cell>
          <cell r="AA32" t="str">
            <v>20 meters in diameter</v>
          </cell>
          <cell r="AC32">
            <v>3381.5821889033914</v>
          </cell>
        </row>
        <row r="33">
          <cell r="H33" t="str">
            <v>19-O-12</v>
          </cell>
          <cell r="I33">
            <v>33.337693999999999</v>
          </cell>
          <cell r="J33">
            <v>-90.435714000000004</v>
          </cell>
          <cell r="K33">
            <v>3691661.0049999999</v>
          </cell>
          <cell r="L33">
            <v>738660.00800000003</v>
          </cell>
          <cell r="M33" t="str">
            <v>Yes</v>
          </cell>
          <cell r="N33">
            <v>1951</v>
          </cell>
          <cell r="O33" t="str">
            <v>Yes</v>
          </cell>
          <cell r="Q33" t="str">
            <v>No</v>
          </cell>
          <cell r="U33">
            <v>1</v>
          </cell>
          <cell r="X33" t="str">
            <v>?</v>
          </cell>
          <cell r="Y33" t="str">
            <v>?</v>
          </cell>
          <cell r="AA33" t="str">
            <v>?</v>
          </cell>
        </row>
        <row r="34">
          <cell r="H34" t="str">
            <v>19-O-13</v>
          </cell>
          <cell r="I34">
            <v>33.302911999999999</v>
          </cell>
          <cell r="J34">
            <v>-90.48124</v>
          </cell>
          <cell r="K34">
            <v>3687699.9939999999</v>
          </cell>
          <cell r="L34">
            <v>734514.98699999996</v>
          </cell>
          <cell r="M34" t="str">
            <v>Yes</v>
          </cell>
          <cell r="N34">
            <v>1951</v>
          </cell>
          <cell r="O34" t="str">
            <v>Yes</v>
          </cell>
          <cell r="Q34" t="str">
            <v>No</v>
          </cell>
          <cell r="U34">
            <v>2</v>
          </cell>
          <cell r="V34">
            <v>2</v>
          </cell>
          <cell r="Y34" t="str">
            <v>?</v>
          </cell>
          <cell r="AA34" t="str">
            <v>?</v>
          </cell>
        </row>
        <row r="35">
          <cell r="H35" t="str">
            <v>19-O-14</v>
          </cell>
          <cell r="I35">
            <v>33.305549999999997</v>
          </cell>
          <cell r="J35">
            <v>-90.336742999999998</v>
          </cell>
          <cell r="K35">
            <v>3688326.9580000001</v>
          </cell>
          <cell r="L35">
            <v>747965.01199999999</v>
          </cell>
          <cell r="M35" t="str">
            <v>Yes</v>
          </cell>
          <cell r="N35">
            <v>1951</v>
          </cell>
          <cell r="O35" t="str">
            <v>Yes</v>
          </cell>
          <cell r="Q35" t="str">
            <v>No</v>
          </cell>
          <cell r="S35" t="str">
            <v>Yes -"Mound near Montgomery Landing"</v>
          </cell>
          <cell r="U35">
            <v>1</v>
          </cell>
          <cell r="X35">
            <v>1</v>
          </cell>
          <cell r="Y35" t="str">
            <v>ca. 12 feet</v>
          </cell>
          <cell r="Z35">
            <v>12</v>
          </cell>
        </row>
        <row r="36">
          <cell r="H36" t="str">
            <v>19-O-15</v>
          </cell>
          <cell r="I36">
            <v>33.305549999999997</v>
          </cell>
          <cell r="J36">
            <v>-90.336742999999998</v>
          </cell>
          <cell r="K36">
            <v>3688326.9580000001</v>
          </cell>
          <cell r="L36">
            <v>747965.01199999999</v>
          </cell>
          <cell r="M36" t="str">
            <v>Yes</v>
          </cell>
          <cell r="N36" t="str">
            <v>?</v>
          </cell>
          <cell r="O36" t="str">
            <v>Yes</v>
          </cell>
          <cell r="Q36" t="str">
            <v>No</v>
          </cell>
          <cell r="S36" t="str">
            <v xml:space="preserve"> </v>
          </cell>
          <cell r="U36" t="str">
            <v>0</v>
          </cell>
        </row>
        <row r="37">
          <cell r="H37" t="str">
            <v>19-O-2</v>
          </cell>
          <cell r="I37">
            <v>33.296919000000003</v>
          </cell>
          <cell r="J37">
            <v>-90.456599999999995</v>
          </cell>
          <cell r="K37">
            <v>3687091.0120000001</v>
          </cell>
          <cell r="L37">
            <v>736825.96100000001</v>
          </cell>
          <cell r="M37" t="str">
            <v>Yes</v>
          </cell>
          <cell r="N37">
            <v>1946</v>
          </cell>
          <cell r="O37" t="str">
            <v>No</v>
          </cell>
          <cell r="Q37" t="str">
            <v>Yes</v>
          </cell>
          <cell r="U37">
            <v>3</v>
          </cell>
          <cell r="X37">
            <v>3</v>
          </cell>
          <cell r="Y37" t="str">
            <v>2.5 meters</v>
          </cell>
          <cell r="Z37">
            <v>8.2020997375328086</v>
          </cell>
          <cell r="AA37" t="str">
            <v>80 x 40 meters</v>
          </cell>
          <cell r="AC37">
            <v>34444.513333471114</v>
          </cell>
        </row>
        <row r="38">
          <cell r="H38" t="str">
            <v>19-O-3</v>
          </cell>
          <cell r="I38">
            <v>33.284227000000001</v>
          </cell>
          <cell r="J38">
            <v>-90.281774999999996</v>
          </cell>
          <cell r="K38">
            <v>3686094.0240000002</v>
          </cell>
          <cell r="L38">
            <v>753146.01899999997</v>
          </cell>
          <cell r="M38" t="str">
            <v>Yes</v>
          </cell>
          <cell r="N38">
            <v>1946</v>
          </cell>
          <cell r="O38" t="str">
            <v>No</v>
          </cell>
          <cell r="Q38" t="str">
            <v>Yes</v>
          </cell>
          <cell r="U38" t="str">
            <v>0</v>
          </cell>
        </row>
        <row r="39">
          <cell r="H39" t="str">
            <v>19-O-4</v>
          </cell>
          <cell r="I39">
            <v>33.310794000000001</v>
          </cell>
          <cell r="J39">
            <v>-90.293632000000002</v>
          </cell>
          <cell r="K39">
            <v>3689011.983</v>
          </cell>
          <cell r="L39">
            <v>751964.98800000001</v>
          </cell>
          <cell r="M39" t="str">
            <v>Yes</v>
          </cell>
          <cell r="N39" t="str">
            <v>?</v>
          </cell>
          <cell r="O39" t="str">
            <v>No</v>
          </cell>
          <cell r="Q39" t="str">
            <v>Yes</v>
          </cell>
          <cell r="U39" t="str">
            <v>0</v>
          </cell>
        </row>
        <row r="40">
          <cell r="H40" t="str">
            <v>19-O-5</v>
          </cell>
          <cell r="I40">
            <v>33.281682000000004</v>
          </cell>
          <cell r="J40">
            <v>-90.353076999999999</v>
          </cell>
          <cell r="K40">
            <v>3685640.9580000001</v>
          </cell>
          <cell r="L40">
            <v>746510.96699999995</v>
          </cell>
          <cell r="M40" t="str">
            <v>Yes</v>
          </cell>
          <cell r="N40" t="str">
            <v>?</v>
          </cell>
          <cell r="O40" t="str">
            <v>Yes</v>
          </cell>
          <cell r="Q40" t="str">
            <v>Yes</v>
          </cell>
          <cell r="U40">
            <v>1</v>
          </cell>
          <cell r="V40">
            <v>1</v>
          </cell>
          <cell r="Y40" t="str">
            <v>1.5 meters</v>
          </cell>
          <cell r="Z40">
            <v>4.9212598425196852</v>
          </cell>
          <cell r="AA40" t="str">
            <v>15 meters diameter</v>
          </cell>
          <cell r="AC40">
            <v>1902.1399812581576</v>
          </cell>
        </row>
        <row r="41">
          <cell r="H41" t="str">
            <v>19-O-6</v>
          </cell>
          <cell r="I41">
            <v>33.393186999999998</v>
          </cell>
          <cell r="J41">
            <v>-90.422561999999999</v>
          </cell>
          <cell r="K41">
            <v>3697846.017</v>
          </cell>
          <cell r="L41">
            <v>739732.02599999995</v>
          </cell>
          <cell r="M41" t="str">
            <v>Yes</v>
          </cell>
          <cell r="N41">
            <v>1946</v>
          </cell>
          <cell r="O41" t="str">
            <v>Yes</v>
          </cell>
          <cell r="Q41" t="str">
            <v>Yes</v>
          </cell>
          <cell r="U41">
            <v>1</v>
          </cell>
          <cell r="W41">
            <v>1</v>
          </cell>
          <cell r="Y41" t="str">
            <v>2 meters</v>
          </cell>
          <cell r="Z41">
            <v>6.5616797900262469</v>
          </cell>
          <cell r="AA41" t="str">
            <v>15 x 20 meters</v>
          </cell>
          <cell r="AC41">
            <v>3229.1731250129169</v>
          </cell>
        </row>
        <row r="42">
          <cell r="H42" t="str">
            <v>19-O-7</v>
          </cell>
          <cell r="I42">
            <v>33.372256999999998</v>
          </cell>
          <cell r="J42">
            <v>-90.413735000000003</v>
          </cell>
          <cell r="K42">
            <v>3695545.014</v>
          </cell>
          <cell r="L42">
            <v>740610.95700000005</v>
          </cell>
          <cell r="M42" t="str">
            <v>Yes</v>
          </cell>
          <cell r="N42">
            <v>1951</v>
          </cell>
          <cell r="O42" t="str">
            <v>Yes</v>
          </cell>
          <cell r="Q42" t="str">
            <v>No</v>
          </cell>
          <cell r="U42">
            <v>2</v>
          </cell>
          <cell r="W42">
            <v>2</v>
          </cell>
          <cell r="Y42" t="str">
            <v>2.5 meters</v>
          </cell>
          <cell r="Z42">
            <v>8.2020997375328086</v>
          </cell>
          <cell r="AA42" t="str">
            <v>35 x35 meters</v>
          </cell>
          <cell r="AC42">
            <v>13185.790260469408</v>
          </cell>
        </row>
        <row r="43">
          <cell r="H43" t="str">
            <v>19-O-8</v>
          </cell>
          <cell r="I43">
            <v>33.338934999999999</v>
          </cell>
          <cell r="J43">
            <v>-90.438598999999996</v>
          </cell>
          <cell r="K43">
            <v>3691792.0380000002</v>
          </cell>
          <cell r="L43">
            <v>738388.04299999995</v>
          </cell>
          <cell r="M43" t="str">
            <v>Yes</v>
          </cell>
          <cell r="N43">
            <v>1951</v>
          </cell>
          <cell r="O43" t="str">
            <v>Yes</v>
          </cell>
          <cell r="Q43" t="str">
            <v>No</v>
          </cell>
          <cell r="U43">
            <v>1</v>
          </cell>
          <cell r="V43">
            <v>1</v>
          </cell>
          <cell r="Y43" t="str">
            <v>2.5 meters</v>
          </cell>
          <cell r="Z43">
            <v>8.2020997375328086</v>
          </cell>
          <cell r="AA43" t="str">
            <v>36 meters in diameter</v>
          </cell>
          <cell r="AC43">
            <v>10956.326292046988</v>
          </cell>
        </row>
        <row r="44">
          <cell r="H44" t="str">
            <v>19-O-9</v>
          </cell>
          <cell r="I44">
            <v>33.293501999999997</v>
          </cell>
          <cell r="J44">
            <v>-90.498367000000002</v>
          </cell>
          <cell r="K44">
            <v>3686617.9580000001</v>
          </cell>
          <cell r="L44">
            <v>732944.96299999999</v>
          </cell>
          <cell r="M44" t="str">
            <v>Yes</v>
          </cell>
          <cell r="N44">
            <v>1951</v>
          </cell>
          <cell r="O44" t="str">
            <v>Yes</v>
          </cell>
          <cell r="Q44" t="str">
            <v>No</v>
          </cell>
          <cell r="U44">
            <v>0</v>
          </cell>
        </row>
        <row r="45">
          <cell r="H45" t="str">
            <v>19-P-1</v>
          </cell>
          <cell r="I45">
            <v>33.463441000000003</v>
          </cell>
          <cell r="J45">
            <v>-90.219955999999996</v>
          </cell>
          <cell r="K45">
            <v>3706123.9649999999</v>
          </cell>
          <cell r="L45">
            <v>758373.96499999997</v>
          </cell>
          <cell r="M45" t="str">
            <v>Yes</v>
          </cell>
          <cell r="N45">
            <v>1946</v>
          </cell>
          <cell r="P45" t="str">
            <v>Yes ("Rising Sun")</v>
          </cell>
          <cell r="Q45" t="str">
            <v>No</v>
          </cell>
          <cell r="U45" t="str">
            <v>0</v>
          </cell>
        </row>
        <row r="46">
          <cell r="H46" t="str">
            <v>19-P-2</v>
          </cell>
          <cell r="I46">
            <v>33.428496000000003</v>
          </cell>
          <cell r="J46">
            <v>-90.234425000000002</v>
          </cell>
          <cell r="K46">
            <v>3702211.9720000001</v>
          </cell>
          <cell r="L46">
            <v>757132.01699999999</v>
          </cell>
          <cell r="M46" t="str">
            <v>Yes</v>
          </cell>
          <cell r="N46">
            <v>1946</v>
          </cell>
          <cell r="O46" t="str">
            <v>No</v>
          </cell>
          <cell r="Q46" t="str">
            <v>No</v>
          </cell>
          <cell r="U46">
            <v>2</v>
          </cell>
          <cell r="W46">
            <v>2</v>
          </cell>
          <cell r="Y46" t="str">
            <v>6 meters</v>
          </cell>
          <cell r="Z46">
            <v>19.685039370078741</v>
          </cell>
          <cell r="AA46" t="str">
            <v>25 x 20</v>
          </cell>
          <cell r="AB46" t="str">
            <v xml:space="preserve">25 x 20 x 6 meters </v>
          </cell>
          <cell r="AC46">
            <v>5381.9552083548606</v>
          </cell>
        </row>
        <row r="47">
          <cell r="H47" t="str">
            <v>19-P-3</v>
          </cell>
          <cell r="I47">
            <v>33.428496000000003</v>
          </cell>
          <cell r="J47">
            <v>-90.234425000000002</v>
          </cell>
          <cell r="K47">
            <v>3702211.9720000001</v>
          </cell>
          <cell r="L47">
            <v>757132.01699999999</v>
          </cell>
          <cell r="M47" t="str">
            <v>Yes</v>
          </cell>
          <cell r="N47" t="str">
            <v>1931, 1954</v>
          </cell>
          <cell r="O47" t="str">
            <v>Yes</v>
          </cell>
          <cell r="P47" t="str">
            <v>Yes</v>
          </cell>
          <cell r="Q47" t="str">
            <v>No</v>
          </cell>
          <cell r="U47">
            <v>5</v>
          </cell>
          <cell r="V47">
            <v>4</v>
          </cell>
          <cell r="W47">
            <v>1</v>
          </cell>
          <cell r="Y47" t="str">
            <v>?</v>
          </cell>
          <cell r="AA47" t="str">
            <v>?</v>
          </cell>
          <cell r="AB47" t="str">
            <v>?</v>
          </cell>
        </row>
        <row r="48">
          <cell r="H48" t="str">
            <v>20-L-1</v>
          </cell>
          <cell r="I48">
            <v>33.087757000000003</v>
          </cell>
          <cell r="J48">
            <v>-91.019604000000001</v>
          </cell>
          <cell r="K48">
            <v>3662760.0279999999</v>
          </cell>
          <cell r="L48">
            <v>684831.96499999997</v>
          </cell>
          <cell r="M48" t="str">
            <v>Yes</v>
          </cell>
          <cell r="N48">
            <v>1949</v>
          </cell>
          <cell r="O48" t="str">
            <v>Yes</v>
          </cell>
          <cell r="Q48" t="str">
            <v>No</v>
          </cell>
          <cell r="U48">
            <v>3</v>
          </cell>
          <cell r="W48">
            <v>2</v>
          </cell>
          <cell r="X48">
            <v>1</v>
          </cell>
          <cell r="Y48" t="str">
            <v>6 meters high</v>
          </cell>
          <cell r="Z48">
            <v>19.685039370078741</v>
          </cell>
          <cell r="AA48" t="str">
            <v>?</v>
          </cell>
          <cell r="AB48" t="str">
            <v>?</v>
          </cell>
        </row>
        <row r="49">
          <cell r="H49" t="str">
            <v>20-L-2</v>
          </cell>
          <cell r="I49">
            <v>33.158420999999997</v>
          </cell>
          <cell r="J49">
            <v>-91.024630999999999</v>
          </cell>
          <cell r="K49">
            <v>3670587.0440000002</v>
          </cell>
          <cell r="L49">
            <v>684215.03300000005</v>
          </cell>
          <cell r="M49" t="str">
            <v>Yes</v>
          </cell>
          <cell r="N49" t="str">
            <v>1941, 1954</v>
          </cell>
          <cell r="O49" t="str">
            <v>Yes</v>
          </cell>
          <cell r="Q49" t="str">
            <v>No</v>
          </cell>
          <cell r="U49">
            <v>1</v>
          </cell>
          <cell r="W49">
            <v>1</v>
          </cell>
          <cell r="Y49" t="str">
            <v>?</v>
          </cell>
          <cell r="AA49" t="str">
            <v>?</v>
          </cell>
          <cell r="AB49" t="str">
            <v>?</v>
          </cell>
        </row>
        <row r="50">
          <cell r="H50" t="str">
            <v>20-L-3</v>
          </cell>
          <cell r="I50">
            <v>33.110030000000002</v>
          </cell>
          <cell r="J50">
            <v>-91.010467000000006</v>
          </cell>
          <cell r="K50">
            <v>3665245.997</v>
          </cell>
          <cell r="L50">
            <v>685638.01500000001</v>
          </cell>
          <cell r="M50" t="str">
            <v>Yes</v>
          </cell>
          <cell r="N50">
            <v>1949</v>
          </cell>
          <cell r="O50" t="str">
            <v>No</v>
          </cell>
          <cell r="Q50" t="str">
            <v>No</v>
          </cell>
          <cell r="U50">
            <v>4</v>
          </cell>
          <cell r="V50">
            <v>3</v>
          </cell>
          <cell r="W50">
            <v>1</v>
          </cell>
          <cell r="Y50" t="str">
            <v>3 meters</v>
          </cell>
          <cell r="Z50">
            <v>9.8425196850393704</v>
          </cell>
          <cell r="AA50" t="str">
            <v>50x25 meters</v>
          </cell>
          <cell r="AB50" t="str">
            <v>3 meters</v>
          </cell>
          <cell r="AC50">
            <v>13454.888020887151</v>
          </cell>
        </row>
        <row r="51">
          <cell r="H51" t="str">
            <v>20-M-1</v>
          </cell>
          <cell r="I51">
            <v>33.245018999999999</v>
          </cell>
          <cell r="J51">
            <v>-90.883246</v>
          </cell>
          <cell r="K51">
            <v>3680447.9479999999</v>
          </cell>
          <cell r="L51">
            <v>697208.01599999995</v>
          </cell>
          <cell r="M51" t="str">
            <v>Yes</v>
          </cell>
          <cell r="N51" t="str">
            <v>1912, 1941</v>
          </cell>
          <cell r="O51" t="str">
            <v>Yes</v>
          </cell>
          <cell r="Q51" t="str">
            <v>Yes</v>
          </cell>
          <cell r="R51" t="str">
            <v>Yes</v>
          </cell>
          <cell r="U51">
            <v>6</v>
          </cell>
          <cell r="W51">
            <v>6</v>
          </cell>
          <cell r="Y51" t="str">
            <v>13 meters</v>
          </cell>
          <cell r="Z51">
            <v>42.650918635170605</v>
          </cell>
          <cell r="AA51" t="str">
            <v>70 x 60 meters</v>
          </cell>
          <cell r="AB51">
            <v>13</v>
          </cell>
          <cell r="AC51">
            <v>45208.423750180831</v>
          </cell>
        </row>
        <row r="52">
          <cell r="H52" t="str">
            <v>20-M-10</v>
          </cell>
          <cell r="I52">
            <v>33.0152</v>
          </cell>
          <cell r="J52">
            <v>-90.951620000000005</v>
          </cell>
          <cell r="K52">
            <v>3654836.0410000002</v>
          </cell>
          <cell r="L52">
            <v>691334.99699999997</v>
          </cell>
          <cell r="M52" t="str">
            <v>Yes</v>
          </cell>
          <cell r="N52" t="str">
            <v>?</v>
          </cell>
          <cell r="O52" t="str">
            <v>Yes</v>
          </cell>
          <cell r="Q52" t="str">
            <v>No</v>
          </cell>
          <cell r="U52">
            <v>2</v>
          </cell>
          <cell r="V52">
            <v>1</v>
          </cell>
          <cell r="X52">
            <v>1</v>
          </cell>
          <cell r="Y52" t="str">
            <v>2 meters</v>
          </cell>
          <cell r="Z52">
            <v>6.5616797900262469</v>
          </cell>
          <cell r="AA52" t="str">
            <v>50 meters in diameter</v>
          </cell>
          <cell r="AB52" t="str">
            <v>2 meters</v>
          </cell>
          <cell r="AC52">
            <v>21134.888680646192</v>
          </cell>
        </row>
        <row r="53">
          <cell r="H53" t="str">
            <v>20-M-2</v>
          </cell>
          <cell r="I53">
            <v>33.091659</v>
          </cell>
          <cell r="J53">
            <v>-90.856505999999996</v>
          </cell>
          <cell r="K53">
            <v>3663491.98</v>
          </cell>
          <cell r="L53">
            <v>700047.97199999995</v>
          </cell>
          <cell r="M53" t="str">
            <v>Yes</v>
          </cell>
          <cell r="N53">
            <v>1941</v>
          </cell>
          <cell r="O53" t="str">
            <v>No</v>
          </cell>
          <cell r="Q53" t="str">
            <v>Yes</v>
          </cell>
          <cell r="U53">
            <v>6</v>
          </cell>
          <cell r="W53">
            <v>4</v>
          </cell>
          <cell r="X53">
            <v>2</v>
          </cell>
          <cell r="Y53" t="str">
            <v>12 meters</v>
          </cell>
          <cell r="Z53">
            <v>39.370078740157481</v>
          </cell>
          <cell r="AA53" t="str">
            <v>?</v>
          </cell>
          <cell r="AB53">
            <v>12</v>
          </cell>
        </row>
        <row r="54">
          <cell r="H54" t="str">
            <v>20-M-3</v>
          </cell>
          <cell r="I54">
            <v>33.071815999999998</v>
          </cell>
          <cell r="J54">
            <v>-90.866798000000003</v>
          </cell>
          <cell r="K54">
            <v>3661271.9479999999</v>
          </cell>
          <cell r="L54">
            <v>699131.99899999995</v>
          </cell>
          <cell r="M54" t="str">
            <v>Yes</v>
          </cell>
          <cell r="N54">
            <v>1941</v>
          </cell>
          <cell r="O54" t="str">
            <v>No</v>
          </cell>
          <cell r="Q54" t="str">
            <v>Yes</v>
          </cell>
          <cell r="U54">
            <v>1</v>
          </cell>
          <cell r="W54">
            <v>1</v>
          </cell>
          <cell r="Y54" t="str">
            <v>2.5 meters</v>
          </cell>
          <cell r="Z54">
            <v>8.2020997375328086</v>
          </cell>
          <cell r="AA54" t="str">
            <v>30 meters in diameter</v>
          </cell>
          <cell r="AB54" t="str">
            <v>30 meters by 2.5 meters high</v>
          </cell>
          <cell r="AC54">
            <v>7608.5599250326304</v>
          </cell>
        </row>
        <row r="55">
          <cell r="H55" t="str">
            <v>20-M-4</v>
          </cell>
          <cell r="I55">
            <v>33.087643999999997</v>
          </cell>
          <cell r="J55">
            <v>-90.950187999999997</v>
          </cell>
          <cell r="K55">
            <v>3662871.9619999998</v>
          </cell>
          <cell r="L55">
            <v>691311.96799999999</v>
          </cell>
          <cell r="M55" t="str">
            <v>Yes</v>
          </cell>
          <cell r="N55" t="str">
            <v>1941, 1949</v>
          </cell>
          <cell r="O55" t="str">
            <v>Yes</v>
          </cell>
          <cell r="Q55" t="str">
            <v>Yes</v>
          </cell>
          <cell r="U55">
            <v>4</v>
          </cell>
          <cell r="W55">
            <v>1</v>
          </cell>
          <cell r="X55">
            <v>3</v>
          </cell>
          <cell r="Y55" t="str">
            <v>3 meters high</v>
          </cell>
          <cell r="Z55">
            <v>9.8425196850393704</v>
          </cell>
          <cell r="AA55" t="str">
            <v>40x35 meters (at base)</v>
          </cell>
          <cell r="AB55" t="str">
            <v>3 meters</v>
          </cell>
          <cell r="AC55">
            <v>15069.47458339361</v>
          </cell>
        </row>
        <row r="56">
          <cell r="H56" t="str">
            <v>20-M-5</v>
          </cell>
          <cell r="I56">
            <v>33.099649999999997</v>
          </cell>
          <cell r="J56">
            <v>-90.998593999999997</v>
          </cell>
          <cell r="K56">
            <v>3664116.0529999998</v>
          </cell>
          <cell r="L56">
            <v>686768.005</v>
          </cell>
          <cell r="M56" t="str">
            <v>Yes</v>
          </cell>
          <cell r="N56" t="str">
            <v>1941, 1949</v>
          </cell>
          <cell r="O56" t="str">
            <v>Yes</v>
          </cell>
          <cell r="Q56" t="str">
            <v>Yes</v>
          </cell>
          <cell r="U56">
            <v>4</v>
          </cell>
          <cell r="W56">
            <v>3</v>
          </cell>
          <cell r="X56">
            <v>1</v>
          </cell>
          <cell r="Y56" t="str">
            <v>5 meters high</v>
          </cell>
          <cell r="Z56">
            <v>16.404199475065617</v>
          </cell>
          <cell r="AA56" t="str">
            <v>75x40 meters at base</v>
          </cell>
          <cell r="AB56" t="str">
            <v>5 meters</v>
          </cell>
          <cell r="AC56">
            <v>45208.423750180831</v>
          </cell>
        </row>
        <row r="57">
          <cell r="H57" t="str">
            <v>20-M-6</v>
          </cell>
          <cell r="I57">
            <v>33.144601000000002</v>
          </cell>
          <cell r="J57">
            <v>-90.839225999999996</v>
          </cell>
          <cell r="K57">
            <v>3669396.037</v>
          </cell>
          <cell r="L57">
            <v>701539.96100000001</v>
          </cell>
          <cell r="M57" t="str">
            <v>Yes</v>
          </cell>
          <cell r="N57" t="str">
            <v>?</v>
          </cell>
          <cell r="O57" t="str">
            <v>No</v>
          </cell>
          <cell r="Q57" t="str">
            <v>Yes</v>
          </cell>
          <cell r="U57">
            <v>1</v>
          </cell>
          <cell r="X57">
            <v>1</v>
          </cell>
          <cell r="Y57" t="str">
            <v>3 meters</v>
          </cell>
          <cell r="Z57">
            <v>9.8425196850393704</v>
          </cell>
          <cell r="AA57" t="str">
            <v>50 meters in diameter</v>
          </cell>
          <cell r="AB57" t="str">
            <v>3 meters high, 50 meters in diameter</v>
          </cell>
          <cell r="AC57">
            <v>21134.888680646192</v>
          </cell>
        </row>
        <row r="58">
          <cell r="H58" t="str">
            <v>20-M-7</v>
          </cell>
          <cell r="I58">
            <v>33.131867999999997</v>
          </cell>
          <cell r="J58">
            <v>-90.971089000000006</v>
          </cell>
          <cell r="K58">
            <v>3667738.0469999998</v>
          </cell>
          <cell r="L58">
            <v>689266.01399999997</v>
          </cell>
          <cell r="M58" t="str">
            <v>Yes</v>
          </cell>
          <cell r="N58" t="str">
            <v>?</v>
          </cell>
          <cell r="O58" t="str">
            <v>Yes</v>
          </cell>
          <cell r="Q58" t="str">
            <v>No</v>
          </cell>
          <cell r="U58">
            <v>3</v>
          </cell>
          <cell r="V58">
            <v>3</v>
          </cell>
          <cell r="Y58" t="str">
            <v>?</v>
          </cell>
          <cell r="AA58" t="str">
            <v>?</v>
          </cell>
          <cell r="AB58" t="str">
            <v>?</v>
          </cell>
        </row>
        <row r="59">
          <cell r="H59" t="str">
            <v>20-M-8</v>
          </cell>
          <cell r="I59">
            <v>33.117930000000001</v>
          </cell>
          <cell r="J59">
            <v>-90.953684999999993</v>
          </cell>
          <cell r="K59">
            <v>3666224.0240000002</v>
          </cell>
          <cell r="L59">
            <v>690919.995</v>
          </cell>
          <cell r="M59" t="str">
            <v>Yes</v>
          </cell>
          <cell r="N59" t="str">
            <v>?</v>
          </cell>
          <cell r="O59" t="str">
            <v>Yes</v>
          </cell>
          <cell r="Q59" t="str">
            <v>No</v>
          </cell>
          <cell r="U59">
            <v>1</v>
          </cell>
          <cell r="V59">
            <v>1</v>
          </cell>
          <cell r="Y59" t="str">
            <v>?</v>
          </cell>
          <cell r="AA59" t="str">
            <v>?</v>
          </cell>
          <cell r="AB59" t="str">
            <v>?</v>
          </cell>
        </row>
        <row r="60">
          <cell r="H60" t="str">
            <v>20-M-9</v>
          </cell>
          <cell r="I60">
            <v>33.075116999999999</v>
          </cell>
          <cell r="J60">
            <v>-90.958907999999994</v>
          </cell>
          <cell r="K60">
            <v>3661466.97</v>
          </cell>
          <cell r="L60">
            <v>690524.99899999995</v>
          </cell>
          <cell r="M60" t="str">
            <v>Yes</v>
          </cell>
          <cell r="N60" t="str">
            <v>?</v>
          </cell>
          <cell r="O60" t="str">
            <v>No</v>
          </cell>
          <cell r="Q60" t="str">
            <v>No</v>
          </cell>
          <cell r="U60">
            <v>1</v>
          </cell>
          <cell r="V60">
            <v>1</v>
          </cell>
          <cell r="Y60" t="str">
            <v>1 meter high</v>
          </cell>
          <cell r="Z60">
            <v>3.2808398950131235</v>
          </cell>
          <cell r="AA60" t="str">
            <v>40x25 meters</v>
          </cell>
          <cell r="AB60" t="str">
            <v>?</v>
          </cell>
          <cell r="AC60">
            <v>10763.910416709721</v>
          </cell>
        </row>
        <row r="61">
          <cell r="H61" t="str">
            <v>20-N-1</v>
          </cell>
          <cell r="I61">
            <v>33.055438000000002</v>
          </cell>
          <cell r="J61">
            <v>-90.578374999999994</v>
          </cell>
          <cell r="K61">
            <v>3660040.0350000001</v>
          </cell>
          <cell r="L61">
            <v>726104.01199999999</v>
          </cell>
          <cell r="M61" t="str">
            <v>Yes</v>
          </cell>
          <cell r="N61" t="str">
            <v>1941, (+John Clark Edwards)</v>
          </cell>
          <cell r="O61" t="str">
            <v>Yes</v>
          </cell>
          <cell r="Q61" t="str">
            <v>Yes</v>
          </cell>
          <cell r="U61">
            <v>1</v>
          </cell>
          <cell r="W61">
            <v>1</v>
          </cell>
          <cell r="Y61" t="str">
            <v>3.5 meters</v>
          </cell>
          <cell r="Z61">
            <v>11.482939632545932</v>
          </cell>
          <cell r="AA61" t="str">
            <v>25x30 meters</v>
          </cell>
          <cell r="AB61">
            <v>3.5</v>
          </cell>
          <cell r="AC61">
            <v>8072.9328125322918</v>
          </cell>
        </row>
        <row r="62">
          <cell r="H62" t="str">
            <v>20-N-2</v>
          </cell>
          <cell r="I62">
            <v>33.057712000000002</v>
          </cell>
          <cell r="J62">
            <v>-90.644360000000006</v>
          </cell>
          <cell r="K62">
            <v>3660152.0090000001</v>
          </cell>
          <cell r="L62">
            <v>719935.98300000001</v>
          </cell>
          <cell r="M62" t="str">
            <v>Yes</v>
          </cell>
          <cell r="N62" t="str">
            <v>1941 (+John Clark Edwards)</v>
          </cell>
          <cell r="O62" t="str">
            <v>Yes</v>
          </cell>
          <cell r="Q62" t="str">
            <v>Yes</v>
          </cell>
          <cell r="U62">
            <v>3</v>
          </cell>
          <cell r="W62">
            <v>3</v>
          </cell>
          <cell r="Y62" t="str">
            <v>7 meters</v>
          </cell>
          <cell r="Z62">
            <v>22.965879265091864</v>
          </cell>
          <cell r="AA62" t="str">
            <v>40x40 meters</v>
          </cell>
          <cell r="AB62">
            <v>7</v>
          </cell>
          <cell r="AC62">
            <v>17222.256666735557</v>
          </cell>
        </row>
        <row r="63">
          <cell r="H63" t="str">
            <v>20-N-3</v>
          </cell>
          <cell r="I63">
            <v>33.048116999999998</v>
          </cell>
          <cell r="J63">
            <v>-90.674583999999996</v>
          </cell>
          <cell r="K63">
            <v>3659025.01</v>
          </cell>
          <cell r="L63">
            <v>717137.02899999998</v>
          </cell>
          <cell r="M63" t="str">
            <v>Yes</v>
          </cell>
          <cell r="N63">
            <v>1941</v>
          </cell>
          <cell r="O63" t="str">
            <v>Yes</v>
          </cell>
          <cell r="Q63" t="str">
            <v>Yes</v>
          </cell>
          <cell r="U63">
            <v>1</v>
          </cell>
          <cell r="V63">
            <v>1</v>
          </cell>
          <cell r="Y63" t="str">
            <v>1.5 meters</v>
          </cell>
          <cell r="Z63">
            <v>4.9212598425196852</v>
          </cell>
          <cell r="AA63" t="str">
            <v>20 meters diameter</v>
          </cell>
          <cell r="AC63">
            <v>3381.5821889033914</v>
          </cell>
        </row>
        <row r="64">
          <cell r="H64" t="str">
            <v>20-N-4</v>
          </cell>
          <cell r="I64">
            <v>33.119819999999997</v>
          </cell>
          <cell r="J64">
            <v>-90.745574000000005</v>
          </cell>
          <cell r="K64">
            <v>3666832.0389999999</v>
          </cell>
          <cell r="L64">
            <v>710336.00300000003</v>
          </cell>
          <cell r="M64" t="str">
            <v>Yes</v>
          </cell>
          <cell r="N64" t="str">
            <v>?</v>
          </cell>
          <cell r="O64" t="str">
            <v>No</v>
          </cell>
          <cell r="Q64" t="str">
            <v>Yes</v>
          </cell>
          <cell r="U64">
            <v>3</v>
          </cell>
          <cell r="V64">
            <v>2</v>
          </cell>
          <cell r="X64">
            <v>1</v>
          </cell>
          <cell r="Y64" t="str">
            <v>3 meters</v>
          </cell>
          <cell r="Z64">
            <v>9.8425196850393704</v>
          </cell>
          <cell r="AA64" t="str">
            <v>32 x 15 meters</v>
          </cell>
          <cell r="AB64">
            <v>3</v>
          </cell>
          <cell r="AC64">
            <v>5166.677000020667</v>
          </cell>
        </row>
        <row r="65">
          <cell r="H65" t="str">
            <v>20-N-5</v>
          </cell>
          <cell r="I65">
            <v>33.220492</v>
          </cell>
          <cell r="J65">
            <v>-90.626552000000004</v>
          </cell>
          <cell r="K65">
            <v>3678241.9550000001</v>
          </cell>
          <cell r="L65">
            <v>721189.97900000005</v>
          </cell>
          <cell r="M65" t="str">
            <v>Yes</v>
          </cell>
          <cell r="N65">
            <v>1951</v>
          </cell>
          <cell r="O65" t="str">
            <v>Yes</v>
          </cell>
          <cell r="Q65" t="str">
            <v>No</v>
          </cell>
          <cell r="U65">
            <v>3</v>
          </cell>
          <cell r="V65">
            <v>3</v>
          </cell>
          <cell r="Y65" t="str">
            <v>2.5 meters</v>
          </cell>
          <cell r="Z65">
            <v>8.2020997375328086</v>
          </cell>
          <cell r="AA65" t="str">
            <v>20 meters in diameter</v>
          </cell>
          <cell r="AB65">
            <v>2.5</v>
          </cell>
          <cell r="AC65">
            <v>3381.5821889033914</v>
          </cell>
        </row>
        <row r="66">
          <cell r="H66" t="str">
            <v>20-N-6</v>
          </cell>
          <cell r="I66">
            <v>33.117854999999999</v>
          </cell>
          <cell r="J66">
            <v>-90.613009000000005</v>
          </cell>
          <cell r="K66">
            <v>3666888.0529999998</v>
          </cell>
          <cell r="L66">
            <v>722711.99100000004</v>
          </cell>
          <cell r="M66" t="str">
            <v>Yes</v>
          </cell>
          <cell r="N66" t="str">
            <v>?</v>
          </cell>
          <cell r="O66" t="str">
            <v>Yes</v>
          </cell>
          <cell r="Q66" t="str">
            <v>No</v>
          </cell>
          <cell r="U66">
            <v>4</v>
          </cell>
          <cell r="X66">
            <v>4</v>
          </cell>
          <cell r="Y66" t="str">
            <v>3 meters</v>
          </cell>
          <cell r="Z66">
            <v>9.8425196850393704</v>
          </cell>
          <cell r="AA66" t="str">
            <v>?</v>
          </cell>
          <cell r="AB66">
            <v>3</v>
          </cell>
        </row>
        <row r="67">
          <cell r="H67" t="str">
            <v>20-O-1</v>
          </cell>
          <cell r="I67">
            <v>33.237062999999999</v>
          </cell>
          <cell r="J67">
            <v>-90.485598999999993</v>
          </cell>
          <cell r="K67">
            <v>3680387.0329999998</v>
          </cell>
          <cell r="L67">
            <v>734284.96100000001</v>
          </cell>
          <cell r="M67" t="str">
            <v>Yes</v>
          </cell>
          <cell r="N67" t="str">
            <v>1946, 1951</v>
          </cell>
          <cell r="O67" t="str">
            <v>Yes</v>
          </cell>
          <cell r="Q67" t="str">
            <v>Yes</v>
          </cell>
          <cell r="U67">
            <v>6</v>
          </cell>
          <cell r="W67">
            <v>2</v>
          </cell>
          <cell r="X67">
            <v>4</v>
          </cell>
          <cell r="Y67" t="str">
            <v>?</v>
          </cell>
          <cell r="AA67" t="str">
            <v>?</v>
          </cell>
        </row>
        <row r="68">
          <cell r="H68" t="str">
            <v>20-O-10</v>
          </cell>
          <cell r="I68">
            <v>33.180083000000003</v>
          </cell>
          <cell r="J68">
            <v>-90.308274999999995</v>
          </cell>
          <cell r="K68">
            <v>3674479.0440000002</v>
          </cell>
          <cell r="L68">
            <v>750974.98100000003</v>
          </cell>
          <cell r="M68" t="str">
            <v>Yes (approximate)</v>
          </cell>
          <cell r="N68" t="str">
            <v>?</v>
          </cell>
          <cell r="O68" t="str">
            <v>Yes</v>
          </cell>
          <cell r="Q68" t="str">
            <v>No</v>
          </cell>
          <cell r="U68" t="str">
            <v>0</v>
          </cell>
        </row>
        <row r="69">
          <cell r="H69" t="str">
            <v>20-O-12</v>
          </cell>
          <cell r="I69">
            <v>33.100349000000001</v>
          </cell>
          <cell r="J69">
            <v>-90.324838999999997</v>
          </cell>
          <cell r="K69">
            <v>3665595.9939999999</v>
          </cell>
          <cell r="L69">
            <v>749656.00399999996</v>
          </cell>
          <cell r="M69" t="str">
            <v>Yes (approximate)</v>
          </cell>
          <cell r="N69">
            <v>1932</v>
          </cell>
          <cell r="O69" t="str">
            <v>No</v>
          </cell>
          <cell r="P69" t="str">
            <v>Yes</v>
          </cell>
          <cell r="Q69" t="str">
            <v>No</v>
          </cell>
          <cell r="U69" t="str">
            <v>0</v>
          </cell>
        </row>
        <row r="70">
          <cell r="H70" t="str">
            <v>20-O-13</v>
          </cell>
          <cell r="I70">
            <v>33.100845999999997</v>
          </cell>
          <cell r="J70">
            <v>-90.316490000000002</v>
          </cell>
          <cell r="K70">
            <v>3665671.0350000001</v>
          </cell>
          <cell r="L70">
            <v>750433.98400000005</v>
          </cell>
          <cell r="M70" t="str">
            <v>Yes (approximate)</v>
          </cell>
          <cell r="N70">
            <v>1932</v>
          </cell>
          <cell r="O70" t="str">
            <v>No</v>
          </cell>
          <cell r="P70" t="str">
            <v>Yes</v>
          </cell>
          <cell r="Q70" t="str">
            <v>No</v>
          </cell>
          <cell r="U70">
            <v>2</v>
          </cell>
          <cell r="Y70" t="str">
            <v>?</v>
          </cell>
          <cell r="AA70" t="str">
            <v>?</v>
          </cell>
        </row>
        <row r="71">
          <cell r="H71" t="str">
            <v>20-O-14</v>
          </cell>
          <cell r="I71">
            <v>33.036360000000002</v>
          </cell>
          <cell r="J71">
            <v>-90.345894000000001</v>
          </cell>
          <cell r="K71">
            <v>3658449.031</v>
          </cell>
          <cell r="L71">
            <v>747870.00899999996</v>
          </cell>
          <cell r="M71" t="str">
            <v>Yes (approximate)</v>
          </cell>
          <cell r="N71" t="str">
            <v>1932, (+John Clark Edwards)</v>
          </cell>
          <cell r="O71" t="str">
            <v>No</v>
          </cell>
          <cell r="P71" t="str">
            <v>Yes</v>
          </cell>
          <cell r="Q71" t="str">
            <v>No</v>
          </cell>
          <cell r="U71" t="str">
            <v>0</v>
          </cell>
        </row>
        <row r="72">
          <cell r="H72" t="str">
            <v>20-O-18</v>
          </cell>
          <cell r="I72">
            <v>33.036360000000002</v>
          </cell>
          <cell r="J72">
            <v>-90.345894000000001</v>
          </cell>
          <cell r="K72">
            <v>3658449.031</v>
          </cell>
          <cell r="L72">
            <v>747870.00899999996</v>
          </cell>
          <cell r="M72" t="str">
            <v>No</v>
          </cell>
          <cell r="N72" t="str">
            <v>-</v>
          </cell>
          <cell r="O72" t="str">
            <v>No</v>
          </cell>
          <cell r="Q72" t="str">
            <v>No</v>
          </cell>
          <cell r="S72" t="str">
            <v>Yes</v>
          </cell>
          <cell r="U72">
            <v>4</v>
          </cell>
          <cell r="V72">
            <v>1</v>
          </cell>
          <cell r="X72">
            <v>3</v>
          </cell>
          <cell r="Y72" t="str">
            <v>?</v>
          </cell>
          <cell r="AA72" t="str">
            <v>?</v>
          </cell>
          <cell r="AB72">
            <v>1</v>
          </cell>
        </row>
        <row r="73">
          <cell r="H73" t="str">
            <v>20-O-2</v>
          </cell>
          <cell r="I73">
            <v>33.177759000000002</v>
          </cell>
          <cell r="J73">
            <v>-90.480604</v>
          </cell>
          <cell r="K73">
            <v>3673821.0210000002</v>
          </cell>
          <cell r="L73">
            <v>734908.99800000002</v>
          </cell>
          <cell r="M73" t="str">
            <v>Yes</v>
          </cell>
          <cell r="N73" t="str">
            <v>1908, 1951</v>
          </cell>
          <cell r="O73" t="str">
            <v>Yes</v>
          </cell>
          <cell r="Q73" t="str">
            <v>Yes</v>
          </cell>
          <cell r="S73" t="str">
            <v>Yes</v>
          </cell>
          <cell r="U73">
            <v>2</v>
          </cell>
          <cell r="V73">
            <v>1</v>
          </cell>
          <cell r="X73">
            <v>1</v>
          </cell>
          <cell r="Y73" t="str">
            <v>11 feet high</v>
          </cell>
          <cell r="Z73">
            <v>11</v>
          </cell>
          <cell r="AA73" t="str">
            <v>165x125 feet</v>
          </cell>
          <cell r="AB73" t="str">
            <v>11 feet</v>
          </cell>
          <cell r="AC73">
            <v>20625</v>
          </cell>
        </row>
        <row r="74">
          <cell r="H74" t="str">
            <v>20-O-20</v>
          </cell>
          <cell r="I74">
            <v>33.189794999999997</v>
          </cell>
          <cell r="J74">
            <v>-90.412486000000001</v>
          </cell>
          <cell r="K74">
            <v>3675310.966</v>
          </cell>
          <cell r="L74">
            <v>741229.03799999994</v>
          </cell>
          <cell r="M74" t="str">
            <v>Yes</v>
          </cell>
          <cell r="N74">
            <v>1908</v>
          </cell>
          <cell r="O74" t="str">
            <v>No</v>
          </cell>
          <cell r="Q74" t="str">
            <v>No</v>
          </cell>
          <cell r="S74" t="str">
            <v>Yes</v>
          </cell>
          <cell r="U74">
            <v>1</v>
          </cell>
          <cell r="V74">
            <v>1</v>
          </cell>
          <cell r="Y74" t="str">
            <v>9 feet</v>
          </cell>
          <cell r="Z74">
            <v>9</v>
          </cell>
          <cell r="AA74" t="str">
            <v>47 feet in diameter</v>
          </cell>
          <cell r="AB74" t="str">
            <v>9 feet</v>
          </cell>
          <cell r="AC74">
            <v>1734.9445429449634</v>
          </cell>
        </row>
        <row r="75">
          <cell r="H75" t="str">
            <v>20-O-3</v>
          </cell>
          <cell r="I75">
            <v>33.075786999999998</v>
          </cell>
          <cell r="J75">
            <v>-90.437175999999994</v>
          </cell>
          <cell r="K75">
            <v>3662609.9440000001</v>
          </cell>
          <cell r="L75">
            <v>739235.95600000001</v>
          </cell>
          <cell r="M75" t="str">
            <v>Yes</v>
          </cell>
          <cell r="N75" t="str">
            <v>1941, 1951</v>
          </cell>
          <cell r="O75" t="str">
            <v>Yes</v>
          </cell>
          <cell r="P75" t="str">
            <v>Yes</v>
          </cell>
          <cell r="Q75" t="str">
            <v>Yes</v>
          </cell>
          <cell r="U75">
            <v>2</v>
          </cell>
          <cell r="W75">
            <v>1</v>
          </cell>
          <cell r="X75">
            <v>1</v>
          </cell>
          <cell r="Y75" t="str">
            <v>4 meters high</v>
          </cell>
          <cell r="Z75">
            <v>13.123359580052494</v>
          </cell>
          <cell r="AA75" t="str">
            <v>65 x 35 meters</v>
          </cell>
          <cell r="AB75" t="str">
            <v xml:space="preserve">65 x 35 x 4 meters </v>
          </cell>
          <cell r="AC75">
            <v>24487.896198014616</v>
          </cell>
        </row>
        <row r="76">
          <cell r="H76" t="str">
            <v>20-O-4</v>
          </cell>
          <cell r="I76">
            <v>33.133662999999999</v>
          </cell>
          <cell r="J76">
            <v>-90.504103000000001</v>
          </cell>
          <cell r="K76">
            <v>3668878.0090000001</v>
          </cell>
          <cell r="L76">
            <v>732833.97199999995</v>
          </cell>
          <cell r="M76" t="str">
            <v>Yes</v>
          </cell>
          <cell r="N76" t="str">
            <v>1908, 1912, 1941</v>
          </cell>
          <cell r="O76" t="str">
            <v>Yes</v>
          </cell>
          <cell r="Q76" t="str">
            <v>Yes</v>
          </cell>
          <cell r="R76" t="str">
            <v>Yes</v>
          </cell>
          <cell r="S76" t="str">
            <v>Yes</v>
          </cell>
          <cell r="U76">
            <v>2</v>
          </cell>
          <cell r="W76">
            <v>1</v>
          </cell>
          <cell r="X76">
            <v>1</v>
          </cell>
          <cell r="Y76" t="str">
            <v>2 meters high</v>
          </cell>
          <cell r="Z76">
            <v>6.5616797900262469</v>
          </cell>
          <cell r="AA76" t="str">
            <v>30x30 meters</v>
          </cell>
          <cell r="AC76">
            <v>9687.5193750387498</v>
          </cell>
        </row>
        <row r="77">
          <cell r="H77" t="str">
            <v>20-O-5</v>
          </cell>
          <cell r="I77">
            <v>33.097042999999999</v>
          </cell>
          <cell r="J77">
            <v>-90.490922999999995</v>
          </cell>
          <cell r="K77">
            <v>3664846.0350000001</v>
          </cell>
          <cell r="L77">
            <v>734161.03799999994</v>
          </cell>
          <cell r="M77" t="str">
            <v>Yes</v>
          </cell>
          <cell r="N77" t="str">
            <v>1908, 1912, 1941</v>
          </cell>
          <cell r="O77" t="str">
            <v>Yes</v>
          </cell>
          <cell r="Q77" t="str">
            <v>Yes</v>
          </cell>
          <cell r="R77" t="str">
            <v>Yes</v>
          </cell>
          <cell r="S77" t="str">
            <v>Yes</v>
          </cell>
          <cell r="U77">
            <v>3</v>
          </cell>
          <cell r="W77">
            <v>1</v>
          </cell>
          <cell r="X77">
            <v>2</v>
          </cell>
          <cell r="Y77" t="str">
            <v>27 (?) feet</v>
          </cell>
          <cell r="Z77">
            <v>27</v>
          </cell>
          <cell r="AA77" t="str">
            <v>475 in circumference (140x92 feet at top)</v>
          </cell>
          <cell r="AB77">
            <v>27</v>
          </cell>
          <cell r="AC77">
            <v>17954.667017554439</v>
          </cell>
        </row>
        <row r="78">
          <cell r="H78" t="str">
            <v>20-O-6</v>
          </cell>
          <cell r="I78">
            <v>33.110688000000003</v>
          </cell>
          <cell r="J78">
            <v>-90.499160000000003</v>
          </cell>
          <cell r="K78">
            <v>3666340.963</v>
          </cell>
          <cell r="L78">
            <v>733356.01800000004</v>
          </cell>
          <cell r="M78" t="str">
            <v>Yes</v>
          </cell>
          <cell r="N78" t="str">
            <v>1912, 1946</v>
          </cell>
          <cell r="O78" t="str">
            <v>No</v>
          </cell>
          <cell r="Q78" t="str">
            <v>Yes</v>
          </cell>
          <cell r="R78" t="str">
            <v>Yes</v>
          </cell>
          <cell r="U78">
            <v>0</v>
          </cell>
        </row>
        <row r="79">
          <cell r="H79" t="str">
            <v>20-O-7</v>
          </cell>
          <cell r="I79">
            <v>33.170599000000003</v>
          </cell>
          <cell r="J79">
            <v>-90.456643</v>
          </cell>
          <cell r="K79">
            <v>3673080.9890000001</v>
          </cell>
          <cell r="L79">
            <v>737163.01800000004</v>
          </cell>
          <cell r="M79" t="str">
            <v>Yes</v>
          </cell>
          <cell r="N79" t="str">
            <v>1908, 1951</v>
          </cell>
          <cell r="O79" t="str">
            <v>No</v>
          </cell>
          <cell r="Q79" t="str">
            <v>No</v>
          </cell>
          <cell r="S79" t="str">
            <v>Yes</v>
          </cell>
          <cell r="U79">
            <v>0</v>
          </cell>
        </row>
        <row r="80">
          <cell r="H80" t="str">
            <v>20-O-8</v>
          </cell>
          <cell r="I80">
            <v>33.200862000000001</v>
          </cell>
          <cell r="J80">
            <v>-90.420901000000001</v>
          </cell>
          <cell r="K80">
            <v>3676519.0129999998</v>
          </cell>
          <cell r="L80">
            <v>740414.03899999999</v>
          </cell>
          <cell r="M80" t="str">
            <v>Yes</v>
          </cell>
          <cell r="N80">
            <v>1908</v>
          </cell>
          <cell r="O80" t="str">
            <v>No</v>
          </cell>
          <cell r="Q80" t="str">
            <v>No</v>
          </cell>
          <cell r="S80" t="str">
            <v>Yes</v>
          </cell>
          <cell r="U80">
            <v>1</v>
          </cell>
          <cell r="X80">
            <v>1</v>
          </cell>
          <cell r="Y80" t="str">
            <v>?</v>
          </cell>
          <cell r="AA80" t="str">
            <v>?</v>
          </cell>
          <cell r="AB80" t="str">
            <v>?</v>
          </cell>
        </row>
        <row r="81">
          <cell r="H81" t="str">
            <v>20-O-9</v>
          </cell>
          <cell r="I81">
            <v>33.184753000000001</v>
          </cell>
          <cell r="J81">
            <v>-90.258325999999997</v>
          </cell>
          <cell r="K81">
            <v>3675117.9939999999</v>
          </cell>
          <cell r="L81">
            <v>755620.04599999997</v>
          </cell>
          <cell r="M81" t="str">
            <v>Yes</v>
          </cell>
          <cell r="N81">
            <v>1954</v>
          </cell>
          <cell r="O81" t="str">
            <v>Yes</v>
          </cell>
          <cell r="Q81" t="str">
            <v>No</v>
          </cell>
          <cell r="U81" t="str">
            <v>0</v>
          </cell>
        </row>
        <row r="82">
          <cell r="H82" t="str">
            <v>20-P-1</v>
          </cell>
          <cell r="I82">
            <v>33.128667999999998</v>
          </cell>
          <cell r="J82">
            <v>-90.192511999999994</v>
          </cell>
          <cell r="K82">
            <v>3669060.0490000001</v>
          </cell>
          <cell r="L82">
            <v>761925.02399999998</v>
          </cell>
          <cell r="M82" t="str">
            <v>Yes</v>
          </cell>
          <cell r="N82" t="str">
            <v>1932, 1954</v>
          </cell>
          <cell r="O82" t="str">
            <v>Yes</v>
          </cell>
          <cell r="P82" t="str">
            <v>Yes</v>
          </cell>
          <cell r="Q82" t="str">
            <v>No</v>
          </cell>
          <cell r="U82">
            <v>1</v>
          </cell>
          <cell r="V82">
            <v>1</v>
          </cell>
          <cell r="Y82" t="str">
            <v>low</v>
          </cell>
          <cell r="AA82" t="str">
            <v>?</v>
          </cell>
          <cell r="AB82" t="str">
            <v>?</v>
          </cell>
        </row>
        <row r="83">
          <cell r="H83" t="str">
            <v>20-P-2</v>
          </cell>
          <cell r="I83">
            <v>33.116656999999996</v>
          </cell>
          <cell r="J83">
            <v>-90.142916</v>
          </cell>
          <cell r="K83">
            <v>3667852.96</v>
          </cell>
          <cell r="L83">
            <v>766589.96400000004</v>
          </cell>
          <cell r="M83" t="str">
            <v>Yes</v>
          </cell>
          <cell r="N83" t="str">
            <v>?</v>
          </cell>
          <cell r="O83" t="str">
            <v>Yes</v>
          </cell>
          <cell r="Q83" t="str">
            <v>No</v>
          </cell>
          <cell r="U83">
            <v>1</v>
          </cell>
          <cell r="V83">
            <v>1</v>
          </cell>
          <cell r="Y83" t="str">
            <v>3 meters</v>
          </cell>
          <cell r="Z83">
            <v>9.8425196850393704</v>
          </cell>
          <cell r="AA83" t="str">
            <v>15 meters in diameter</v>
          </cell>
          <cell r="AB83" t="str">
            <v>?</v>
          </cell>
          <cell r="AC83">
            <v>1902.1399812581576</v>
          </cell>
        </row>
        <row r="84">
          <cell r="H84" t="str">
            <v>20-P-3</v>
          </cell>
          <cell r="I84">
            <v>33.115991999999999</v>
          </cell>
          <cell r="J84">
            <v>-90.173021000000006</v>
          </cell>
          <cell r="K84">
            <v>3667702.986</v>
          </cell>
          <cell r="L84">
            <v>763781.97400000005</v>
          </cell>
          <cell r="M84" t="str">
            <v>Yes</v>
          </cell>
          <cell r="N84" t="str">
            <v>?</v>
          </cell>
          <cell r="O84" t="str">
            <v>Yes</v>
          </cell>
          <cell r="Q84" t="str">
            <v>No</v>
          </cell>
          <cell r="U84">
            <v>0</v>
          </cell>
        </row>
        <row r="85">
          <cell r="H85" t="str">
            <v>21-L-1</v>
          </cell>
          <cell r="I85">
            <v>32.887453000000001</v>
          </cell>
          <cell r="J85">
            <v>-91.054599999999994</v>
          </cell>
          <cell r="K85">
            <v>3640487.9780000001</v>
          </cell>
          <cell r="L85">
            <v>681976.00199999998</v>
          </cell>
          <cell r="M85" t="str">
            <v>Yes</v>
          </cell>
          <cell r="N85">
            <v>1950</v>
          </cell>
          <cell r="O85" t="str">
            <v>Yes</v>
          </cell>
          <cell r="Q85" t="str">
            <v>No</v>
          </cell>
          <cell r="U85">
            <v>11</v>
          </cell>
          <cell r="V85">
            <v>2</v>
          </cell>
          <cell r="W85">
            <v>9</v>
          </cell>
          <cell r="Y85" t="str">
            <v>10 meters high</v>
          </cell>
          <cell r="Z85">
            <v>32.808398950131235</v>
          </cell>
          <cell r="AA85" t="str">
            <v>?</v>
          </cell>
          <cell r="AB85" t="str">
            <v>10 meters</v>
          </cell>
        </row>
        <row r="86">
          <cell r="H86" t="str">
            <v>21-M-1</v>
          </cell>
          <cell r="I86">
            <v>32.895971000000003</v>
          </cell>
          <cell r="J86">
            <v>-90.879661999999996</v>
          </cell>
          <cell r="K86">
            <v>3641747.986</v>
          </cell>
          <cell r="L86">
            <v>698323.96799999999</v>
          </cell>
          <cell r="M86" t="str">
            <v>Yes</v>
          </cell>
          <cell r="N86" t="str">
            <v>1921, 1946</v>
          </cell>
          <cell r="O86" t="str">
            <v>Yes</v>
          </cell>
          <cell r="Q86" t="str">
            <v>No</v>
          </cell>
          <cell r="R86" t="str">
            <v>Yes</v>
          </cell>
          <cell r="U86">
            <v>3</v>
          </cell>
          <cell r="W86">
            <v>3</v>
          </cell>
          <cell r="Y86" t="str">
            <v>38 feet high</v>
          </cell>
          <cell r="Z86">
            <v>38</v>
          </cell>
          <cell r="AA86" t="str">
            <v>85x95 feet</v>
          </cell>
          <cell r="AB86" t="str">
            <v>38 feet</v>
          </cell>
          <cell r="AC86">
            <v>8075</v>
          </cell>
        </row>
        <row r="87">
          <cell r="H87" t="str">
            <v>21-M-10</v>
          </cell>
          <cell r="I87">
            <v>32.895971000000003</v>
          </cell>
          <cell r="J87">
            <v>-90.879661999999996</v>
          </cell>
          <cell r="K87">
            <v>3641747.986</v>
          </cell>
          <cell r="L87">
            <v>698323.96799999999</v>
          </cell>
          <cell r="M87" t="str">
            <v>No</v>
          </cell>
          <cell r="N87" t="str">
            <v>1921,</v>
          </cell>
          <cell r="O87" t="str">
            <v>No</v>
          </cell>
          <cell r="Q87" t="str">
            <v>No</v>
          </cell>
          <cell r="R87" t="str">
            <v>Yes</v>
          </cell>
          <cell r="U87">
            <v>1</v>
          </cell>
          <cell r="X87">
            <v>1</v>
          </cell>
          <cell r="Y87" t="str">
            <v>3.5 to 4 feet high</v>
          </cell>
          <cell r="Z87">
            <v>4</v>
          </cell>
          <cell r="AA87" t="str">
            <v>?</v>
          </cell>
          <cell r="AB87" t="str">
            <v>3.5 to 4 feet high</v>
          </cell>
        </row>
        <row r="88">
          <cell r="H88" t="str">
            <v>21-M-11</v>
          </cell>
          <cell r="I88">
            <v>32.923091999999997</v>
          </cell>
          <cell r="J88">
            <v>-90.883634000000001</v>
          </cell>
          <cell r="K88">
            <v>3644747.9610000001</v>
          </cell>
          <cell r="L88">
            <v>697891.99800000002</v>
          </cell>
          <cell r="M88" t="str">
            <v>Yes</v>
          </cell>
          <cell r="N88" t="str">
            <v>Chipman (?)</v>
          </cell>
          <cell r="O88" t="str">
            <v>No</v>
          </cell>
          <cell r="Q88" t="str">
            <v>No</v>
          </cell>
          <cell r="U88" t="str">
            <v>?</v>
          </cell>
          <cell r="X88">
            <v>1</v>
          </cell>
          <cell r="Y88" t="str">
            <v>?</v>
          </cell>
          <cell r="AA88" t="str">
            <v>?</v>
          </cell>
          <cell r="AB88" t="str">
            <v>?</v>
          </cell>
        </row>
        <row r="89">
          <cell r="H89" t="str">
            <v>21-M-2</v>
          </cell>
          <cell r="I89">
            <v>32.943966000000003</v>
          </cell>
          <cell r="J89">
            <v>-90.870174000000006</v>
          </cell>
          <cell r="K89">
            <v>3647088.0529999998</v>
          </cell>
          <cell r="L89">
            <v>699104.02</v>
          </cell>
          <cell r="M89" t="str">
            <v>Yes</v>
          </cell>
          <cell r="N89" t="str">
            <v>1921, 1950</v>
          </cell>
          <cell r="O89" t="str">
            <v>Yes</v>
          </cell>
          <cell r="Q89" t="str">
            <v>No</v>
          </cell>
          <cell r="R89" t="str">
            <v>Yes</v>
          </cell>
          <cell r="U89">
            <v>3</v>
          </cell>
          <cell r="W89">
            <v>1</v>
          </cell>
          <cell r="X89">
            <v>2</v>
          </cell>
          <cell r="Y89" t="str">
            <v>25 feet high</v>
          </cell>
          <cell r="Z89">
            <v>25</v>
          </cell>
          <cell r="AA89" t="str">
            <v>270 x 210 feet</v>
          </cell>
          <cell r="AC89">
            <v>56700</v>
          </cell>
        </row>
        <row r="90">
          <cell r="H90" t="str">
            <v>21-M-3</v>
          </cell>
          <cell r="I90">
            <v>32.971893999999999</v>
          </cell>
          <cell r="J90">
            <v>-90.841302999999996</v>
          </cell>
          <cell r="K90">
            <v>3650240.003</v>
          </cell>
          <cell r="L90">
            <v>701740.00100000005</v>
          </cell>
          <cell r="M90" t="str">
            <v>Yes</v>
          </cell>
          <cell r="N90" t="str">
            <v>1921, ?</v>
          </cell>
          <cell r="O90" t="str">
            <v>Yes</v>
          </cell>
          <cell r="Q90" t="str">
            <v>No</v>
          </cell>
          <cell r="R90" t="str">
            <v>Yes</v>
          </cell>
          <cell r="U90">
            <v>1</v>
          </cell>
          <cell r="X90">
            <v>1</v>
          </cell>
          <cell r="Y90" t="str">
            <v>18 feet</v>
          </cell>
          <cell r="Z90">
            <v>18</v>
          </cell>
          <cell r="AA90" t="str">
            <v>480 in circumference at bottom</v>
          </cell>
          <cell r="AB90" t="str">
            <v>18 feet</v>
          </cell>
          <cell r="AC90">
            <v>18334.649444186347</v>
          </cell>
        </row>
        <row r="91">
          <cell r="H91" t="str">
            <v>21-M-4</v>
          </cell>
          <cell r="I91">
            <v>32.823652000000003</v>
          </cell>
          <cell r="J91">
            <v>-90.763940000000005</v>
          </cell>
          <cell r="K91">
            <v>3633951.9870000002</v>
          </cell>
          <cell r="L91">
            <v>709320.04200000002</v>
          </cell>
          <cell r="M91" t="str">
            <v>Yes</v>
          </cell>
          <cell r="N91" t="str">
            <v>?</v>
          </cell>
          <cell r="O91" t="str">
            <v>Yes</v>
          </cell>
          <cell r="Q91" t="str">
            <v>No</v>
          </cell>
          <cell r="U91">
            <v>2</v>
          </cell>
          <cell r="W91">
            <v>2</v>
          </cell>
          <cell r="Y91" t="str">
            <v>3 meters</v>
          </cell>
          <cell r="Z91">
            <v>9.8425196850393704</v>
          </cell>
          <cell r="AA91" t="str">
            <v>30x25meters</v>
          </cell>
          <cell r="AB91">
            <v>3</v>
          </cell>
          <cell r="AC91">
            <v>8072.9328125322918</v>
          </cell>
        </row>
        <row r="92">
          <cell r="H92" t="str">
            <v>21-M-5</v>
          </cell>
          <cell r="I92">
            <v>32.804239000000003</v>
          </cell>
          <cell r="J92">
            <v>-90.931348</v>
          </cell>
          <cell r="K92">
            <v>3631480.02</v>
          </cell>
          <cell r="L92">
            <v>693687.98699999996</v>
          </cell>
          <cell r="M92" t="str">
            <v>Yes</v>
          </cell>
          <cell r="N92" t="str">
            <v>1921, 1950, 1964</v>
          </cell>
          <cell r="O92" t="str">
            <v>No</v>
          </cell>
          <cell r="Q92" t="str">
            <v>No</v>
          </cell>
          <cell r="R92" t="str">
            <v>Yes</v>
          </cell>
          <cell r="U92">
            <v>4</v>
          </cell>
          <cell r="V92">
            <v>2</v>
          </cell>
          <cell r="W92">
            <v>2</v>
          </cell>
          <cell r="Y92" t="str">
            <v>22 feet high</v>
          </cell>
          <cell r="Z92">
            <v>22</v>
          </cell>
          <cell r="AA92" t="str">
            <v>80 x 74 feet on top</v>
          </cell>
          <cell r="AB92" t="str">
            <v>22 feet</v>
          </cell>
          <cell r="AC92">
            <v>5920</v>
          </cell>
        </row>
        <row r="93">
          <cell r="H93" t="str">
            <v>21-M-6</v>
          </cell>
          <cell r="I93">
            <v>32.804239000000003</v>
          </cell>
          <cell r="J93">
            <v>-90.931348</v>
          </cell>
          <cell r="K93">
            <v>3631480.02</v>
          </cell>
          <cell r="L93">
            <v>693687.98699999996</v>
          </cell>
          <cell r="M93" t="str">
            <v>No</v>
          </cell>
          <cell r="N93">
            <v>1921</v>
          </cell>
          <cell r="O93" t="str">
            <v>No</v>
          </cell>
          <cell r="Q93" t="str">
            <v>No</v>
          </cell>
          <cell r="R93" t="str">
            <v>Yes</v>
          </cell>
          <cell r="U93">
            <v>1</v>
          </cell>
          <cell r="X93">
            <v>1</v>
          </cell>
          <cell r="Y93" t="str">
            <v>1.5 to 2 feet high</v>
          </cell>
          <cell r="Z93">
            <v>2</v>
          </cell>
          <cell r="AA93" t="str">
            <v>?</v>
          </cell>
          <cell r="AB93" t="str">
            <v>1.5 to 2 feet</v>
          </cell>
        </row>
        <row r="94">
          <cell r="H94" t="str">
            <v>21-M-7</v>
          </cell>
          <cell r="I94">
            <v>32.988830999999998</v>
          </cell>
          <cell r="J94">
            <v>-90.970956000000001</v>
          </cell>
          <cell r="K94">
            <v>3651876.9810000001</v>
          </cell>
          <cell r="L94">
            <v>689584.97400000005</v>
          </cell>
          <cell r="M94" t="str">
            <v>Yes</v>
          </cell>
          <cell r="N94" t="str">
            <v>1964 (William Chipman)</v>
          </cell>
          <cell r="O94" t="str">
            <v>Yes</v>
          </cell>
          <cell r="Q94" t="str">
            <v>No</v>
          </cell>
          <cell r="U94">
            <v>4</v>
          </cell>
          <cell r="W94" t="str">
            <v>2</v>
          </cell>
          <cell r="X94">
            <v>2</v>
          </cell>
          <cell r="Y94" t="str">
            <v>12 meters high</v>
          </cell>
          <cell r="Z94">
            <v>39.370078740157481</v>
          </cell>
          <cell r="AA94" t="str">
            <v>60 meters in diameter</v>
          </cell>
          <cell r="AB94">
            <v>12</v>
          </cell>
          <cell r="AC94">
            <v>30434.239700130522</v>
          </cell>
        </row>
        <row r="95">
          <cell r="H95" t="str">
            <v>21-M-8</v>
          </cell>
          <cell r="I95">
            <v>32.988830999999998</v>
          </cell>
          <cell r="J95">
            <v>-90.970956000000001</v>
          </cell>
          <cell r="K95">
            <v>3651876.9810000001</v>
          </cell>
          <cell r="L95">
            <v>689584.97400000005</v>
          </cell>
          <cell r="M95" t="str">
            <v>No</v>
          </cell>
          <cell r="N95" t="str">
            <v>?</v>
          </cell>
          <cell r="O95" t="str">
            <v>Yes</v>
          </cell>
          <cell r="Q95" t="str">
            <v>No</v>
          </cell>
          <cell r="U95">
            <v>1</v>
          </cell>
          <cell r="V95">
            <v>1</v>
          </cell>
          <cell r="Y95" t="str">
            <v>1.5 meters</v>
          </cell>
          <cell r="Z95">
            <v>4.9212598425196852</v>
          </cell>
          <cell r="AA95" t="str">
            <v>50 meters in diameter</v>
          </cell>
          <cell r="AB95" t="str">
            <v>1.5 meters</v>
          </cell>
          <cell r="AC95">
            <v>21134.888680646192</v>
          </cell>
        </row>
        <row r="96">
          <cell r="H96" t="str">
            <v>21-M-9</v>
          </cell>
          <cell r="I96">
            <v>32.930892</v>
          </cell>
          <cell r="J96">
            <v>-90.983892999999995</v>
          </cell>
          <cell r="K96">
            <v>3645429.017</v>
          </cell>
          <cell r="L96">
            <v>688499.03799999994</v>
          </cell>
          <cell r="M96" t="str">
            <v>Yes</v>
          </cell>
          <cell r="N96" t="str">
            <v>?</v>
          </cell>
          <cell r="O96" t="str">
            <v>Yes</v>
          </cell>
          <cell r="Q96" t="str">
            <v>No</v>
          </cell>
          <cell r="U96">
            <v>1</v>
          </cell>
          <cell r="X96">
            <v>1</v>
          </cell>
          <cell r="Y96" t="str">
            <v>3 meters</v>
          </cell>
          <cell r="Z96">
            <v>9.8425196850393704</v>
          </cell>
          <cell r="AA96" t="str">
            <v>60x30 meters</v>
          </cell>
          <cell r="AB96" t="str">
            <v>3 meters</v>
          </cell>
          <cell r="AC96">
            <v>19375.0387500775</v>
          </cell>
        </row>
        <row r="97">
          <cell r="H97" t="str">
            <v>21-N-1</v>
          </cell>
          <cell r="I97">
            <v>32.813997000000001</v>
          </cell>
          <cell r="J97">
            <v>-90.683321000000007</v>
          </cell>
          <cell r="K97">
            <v>3633043.9509999999</v>
          </cell>
          <cell r="L97">
            <v>716892.03099999996</v>
          </cell>
          <cell r="M97" t="str">
            <v>Yes</v>
          </cell>
          <cell r="N97" t="str">
            <v>1928, 1936, 1940, 199, 1958-1960</v>
          </cell>
          <cell r="O97" t="str">
            <v>Yes</v>
          </cell>
          <cell r="P97" t="str">
            <v>Yes</v>
          </cell>
          <cell r="Q97" t="str">
            <v>No</v>
          </cell>
          <cell r="R97" t="str">
            <v>Yes</v>
          </cell>
          <cell r="S97" t="str">
            <v>Yes</v>
          </cell>
          <cell r="U97">
            <v>25</v>
          </cell>
          <cell r="W97">
            <v>25</v>
          </cell>
          <cell r="Y97" t="str">
            <v>60 feet</v>
          </cell>
          <cell r="Z97">
            <v>60</v>
          </cell>
          <cell r="AA97" t="str">
            <v>275  by 60 feet</v>
          </cell>
          <cell r="AB97" t="str">
            <v>60 feet</v>
          </cell>
          <cell r="AC97">
            <v>16500</v>
          </cell>
        </row>
        <row r="98">
          <cell r="H98" t="str">
            <v>21-N-10</v>
          </cell>
          <cell r="I98">
            <v>32.813037999999999</v>
          </cell>
          <cell r="J98">
            <v>-90.706155999999993</v>
          </cell>
          <cell r="K98">
            <v>3632890.9550000001</v>
          </cell>
          <cell r="L98">
            <v>714756.00399999996</v>
          </cell>
          <cell r="M98" t="str">
            <v>Yes</v>
          </cell>
          <cell r="N98">
            <v>1949</v>
          </cell>
          <cell r="O98" t="str">
            <v>Yes</v>
          </cell>
          <cell r="Q98" t="str">
            <v>No</v>
          </cell>
          <cell r="U98">
            <v>8</v>
          </cell>
          <cell r="X98">
            <v>8</v>
          </cell>
          <cell r="Y98" t="str">
            <v>?</v>
          </cell>
          <cell r="AA98" t="str">
            <v>?</v>
          </cell>
          <cell r="AB98" t="str">
            <v>?</v>
          </cell>
        </row>
        <row r="99">
          <cell r="H99" t="str">
            <v>21-N-13</v>
          </cell>
          <cell r="I99">
            <v>32.907839000000003</v>
          </cell>
          <cell r="J99">
            <v>-90.528313999999995</v>
          </cell>
          <cell r="K99">
            <v>3643779.9580000001</v>
          </cell>
          <cell r="L99">
            <v>731163.96</v>
          </cell>
          <cell r="M99" t="str">
            <v>Yes</v>
          </cell>
          <cell r="N99" t="str">
            <v>1932, (+John Clark Edwards)</v>
          </cell>
          <cell r="O99" t="str">
            <v>Yes</v>
          </cell>
          <cell r="P99" t="str">
            <v>Yes (Lake View)</v>
          </cell>
          <cell r="Q99" t="str">
            <v>No</v>
          </cell>
          <cell r="U99">
            <v>2</v>
          </cell>
          <cell r="X99">
            <v>2</v>
          </cell>
          <cell r="Y99" t="str">
            <v>Low mound</v>
          </cell>
          <cell r="AA99" t="str">
            <v>?</v>
          </cell>
          <cell r="AB99" t="str">
            <v>?</v>
          </cell>
        </row>
        <row r="100">
          <cell r="H100" t="str">
            <v>21-N-15</v>
          </cell>
          <cell r="I100">
            <v>32.840873000000002</v>
          </cell>
          <cell r="J100">
            <v>-90.693731999999997</v>
          </cell>
          <cell r="K100">
            <v>3636003.0219999999</v>
          </cell>
          <cell r="L100">
            <v>715852.04200000002</v>
          </cell>
          <cell r="M100" t="str">
            <v>Yes</v>
          </cell>
          <cell r="N100" t="str">
            <v>1930, (+?)</v>
          </cell>
          <cell r="O100" t="str">
            <v>Yes</v>
          </cell>
          <cell r="P100" t="str">
            <v>Yes</v>
          </cell>
          <cell r="Q100" t="str">
            <v>No</v>
          </cell>
          <cell r="U100">
            <v>3</v>
          </cell>
          <cell r="X100">
            <v>3</v>
          </cell>
          <cell r="Y100" t="str">
            <v>?</v>
          </cell>
          <cell r="AA100" t="str">
            <v>?</v>
          </cell>
          <cell r="AB100" t="str">
            <v>?</v>
          </cell>
        </row>
        <row r="101">
          <cell r="H101" t="str">
            <v>21-N-16</v>
          </cell>
          <cell r="I101">
            <v>32.840873000000002</v>
          </cell>
          <cell r="J101">
            <v>-90.693731999999997</v>
          </cell>
          <cell r="K101">
            <v>3636003.0219999999</v>
          </cell>
          <cell r="L101">
            <v>715852.04200000002</v>
          </cell>
          <cell r="M101" t="str">
            <v>Yes</v>
          </cell>
          <cell r="N101" t="str">
            <v>1932 (+John Clark Edwards)</v>
          </cell>
          <cell r="O101" t="str">
            <v>Yes</v>
          </cell>
          <cell r="P101" t="str">
            <v>Yes (Yz-23)</v>
          </cell>
          <cell r="Q101" t="str">
            <v>No</v>
          </cell>
          <cell r="U101" t="str">
            <v>0</v>
          </cell>
        </row>
        <row r="102">
          <cell r="H102" t="str">
            <v>21-N-17</v>
          </cell>
          <cell r="I102">
            <v>32.811925000000002</v>
          </cell>
          <cell r="J102">
            <v>-90.490759999999995</v>
          </cell>
          <cell r="K102">
            <v>3633225.9530000002</v>
          </cell>
          <cell r="L102">
            <v>734930.03399999999</v>
          </cell>
          <cell r="M102" t="str">
            <v>Yes</v>
          </cell>
          <cell r="N102" t="str">
            <v>1932  (+John Clark Edwards)</v>
          </cell>
          <cell r="O102" t="str">
            <v>Yes</v>
          </cell>
          <cell r="P102" t="str">
            <v>Yes</v>
          </cell>
          <cell r="Q102" t="str">
            <v>No</v>
          </cell>
          <cell r="U102" t="str">
            <v>0</v>
          </cell>
        </row>
        <row r="103">
          <cell r="H103" t="str">
            <v>21-N-19</v>
          </cell>
          <cell r="I103">
            <v>32.929119999999998</v>
          </cell>
          <cell r="J103">
            <v>-90.499323000000004</v>
          </cell>
          <cell r="K103">
            <v>3646204.0449999999</v>
          </cell>
          <cell r="L103">
            <v>733820.02899999998</v>
          </cell>
          <cell r="M103" t="str">
            <v>Yes</v>
          </cell>
          <cell r="N103">
            <v>1932</v>
          </cell>
          <cell r="O103" t="str">
            <v>No</v>
          </cell>
          <cell r="P103" t="str">
            <v>Yes</v>
          </cell>
          <cell r="Q103" t="str">
            <v>No</v>
          </cell>
          <cell r="U103">
            <v>1</v>
          </cell>
          <cell r="V103">
            <v>1</v>
          </cell>
          <cell r="Y103" t="str">
            <v>6 feet</v>
          </cell>
          <cell r="Z103">
            <v>6</v>
          </cell>
          <cell r="AA103" t="str">
            <v>300x150 feet</v>
          </cell>
          <cell r="AB103" t="str">
            <v>300x150x6 feet</v>
          </cell>
          <cell r="AC103">
            <v>45000</v>
          </cell>
        </row>
        <row r="104">
          <cell r="H104" t="str">
            <v>21-N-2</v>
          </cell>
          <cell r="I104">
            <v>32.817988</v>
          </cell>
          <cell r="J104">
            <v>-90.663707000000002</v>
          </cell>
          <cell r="K104">
            <v>3633526.9720000001</v>
          </cell>
          <cell r="L104">
            <v>718718.96699999995</v>
          </cell>
          <cell r="M104" t="str">
            <v>Yes</v>
          </cell>
          <cell r="N104">
            <v>1958</v>
          </cell>
          <cell r="O104" t="str">
            <v>Yes</v>
          </cell>
          <cell r="Q104" t="str">
            <v>No</v>
          </cell>
          <cell r="U104">
            <v>1</v>
          </cell>
          <cell r="X104">
            <v>1</v>
          </cell>
          <cell r="Y104" t="str">
            <v>?</v>
          </cell>
          <cell r="AA104" t="str">
            <v>?</v>
          </cell>
        </row>
        <row r="105">
          <cell r="H105" t="str">
            <v>21-N-20</v>
          </cell>
          <cell r="I105">
            <v>32.839444</v>
          </cell>
          <cell r="J105">
            <v>-90.695981000000003</v>
          </cell>
          <cell r="K105">
            <v>3635839.9569999999</v>
          </cell>
          <cell r="L105">
            <v>715644.96100000001</v>
          </cell>
          <cell r="M105" t="str">
            <v>Yes</v>
          </cell>
          <cell r="N105" t="str">
            <v>?</v>
          </cell>
          <cell r="O105" t="str">
            <v>Yes</v>
          </cell>
          <cell r="Q105" t="str">
            <v>No</v>
          </cell>
          <cell r="U105">
            <v>0</v>
          </cell>
        </row>
        <row r="106">
          <cell r="H106" t="str">
            <v>21-N-3</v>
          </cell>
          <cell r="I106">
            <v>32.760344000000003</v>
          </cell>
          <cell r="J106">
            <v>-90.732162000000002</v>
          </cell>
          <cell r="K106">
            <v>3626995.0240000002</v>
          </cell>
          <cell r="L106">
            <v>712446.03</v>
          </cell>
          <cell r="M106" t="str">
            <v>Yes</v>
          </cell>
          <cell r="N106">
            <v>1958</v>
          </cell>
          <cell r="Q106" t="str">
            <v>No</v>
          </cell>
          <cell r="R106" t="str">
            <v>Yes</v>
          </cell>
          <cell r="S106" t="str">
            <v>Yes</v>
          </cell>
          <cell r="U106">
            <v>2</v>
          </cell>
          <cell r="V106">
            <v>2</v>
          </cell>
        </row>
        <row r="107">
          <cell r="H107" t="str">
            <v>21-N-4</v>
          </cell>
          <cell r="I107">
            <v>32.773618999999997</v>
          </cell>
          <cell r="J107">
            <v>-90.695683000000002</v>
          </cell>
          <cell r="K107">
            <v>3628540.9709999999</v>
          </cell>
          <cell r="L107">
            <v>715832.005</v>
          </cell>
          <cell r="M107" t="str">
            <v>Yes</v>
          </cell>
          <cell r="N107" t="str">
            <v>1954, 1955, 1958-1960</v>
          </cell>
          <cell r="O107" t="str">
            <v>Yes</v>
          </cell>
          <cell r="Q107" t="str">
            <v>No</v>
          </cell>
          <cell r="S107" t="str">
            <v>Yes</v>
          </cell>
          <cell r="U107">
            <v>2</v>
          </cell>
          <cell r="V107">
            <v>2</v>
          </cell>
        </row>
        <row r="108">
          <cell r="H108" t="str">
            <v>21-N-5</v>
          </cell>
          <cell r="I108">
            <v>32.740197999999999</v>
          </cell>
          <cell r="J108">
            <v>-90.616082000000006</v>
          </cell>
          <cell r="K108">
            <v>3624999.9739999999</v>
          </cell>
          <cell r="L108">
            <v>723373.01899999997</v>
          </cell>
          <cell r="M108" t="str">
            <v>Yes (approximate)</v>
          </cell>
          <cell r="N108">
            <v>1954</v>
          </cell>
          <cell r="O108" t="str">
            <v>Yes</v>
          </cell>
          <cell r="Q108" t="str">
            <v>No</v>
          </cell>
          <cell r="U108" t="str">
            <v>0</v>
          </cell>
        </row>
        <row r="109">
          <cell r="H109" t="str">
            <v>21-N-6</v>
          </cell>
          <cell r="I109">
            <v>32.751218999999999</v>
          </cell>
          <cell r="J109">
            <v>-90.738230999999999</v>
          </cell>
          <cell r="K109">
            <v>3625970.966</v>
          </cell>
          <cell r="L109">
            <v>711899</v>
          </cell>
          <cell r="M109" t="str">
            <v>Yes (approximate)</v>
          </cell>
          <cell r="N109" t="str">
            <v>?</v>
          </cell>
          <cell r="O109" t="str">
            <v>No</v>
          </cell>
          <cell r="Q109" t="str">
            <v>No</v>
          </cell>
          <cell r="U109">
            <v>1</v>
          </cell>
          <cell r="X109">
            <v>1</v>
          </cell>
          <cell r="Y109" t="str">
            <v>?</v>
          </cell>
          <cell r="AA109" t="str">
            <v>?</v>
          </cell>
          <cell r="AB109" t="str">
            <v>?</v>
          </cell>
        </row>
        <row r="110">
          <cell r="H110" t="str">
            <v>21-N-7</v>
          </cell>
          <cell r="I110">
            <v>32.798473999999999</v>
          </cell>
          <cell r="J110">
            <v>-90.715969000000001</v>
          </cell>
          <cell r="K110">
            <v>3631256.0010000002</v>
          </cell>
          <cell r="L110">
            <v>713871.98199999996</v>
          </cell>
          <cell r="M110" t="str">
            <v>Yes (approximate)</v>
          </cell>
          <cell r="N110">
            <v>1954</v>
          </cell>
          <cell r="O110" t="str">
            <v>Yes</v>
          </cell>
          <cell r="Q110" t="str">
            <v>No</v>
          </cell>
          <cell r="R110" t="str">
            <v>Yes</v>
          </cell>
          <cell r="S110" t="str">
            <v>Yes</v>
          </cell>
          <cell r="U110">
            <v>3</v>
          </cell>
          <cell r="Y110" t="str">
            <v>9 feet</v>
          </cell>
          <cell r="Z110">
            <v>9</v>
          </cell>
          <cell r="AA110" t="str">
            <v>128 x 103 feet</v>
          </cell>
          <cell r="AC110">
            <v>13184</v>
          </cell>
        </row>
        <row r="111">
          <cell r="H111" t="str">
            <v>21-N-8</v>
          </cell>
          <cell r="I111">
            <v>32.808700999999999</v>
          </cell>
          <cell r="J111">
            <v>-90.709620000000001</v>
          </cell>
          <cell r="K111">
            <v>3632402.9739999999</v>
          </cell>
          <cell r="L111">
            <v>714442.04599999997</v>
          </cell>
          <cell r="M111" t="str">
            <v>Yes (approximate)</v>
          </cell>
          <cell r="N111">
            <v>1949</v>
          </cell>
          <cell r="O111" t="str">
            <v>Yes</v>
          </cell>
          <cell r="Q111" t="str">
            <v>No</v>
          </cell>
          <cell r="U111">
            <v>1</v>
          </cell>
          <cell r="X111">
            <v>1</v>
          </cell>
          <cell r="Y111" t="str">
            <v>?</v>
          </cell>
          <cell r="AA111" t="str">
            <v>?</v>
          </cell>
          <cell r="AB111" t="str">
            <v>?</v>
          </cell>
        </row>
        <row r="112">
          <cell r="H112" t="str">
            <v>21-N-9</v>
          </cell>
          <cell r="I112">
            <v>32.812876000000003</v>
          </cell>
          <cell r="J112">
            <v>-90.694371000000004</v>
          </cell>
          <cell r="K112">
            <v>3632897.0070000002</v>
          </cell>
          <cell r="L112">
            <v>715859.98699999996</v>
          </cell>
          <cell r="M112" t="str">
            <v>Yes (approximate)</v>
          </cell>
          <cell r="N112" t="str">
            <v>?</v>
          </cell>
          <cell r="O112" t="str">
            <v>Yes</v>
          </cell>
          <cell r="Q112" t="str">
            <v>No</v>
          </cell>
          <cell r="U112">
            <v>2</v>
          </cell>
          <cell r="X112">
            <v>2</v>
          </cell>
          <cell r="Y112" t="str">
            <v>?</v>
          </cell>
          <cell r="AA112" t="str">
            <v>?</v>
          </cell>
          <cell r="AB112" t="str">
            <v>?</v>
          </cell>
        </row>
        <row r="113">
          <cell r="H113" t="str">
            <v>21-O-1</v>
          </cell>
          <cell r="I113">
            <v>32.898300999999996</v>
          </cell>
          <cell r="J113">
            <v>-90.430930000000004</v>
          </cell>
          <cell r="K113">
            <v>3642940.0180000002</v>
          </cell>
          <cell r="L113">
            <v>740300.03399999999</v>
          </cell>
          <cell r="M113" t="str">
            <v>Yes (approximate)</v>
          </cell>
          <cell r="N113" t="str">
            <v>John Clark Edwards</v>
          </cell>
          <cell r="O113" t="str">
            <v>No</v>
          </cell>
          <cell r="Q113" t="str">
            <v>No</v>
          </cell>
          <cell r="T113" t="str">
            <v>Yes</v>
          </cell>
          <cell r="U113" t="str">
            <v>?</v>
          </cell>
          <cell r="Y113" t="str">
            <v>?</v>
          </cell>
          <cell r="AA113" t="str">
            <v>?</v>
          </cell>
          <cell r="AB113" t="str">
            <v>?</v>
          </cell>
        </row>
        <row r="114">
          <cell r="H114" t="str">
            <v>21-O-10</v>
          </cell>
          <cell r="I114">
            <v>32.876247999999997</v>
          </cell>
          <cell r="J114">
            <v>-90.400493999999995</v>
          </cell>
          <cell r="K114">
            <v>3640564.0350000001</v>
          </cell>
          <cell r="L114">
            <v>743207.98699999996</v>
          </cell>
          <cell r="M114" t="str">
            <v>Yes (approximate)</v>
          </cell>
          <cell r="N114">
            <v>1881</v>
          </cell>
          <cell r="O114" t="str">
            <v>No</v>
          </cell>
          <cell r="Q114" t="str">
            <v>No</v>
          </cell>
          <cell r="T114" t="str">
            <v>Yes</v>
          </cell>
          <cell r="U114">
            <v>4</v>
          </cell>
          <cell r="V114">
            <v>4</v>
          </cell>
          <cell r="Y114" t="str">
            <v>14 feet high</v>
          </cell>
          <cell r="Z114">
            <v>14</v>
          </cell>
          <cell r="AA114" t="str">
            <v>105 x 50 feet</v>
          </cell>
          <cell r="AC114">
            <v>5250</v>
          </cell>
        </row>
        <row r="115">
          <cell r="H115" t="str">
            <v>21-O-11</v>
          </cell>
          <cell r="I115">
            <v>32.880566000000002</v>
          </cell>
          <cell r="J115">
            <v>-90.381005000000002</v>
          </cell>
          <cell r="K115">
            <v>3641088.0460000001</v>
          </cell>
          <cell r="L115">
            <v>745019.99600000004</v>
          </cell>
          <cell r="M115" t="str">
            <v>Yes</v>
          </cell>
          <cell r="N115" t="str">
            <v>1932 (+John Clark Edwards)</v>
          </cell>
          <cell r="O115" t="str">
            <v>No</v>
          </cell>
          <cell r="P115" t="str">
            <v>Yes</v>
          </cell>
          <cell r="Q115" t="str">
            <v>No</v>
          </cell>
          <cell r="U115">
            <v>4</v>
          </cell>
          <cell r="V115">
            <v>4</v>
          </cell>
          <cell r="Y115" t="str">
            <v>small</v>
          </cell>
        </row>
        <row r="116">
          <cell r="H116" t="str">
            <v>21-O-12</v>
          </cell>
          <cell r="I116">
            <v>32.902146000000002</v>
          </cell>
          <cell r="J116">
            <v>-90.432893000000007</v>
          </cell>
          <cell r="K116">
            <v>3643361.9709999999</v>
          </cell>
          <cell r="L116">
            <v>740105.98800000001</v>
          </cell>
          <cell r="M116" t="str">
            <v>Yes (approximate)</v>
          </cell>
          <cell r="N116" t="str">
            <v>1932, 1954</v>
          </cell>
          <cell r="O116" t="str">
            <v>Yes</v>
          </cell>
          <cell r="P116" t="str">
            <v>Yes</v>
          </cell>
          <cell r="Q116" t="str">
            <v>No</v>
          </cell>
          <cell r="U116">
            <v>1</v>
          </cell>
          <cell r="V116">
            <v>1</v>
          </cell>
          <cell r="Y116" t="str">
            <v>10 feet</v>
          </cell>
          <cell r="Z116">
            <v>10</v>
          </cell>
          <cell r="AA116" t="str">
            <v>sixty feet in diameter</v>
          </cell>
          <cell r="AC116">
            <v>2827.4333882308138</v>
          </cell>
        </row>
        <row r="117">
          <cell r="H117" t="str">
            <v>21-O-2</v>
          </cell>
          <cell r="I117">
            <v>32.988370000000003</v>
          </cell>
          <cell r="J117">
            <v>-90.298620999999997</v>
          </cell>
          <cell r="K117">
            <v>3653239.0260000001</v>
          </cell>
          <cell r="L117">
            <v>752423.03899999999</v>
          </cell>
          <cell r="M117" t="str">
            <v>Yes</v>
          </cell>
          <cell r="N117">
            <v>1932</v>
          </cell>
          <cell r="O117" t="str">
            <v>No</v>
          </cell>
          <cell r="P117" t="str">
            <v>Yes</v>
          </cell>
          <cell r="Q117" t="str">
            <v>No</v>
          </cell>
          <cell r="U117">
            <v>0</v>
          </cell>
        </row>
        <row r="118">
          <cell r="H118" t="str">
            <v>21-O-3</v>
          </cell>
          <cell r="I118">
            <v>32.988370000000003</v>
          </cell>
          <cell r="J118">
            <v>-90.298620999999997</v>
          </cell>
          <cell r="K118">
            <v>3653239.0260000001</v>
          </cell>
          <cell r="L118">
            <v>752423.03899999999</v>
          </cell>
          <cell r="M118" t="str">
            <v>No</v>
          </cell>
          <cell r="N118" t="str">
            <v>John Clark Edwards</v>
          </cell>
          <cell r="O118" t="str">
            <v>No</v>
          </cell>
          <cell r="Q118" t="str">
            <v>No</v>
          </cell>
          <cell r="S118" t="str">
            <v>Yes</v>
          </cell>
          <cell r="U118">
            <v>1</v>
          </cell>
          <cell r="V118">
            <v>1</v>
          </cell>
          <cell r="Y118" t="str">
            <v>12 feet high</v>
          </cell>
          <cell r="Z118">
            <v>12</v>
          </cell>
          <cell r="AA118" t="str">
            <v>64 feet across</v>
          </cell>
          <cell r="AB118" t="str">
            <v>12 x 64 diamenter</v>
          </cell>
          <cell r="AC118">
            <v>768</v>
          </cell>
        </row>
        <row r="119">
          <cell r="H119" t="str">
            <v>21-O-4</v>
          </cell>
          <cell r="I119">
            <v>32.988370000000003</v>
          </cell>
          <cell r="J119">
            <v>-90.298620999999997</v>
          </cell>
          <cell r="K119">
            <v>3653239.0260000001</v>
          </cell>
          <cell r="L119">
            <v>752423.03899999999</v>
          </cell>
          <cell r="M119" t="str">
            <v>No</v>
          </cell>
          <cell r="N119" t="str">
            <v>John Clark Edwards</v>
          </cell>
          <cell r="O119" t="str">
            <v>No</v>
          </cell>
          <cell r="Q119" t="str">
            <v>No</v>
          </cell>
          <cell r="S119" t="str">
            <v>Yes</v>
          </cell>
          <cell r="U119" t="str">
            <v>?</v>
          </cell>
          <cell r="Y119" t="str">
            <v>?</v>
          </cell>
          <cell r="AA119" t="str">
            <v>?</v>
          </cell>
          <cell r="AB119" t="str">
            <v>?</v>
          </cell>
        </row>
        <row r="120">
          <cell r="H120" t="str">
            <v>21-O-5</v>
          </cell>
          <cell r="I120">
            <v>32.983238</v>
          </cell>
          <cell r="J120">
            <v>-90.419560000000004</v>
          </cell>
          <cell r="K120">
            <v>3652385.9679999999</v>
          </cell>
          <cell r="L120">
            <v>741132.98</v>
          </cell>
          <cell r="M120" t="str">
            <v>Yes</v>
          </cell>
          <cell r="N120" t="str">
            <v>1932, 1954</v>
          </cell>
          <cell r="O120" t="str">
            <v>Yes</v>
          </cell>
          <cell r="P120" t="str">
            <v>Yes ("old crump place")</v>
          </cell>
          <cell r="Q120" t="str">
            <v>No</v>
          </cell>
          <cell r="S120" t="str">
            <v>Yes ("Koalunsa Landing")</v>
          </cell>
          <cell r="U120">
            <v>1</v>
          </cell>
          <cell r="X120">
            <v>1</v>
          </cell>
          <cell r="Y120" t="str">
            <v>Indeterminate</v>
          </cell>
          <cell r="AA120" t="str">
            <v>?</v>
          </cell>
          <cell r="AB120" t="str">
            <v>?</v>
          </cell>
        </row>
        <row r="121">
          <cell r="H121" t="str">
            <v>21-O-6</v>
          </cell>
          <cell r="I121">
            <v>32.958866</v>
          </cell>
          <cell r="J121">
            <v>-90.497073</v>
          </cell>
          <cell r="K121">
            <v>3649507.9530000002</v>
          </cell>
          <cell r="L121">
            <v>733952.04500000004</v>
          </cell>
          <cell r="M121" t="str">
            <v>Yes</v>
          </cell>
          <cell r="N121">
            <v>1932</v>
          </cell>
          <cell r="O121" t="str">
            <v>No</v>
          </cell>
          <cell r="P121" t="str">
            <v>Yes</v>
          </cell>
          <cell r="Q121" t="str">
            <v>No</v>
          </cell>
          <cell r="U121">
            <v>1</v>
          </cell>
          <cell r="V121">
            <v>1</v>
          </cell>
          <cell r="Y121" t="str">
            <v>10 meters high</v>
          </cell>
          <cell r="Z121">
            <v>32.808398950131235</v>
          </cell>
          <cell r="AA121" t="str">
            <v>45 meters in diameter</v>
          </cell>
          <cell r="AB121" t="str">
            <v>10 meters</v>
          </cell>
          <cell r="AC121">
            <v>17119.259831323419</v>
          </cell>
        </row>
        <row r="122">
          <cell r="H122" t="str">
            <v>21-O-7</v>
          </cell>
          <cell r="I122">
            <v>32.964723999999997</v>
          </cell>
          <cell r="J122">
            <v>-90.488382999999999</v>
          </cell>
          <cell r="K122">
            <v>3650176.9789999998</v>
          </cell>
          <cell r="L122">
            <v>734749.02</v>
          </cell>
          <cell r="M122" t="str">
            <v>Yes</v>
          </cell>
          <cell r="N122" t="str">
            <v>1932, 1949</v>
          </cell>
          <cell r="O122" t="str">
            <v>Yes</v>
          </cell>
          <cell r="P122" t="str">
            <v>Yes</v>
          </cell>
          <cell r="Q122" t="str">
            <v>No</v>
          </cell>
          <cell r="U122">
            <v>2</v>
          </cell>
          <cell r="X122">
            <v>2</v>
          </cell>
          <cell r="Y122" t="str">
            <v>?</v>
          </cell>
          <cell r="AA122" t="str">
            <v>?</v>
          </cell>
          <cell r="AB122" t="str">
            <v>?</v>
          </cell>
        </row>
        <row r="123">
          <cell r="H123" t="str">
            <v>21-O-9</v>
          </cell>
          <cell r="I123">
            <v>32.916483999999997</v>
          </cell>
          <cell r="J123">
            <v>-90.472311000000005</v>
          </cell>
          <cell r="K123">
            <v>3644862.9739999999</v>
          </cell>
          <cell r="L123">
            <v>736380.01899999997</v>
          </cell>
          <cell r="M123" t="str">
            <v>Yes (approximate)</v>
          </cell>
          <cell r="N123" t="str">
            <v>1949, 1958,</v>
          </cell>
          <cell r="O123" t="str">
            <v>Yes</v>
          </cell>
          <cell r="Q123" t="str">
            <v>No</v>
          </cell>
          <cell r="U123">
            <v>2</v>
          </cell>
          <cell r="V123">
            <v>1</v>
          </cell>
          <cell r="W123">
            <v>1</v>
          </cell>
          <cell r="Y123" t="str">
            <v>?</v>
          </cell>
        </row>
        <row r="124">
          <cell r="H124" t="str">
            <v>22-L-1</v>
          </cell>
          <cell r="I124">
            <v>32.656654000000003</v>
          </cell>
          <cell r="J124">
            <v>-91.07</v>
          </cell>
          <cell r="K124">
            <v>3614869.9890000001</v>
          </cell>
          <cell r="L124">
            <v>681002.03599999996</v>
          </cell>
          <cell r="M124" t="str">
            <v>Yes</v>
          </cell>
          <cell r="N124" t="str">
            <v>1950, 1954</v>
          </cell>
          <cell r="O124" t="str">
            <v>Yes</v>
          </cell>
          <cell r="Q124" t="str">
            <v>No</v>
          </cell>
          <cell r="U124">
            <v>1</v>
          </cell>
          <cell r="W124">
            <v>1</v>
          </cell>
          <cell r="Y124" t="str">
            <v>3 meters</v>
          </cell>
          <cell r="Z124">
            <v>9.8425196850393704</v>
          </cell>
          <cell r="AA124" t="str">
            <v>?</v>
          </cell>
          <cell r="AB124" t="str">
            <v>3 meters</v>
          </cell>
        </row>
        <row r="125">
          <cell r="H125" t="str">
            <v>22-M-1</v>
          </cell>
          <cell r="I125">
            <v>32.654437000000001</v>
          </cell>
          <cell r="J125">
            <v>-90.778451000000004</v>
          </cell>
          <cell r="K125">
            <v>3615159.0180000002</v>
          </cell>
          <cell r="L125">
            <v>708355.03799999994</v>
          </cell>
          <cell r="M125" t="str">
            <v>Yes</v>
          </cell>
          <cell r="N125">
            <v>1954</v>
          </cell>
          <cell r="O125" t="str">
            <v>Yes</v>
          </cell>
          <cell r="Q125" t="str">
            <v>No</v>
          </cell>
          <cell r="U125">
            <v>1</v>
          </cell>
          <cell r="X125">
            <v>1</v>
          </cell>
          <cell r="Y125" t="str">
            <v>Unkonwn</v>
          </cell>
        </row>
        <row r="126">
          <cell r="H126" t="str">
            <v>22-M-2</v>
          </cell>
          <cell r="I126">
            <v>32.644162000000001</v>
          </cell>
          <cell r="J126">
            <v>-90.823558000000006</v>
          </cell>
          <cell r="K126">
            <v>3613931.98</v>
          </cell>
          <cell r="L126">
            <v>704147.03</v>
          </cell>
          <cell r="M126" t="str">
            <v>Yes</v>
          </cell>
          <cell r="N126" t="str">
            <v>1950, 1954</v>
          </cell>
          <cell r="O126" t="str">
            <v>Yes</v>
          </cell>
          <cell r="Q126" t="str">
            <v>No</v>
          </cell>
          <cell r="U126">
            <v>4</v>
          </cell>
          <cell r="V126">
            <v>1</v>
          </cell>
          <cell r="W126">
            <v>1</v>
          </cell>
          <cell r="X126">
            <v>2</v>
          </cell>
          <cell r="Y126" t="str">
            <v>2 meters</v>
          </cell>
          <cell r="Z126">
            <v>6.5616797900262469</v>
          </cell>
          <cell r="AA126" t="str">
            <v>40 x 35 x 2 meters</v>
          </cell>
          <cell r="AC126">
            <v>16953.158906317811</v>
          </cell>
        </row>
        <row r="127">
          <cell r="H127" t="str">
            <v>22-M-3</v>
          </cell>
          <cell r="I127">
            <v>32.637028999999998</v>
          </cell>
          <cell r="J127">
            <v>-90.836596</v>
          </cell>
          <cell r="K127">
            <v>3613116.0219999999</v>
          </cell>
          <cell r="L127">
            <v>702939.95600000001</v>
          </cell>
          <cell r="M127" t="str">
            <v>Yes</v>
          </cell>
          <cell r="N127">
            <v>1950</v>
          </cell>
          <cell r="O127" t="str">
            <v>Yes</v>
          </cell>
          <cell r="Q127" t="str">
            <v>No</v>
          </cell>
          <cell r="U127">
            <v>3</v>
          </cell>
          <cell r="W127">
            <v>3</v>
          </cell>
          <cell r="Y127" t="str">
            <v>3 meters</v>
          </cell>
          <cell r="Z127">
            <v>9.8425196850393704</v>
          </cell>
          <cell r="AA127" t="str">
            <v>23 x 17 x 3 meters</v>
          </cell>
          <cell r="AC127">
            <v>4208.6889729335016</v>
          </cell>
        </row>
        <row r="128">
          <cell r="H128" t="str">
            <v>22-M-4</v>
          </cell>
          <cell r="I128">
            <v>32.744332999999997</v>
          </cell>
          <cell r="J128">
            <v>-90.934248999999994</v>
          </cell>
          <cell r="K128">
            <v>3624831.9619999998</v>
          </cell>
          <cell r="L128">
            <v>693546.022</v>
          </cell>
          <cell r="M128" t="str">
            <v>Yes</v>
          </cell>
          <cell r="N128">
            <v>154</v>
          </cell>
          <cell r="O128" t="str">
            <v>Yes</v>
          </cell>
          <cell r="Q128" t="str">
            <v>No</v>
          </cell>
          <cell r="U128">
            <v>1</v>
          </cell>
          <cell r="X128" t="str">
            <v>?</v>
          </cell>
          <cell r="Y128" t="str">
            <v>?</v>
          </cell>
          <cell r="AA128" t="str">
            <v>?</v>
          </cell>
          <cell r="AB128" t="str">
            <v>?</v>
          </cell>
        </row>
        <row r="129">
          <cell r="H129" t="str">
            <v>22-M-5</v>
          </cell>
          <cell r="I129">
            <v>32.519080000000002</v>
          </cell>
          <cell r="J129">
            <v>-90.784355000000005</v>
          </cell>
          <cell r="K129">
            <v>3600137.9959999998</v>
          </cell>
          <cell r="L129">
            <v>708113.95400000003</v>
          </cell>
          <cell r="M129" t="str">
            <v>Yes</v>
          </cell>
          <cell r="N129" t="str">
            <v>1908, 1912, 1932</v>
          </cell>
          <cell r="O129" t="str">
            <v>No</v>
          </cell>
          <cell r="P129" t="str">
            <v>Yes</v>
          </cell>
          <cell r="Q129" t="str">
            <v>No</v>
          </cell>
          <cell r="R129" t="str">
            <v>Yes</v>
          </cell>
          <cell r="S129" t="str">
            <v>Yes</v>
          </cell>
          <cell r="U129">
            <v>4</v>
          </cell>
          <cell r="V129">
            <v>2</v>
          </cell>
          <cell r="W129">
            <v>2</v>
          </cell>
          <cell r="Y129" t="str">
            <v>9 meters high</v>
          </cell>
          <cell r="Z129">
            <v>29.527559055118111</v>
          </cell>
          <cell r="AA129" t="str">
            <v>23 x 23</v>
          </cell>
          <cell r="AB129">
            <v>9</v>
          </cell>
          <cell r="AC129">
            <v>5694.1086104394426</v>
          </cell>
        </row>
        <row r="130">
          <cell r="H130" t="str">
            <v>22-M-6</v>
          </cell>
          <cell r="I130">
            <v>32.681382999999997</v>
          </cell>
          <cell r="J130">
            <v>-90.980637000000002</v>
          </cell>
          <cell r="K130">
            <v>3617767.9670000002</v>
          </cell>
          <cell r="L130">
            <v>689332.04599999997</v>
          </cell>
          <cell r="M130" t="str">
            <v>Yes</v>
          </cell>
          <cell r="N130" t="str">
            <v>1950, 1954</v>
          </cell>
          <cell r="O130" t="str">
            <v>Yes</v>
          </cell>
          <cell r="Q130" t="str">
            <v>No</v>
          </cell>
          <cell r="U130">
            <v>4</v>
          </cell>
          <cell r="W130">
            <v>2</v>
          </cell>
          <cell r="X130">
            <v>2</v>
          </cell>
          <cell r="Y130" t="str">
            <v>4 meters high</v>
          </cell>
          <cell r="Z130">
            <v>13.123359580052494</v>
          </cell>
          <cell r="AA130" t="str">
            <v>?</v>
          </cell>
          <cell r="AB130" t="str">
            <v>4 meters</v>
          </cell>
        </row>
        <row r="131">
          <cell r="H131" t="str">
            <v>22-M-7</v>
          </cell>
          <cell r="I131">
            <v>32.655124999999998</v>
          </cell>
          <cell r="J131">
            <v>-90.973595000000003</v>
          </cell>
          <cell r="K131">
            <v>3614868.986</v>
          </cell>
          <cell r="L131">
            <v>690048.01399999997</v>
          </cell>
          <cell r="N131" t="str">
            <v>?</v>
          </cell>
          <cell r="O131" t="str">
            <v>Yes</v>
          </cell>
          <cell r="Q131" t="str">
            <v>No</v>
          </cell>
          <cell r="U131" t="str">
            <v>?</v>
          </cell>
          <cell r="X131" t="str">
            <v>?</v>
          </cell>
          <cell r="Y131" t="str">
            <v>?</v>
          </cell>
          <cell r="AA131" t="str">
            <v>?</v>
          </cell>
          <cell r="AB131" t="str">
            <v>?</v>
          </cell>
        </row>
        <row r="132">
          <cell r="H132" t="str">
            <v>22-M-8</v>
          </cell>
          <cell r="I132">
            <v>32.593429</v>
          </cell>
          <cell r="J132">
            <v>-90.854134999999999</v>
          </cell>
          <cell r="K132">
            <v>3608247.997</v>
          </cell>
          <cell r="L132">
            <v>701392.01</v>
          </cell>
          <cell r="M132" t="str">
            <v>Yes</v>
          </cell>
          <cell r="N132">
            <v>1950</v>
          </cell>
          <cell r="O132" t="str">
            <v>No</v>
          </cell>
          <cell r="Q132" t="str">
            <v>No</v>
          </cell>
          <cell r="U132">
            <v>3</v>
          </cell>
          <cell r="W132">
            <v>1</v>
          </cell>
          <cell r="X132">
            <v>2</v>
          </cell>
          <cell r="Y132" t="str">
            <v>4 meters high</v>
          </cell>
          <cell r="Z132">
            <v>13.123359580052494</v>
          </cell>
          <cell r="AA132" t="str">
            <v>75 x 50 meters</v>
          </cell>
          <cell r="AB132" t="str">
            <v>4 meters</v>
          </cell>
          <cell r="AC132">
            <v>40364.664062661461</v>
          </cell>
        </row>
        <row r="133">
          <cell r="H133" t="str">
            <v>22-N-1</v>
          </cell>
          <cell r="I133">
            <v>32.664814</v>
          </cell>
          <cell r="J133">
            <v>-90.729440999999994</v>
          </cell>
          <cell r="K133">
            <v>3616407.0279999999</v>
          </cell>
          <cell r="L133">
            <v>712927.97699999996</v>
          </cell>
          <cell r="M133" t="str">
            <v>Yes</v>
          </cell>
          <cell r="N133" t="str">
            <v>1908, 1926, 1954</v>
          </cell>
          <cell r="O133" t="str">
            <v>Yes</v>
          </cell>
          <cell r="Q133" t="str">
            <v>No</v>
          </cell>
          <cell r="R133" t="str">
            <v>Yes</v>
          </cell>
          <cell r="S133" t="str">
            <v>Yes</v>
          </cell>
          <cell r="U133">
            <v>3</v>
          </cell>
          <cell r="V133">
            <v>1</v>
          </cell>
          <cell r="W133">
            <v>1</v>
          </cell>
          <cell r="X133">
            <v>1</v>
          </cell>
          <cell r="Y133" t="str">
            <v>30 feet high</v>
          </cell>
          <cell r="Z133">
            <v>30</v>
          </cell>
          <cell r="AA133" t="str">
            <v>174 feet in diameter</v>
          </cell>
          <cell r="AC133">
            <v>23778.714795021144</v>
          </cell>
        </row>
        <row r="134">
          <cell r="H134" t="str">
            <v>22-N-10</v>
          </cell>
          <cell r="I134">
            <v>32.758611000000002</v>
          </cell>
          <cell r="J134">
            <v>-90.688171999999994</v>
          </cell>
          <cell r="K134">
            <v>3626892.0320000001</v>
          </cell>
          <cell r="L134">
            <v>716572.03899999999</v>
          </cell>
          <cell r="M134" t="str">
            <v>Yes (approximate)</v>
          </cell>
          <cell r="N134" t="str">
            <v>?</v>
          </cell>
          <cell r="O134" t="str">
            <v>Yes</v>
          </cell>
          <cell r="Q134" t="str">
            <v>No</v>
          </cell>
          <cell r="U134">
            <v>1</v>
          </cell>
          <cell r="V134">
            <v>1</v>
          </cell>
          <cell r="Y134" t="str">
            <v>4 meters high</v>
          </cell>
          <cell r="Z134">
            <v>13.123359580052494</v>
          </cell>
          <cell r="AA134" t="str">
            <v>25 meters in diameter</v>
          </cell>
          <cell r="AC134">
            <v>5283.7221701615481</v>
          </cell>
        </row>
        <row r="135">
          <cell r="H135" t="str">
            <v>22-N-11</v>
          </cell>
          <cell r="I135">
            <v>32.661765000000003</v>
          </cell>
          <cell r="J135">
            <v>-90.620907000000003</v>
          </cell>
          <cell r="K135">
            <v>3616291.9849999999</v>
          </cell>
          <cell r="L135">
            <v>723116.04</v>
          </cell>
          <cell r="M135" t="str">
            <v>Yes (approximate)</v>
          </cell>
          <cell r="N135">
            <v>1932</v>
          </cell>
          <cell r="O135" t="str">
            <v>No</v>
          </cell>
          <cell r="P135" t="str">
            <v>Yes</v>
          </cell>
          <cell r="Q135" t="str">
            <v>No</v>
          </cell>
          <cell r="S135" t="str">
            <v>Yes</v>
          </cell>
          <cell r="U135">
            <v>1</v>
          </cell>
          <cell r="V135">
            <v>1</v>
          </cell>
          <cell r="Y135" t="str">
            <v>2 meters high</v>
          </cell>
          <cell r="Z135">
            <v>6.5616797900262469</v>
          </cell>
          <cell r="AA135" t="str">
            <v>30 meters in diameter</v>
          </cell>
          <cell r="AC135">
            <v>7608.5599250326304</v>
          </cell>
        </row>
        <row r="136">
          <cell r="H136" t="str">
            <v>22-N-12</v>
          </cell>
          <cell r="I136">
            <v>32.680643000000003</v>
          </cell>
          <cell r="J136">
            <v>-90.687156000000002</v>
          </cell>
          <cell r="K136">
            <v>3618248.0109999999</v>
          </cell>
          <cell r="L136">
            <v>716855.99600000004</v>
          </cell>
          <cell r="M136" t="str">
            <v>Yes</v>
          </cell>
          <cell r="N136">
            <v>1954</v>
          </cell>
          <cell r="O136" t="str">
            <v>No</v>
          </cell>
          <cell r="Q136" t="str">
            <v>No</v>
          </cell>
          <cell r="U136">
            <v>0</v>
          </cell>
        </row>
        <row r="137">
          <cell r="H137" t="str">
            <v>22-N-13</v>
          </cell>
          <cell r="I137">
            <v>32.73321</v>
          </cell>
          <cell r="J137">
            <v>-90.654814999999999</v>
          </cell>
          <cell r="K137">
            <v>3624143.9750000001</v>
          </cell>
          <cell r="L137">
            <v>719760.04700000002</v>
          </cell>
          <cell r="M137" t="str">
            <v>Yes (approximate)</v>
          </cell>
          <cell r="N137" t="str">
            <v>1932, 1949, 1958</v>
          </cell>
          <cell r="O137" t="str">
            <v>Yes</v>
          </cell>
          <cell r="P137" t="str">
            <v>Yes</v>
          </cell>
          <cell r="Q137" t="str">
            <v>No</v>
          </cell>
          <cell r="U137">
            <v>3</v>
          </cell>
          <cell r="V137">
            <v>3</v>
          </cell>
          <cell r="Y137" t="str">
            <v>20 feet high?</v>
          </cell>
          <cell r="Z137">
            <v>20</v>
          </cell>
          <cell r="AA137" t="str">
            <v>?</v>
          </cell>
        </row>
        <row r="138">
          <cell r="H138" t="str">
            <v>22-N-14</v>
          </cell>
          <cell r="I138">
            <v>32.690376999999998</v>
          </cell>
          <cell r="J138">
            <v>-90.696673000000004</v>
          </cell>
          <cell r="K138">
            <v>3619308.01</v>
          </cell>
          <cell r="L138">
            <v>715940.01800000004</v>
          </cell>
          <cell r="M138" t="str">
            <v>Yes</v>
          </cell>
          <cell r="N138" t="str">
            <v>?</v>
          </cell>
          <cell r="O138" t="str">
            <v>Yes</v>
          </cell>
          <cell r="Q138" t="str">
            <v>No</v>
          </cell>
          <cell r="U138">
            <v>1</v>
          </cell>
          <cell r="V138">
            <v>1</v>
          </cell>
          <cell r="Y138" t="str">
            <v>?</v>
          </cell>
          <cell r="AA138" t="str">
            <v>large platformmound (low)</v>
          </cell>
        </row>
        <row r="139">
          <cell r="H139" t="str">
            <v>22-N-15</v>
          </cell>
          <cell r="I139">
            <v>32.740771000000002</v>
          </cell>
          <cell r="J139">
            <v>-90.657945999999995</v>
          </cell>
          <cell r="K139">
            <v>3624975.9509999999</v>
          </cell>
          <cell r="L139">
            <v>719448.03700000001</v>
          </cell>
          <cell r="M139" t="str">
            <v>Yes (approximate)</v>
          </cell>
          <cell r="N139" t="str">
            <v>?</v>
          </cell>
          <cell r="Q139" t="str">
            <v>No</v>
          </cell>
          <cell r="U139">
            <v>0</v>
          </cell>
        </row>
        <row r="140">
          <cell r="H140" t="str">
            <v>22-N-16</v>
          </cell>
          <cell r="I140">
            <v>32.706471000000001</v>
          </cell>
          <cell r="J140">
            <v>-90.715266</v>
          </cell>
          <cell r="K140">
            <v>3621054.9780000001</v>
          </cell>
          <cell r="L140">
            <v>714158.04299999995</v>
          </cell>
          <cell r="M140" t="str">
            <v>Yes (approximate)</v>
          </cell>
          <cell r="N140" t="str">
            <v>1908, 1950, 1954</v>
          </cell>
          <cell r="O140" t="str">
            <v>No</v>
          </cell>
          <cell r="Q140" t="str">
            <v>No</v>
          </cell>
          <cell r="S140" t="str">
            <v>Yes</v>
          </cell>
          <cell r="U140">
            <v>1</v>
          </cell>
          <cell r="V140">
            <v>1</v>
          </cell>
          <cell r="Y140" t="str">
            <v>?</v>
          </cell>
          <cell r="AA140" t="str">
            <v>?</v>
          </cell>
        </row>
        <row r="141">
          <cell r="H141" t="str">
            <v>22-N-17</v>
          </cell>
          <cell r="I141">
            <v>32.631655000000002</v>
          </cell>
          <cell r="J141">
            <v>-90.744954000000007</v>
          </cell>
          <cell r="K141">
            <v>3612698.9929999998</v>
          </cell>
          <cell r="L141">
            <v>711550.99899999995</v>
          </cell>
          <cell r="M141" t="str">
            <v>Yes (approximate)</v>
          </cell>
          <cell r="N141" t="str">
            <v>?</v>
          </cell>
          <cell r="O141" t="str">
            <v>No</v>
          </cell>
          <cell r="Q141" t="str">
            <v>No</v>
          </cell>
          <cell r="U141">
            <v>0</v>
          </cell>
        </row>
        <row r="142">
          <cell r="H142" t="str">
            <v>22-N-18</v>
          </cell>
          <cell r="I142">
            <v>32.630395999999998</v>
          </cell>
          <cell r="J142">
            <v>-90.737131000000005</v>
          </cell>
          <cell r="K142">
            <v>3612574.997</v>
          </cell>
          <cell r="L142">
            <v>712288.02800000005</v>
          </cell>
          <cell r="M142" t="str">
            <v>Yes (approximate)</v>
          </cell>
          <cell r="N142" t="str">
            <v>?</v>
          </cell>
          <cell r="O142" t="str">
            <v>Yes</v>
          </cell>
          <cell r="Q142" t="str">
            <v>No</v>
          </cell>
          <cell r="U142">
            <v>0</v>
          </cell>
        </row>
        <row r="143">
          <cell r="H143" t="str">
            <v>22-N-19</v>
          </cell>
          <cell r="I143">
            <v>32.630395999999998</v>
          </cell>
          <cell r="J143">
            <v>-90.737131000000005</v>
          </cell>
          <cell r="K143">
            <v>3612574.997</v>
          </cell>
          <cell r="L143">
            <v>712288.02800000005</v>
          </cell>
          <cell r="M143" t="str">
            <v>Yes</v>
          </cell>
          <cell r="N143">
            <v>1949</v>
          </cell>
          <cell r="O143" t="str">
            <v>Yes</v>
          </cell>
          <cell r="Q143" t="str">
            <v>No</v>
          </cell>
          <cell r="U143" t="str">
            <v>?</v>
          </cell>
        </row>
        <row r="144">
          <cell r="H144" t="str">
            <v>22-N-20</v>
          </cell>
          <cell r="I144">
            <v>32.679670000000002</v>
          </cell>
          <cell r="J144">
            <v>-90.662401000000003</v>
          </cell>
          <cell r="K144">
            <v>3618191.0129999998</v>
          </cell>
          <cell r="L144">
            <v>719179.98100000003</v>
          </cell>
          <cell r="M144" t="str">
            <v>Yes (approximate)</v>
          </cell>
          <cell r="N144">
            <v>1950</v>
          </cell>
          <cell r="O144" t="str">
            <v>No</v>
          </cell>
          <cell r="Q144" t="str">
            <v>No</v>
          </cell>
          <cell r="U144">
            <v>1</v>
          </cell>
          <cell r="X144">
            <v>1</v>
          </cell>
        </row>
        <row r="145">
          <cell r="H145" t="str">
            <v>22-N-21</v>
          </cell>
          <cell r="I145">
            <v>32.667444000000003</v>
          </cell>
          <cell r="J145">
            <v>-90.668796</v>
          </cell>
          <cell r="K145">
            <v>3616822.0350000001</v>
          </cell>
          <cell r="L145">
            <v>718610.02399999998</v>
          </cell>
          <cell r="M145" t="str">
            <v>Yes</v>
          </cell>
          <cell r="N145">
            <v>1950</v>
          </cell>
          <cell r="O145" t="str">
            <v>Yes</v>
          </cell>
          <cell r="Q145" t="str">
            <v>No</v>
          </cell>
          <cell r="U145">
            <v>2</v>
          </cell>
          <cell r="W145">
            <v>2</v>
          </cell>
          <cell r="Y145" t="str">
            <v>4 meters</v>
          </cell>
          <cell r="Z145">
            <v>13.123359580052494</v>
          </cell>
          <cell r="AA145" t="str">
            <v>?</v>
          </cell>
        </row>
        <row r="146">
          <cell r="H146" t="str">
            <v>22-N-22</v>
          </cell>
          <cell r="I146">
            <v>32.604888000000003</v>
          </cell>
          <cell r="J146">
            <v>-90.744356999999994</v>
          </cell>
          <cell r="K146">
            <v>3609732.0010000002</v>
          </cell>
          <cell r="L146">
            <v>711670.03799999994</v>
          </cell>
          <cell r="M146" t="str">
            <v>Yes</v>
          </cell>
          <cell r="N146" t="str">
            <v>1950, 1954</v>
          </cell>
          <cell r="O146" t="str">
            <v>No</v>
          </cell>
          <cell r="Q146" t="str">
            <v>No</v>
          </cell>
          <cell r="U146">
            <v>0</v>
          </cell>
        </row>
        <row r="147">
          <cell r="H147" t="str">
            <v>22-N-3</v>
          </cell>
          <cell r="I147">
            <v>32.641373000000002</v>
          </cell>
          <cell r="J147">
            <v>-90.556455999999997</v>
          </cell>
          <cell r="K147">
            <v>3614167.986</v>
          </cell>
          <cell r="L147">
            <v>729213.96900000004</v>
          </cell>
          <cell r="M147" t="str">
            <v>Yes</v>
          </cell>
          <cell r="N147">
            <v>1954</v>
          </cell>
          <cell r="O147" t="str">
            <v>Yes</v>
          </cell>
          <cell r="Q147" t="str">
            <v>No</v>
          </cell>
          <cell r="U147">
            <v>2</v>
          </cell>
          <cell r="X147">
            <v>2</v>
          </cell>
          <cell r="Y147" t="str">
            <v>?</v>
          </cell>
          <cell r="AA147" t="str">
            <v>?</v>
          </cell>
          <cell r="AB147" t="str">
            <v>?</v>
          </cell>
        </row>
        <row r="148">
          <cell r="H148" t="str">
            <v>22-N-4</v>
          </cell>
          <cell r="I148">
            <v>32.70776</v>
          </cell>
          <cell r="J148">
            <v>-90.558336999999995</v>
          </cell>
          <cell r="K148">
            <v>3621526.0189999999</v>
          </cell>
          <cell r="L148">
            <v>728867.99899999995</v>
          </cell>
          <cell r="M148" t="str">
            <v>Yes</v>
          </cell>
          <cell r="N148">
            <v>1949</v>
          </cell>
          <cell r="O148" t="str">
            <v>Yes</v>
          </cell>
          <cell r="Q148" t="str">
            <v>No</v>
          </cell>
          <cell r="S148" t="str">
            <v>Yes</v>
          </cell>
          <cell r="U148">
            <v>1</v>
          </cell>
          <cell r="V148">
            <v>1</v>
          </cell>
          <cell r="Y148" t="str">
            <v>2 meters</v>
          </cell>
          <cell r="Z148">
            <v>6.5616797900262469</v>
          </cell>
          <cell r="AA148" t="str">
            <v>16 meters in diameter</v>
          </cell>
          <cell r="AC148">
            <v>2164.2126008981709</v>
          </cell>
        </row>
        <row r="149">
          <cell r="H149" t="str">
            <v>22-N-5</v>
          </cell>
          <cell r="I149">
            <v>32.736099000000003</v>
          </cell>
          <cell r="J149">
            <v>-90.588003</v>
          </cell>
          <cell r="K149">
            <v>3624605.0120000001</v>
          </cell>
          <cell r="L149">
            <v>726015.02099999995</v>
          </cell>
          <cell r="M149" t="str">
            <v>Yes</v>
          </cell>
          <cell r="N149" t="str">
            <v>?</v>
          </cell>
          <cell r="O149" t="str">
            <v>No</v>
          </cell>
          <cell r="Q149" t="str">
            <v>No</v>
          </cell>
          <cell r="S149" t="str">
            <v>Yes</v>
          </cell>
          <cell r="U149">
            <v>2</v>
          </cell>
          <cell r="W149">
            <v>1</v>
          </cell>
          <cell r="X149">
            <v>1</v>
          </cell>
          <cell r="Y149" t="str">
            <v>2 meters</v>
          </cell>
          <cell r="Z149">
            <v>6.5616797900262469</v>
          </cell>
          <cell r="AA149" t="str">
            <v>60 x 40 meters</v>
          </cell>
          <cell r="AC149">
            <v>25833.385000103335</v>
          </cell>
        </row>
        <row r="150">
          <cell r="H150" t="str">
            <v>22-N-6</v>
          </cell>
          <cell r="I150">
            <v>32.552292000000001</v>
          </cell>
          <cell r="J150">
            <v>-90.741170999999994</v>
          </cell>
          <cell r="K150">
            <v>3603906.03</v>
          </cell>
          <cell r="L150">
            <v>712092.95200000005</v>
          </cell>
          <cell r="M150" t="str">
            <v>Yes</v>
          </cell>
          <cell r="N150">
            <v>1950</v>
          </cell>
          <cell r="O150" t="str">
            <v>Yes</v>
          </cell>
          <cell r="Q150" t="str">
            <v>No</v>
          </cell>
          <cell r="U150">
            <v>1</v>
          </cell>
          <cell r="W150">
            <v>1</v>
          </cell>
          <cell r="Y150" t="str">
            <v>2 meters</v>
          </cell>
          <cell r="Z150">
            <v>6.5616797900262469</v>
          </cell>
          <cell r="AA150" t="str">
            <v>80 x 30 m</v>
          </cell>
          <cell r="AC150">
            <v>25833.385000103335</v>
          </cell>
        </row>
        <row r="151">
          <cell r="H151" t="str">
            <v>22-N-8</v>
          </cell>
          <cell r="I151">
            <v>32.720900999999998</v>
          </cell>
          <cell r="J151">
            <v>-90.590631000000002</v>
          </cell>
          <cell r="K151">
            <v>3622914.0019999999</v>
          </cell>
          <cell r="L151">
            <v>725807.04599999997</v>
          </cell>
          <cell r="M151" t="str">
            <v>Yes</v>
          </cell>
          <cell r="N151">
            <v>1954</v>
          </cell>
          <cell r="O151" t="str">
            <v>Yes</v>
          </cell>
          <cell r="P151" t="str">
            <v>Yes</v>
          </cell>
          <cell r="Q151" t="str">
            <v>No</v>
          </cell>
          <cell r="U151">
            <v>1</v>
          </cell>
          <cell r="X151">
            <v>1</v>
          </cell>
          <cell r="Y151" t="str">
            <v>?</v>
          </cell>
          <cell r="AA151" t="str">
            <v>?</v>
          </cell>
        </row>
        <row r="152">
          <cell r="H152" t="str">
            <v>22-N-9</v>
          </cell>
          <cell r="I152">
            <v>32.747894000000002</v>
          </cell>
          <cell r="J152">
            <v>-90.700699999999998</v>
          </cell>
          <cell r="K152">
            <v>3625678.0180000002</v>
          </cell>
          <cell r="L152">
            <v>715423.96900000004</v>
          </cell>
          <cell r="M152" t="str">
            <v>Yes</v>
          </cell>
          <cell r="N152" t="str">
            <v>1908, 1932</v>
          </cell>
          <cell r="O152" t="str">
            <v>No</v>
          </cell>
          <cell r="P152" t="str">
            <v>Yes</v>
          </cell>
          <cell r="Q152" t="str">
            <v>No</v>
          </cell>
          <cell r="S152" t="str">
            <v>Yes</v>
          </cell>
          <cell r="U152">
            <v>3</v>
          </cell>
          <cell r="V152">
            <v>3</v>
          </cell>
          <cell r="Y152" t="str">
            <v>2.5 meters</v>
          </cell>
          <cell r="Z152">
            <v>8.2020997375328086</v>
          </cell>
          <cell r="AA152" t="str">
            <v>70 meters in diameter</v>
          </cell>
          <cell r="AC152">
            <v>41424.381814066539</v>
          </cell>
        </row>
        <row r="153">
          <cell r="H153" t="str">
            <v>23-M-1</v>
          </cell>
          <cell r="I153">
            <v>32.415351000000001</v>
          </cell>
          <cell r="J153">
            <v>-90.843552000000003</v>
          </cell>
          <cell r="K153">
            <v>3588521.9649999999</v>
          </cell>
          <cell r="L153">
            <v>702784.98800000001</v>
          </cell>
          <cell r="M153" t="str">
            <v>Yes</v>
          </cell>
          <cell r="N153" t="str">
            <v>1908, 1949</v>
          </cell>
          <cell r="O153" t="str">
            <v>Yes</v>
          </cell>
          <cell r="Q153" t="str">
            <v>No</v>
          </cell>
          <cell r="U153">
            <v>4</v>
          </cell>
          <cell r="V153">
            <v>2</v>
          </cell>
          <cell r="W153" t="str">
            <v>1</v>
          </cell>
          <cell r="X153" t="str">
            <v>1</v>
          </cell>
          <cell r="Y153" t="str">
            <v xml:space="preserve">25 feet </v>
          </cell>
          <cell r="Z153">
            <v>25</v>
          </cell>
          <cell r="AA153" t="str">
            <v>?</v>
          </cell>
        </row>
        <row r="154">
          <cell r="H154" t="str">
            <v>23-M-2</v>
          </cell>
          <cell r="I154">
            <v>32.415351000000001</v>
          </cell>
          <cell r="J154">
            <v>-90.843552000000003</v>
          </cell>
          <cell r="K154">
            <v>3588521.9649999999</v>
          </cell>
          <cell r="L154">
            <v>702784.98800000001</v>
          </cell>
          <cell r="M154" t="str">
            <v>Yes</v>
          </cell>
          <cell r="N154" t="str">
            <v>?</v>
          </cell>
          <cell r="O154" t="str">
            <v>Yes</v>
          </cell>
          <cell r="Q154" t="str">
            <v>No</v>
          </cell>
          <cell r="U154">
            <v>1</v>
          </cell>
          <cell r="W154">
            <v>1</v>
          </cell>
          <cell r="Y154" t="str">
            <v>2 meters (?)</v>
          </cell>
          <cell r="Z154">
            <v>6.5616797900262469</v>
          </cell>
          <cell r="AA154" t="str">
            <v>30 x 40 meters</v>
          </cell>
          <cell r="AC154">
            <v>12916.692500051668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 t="str">
            <v>Number</v>
          </cell>
          <cell r="B1" t="str">
            <v>Name</v>
          </cell>
          <cell r="C1" t="str">
            <v>Northing</v>
          </cell>
          <cell r="D1" t="str">
            <v>Easting</v>
          </cell>
          <cell r="E1" t="str">
            <v>Latitude</v>
          </cell>
          <cell r="F1" t="str">
            <v>Longitude</v>
          </cell>
          <cell r="G1" t="str">
            <v>Northing (P1970)</v>
          </cell>
          <cell r="H1" t="str">
            <v>Easting (P1970)</v>
          </cell>
          <cell r="I1" t="str">
            <v>Area</v>
          </cell>
          <cell r="J1" t="str">
            <v>Period</v>
          </cell>
          <cell r="K1" t="str">
            <v>Number of Mounds</v>
          </cell>
          <cell r="L1" t="str">
            <v>Sizes</v>
          </cell>
          <cell r="M1" t="str">
            <v>Max Height</v>
          </cell>
          <cell r="N1" t="str">
            <v>Max Radius</v>
          </cell>
          <cell r="O1" t="str">
            <v>Max Area</v>
          </cell>
        </row>
        <row r="2">
          <cell r="A2" t="str">
            <v>11-N-10</v>
          </cell>
          <cell r="B2" t="str">
            <v>Cross Country Club</v>
          </cell>
          <cell r="C2">
            <v>3904500</v>
          </cell>
          <cell r="D2">
            <v>710900</v>
          </cell>
          <cell r="E2" t="e">
            <v>#N/A</v>
          </cell>
          <cell r="F2" t="e">
            <v>#N/A</v>
          </cell>
          <cell r="G2">
            <v>3903350</v>
          </cell>
          <cell r="H2">
            <v>711918</v>
          </cell>
          <cell r="I2" t="str">
            <v>St. Francis</v>
          </cell>
          <cell r="J2" t="str">
            <v>D-C</v>
          </cell>
          <cell r="K2">
            <v>1</v>
          </cell>
          <cell r="L2" t="str">
            <v>60x4</v>
          </cell>
          <cell r="M2">
            <v>4</v>
          </cell>
          <cell r="N2">
            <v>60</v>
          </cell>
          <cell r="O2">
            <v>2827.4333882308138</v>
          </cell>
        </row>
        <row r="3">
          <cell r="A3" t="str">
            <v>11-N-11</v>
          </cell>
          <cell r="B3" t="str">
            <v>Delta</v>
          </cell>
          <cell r="C3">
            <v>3910400</v>
          </cell>
          <cell r="D3">
            <v>719500</v>
          </cell>
          <cell r="E3" t="e">
            <v>#N/A</v>
          </cell>
          <cell r="F3" t="e">
            <v>#N/A</v>
          </cell>
          <cell r="G3">
            <v>3908650</v>
          </cell>
          <cell r="H3">
            <v>718240</v>
          </cell>
          <cell r="I3" t="str">
            <v>St. Francis</v>
          </cell>
          <cell r="J3" t="str">
            <v>D-C</v>
          </cell>
          <cell r="K3">
            <v>6</v>
          </cell>
          <cell r="L3" t="str">
            <v>100x10, - others, 150x4</v>
          </cell>
          <cell r="M3">
            <v>10</v>
          </cell>
          <cell r="N3">
            <v>100</v>
          </cell>
          <cell r="O3">
            <v>7853.981633974483</v>
          </cell>
        </row>
        <row r="4">
          <cell r="A4" t="str">
            <v>11-N-16</v>
          </cell>
          <cell r="B4" t="str">
            <v>Twist Group</v>
          </cell>
          <cell r="C4">
            <v>3920400</v>
          </cell>
          <cell r="D4">
            <v>724150</v>
          </cell>
          <cell r="E4" t="e">
            <v>#N/A</v>
          </cell>
          <cell r="F4" t="e">
            <v>#N/A</v>
          </cell>
          <cell r="G4">
            <v>3919100</v>
          </cell>
          <cell r="H4">
            <v>725859</v>
          </cell>
          <cell r="I4" t="str">
            <v>St. Francis</v>
          </cell>
          <cell r="J4" t="str">
            <v>C-B</v>
          </cell>
          <cell r="K4" t="str">
            <v>40+</v>
          </cell>
          <cell r="L4" t="str">
            <v>60x10, 40x1</v>
          </cell>
          <cell r="M4">
            <v>10</v>
          </cell>
          <cell r="N4">
            <v>60</v>
          </cell>
          <cell r="O4">
            <v>2827.4333882308138</v>
          </cell>
        </row>
        <row r="5">
          <cell r="A5" t="str">
            <v>11-N-2</v>
          </cell>
          <cell r="B5" t="str">
            <v>Rogers Place</v>
          </cell>
          <cell r="C5">
            <v>3907350</v>
          </cell>
          <cell r="D5">
            <v>724440</v>
          </cell>
          <cell r="E5" t="e">
            <v>#N/A</v>
          </cell>
          <cell r="F5" t="e">
            <v>#N/A</v>
          </cell>
          <cell r="G5">
            <v>3906680</v>
          </cell>
          <cell r="H5">
            <v>723996</v>
          </cell>
          <cell r="I5" t="str">
            <v>St. Francis</v>
          </cell>
          <cell r="J5" t="str">
            <v>D-C</v>
          </cell>
          <cell r="K5">
            <v>5</v>
          </cell>
          <cell r="L5" t="str">
            <v>80x5, 24x3, 30x2, 40x2</v>
          </cell>
          <cell r="M5">
            <v>5</v>
          </cell>
          <cell r="N5">
            <v>80</v>
          </cell>
          <cell r="O5">
            <v>5026.5482457436692</v>
          </cell>
        </row>
        <row r="6">
          <cell r="A6" t="str">
            <v>11-N-3</v>
          </cell>
          <cell r="B6" t="str">
            <v>Roberts</v>
          </cell>
          <cell r="C6">
            <v>3908400</v>
          </cell>
          <cell r="D6">
            <v>725230</v>
          </cell>
          <cell r="E6" t="e">
            <v>#N/A</v>
          </cell>
          <cell r="F6" t="e">
            <v>#N/A</v>
          </cell>
          <cell r="G6">
            <v>3907140</v>
          </cell>
          <cell r="H6">
            <v>725959</v>
          </cell>
          <cell r="I6" t="str">
            <v>St. Francis</v>
          </cell>
          <cell r="J6" t="str">
            <v>D-C</v>
          </cell>
          <cell r="K6">
            <v>4</v>
          </cell>
          <cell r="L6" t="str">
            <v>60x3, 40x1, 40x1.5</v>
          </cell>
          <cell r="M6">
            <v>3</v>
          </cell>
          <cell r="N6">
            <v>60</v>
          </cell>
          <cell r="O6">
            <v>2827.4333882308138</v>
          </cell>
        </row>
        <row r="7">
          <cell r="A7" t="str">
            <v>11-N-8</v>
          </cell>
          <cell r="B7" t="str">
            <v>Williams</v>
          </cell>
          <cell r="C7">
            <v>3911040</v>
          </cell>
          <cell r="D7">
            <v>719500</v>
          </cell>
          <cell r="E7" t="e">
            <v>#N/A</v>
          </cell>
          <cell r="F7" t="e">
            <v>#N/A</v>
          </cell>
          <cell r="G7">
            <v>3911200</v>
          </cell>
          <cell r="H7">
            <v>719036</v>
          </cell>
          <cell r="I7" t="str">
            <v>St. Francis</v>
          </cell>
          <cell r="J7" t="str">
            <v>D-C</v>
          </cell>
          <cell r="K7">
            <v>8</v>
          </cell>
          <cell r="L7" t="str">
            <v>90x9, 55x5, 45x3</v>
          </cell>
          <cell r="M7">
            <v>9</v>
          </cell>
          <cell r="N7">
            <v>90</v>
          </cell>
          <cell r="O7">
            <v>6361.7251235193307</v>
          </cell>
        </row>
        <row r="8">
          <cell r="A8" t="str">
            <v>11-O-11</v>
          </cell>
          <cell r="B8" t="str">
            <v>Prosperity</v>
          </cell>
          <cell r="C8">
            <v>3914900</v>
          </cell>
          <cell r="D8">
            <v>736700</v>
          </cell>
          <cell r="E8" t="e">
            <v>#N/A</v>
          </cell>
          <cell r="F8" t="e">
            <v>#N/A</v>
          </cell>
          <cell r="G8">
            <v>3913030</v>
          </cell>
          <cell r="H8">
            <v>737635</v>
          </cell>
          <cell r="I8" t="str">
            <v>St. Francis</v>
          </cell>
          <cell r="J8" t="str">
            <v>D-C</v>
          </cell>
          <cell r="K8">
            <v>1</v>
          </cell>
          <cell r="L8" t="str">
            <v>50x2</v>
          </cell>
          <cell r="M8">
            <v>2</v>
          </cell>
          <cell r="N8">
            <v>50</v>
          </cell>
          <cell r="O8">
            <v>1963.4954084936207</v>
          </cell>
        </row>
        <row r="9">
          <cell r="A9" t="str">
            <v>11-O-5</v>
          </cell>
          <cell r="B9" t="str">
            <v>Emory</v>
          </cell>
          <cell r="C9">
            <v>3924190</v>
          </cell>
          <cell r="D9">
            <v>734640</v>
          </cell>
          <cell r="E9" t="e">
            <v>#N/A</v>
          </cell>
          <cell r="F9" t="e">
            <v>#N/A</v>
          </cell>
          <cell r="G9">
            <v>3921420</v>
          </cell>
          <cell r="H9">
            <v>734896</v>
          </cell>
          <cell r="I9" t="str">
            <v>St. Francis</v>
          </cell>
          <cell r="J9" t="str">
            <v>D-C</v>
          </cell>
          <cell r="K9">
            <v>1</v>
          </cell>
          <cell r="L9" t="str">
            <v>60x4</v>
          </cell>
          <cell r="M9">
            <v>4</v>
          </cell>
          <cell r="N9">
            <v>60</v>
          </cell>
          <cell r="O9">
            <v>2827.4333882308138</v>
          </cell>
        </row>
        <row r="10">
          <cell r="A10" t="str">
            <v>11-O-6</v>
          </cell>
          <cell r="B10" t="str">
            <v>Pinkston</v>
          </cell>
          <cell r="C10">
            <v>3924830</v>
          </cell>
          <cell r="D10">
            <v>734650</v>
          </cell>
          <cell r="E10" t="e">
            <v>#N/A</v>
          </cell>
          <cell r="F10" t="e">
            <v>#N/A</v>
          </cell>
          <cell r="G10">
            <v>3922880</v>
          </cell>
          <cell r="H10">
            <v>733572</v>
          </cell>
          <cell r="I10" t="str">
            <v>St. Francis</v>
          </cell>
          <cell r="J10" t="str">
            <v>D-C</v>
          </cell>
          <cell r="K10">
            <v>1</v>
          </cell>
          <cell r="L10" t="str">
            <v>60x5</v>
          </cell>
          <cell r="M10">
            <v>5</v>
          </cell>
          <cell r="N10">
            <v>60</v>
          </cell>
          <cell r="O10">
            <v>2827.4333882308138</v>
          </cell>
        </row>
        <row r="11">
          <cell r="A11" t="str">
            <v>11-O-9</v>
          </cell>
          <cell r="B11" t="str">
            <v>Gilliland</v>
          </cell>
          <cell r="C11">
            <v>3916540</v>
          </cell>
          <cell r="D11">
            <v>736740</v>
          </cell>
          <cell r="E11" t="e">
            <v>#N/A</v>
          </cell>
          <cell r="F11" t="e">
            <v>#N/A</v>
          </cell>
          <cell r="G11">
            <v>3915420</v>
          </cell>
          <cell r="H11">
            <v>737500</v>
          </cell>
          <cell r="I11" t="str">
            <v>St. Francis</v>
          </cell>
          <cell r="J11" t="str">
            <v>D-C</v>
          </cell>
          <cell r="K11">
            <v>2</v>
          </cell>
          <cell r="L11" t="str">
            <v>40x4</v>
          </cell>
          <cell r="M11">
            <v>4</v>
          </cell>
          <cell r="N11">
            <v>40</v>
          </cell>
          <cell r="O11">
            <v>1256.6370614359173</v>
          </cell>
        </row>
        <row r="12">
          <cell r="A12" t="str">
            <v>12-N-10</v>
          </cell>
          <cell r="B12" t="str">
            <v>DeRossetts Place</v>
          </cell>
          <cell r="C12">
            <v>3883280</v>
          </cell>
          <cell r="D12">
            <v>711650</v>
          </cell>
          <cell r="E12" t="e">
            <v>#N/A</v>
          </cell>
          <cell r="F12" t="e">
            <v>#N/A</v>
          </cell>
          <cell r="G12">
            <v>3883460</v>
          </cell>
          <cell r="H12">
            <v>712002</v>
          </cell>
          <cell r="I12" t="str">
            <v>St. Francis</v>
          </cell>
          <cell r="J12" t="str">
            <v>F-E</v>
          </cell>
          <cell r="K12">
            <v>1</v>
          </cell>
          <cell r="L12" t="str">
            <v>15x100</v>
          </cell>
          <cell r="M12">
            <v>15</v>
          </cell>
          <cell r="N12">
            <v>100</v>
          </cell>
          <cell r="O12">
            <v>7853.981633974483</v>
          </cell>
        </row>
        <row r="13">
          <cell r="A13" t="str">
            <v>12-N-15</v>
          </cell>
          <cell r="B13" t="str">
            <v>Swan Place</v>
          </cell>
          <cell r="C13">
            <v>3891230</v>
          </cell>
          <cell r="D13">
            <v>712120</v>
          </cell>
          <cell r="E13" t="e">
            <v>#N/A</v>
          </cell>
          <cell r="F13" t="e">
            <v>#N/A</v>
          </cell>
          <cell r="G13">
            <v>3891100</v>
          </cell>
          <cell r="H13">
            <v>711410</v>
          </cell>
          <cell r="I13" t="str">
            <v>St. Francis</v>
          </cell>
          <cell r="J13" t="str">
            <v>F-E</v>
          </cell>
          <cell r="K13">
            <v>1</v>
          </cell>
          <cell r="L13" t="str">
            <v>40x5</v>
          </cell>
          <cell r="M13">
            <v>5</v>
          </cell>
          <cell r="N13">
            <v>40</v>
          </cell>
          <cell r="O13">
            <v>1256.6370614359173</v>
          </cell>
        </row>
        <row r="14">
          <cell r="A14" t="str">
            <v>12-N-6</v>
          </cell>
          <cell r="B14" t="str">
            <v>Westmorland</v>
          </cell>
          <cell r="C14">
            <v>3898930</v>
          </cell>
          <cell r="D14">
            <v>714520</v>
          </cell>
          <cell r="E14" t="e">
            <v>#N/A</v>
          </cell>
          <cell r="F14" t="e">
            <v>#N/A</v>
          </cell>
          <cell r="G14">
            <v>3896840</v>
          </cell>
          <cell r="H14">
            <v>714237</v>
          </cell>
          <cell r="I14" t="str">
            <v>St. Francis</v>
          </cell>
          <cell r="J14" t="str">
            <v>D-C</v>
          </cell>
          <cell r="K14">
            <v>7</v>
          </cell>
          <cell r="L14" t="str">
            <v>80x4, 50x3, 25x1</v>
          </cell>
          <cell r="M14">
            <v>4</v>
          </cell>
          <cell r="N14">
            <v>80</v>
          </cell>
          <cell r="O14">
            <v>5026.5482457436692</v>
          </cell>
        </row>
        <row r="15">
          <cell r="A15" t="str">
            <v>12-N-7</v>
          </cell>
          <cell r="B15" t="str">
            <v>Lansing</v>
          </cell>
          <cell r="C15">
            <v>3894330</v>
          </cell>
          <cell r="D15">
            <v>720150</v>
          </cell>
          <cell r="E15" t="e">
            <v>#N/A</v>
          </cell>
          <cell r="F15" t="e">
            <v>#N/A</v>
          </cell>
          <cell r="G15">
            <v>3893260</v>
          </cell>
          <cell r="H15">
            <v>719917</v>
          </cell>
          <cell r="I15" t="str">
            <v>St. Francis</v>
          </cell>
          <cell r="J15" t="str">
            <v>D-C</v>
          </cell>
          <cell r="K15" t="str">
            <v>Many</v>
          </cell>
          <cell r="L15" t="str">
            <v>20-30, 2-4</v>
          </cell>
          <cell r="M15">
            <v>4</v>
          </cell>
          <cell r="N15">
            <v>30</v>
          </cell>
          <cell r="O15">
            <v>706.85834705770344</v>
          </cell>
        </row>
        <row r="16">
          <cell r="A16" t="str">
            <v>12-N-9</v>
          </cell>
          <cell r="B16" t="str">
            <v>Burns</v>
          </cell>
          <cell r="C16">
            <v>3851260</v>
          </cell>
          <cell r="D16">
            <v>717650</v>
          </cell>
          <cell r="E16" t="e">
            <v>#N/A</v>
          </cell>
          <cell r="F16" t="e">
            <v>#N/A</v>
          </cell>
          <cell r="G16">
            <v>3885180</v>
          </cell>
          <cell r="H16">
            <v>716798</v>
          </cell>
          <cell r="I16" t="str">
            <v>St. Francis</v>
          </cell>
          <cell r="J16" t="str">
            <v>F-E</v>
          </cell>
          <cell r="K16">
            <v>1</v>
          </cell>
          <cell r="L16" t="str">
            <v>plowed down</v>
          </cell>
        </row>
        <row r="17">
          <cell r="A17" t="str">
            <v>13-M-1</v>
          </cell>
          <cell r="B17" t="str">
            <v>Hughes</v>
          </cell>
          <cell r="C17">
            <v>3861600</v>
          </cell>
          <cell r="D17">
            <v>702850</v>
          </cell>
          <cell r="E17" t="e">
            <v>#N/A</v>
          </cell>
          <cell r="F17" t="e">
            <v>#N/A</v>
          </cell>
          <cell r="G17">
            <v>3859970</v>
          </cell>
          <cell r="H17">
            <v>702635</v>
          </cell>
          <cell r="I17" t="str">
            <v xml:space="preserve">Memphis </v>
          </cell>
          <cell r="J17" t="str">
            <v>D-C</v>
          </cell>
          <cell r="K17">
            <v>2</v>
          </cell>
          <cell r="L17" t="str">
            <v>150x120x10, 100x1.5</v>
          </cell>
          <cell r="M17">
            <v>10</v>
          </cell>
          <cell r="N17" t="str">
            <v>150x120</v>
          </cell>
          <cell r="O17">
            <v>18000</v>
          </cell>
        </row>
        <row r="18">
          <cell r="A18" t="str">
            <v>13-N-13</v>
          </cell>
          <cell r="B18" t="str">
            <v>Rawlinson</v>
          </cell>
          <cell r="C18">
            <v>3867210</v>
          </cell>
          <cell r="D18">
            <v>721550</v>
          </cell>
          <cell r="E18" t="e">
            <v>#N/A</v>
          </cell>
          <cell r="F18" t="e">
            <v>#N/A</v>
          </cell>
          <cell r="G18">
            <v>3865460</v>
          </cell>
          <cell r="H18">
            <v>720591</v>
          </cell>
          <cell r="I18" t="str">
            <v xml:space="preserve">Memphis </v>
          </cell>
          <cell r="J18" t="str">
            <v>D-C</v>
          </cell>
          <cell r="K18">
            <v>2</v>
          </cell>
          <cell r="L18" t="str">
            <v>60x6, 80x3</v>
          </cell>
          <cell r="M18">
            <v>6</v>
          </cell>
          <cell r="N18">
            <v>60</v>
          </cell>
          <cell r="O18">
            <v>2827.4333882308138</v>
          </cell>
        </row>
        <row r="19">
          <cell r="A19" t="str">
            <v>13-N-16</v>
          </cell>
          <cell r="B19" t="str">
            <v>Starkley</v>
          </cell>
          <cell r="C19">
            <v>3850050</v>
          </cell>
          <cell r="D19">
            <v>721080</v>
          </cell>
          <cell r="E19" t="e">
            <v>#N/A</v>
          </cell>
          <cell r="F19" t="e">
            <v>#N/A</v>
          </cell>
          <cell r="G19">
            <v>3850030</v>
          </cell>
          <cell r="H19">
            <v>721537</v>
          </cell>
          <cell r="I19" t="str">
            <v xml:space="preserve">Memphis </v>
          </cell>
          <cell r="J19" t="str">
            <v>C-B</v>
          </cell>
          <cell r="K19">
            <v>1</v>
          </cell>
          <cell r="L19" t="str">
            <v>? X ? X 12</v>
          </cell>
          <cell r="M19">
            <v>12</v>
          </cell>
        </row>
        <row r="20">
          <cell r="A20" t="str">
            <v>13-N-18</v>
          </cell>
          <cell r="B20" t="str">
            <v>Lakeside</v>
          </cell>
          <cell r="C20">
            <v>3872280</v>
          </cell>
          <cell r="D20">
            <v>718090</v>
          </cell>
          <cell r="E20" t="e">
            <v>#N/A</v>
          </cell>
          <cell r="F20" t="e">
            <v>#N/A</v>
          </cell>
          <cell r="G20">
            <v>3872000</v>
          </cell>
          <cell r="H20">
            <v>717950</v>
          </cell>
          <cell r="I20" t="str">
            <v xml:space="preserve">Memphis </v>
          </cell>
          <cell r="J20" t="str">
            <v>C-B</v>
          </cell>
          <cell r="K20">
            <v>3</v>
          </cell>
          <cell r="L20" t="str">
            <v>110x9, 60x11, 50x4</v>
          </cell>
          <cell r="M20">
            <v>11</v>
          </cell>
          <cell r="N20">
            <v>110</v>
          </cell>
          <cell r="O20">
            <v>9503.317777109125</v>
          </cell>
        </row>
        <row r="21">
          <cell r="A21" t="str">
            <v>13-O-3</v>
          </cell>
          <cell r="B21" t="str">
            <v>Huber</v>
          </cell>
          <cell r="C21">
            <v>3870150</v>
          </cell>
          <cell r="D21">
            <v>733280</v>
          </cell>
          <cell r="E21" t="e">
            <v>#N/A</v>
          </cell>
          <cell r="F21" t="e">
            <v>#N/A</v>
          </cell>
          <cell r="G21">
            <v>3869010</v>
          </cell>
          <cell r="H21">
            <v>732403</v>
          </cell>
          <cell r="I21" t="str">
            <v xml:space="preserve">Memphis </v>
          </cell>
          <cell r="J21" t="str">
            <v>D-C</v>
          </cell>
          <cell r="K21">
            <v>1</v>
          </cell>
          <cell r="L21" t="str">
            <v>Dome shaped, small</v>
          </cell>
        </row>
        <row r="22">
          <cell r="A22" t="str">
            <v>13-O-8</v>
          </cell>
          <cell r="B22" t="str">
            <v>Stoddard</v>
          </cell>
          <cell r="C22">
            <v>3864600</v>
          </cell>
          <cell r="D22">
            <v>732400</v>
          </cell>
          <cell r="E22" t="e">
            <v>#N/A</v>
          </cell>
          <cell r="F22" t="e">
            <v>#N/A</v>
          </cell>
          <cell r="G22">
            <v>3870920</v>
          </cell>
          <cell r="H22">
            <v>730526</v>
          </cell>
          <cell r="I22" t="str">
            <v xml:space="preserve">Memphis </v>
          </cell>
          <cell r="J22" t="str">
            <v>D-C</v>
          </cell>
          <cell r="K22">
            <v>2</v>
          </cell>
          <cell r="L22" t="str">
            <v>60x4.5, 60x6</v>
          </cell>
          <cell r="M22">
            <v>6</v>
          </cell>
          <cell r="N22">
            <v>60</v>
          </cell>
          <cell r="O22">
            <v>2827.4333882308138</v>
          </cell>
        </row>
        <row r="23">
          <cell r="A23" t="str">
            <v>13-O-9</v>
          </cell>
          <cell r="B23" t="str">
            <v>Collins</v>
          </cell>
          <cell r="C23">
            <v>3875620</v>
          </cell>
          <cell r="D23">
            <v>737480</v>
          </cell>
          <cell r="E23" t="e">
            <v>#N/A</v>
          </cell>
          <cell r="F23" t="e">
            <v>#N/A</v>
          </cell>
          <cell r="G23">
            <v>3874560</v>
          </cell>
          <cell r="H23">
            <v>736559</v>
          </cell>
          <cell r="I23" t="str">
            <v xml:space="preserve">Memphis </v>
          </cell>
          <cell r="J23" t="str">
            <v>D-C</v>
          </cell>
          <cell r="K23">
            <v>3</v>
          </cell>
          <cell r="L23" t="str">
            <v>50x4, 50x4, 60x3</v>
          </cell>
          <cell r="M23">
            <v>4</v>
          </cell>
          <cell r="N23">
            <v>50</v>
          </cell>
          <cell r="O23">
            <v>1963.4954084936207</v>
          </cell>
        </row>
        <row r="24">
          <cell r="A24" t="str">
            <v>14-M-3</v>
          </cell>
          <cell r="B24" t="str">
            <v>Broom</v>
          </cell>
          <cell r="C24">
            <v>3828650</v>
          </cell>
          <cell r="D24">
            <v>686800</v>
          </cell>
          <cell r="E24" t="e">
            <v>#N/A</v>
          </cell>
          <cell r="F24" t="e">
            <v>#N/A</v>
          </cell>
          <cell r="G24">
            <v>3828190</v>
          </cell>
          <cell r="H24">
            <v>685878</v>
          </cell>
          <cell r="I24" t="str">
            <v xml:space="preserve">Memphis </v>
          </cell>
          <cell r="J24" t="str">
            <v>D-C</v>
          </cell>
          <cell r="K24">
            <v>3</v>
          </cell>
          <cell r="L24" t="str">
            <v>100x10, 36x2, 45x2</v>
          </cell>
          <cell r="M24">
            <v>10</v>
          </cell>
          <cell r="N24">
            <v>100</v>
          </cell>
          <cell r="O24">
            <v>7853.981633974483</v>
          </cell>
        </row>
        <row r="25">
          <cell r="A25" t="str">
            <v>14-O-13</v>
          </cell>
          <cell r="B25" t="str">
            <v>Canon</v>
          </cell>
          <cell r="C25">
            <v>3827150</v>
          </cell>
          <cell r="D25">
            <v>750410</v>
          </cell>
          <cell r="E25" t="e">
            <v>#N/A</v>
          </cell>
          <cell r="F25" t="e">
            <v>#N/A</v>
          </cell>
          <cell r="G25">
            <v>3826660</v>
          </cell>
          <cell r="H25">
            <v>750314</v>
          </cell>
          <cell r="I25" t="str">
            <v xml:space="preserve">Memphis </v>
          </cell>
          <cell r="J25" t="str">
            <v>D-C</v>
          </cell>
          <cell r="K25">
            <v>1</v>
          </cell>
          <cell r="L25" t="str">
            <v>100x30x12</v>
          </cell>
          <cell r="M25">
            <v>12</v>
          </cell>
          <cell r="N25" t="str">
            <v>100x30</v>
          </cell>
          <cell r="O25">
            <v>3000</v>
          </cell>
        </row>
        <row r="26">
          <cell r="A26" t="str">
            <v>15-N-10</v>
          </cell>
          <cell r="B26" t="str">
            <v>Dickerson</v>
          </cell>
          <cell r="C26" t="e">
            <v>#N/A</v>
          </cell>
          <cell r="D26" t="e">
            <v>#N/A</v>
          </cell>
          <cell r="E26" t="e">
            <v>#N/A</v>
          </cell>
          <cell r="F26" t="e">
            <v>#N/A</v>
          </cell>
          <cell r="G26">
            <v>3799260</v>
          </cell>
          <cell r="H26">
            <v>718506</v>
          </cell>
          <cell r="I26" t="str">
            <v>Sunflower Area</v>
          </cell>
          <cell r="J26" t="str">
            <v>F-E</v>
          </cell>
          <cell r="K26">
            <v>1</v>
          </cell>
          <cell r="L26" t="str">
            <v>90x9</v>
          </cell>
          <cell r="M26">
            <v>9</v>
          </cell>
          <cell r="N26">
            <v>90</v>
          </cell>
          <cell r="O26">
            <v>6361.7251235193307</v>
          </cell>
        </row>
        <row r="27">
          <cell r="A27" t="str">
            <v>15-O-12</v>
          </cell>
          <cell r="B27" t="str">
            <v>D'Orr</v>
          </cell>
          <cell r="C27" t="e">
            <v>#N/A</v>
          </cell>
          <cell r="D27" t="e">
            <v>#N/A</v>
          </cell>
          <cell r="E27" t="e">
            <v>#N/A</v>
          </cell>
          <cell r="F27" t="e">
            <v>#N/A</v>
          </cell>
          <cell r="G27">
            <v>3795120</v>
          </cell>
          <cell r="H27">
            <v>747038</v>
          </cell>
          <cell r="I27" t="str">
            <v>Sunflower Area</v>
          </cell>
          <cell r="J27" t="str">
            <v>F-E</v>
          </cell>
          <cell r="K27">
            <v>1</v>
          </cell>
          <cell r="L27" t="str">
            <v>Small mound</v>
          </cell>
        </row>
        <row r="28">
          <cell r="A28" t="str">
            <v>15-O-16</v>
          </cell>
          <cell r="B28" t="str">
            <v>Tidwell</v>
          </cell>
          <cell r="C28" t="e">
            <v>#N/A</v>
          </cell>
          <cell r="D28" t="e">
            <v>#N/A</v>
          </cell>
          <cell r="E28" t="e">
            <v>#N/A</v>
          </cell>
          <cell r="F28" t="e">
            <v>#N/A</v>
          </cell>
          <cell r="G28">
            <v>3798940</v>
          </cell>
          <cell r="H28">
            <v>743878</v>
          </cell>
          <cell r="I28" t="str">
            <v>Sunflower Area</v>
          </cell>
          <cell r="J28" t="str">
            <v>F-E</v>
          </cell>
          <cell r="K28">
            <v>1</v>
          </cell>
          <cell r="L28" t="str">
            <v>60x5</v>
          </cell>
          <cell r="M28">
            <v>5</v>
          </cell>
          <cell r="N28">
            <v>60</v>
          </cell>
          <cell r="O28">
            <v>2827.4333882308138</v>
          </cell>
        </row>
        <row r="29">
          <cell r="A29" t="str">
            <v>15-O-18</v>
          </cell>
          <cell r="B29" t="str">
            <v>Ware</v>
          </cell>
          <cell r="C29" t="e">
            <v>#N/A</v>
          </cell>
          <cell r="D29" t="e">
            <v>#N/A</v>
          </cell>
          <cell r="E29" t="e">
            <v>#N/A</v>
          </cell>
          <cell r="F29" t="e">
            <v>#N/A</v>
          </cell>
          <cell r="G29">
            <v>3793760</v>
          </cell>
          <cell r="H29">
            <v>745014</v>
          </cell>
          <cell r="I29" t="str">
            <v>Sunflower Area</v>
          </cell>
          <cell r="J29" t="str">
            <v>F-E</v>
          </cell>
          <cell r="K29">
            <v>3</v>
          </cell>
          <cell r="L29" t="str">
            <v>45x3, 75x6</v>
          </cell>
          <cell r="M29">
            <v>6</v>
          </cell>
          <cell r="N29">
            <v>75</v>
          </cell>
          <cell r="O29">
            <v>4417.8646691106469</v>
          </cell>
        </row>
        <row r="30">
          <cell r="A30" t="str">
            <v>15-O-2</v>
          </cell>
          <cell r="B30" t="str">
            <v>Barbee</v>
          </cell>
          <cell r="C30" t="e">
            <v>#N/A</v>
          </cell>
          <cell r="D30" t="e">
            <v>#N/A</v>
          </cell>
          <cell r="E30" t="e">
            <v>#N/A</v>
          </cell>
          <cell r="F30" t="e">
            <v>#N/A</v>
          </cell>
          <cell r="G30">
            <v>3812570</v>
          </cell>
          <cell r="H30">
            <v>732861</v>
          </cell>
          <cell r="I30" t="str">
            <v>Sunflower Area</v>
          </cell>
          <cell r="J30" t="str">
            <v>F-E</v>
          </cell>
          <cell r="K30">
            <v>1</v>
          </cell>
          <cell r="L30" t="str">
            <v>100x8</v>
          </cell>
          <cell r="M30">
            <v>8</v>
          </cell>
          <cell r="N30">
            <v>100</v>
          </cell>
          <cell r="O30">
            <v>7853.981633974483</v>
          </cell>
        </row>
        <row r="31">
          <cell r="A31" t="str">
            <v>15-O-7</v>
          </cell>
          <cell r="B31" t="str">
            <v>Prowell</v>
          </cell>
          <cell r="C31" t="e">
            <v>#N/A</v>
          </cell>
          <cell r="D31" t="e">
            <v>#N/A</v>
          </cell>
          <cell r="E31" t="e">
            <v>#N/A</v>
          </cell>
          <cell r="F31" t="e">
            <v>#N/A</v>
          </cell>
          <cell r="G31">
            <v>3793390</v>
          </cell>
          <cell r="H31">
            <v>738262</v>
          </cell>
          <cell r="I31" t="str">
            <v>Sunflower Area</v>
          </cell>
          <cell r="J31" t="str">
            <v>F-E</v>
          </cell>
          <cell r="K31">
            <v>3</v>
          </cell>
          <cell r="L31" t="str">
            <v>3 high, 2 destoryed</v>
          </cell>
        </row>
        <row r="32">
          <cell r="A32" t="str">
            <v>15-P-1</v>
          </cell>
          <cell r="B32" t="str">
            <v>Thomas</v>
          </cell>
          <cell r="C32" t="e">
            <v>#N/A</v>
          </cell>
          <cell r="D32" t="e">
            <v>#N/A</v>
          </cell>
          <cell r="E32" t="e">
            <v>#N/A</v>
          </cell>
          <cell r="F32" t="e">
            <v>#N/A</v>
          </cell>
          <cell r="G32">
            <v>3800320</v>
          </cell>
          <cell r="H32">
            <v>770245</v>
          </cell>
          <cell r="I32" t="str">
            <v>Sunflower Area</v>
          </cell>
          <cell r="J32" t="str">
            <v>F-E</v>
          </cell>
          <cell r="K32">
            <v>1</v>
          </cell>
          <cell r="L32" t="str">
            <v>45x3</v>
          </cell>
          <cell r="M32">
            <v>3</v>
          </cell>
          <cell r="N32">
            <v>45</v>
          </cell>
          <cell r="O32">
            <v>1590.4312808798327</v>
          </cell>
        </row>
        <row r="33">
          <cell r="A33" t="str">
            <v>16-L-5</v>
          </cell>
          <cell r="B33" t="str">
            <v>Brandenburg B</v>
          </cell>
          <cell r="C33" t="e">
            <v>#N/A</v>
          </cell>
          <cell r="D33" t="e">
            <v>#N/A</v>
          </cell>
          <cell r="E33" t="e">
            <v>#N/A</v>
          </cell>
          <cell r="F33" t="e">
            <v>#N/A</v>
          </cell>
          <cell r="G33" t="e">
            <v>#N/A</v>
          </cell>
          <cell r="H33" t="e">
            <v>#N/A</v>
          </cell>
          <cell r="I33" t="str">
            <v xml:space="preserve">Arkansas River </v>
          </cell>
          <cell r="J33" t="str">
            <v>C-B</v>
          </cell>
          <cell r="K33">
            <v>1</v>
          </cell>
          <cell r="L33" t="str">
            <v>50x1.5</v>
          </cell>
          <cell r="M33">
            <v>1.5</v>
          </cell>
          <cell r="N33">
            <v>50</v>
          </cell>
          <cell r="O33">
            <v>1963.4954084936207</v>
          </cell>
        </row>
        <row r="34">
          <cell r="A34" t="str">
            <v>16-N-1</v>
          </cell>
          <cell r="B34" t="str">
            <v>Acree Place</v>
          </cell>
          <cell r="C34" t="e">
            <v>#N/A</v>
          </cell>
          <cell r="D34" t="e">
            <v>#N/A</v>
          </cell>
          <cell r="E34" t="e">
            <v>#N/A</v>
          </cell>
          <cell r="F34" t="e">
            <v>#N/A</v>
          </cell>
          <cell r="G34">
            <v>3775070</v>
          </cell>
          <cell r="H34">
            <v>712291</v>
          </cell>
          <cell r="I34" t="str">
            <v>Sunflower Area</v>
          </cell>
          <cell r="J34" t="str">
            <v>F-E</v>
          </cell>
          <cell r="K34">
            <v>2</v>
          </cell>
          <cell r="L34" t="str">
            <v>100x4, 16x6</v>
          </cell>
          <cell r="M34">
            <v>6</v>
          </cell>
          <cell r="N34">
            <v>100</v>
          </cell>
          <cell r="O34">
            <v>7853.981633974483</v>
          </cell>
        </row>
        <row r="35">
          <cell r="A35" t="str">
            <v>16-N-11</v>
          </cell>
          <cell r="B35" t="str">
            <v>Hopson Bayou</v>
          </cell>
          <cell r="C35" t="e">
            <v>#N/A</v>
          </cell>
          <cell r="D35" t="e">
            <v>#N/A</v>
          </cell>
          <cell r="E35" t="e">
            <v>#N/A</v>
          </cell>
          <cell r="F35" t="e">
            <v>#N/A</v>
          </cell>
          <cell r="G35">
            <v>3770230</v>
          </cell>
          <cell r="H35">
            <v>728068</v>
          </cell>
          <cell r="I35" t="str">
            <v>Sunflower Area</v>
          </cell>
          <cell r="J35" t="str">
            <v>F-E</v>
          </cell>
          <cell r="K35">
            <v>1</v>
          </cell>
          <cell r="L35" t="str">
            <v>40x3</v>
          </cell>
          <cell r="M35">
            <v>3</v>
          </cell>
          <cell r="N35">
            <v>40</v>
          </cell>
          <cell r="O35">
            <v>1256.6370614359173</v>
          </cell>
        </row>
        <row r="36">
          <cell r="A36" t="str">
            <v>16-N-14</v>
          </cell>
          <cell r="B36" t="str">
            <v>Harris Bayou</v>
          </cell>
          <cell r="C36" t="e">
            <v>#N/A</v>
          </cell>
          <cell r="D36" t="e">
            <v>#N/A</v>
          </cell>
          <cell r="E36" t="e">
            <v>#N/A</v>
          </cell>
          <cell r="F36" t="e">
            <v>#N/A</v>
          </cell>
          <cell r="G36">
            <v>3787130</v>
          </cell>
          <cell r="H36">
            <v>713449</v>
          </cell>
          <cell r="I36" t="str">
            <v>Sunflower Area</v>
          </cell>
          <cell r="J36" t="str">
            <v>F-E</v>
          </cell>
          <cell r="K36">
            <v>1</v>
          </cell>
          <cell r="L36" t="str">
            <v>80x5</v>
          </cell>
          <cell r="M36">
            <v>5</v>
          </cell>
          <cell r="N36">
            <v>80</v>
          </cell>
          <cell r="O36">
            <v>5026.5482457436692</v>
          </cell>
        </row>
        <row r="37">
          <cell r="A37" t="str">
            <v>16-N-20</v>
          </cell>
          <cell r="B37" t="str">
            <v>Aderhold</v>
          </cell>
          <cell r="C37" t="e">
            <v>#N/A</v>
          </cell>
          <cell r="D37" t="e">
            <v>#N/A</v>
          </cell>
          <cell r="E37" t="e">
            <v>#N/A</v>
          </cell>
          <cell r="F37" t="e">
            <v>#N/A</v>
          </cell>
          <cell r="G37">
            <v>3786690</v>
          </cell>
          <cell r="H37">
            <v>718565</v>
          </cell>
          <cell r="I37" t="str">
            <v>Sunflower Area</v>
          </cell>
          <cell r="J37" t="str">
            <v>F-E</v>
          </cell>
          <cell r="K37">
            <v>2</v>
          </cell>
          <cell r="L37" t="str">
            <v>Small mounds</v>
          </cell>
        </row>
        <row r="38">
          <cell r="A38" t="str">
            <v>16-N-3</v>
          </cell>
          <cell r="B38" t="str">
            <v>Ellis</v>
          </cell>
          <cell r="C38">
            <v>3491820</v>
          </cell>
          <cell r="D38">
            <v>660360</v>
          </cell>
          <cell r="E38" t="e">
            <v>#N/A</v>
          </cell>
          <cell r="F38" t="e">
            <v>#N/A</v>
          </cell>
          <cell r="G38">
            <v>3779450</v>
          </cell>
          <cell r="H38">
            <v>724608</v>
          </cell>
          <cell r="I38" t="str">
            <v>Sunflower Area</v>
          </cell>
          <cell r="J38" t="str">
            <v>F-E</v>
          </cell>
          <cell r="K38">
            <v>3</v>
          </cell>
          <cell r="L38" t="str">
            <v>100x130x12, 2 destroyed</v>
          </cell>
          <cell r="M38">
            <v>12</v>
          </cell>
          <cell r="N38">
            <v>100</v>
          </cell>
          <cell r="O38">
            <v>7853.981633974483</v>
          </cell>
        </row>
        <row r="39">
          <cell r="A39" t="str">
            <v>16-O-11</v>
          </cell>
          <cell r="B39" t="str">
            <v>Oxbow Bend</v>
          </cell>
          <cell r="C39" t="e">
            <v>#N/A</v>
          </cell>
          <cell r="D39" t="e">
            <v>#N/A</v>
          </cell>
          <cell r="E39" t="e">
            <v>#N/A</v>
          </cell>
          <cell r="F39" t="e">
            <v>#N/A</v>
          </cell>
          <cell r="G39">
            <v>3789290</v>
          </cell>
          <cell r="H39">
            <v>735663</v>
          </cell>
          <cell r="I39" t="str">
            <v>Sunflower Area</v>
          </cell>
          <cell r="J39" t="str">
            <v>D-C</v>
          </cell>
          <cell r="K39">
            <v>1</v>
          </cell>
          <cell r="L39" t="str">
            <v>90x3</v>
          </cell>
          <cell r="M39">
            <v>3</v>
          </cell>
          <cell r="N39">
            <v>90</v>
          </cell>
          <cell r="O39">
            <v>6361.7251235193307</v>
          </cell>
        </row>
        <row r="40">
          <cell r="A40" t="str">
            <v>16-O-14</v>
          </cell>
          <cell r="B40" t="str">
            <v>Stover</v>
          </cell>
          <cell r="C40" t="e">
            <v>#N/A</v>
          </cell>
          <cell r="D40" t="e">
            <v>#N/A</v>
          </cell>
          <cell r="E40" t="e">
            <v>#N/A</v>
          </cell>
          <cell r="F40" t="e">
            <v>#N/A</v>
          </cell>
          <cell r="G40">
            <v>3768900</v>
          </cell>
          <cell r="H40">
            <v>751284</v>
          </cell>
          <cell r="I40" t="str">
            <v>Sunflower Area</v>
          </cell>
          <cell r="J40" t="str">
            <v>G-F</v>
          </cell>
          <cell r="K40">
            <v>1</v>
          </cell>
          <cell r="L40" t="str">
            <v>45x3</v>
          </cell>
          <cell r="M40">
            <v>3</v>
          </cell>
          <cell r="N40">
            <v>45</v>
          </cell>
          <cell r="O40">
            <v>1590.4312808798327</v>
          </cell>
        </row>
        <row r="41">
          <cell r="A41" t="str">
            <v>16-O-15</v>
          </cell>
          <cell r="B41" t="str">
            <v>Garner</v>
          </cell>
          <cell r="C41" t="e">
            <v>#N/A</v>
          </cell>
          <cell r="D41" t="e">
            <v>#N/A</v>
          </cell>
          <cell r="E41" t="e">
            <v>#N/A</v>
          </cell>
          <cell r="F41" t="e">
            <v>#N/A</v>
          </cell>
          <cell r="G41">
            <v>3773320</v>
          </cell>
          <cell r="H41">
            <v>733696</v>
          </cell>
          <cell r="I41" t="str">
            <v>Sunflower Area</v>
          </cell>
          <cell r="J41" t="str">
            <v>G-F</v>
          </cell>
          <cell r="K41">
            <v>1</v>
          </cell>
          <cell r="L41" t="str">
            <v>75x5</v>
          </cell>
          <cell r="M41">
            <v>5</v>
          </cell>
          <cell r="N41">
            <v>75</v>
          </cell>
          <cell r="O41">
            <v>4417.8646691106469</v>
          </cell>
        </row>
        <row r="42">
          <cell r="A42" t="str">
            <v>16-O-16</v>
          </cell>
          <cell r="B42" t="str">
            <v>Flower</v>
          </cell>
          <cell r="C42" t="e">
            <v>#N/A</v>
          </cell>
          <cell r="D42" t="e">
            <v>#N/A</v>
          </cell>
          <cell r="E42" t="e">
            <v>#N/A</v>
          </cell>
          <cell r="F42" t="e">
            <v>#N/A</v>
          </cell>
          <cell r="G42">
            <v>3771220</v>
          </cell>
          <cell r="H42">
            <v>734081</v>
          </cell>
          <cell r="I42" t="str">
            <v>Sunflower Area</v>
          </cell>
          <cell r="J42" t="str">
            <v>F-E</v>
          </cell>
          <cell r="K42">
            <v>1</v>
          </cell>
          <cell r="L42" t="str">
            <v>very small mound</v>
          </cell>
        </row>
        <row r="43">
          <cell r="A43" t="str">
            <v>16-O-3</v>
          </cell>
          <cell r="B43" t="str">
            <v>Everett</v>
          </cell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>
            <v>3767380</v>
          </cell>
          <cell r="H43">
            <v>740305</v>
          </cell>
          <cell r="I43" t="str">
            <v>Sunflower Area</v>
          </cell>
          <cell r="J43" t="str">
            <v>F-E</v>
          </cell>
          <cell r="K43">
            <v>2</v>
          </cell>
          <cell r="L43" t="str">
            <v>60x5, 40x3</v>
          </cell>
          <cell r="M43">
            <v>5</v>
          </cell>
          <cell r="N43">
            <v>60</v>
          </cell>
          <cell r="O43">
            <v>2827.4333882308138</v>
          </cell>
        </row>
        <row r="44">
          <cell r="A44" t="str">
            <v>16-O-7</v>
          </cell>
          <cell r="B44" t="str">
            <v>Henderson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>
            <v>3781730</v>
          </cell>
          <cell r="H44">
            <v>737614</v>
          </cell>
          <cell r="I44" t="str">
            <v>Sunflower Area</v>
          </cell>
          <cell r="J44" t="str">
            <v>G-F</v>
          </cell>
          <cell r="K44">
            <v>1</v>
          </cell>
          <cell r="L44" t="str">
            <v>30x2, 75x5</v>
          </cell>
          <cell r="M44">
            <v>5</v>
          </cell>
          <cell r="N44">
            <v>75</v>
          </cell>
          <cell r="O44">
            <v>4417.8646691106469</v>
          </cell>
        </row>
        <row r="45">
          <cell r="A45" t="str">
            <v>16-P-1</v>
          </cell>
          <cell r="B45" t="str">
            <v>Charleston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>
            <v>3766640</v>
          </cell>
          <cell r="H45">
            <v>771187</v>
          </cell>
          <cell r="I45" t="str">
            <v>Sunflower Area</v>
          </cell>
          <cell r="J45" t="str">
            <v>D-C</v>
          </cell>
          <cell r="K45">
            <v>3</v>
          </cell>
          <cell r="L45" t="str">
            <v>150x15, 60x5, 90x6</v>
          </cell>
          <cell r="M45">
            <v>15</v>
          </cell>
          <cell r="N45">
            <v>150</v>
          </cell>
          <cell r="O45">
            <v>17671.458676442588</v>
          </cell>
        </row>
        <row r="46">
          <cell r="A46" t="str">
            <v>16-P-3</v>
          </cell>
          <cell r="B46" t="str">
            <v>Twin Lakes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>
            <v>3783870</v>
          </cell>
          <cell r="H46">
            <v>757671</v>
          </cell>
          <cell r="I46" t="str">
            <v>Sunflower Area</v>
          </cell>
          <cell r="J46" t="str">
            <v>G-F</v>
          </cell>
          <cell r="K46">
            <v>2</v>
          </cell>
          <cell r="L46" t="str">
            <v>Several low dome shaped mounds</v>
          </cell>
        </row>
        <row r="47">
          <cell r="A47" t="str">
            <v>16-P-8</v>
          </cell>
          <cell r="B47" t="str">
            <v>Blue Lake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>
            <v>3779450</v>
          </cell>
          <cell r="H47">
            <v>757541</v>
          </cell>
          <cell r="I47" t="str">
            <v>Sunflower Area</v>
          </cell>
          <cell r="J47" t="str">
            <v>F-E</v>
          </cell>
          <cell r="K47">
            <v>2</v>
          </cell>
          <cell r="L47" t="str">
            <v>plowed down</v>
          </cell>
        </row>
        <row r="48">
          <cell r="A48" t="str">
            <v>17-K-6</v>
          </cell>
          <cell r="B48" t="str">
            <v>Bond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>
            <v>3740130</v>
          </cell>
          <cell r="H48">
            <v>659546</v>
          </cell>
          <cell r="I48" t="str">
            <v xml:space="preserve">Arkansas River </v>
          </cell>
          <cell r="J48" t="str">
            <v>F-E</v>
          </cell>
          <cell r="K48">
            <v>1</v>
          </cell>
          <cell r="L48" t="str">
            <v>50x4</v>
          </cell>
          <cell r="M48">
            <v>4</v>
          </cell>
          <cell r="N48">
            <v>50</v>
          </cell>
          <cell r="O48">
            <v>1963.4954084936207</v>
          </cell>
        </row>
        <row r="49">
          <cell r="A49" t="str">
            <v>17-M-13</v>
          </cell>
          <cell r="B49" t="str">
            <v>Boles Lake</v>
          </cell>
          <cell r="C49" t="e">
            <v>#N/A</v>
          </cell>
          <cell r="D49" t="e">
            <v>#N/A</v>
          </cell>
          <cell r="E49" t="e">
            <v>#N/A</v>
          </cell>
          <cell r="F49" t="e">
            <v>#N/A</v>
          </cell>
          <cell r="G49">
            <v>3745220</v>
          </cell>
          <cell r="H49">
            <v>689311</v>
          </cell>
          <cell r="I49" t="str">
            <v>Sunflower Area</v>
          </cell>
          <cell r="J49" t="str">
            <v>G-F</v>
          </cell>
          <cell r="K49">
            <v>1</v>
          </cell>
          <cell r="L49" t="str">
            <v>60x9</v>
          </cell>
          <cell r="M49">
            <v>9</v>
          </cell>
          <cell r="N49">
            <v>60</v>
          </cell>
          <cell r="O49">
            <v>2827.4333882308138</v>
          </cell>
        </row>
        <row r="50">
          <cell r="A50" t="str">
            <v>17-M-14</v>
          </cell>
          <cell r="B50" t="str">
            <v>Bonkin Bayou</v>
          </cell>
          <cell r="C50" t="e">
            <v>#N/A</v>
          </cell>
          <cell r="D50" t="e">
            <v>#N/A</v>
          </cell>
          <cell r="E50" t="e">
            <v>#N/A</v>
          </cell>
          <cell r="F50" t="e">
            <v>#N/A</v>
          </cell>
          <cell r="G50">
            <v>3748200</v>
          </cell>
          <cell r="H50">
            <v>687720</v>
          </cell>
          <cell r="I50" t="str">
            <v>Sunflower Area</v>
          </cell>
          <cell r="J50" t="str">
            <v>D-C</v>
          </cell>
          <cell r="K50">
            <v>1</v>
          </cell>
          <cell r="L50" t="str">
            <v>50x6</v>
          </cell>
          <cell r="M50">
            <v>6</v>
          </cell>
          <cell r="N50">
            <v>50</v>
          </cell>
          <cell r="O50">
            <v>1963.4954084936207</v>
          </cell>
        </row>
        <row r="51">
          <cell r="A51" t="str">
            <v>17-N-15</v>
          </cell>
          <cell r="B51" t="str">
            <v>Cook</v>
          </cell>
          <cell r="C51" t="e">
            <v>#N/A</v>
          </cell>
          <cell r="D51" t="e">
            <v>#N/A</v>
          </cell>
          <cell r="E51" t="e">
            <v>#N/A</v>
          </cell>
          <cell r="F51" t="e">
            <v>#N/A</v>
          </cell>
          <cell r="G51">
            <v>3746290</v>
          </cell>
          <cell r="H51">
            <v>716142</v>
          </cell>
          <cell r="I51" t="str">
            <v>Sunflower Area</v>
          </cell>
          <cell r="J51" t="str">
            <v>D-C</v>
          </cell>
          <cell r="K51">
            <v>2</v>
          </cell>
          <cell r="L51" t="str">
            <v>45x3, 30x1</v>
          </cell>
          <cell r="M51">
            <v>3</v>
          </cell>
          <cell r="N51">
            <v>45</v>
          </cell>
          <cell r="O51">
            <v>1590.4312808798327</v>
          </cell>
        </row>
        <row r="52">
          <cell r="A52" t="str">
            <v>17-N-16</v>
          </cell>
          <cell r="B52" t="str">
            <v>Wilnot</v>
          </cell>
          <cell r="C52" t="e">
            <v>#N/A</v>
          </cell>
          <cell r="D52" t="e">
            <v>#N/A</v>
          </cell>
          <cell r="E52" t="e">
            <v>#N/A</v>
          </cell>
          <cell r="F52" t="e">
            <v>#N/A</v>
          </cell>
          <cell r="G52">
            <v>3744300</v>
          </cell>
          <cell r="H52">
            <v>714802</v>
          </cell>
          <cell r="I52" t="str">
            <v>Sunflower Area</v>
          </cell>
          <cell r="J52" t="str">
            <v>G-F</v>
          </cell>
          <cell r="K52">
            <v>1</v>
          </cell>
          <cell r="L52" t="str">
            <v>60x3</v>
          </cell>
          <cell r="M52">
            <v>3</v>
          </cell>
          <cell r="N52">
            <v>60</v>
          </cell>
          <cell r="O52">
            <v>2827.4333882308138</v>
          </cell>
        </row>
        <row r="53">
          <cell r="A53" t="str">
            <v>17-N-18</v>
          </cell>
          <cell r="B53" t="str">
            <v>Joe Smith</v>
          </cell>
          <cell r="C53" t="e">
            <v>#N/A</v>
          </cell>
          <cell r="D53" t="e">
            <v>#N/A</v>
          </cell>
          <cell r="E53" t="e">
            <v>#N/A</v>
          </cell>
          <cell r="F53" t="e">
            <v>#N/A</v>
          </cell>
          <cell r="G53">
            <v>3742890</v>
          </cell>
          <cell r="H53">
            <v>717750</v>
          </cell>
          <cell r="I53" t="str">
            <v>Sunflower Area</v>
          </cell>
          <cell r="J53" t="str">
            <v>F-E</v>
          </cell>
          <cell r="K53">
            <v>1</v>
          </cell>
          <cell r="L53" t="str">
            <v>75x25x6</v>
          </cell>
          <cell r="M53">
            <v>6</v>
          </cell>
          <cell r="N53">
            <v>75</v>
          </cell>
          <cell r="O53">
            <v>4417.8646691106469</v>
          </cell>
        </row>
        <row r="54">
          <cell r="A54" t="str">
            <v>17-N-5</v>
          </cell>
          <cell r="B54" t="str">
            <v>May</v>
          </cell>
          <cell r="C54" t="e">
            <v>#N/A</v>
          </cell>
          <cell r="D54" t="e">
            <v>#N/A</v>
          </cell>
          <cell r="E54" t="e">
            <v>#N/A</v>
          </cell>
          <cell r="F54" t="e">
            <v>#N/A</v>
          </cell>
          <cell r="G54">
            <v>3757850</v>
          </cell>
          <cell r="H54">
            <v>718743</v>
          </cell>
          <cell r="I54" t="str">
            <v>Sunflower Area</v>
          </cell>
          <cell r="J54" t="str">
            <v>D-C</v>
          </cell>
          <cell r="K54">
            <v>1</v>
          </cell>
          <cell r="L54" t="str">
            <v>100x3 (plowed)</v>
          </cell>
          <cell r="M54">
            <v>3</v>
          </cell>
          <cell r="N54">
            <v>100</v>
          </cell>
          <cell r="O54">
            <v>7853.981633974483</v>
          </cell>
        </row>
        <row r="55">
          <cell r="A55" t="str">
            <v>17-N-8</v>
          </cell>
          <cell r="B55" t="str">
            <v>Boyer</v>
          </cell>
          <cell r="C55" t="e">
            <v>#N/A</v>
          </cell>
          <cell r="D55" t="e">
            <v>#N/A</v>
          </cell>
          <cell r="E55" t="e">
            <v>#N/A</v>
          </cell>
          <cell r="F55" t="e">
            <v>#N/A</v>
          </cell>
          <cell r="G55">
            <v>3746770</v>
          </cell>
          <cell r="H55">
            <v>720805</v>
          </cell>
          <cell r="I55" t="str">
            <v>Sunflower Area</v>
          </cell>
          <cell r="J55" t="str">
            <v>F-E</v>
          </cell>
          <cell r="K55">
            <v>1</v>
          </cell>
          <cell r="L55" t="str">
            <v>100x9</v>
          </cell>
          <cell r="M55">
            <v>9</v>
          </cell>
          <cell r="N55">
            <v>100</v>
          </cell>
          <cell r="O55">
            <v>7853.981633974483</v>
          </cell>
        </row>
        <row r="56">
          <cell r="A56" t="str">
            <v>17-O-11</v>
          </cell>
          <cell r="B56" t="str">
            <v>Cassidy Bayou</v>
          </cell>
          <cell r="C56" t="e">
            <v>#N/A</v>
          </cell>
          <cell r="D56" t="e">
            <v>#N/A</v>
          </cell>
          <cell r="E56" t="e">
            <v>#N/A</v>
          </cell>
          <cell r="F56" t="e">
            <v>#N/A</v>
          </cell>
          <cell r="G56">
            <v>3760620</v>
          </cell>
          <cell r="H56">
            <v>747168</v>
          </cell>
          <cell r="I56" t="str">
            <v>Sunflower Area</v>
          </cell>
          <cell r="J56" t="str">
            <v>F-E</v>
          </cell>
          <cell r="K56">
            <v>1</v>
          </cell>
          <cell r="L56" t="str">
            <v>90x9, 55x5, 45x3</v>
          </cell>
          <cell r="M56">
            <v>9</v>
          </cell>
          <cell r="N56">
            <v>90</v>
          </cell>
          <cell r="O56">
            <v>6361.7251235193307</v>
          </cell>
        </row>
        <row r="57">
          <cell r="A57" t="str">
            <v>18-K-2</v>
          </cell>
          <cell r="B57" t="str">
            <v>Westlake</v>
          </cell>
          <cell r="C57" t="e">
            <v>#N/A</v>
          </cell>
          <cell r="D57" t="e">
            <v>#N/A</v>
          </cell>
          <cell r="E57" t="e">
            <v>#N/A</v>
          </cell>
          <cell r="F57" t="e">
            <v>#N/A</v>
          </cell>
          <cell r="G57">
            <v>3712740</v>
          </cell>
          <cell r="H57">
            <v>655034</v>
          </cell>
          <cell r="I57" t="str">
            <v xml:space="preserve">Arkansas River </v>
          </cell>
          <cell r="J57" t="str">
            <v>F-E</v>
          </cell>
          <cell r="K57">
            <v>2</v>
          </cell>
          <cell r="L57" t="str">
            <v>30x3, 40x1</v>
          </cell>
          <cell r="M57">
            <v>3</v>
          </cell>
          <cell r="N57">
            <v>30</v>
          </cell>
          <cell r="O57">
            <v>706.85834705770344</v>
          </cell>
        </row>
        <row r="58">
          <cell r="A58" t="str">
            <v>18-M-1</v>
          </cell>
          <cell r="B58" t="str">
            <v>Porter Bayou</v>
          </cell>
          <cell r="C58" t="e">
            <v>#N/A</v>
          </cell>
          <cell r="D58" t="e">
            <v>#N/A</v>
          </cell>
          <cell r="E58" t="e">
            <v>#N/A</v>
          </cell>
          <cell r="F58" t="e">
            <v>#N/A</v>
          </cell>
          <cell r="G58">
            <v>3716990</v>
          </cell>
          <cell r="H58">
            <v>704900</v>
          </cell>
          <cell r="I58" t="str">
            <v>Yazoo Area</v>
          </cell>
          <cell r="J58" t="str">
            <v>F-E</v>
          </cell>
          <cell r="K58">
            <v>3</v>
          </cell>
          <cell r="L58" t="str">
            <v>70x120x12, 45x3</v>
          </cell>
          <cell r="M58">
            <v>12</v>
          </cell>
          <cell r="N58" t="str">
            <v>17x120</v>
          </cell>
          <cell r="O58">
            <v>2040</v>
          </cell>
        </row>
        <row r="59">
          <cell r="A59" t="str">
            <v>18-M-5</v>
          </cell>
          <cell r="B59" t="str">
            <v>Brooks</v>
          </cell>
          <cell r="C59" t="e">
            <v>#N/A</v>
          </cell>
          <cell r="D59" t="e">
            <v>#N/A</v>
          </cell>
          <cell r="E59" t="e">
            <v>#N/A</v>
          </cell>
          <cell r="F59" t="e">
            <v>#N/A</v>
          </cell>
          <cell r="G59">
            <v>3734470</v>
          </cell>
          <cell r="H59">
            <v>695292</v>
          </cell>
          <cell r="I59" t="str">
            <v>Sunflower Area</v>
          </cell>
          <cell r="J59" t="str">
            <v>D-C</v>
          </cell>
          <cell r="K59">
            <v>1</v>
          </cell>
          <cell r="L59" t="str">
            <v>120x75x10</v>
          </cell>
          <cell r="M59">
            <v>10</v>
          </cell>
          <cell r="N59" t="str">
            <v>120x75</v>
          </cell>
          <cell r="O59">
            <v>9000</v>
          </cell>
        </row>
        <row r="60">
          <cell r="A60" t="str">
            <v>18-N-2</v>
          </cell>
          <cell r="B60" t="str">
            <v>Marlow Cemeter</v>
          </cell>
          <cell r="C60" t="e">
            <v>#N/A</v>
          </cell>
          <cell r="D60" t="e">
            <v>#N/A</v>
          </cell>
          <cell r="E60" t="e">
            <v>#N/A</v>
          </cell>
          <cell r="F60" t="e">
            <v>#N/A</v>
          </cell>
          <cell r="G60">
            <v>3734730</v>
          </cell>
          <cell r="H60">
            <v>725412</v>
          </cell>
          <cell r="I60" t="str">
            <v>Sunflower Area</v>
          </cell>
          <cell r="J60" t="str">
            <v>D-C</v>
          </cell>
          <cell r="K60">
            <v>1</v>
          </cell>
          <cell r="L60" t="str">
            <v>60x8</v>
          </cell>
          <cell r="M60">
            <v>8</v>
          </cell>
          <cell r="N60">
            <v>60</v>
          </cell>
          <cell r="O60">
            <v>2827.4333882308138</v>
          </cell>
        </row>
        <row r="61">
          <cell r="A61" t="str">
            <v>19-N-3</v>
          </cell>
          <cell r="B61" t="str">
            <v>Bay Lake</v>
          </cell>
          <cell r="C61" t="e">
            <v>#N/A</v>
          </cell>
          <cell r="D61" t="e">
            <v>#N/A</v>
          </cell>
          <cell r="E61">
            <v>33.393749999999997</v>
          </cell>
          <cell r="F61">
            <v>-90.723163</v>
          </cell>
          <cell r="G61">
            <v>3694960</v>
          </cell>
          <cell r="H61">
            <v>711987</v>
          </cell>
          <cell r="I61" t="str">
            <v>Yazoo Area</v>
          </cell>
          <cell r="J61" t="str">
            <v>C-B</v>
          </cell>
          <cell r="K61">
            <v>4</v>
          </cell>
          <cell r="L61" t="str">
            <v>unknown</v>
          </cell>
        </row>
      </sheetData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">
          <cell r="A1" t="str">
            <v>Name</v>
          </cell>
          <cell r="B1" t="str">
            <v>Present</v>
          </cell>
        </row>
        <row r="2">
          <cell r="A2" t="str">
            <v>Charleston</v>
          </cell>
          <cell r="B2">
            <v>1</v>
          </cell>
        </row>
        <row r="3">
          <cell r="A3" t="str">
            <v>Crosno</v>
          </cell>
          <cell r="B3">
            <v>1</v>
          </cell>
        </row>
        <row r="4">
          <cell r="A4" t="str">
            <v>Baker</v>
          </cell>
          <cell r="B4">
            <v>1</v>
          </cell>
        </row>
        <row r="5">
          <cell r="A5" t="str">
            <v>Beckwith's Fort</v>
          </cell>
          <cell r="B5">
            <v>1</v>
          </cell>
        </row>
        <row r="6">
          <cell r="A6" t="str">
            <v>Gold Fields</v>
          </cell>
          <cell r="B6">
            <v>1</v>
          </cell>
        </row>
        <row r="7">
          <cell r="A7" t="str">
            <v>Hunter Place</v>
          </cell>
          <cell r="B7">
            <v>1</v>
          </cell>
        </row>
        <row r="8">
          <cell r="A8" t="str">
            <v>Double Bridges</v>
          </cell>
          <cell r="B8">
            <v>1</v>
          </cell>
        </row>
        <row r="9">
          <cell r="A9" t="str">
            <v>Stewart</v>
          </cell>
          <cell r="B9">
            <v>1</v>
          </cell>
        </row>
        <row r="10">
          <cell r="A10" t="str">
            <v>Ingram River</v>
          </cell>
          <cell r="B10">
            <v>1</v>
          </cell>
        </row>
        <row r="11">
          <cell r="A11" t="str">
            <v>Caruthersville</v>
          </cell>
          <cell r="B11">
            <v>1</v>
          </cell>
        </row>
        <row r="12">
          <cell r="A12" t="str">
            <v>Canady</v>
          </cell>
          <cell r="B12">
            <v>1</v>
          </cell>
        </row>
        <row r="13">
          <cell r="A13" t="str">
            <v>Turnage</v>
          </cell>
          <cell r="B13">
            <v>1</v>
          </cell>
        </row>
        <row r="14">
          <cell r="A14" t="str">
            <v>Nettle Ridge</v>
          </cell>
          <cell r="B14">
            <v>1</v>
          </cell>
        </row>
        <row r="15">
          <cell r="A15" t="str">
            <v>Emory</v>
          </cell>
          <cell r="B15">
            <v>1</v>
          </cell>
        </row>
        <row r="16">
          <cell r="A16" t="str">
            <v>Lewis</v>
          </cell>
          <cell r="B16">
            <v>1</v>
          </cell>
        </row>
        <row r="17">
          <cell r="A17" t="str">
            <v>Beckles</v>
          </cell>
          <cell r="B17">
            <v>1</v>
          </cell>
        </row>
        <row r="18">
          <cell r="A18" t="str">
            <v>Dent</v>
          </cell>
          <cell r="B18">
            <v>1</v>
          </cell>
        </row>
        <row r="19">
          <cell r="A19" t="str">
            <v>Lansing</v>
          </cell>
          <cell r="B19">
            <v>1</v>
          </cell>
        </row>
        <row r="20">
          <cell r="A20" t="str">
            <v>Block</v>
          </cell>
          <cell r="B20">
            <v>1</v>
          </cell>
        </row>
        <row r="21">
          <cell r="A21" t="str">
            <v>Gilliland</v>
          </cell>
          <cell r="B21">
            <v>1</v>
          </cell>
        </row>
        <row r="22">
          <cell r="A22" t="str">
            <v>Pouncey</v>
          </cell>
          <cell r="B22">
            <v>1</v>
          </cell>
        </row>
        <row r="23">
          <cell r="A23" t="str">
            <v>Green Rivery</v>
          </cell>
          <cell r="B23">
            <v>1</v>
          </cell>
        </row>
        <row r="24">
          <cell r="A24" t="str">
            <v>Findley</v>
          </cell>
          <cell r="B24">
            <v>1</v>
          </cell>
        </row>
        <row r="25">
          <cell r="A25" t="str">
            <v>Kent</v>
          </cell>
          <cell r="B25">
            <v>1</v>
          </cell>
        </row>
        <row r="26">
          <cell r="A26" t="str">
            <v>Indian Creek</v>
          </cell>
          <cell r="B26">
            <v>1</v>
          </cell>
        </row>
        <row r="27">
          <cell r="A27" t="str">
            <v>Murdock</v>
          </cell>
          <cell r="B27">
            <v>1</v>
          </cell>
        </row>
        <row r="28">
          <cell r="A28" t="str">
            <v>Golightly</v>
          </cell>
          <cell r="B28">
            <v>1</v>
          </cell>
        </row>
        <row r="29">
          <cell r="A29" t="str">
            <v>Riverside</v>
          </cell>
          <cell r="B29">
            <v>1</v>
          </cell>
        </row>
        <row r="30">
          <cell r="A30" t="str">
            <v>Rawlinson</v>
          </cell>
          <cell r="B30">
            <v>1</v>
          </cell>
        </row>
        <row r="31">
          <cell r="A31" t="str">
            <v>Parks</v>
          </cell>
          <cell r="B31">
            <v>1</v>
          </cell>
        </row>
        <row r="32">
          <cell r="A32" t="str">
            <v>Lansing</v>
          </cell>
          <cell r="B32">
            <v>1</v>
          </cell>
        </row>
        <row r="33">
          <cell r="A33" t="str">
            <v>Beckles</v>
          </cell>
          <cell r="B33">
            <v>1</v>
          </cell>
        </row>
        <row r="34">
          <cell r="A34" t="str">
            <v>Hughes</v>
          </cell>
          <cell r="B34">
            <v>1</v>
          </cell>
        </row>
        <row r="35">
          <cell r="A35" t="str">
            <v>Connor</v>
          </cell>
          <cell r="B35">
            <v>1</v>
          </cell>
        </row>
        <row r="36">
          <cell r="A36" t="str">
            <v>Greer</v>
          </cell>
          <cell r="B36">
            <v>1</v>
          </cell>
        </row>
        <row r="37">
          <cell r="A37" t="str">
            <v>Grant</v>
          </cell>
          <cell r="B37">
            <v>1</v>
          </cell>
        </row>
        <row r="38">
          <cell r="A38" t="str">
            <v>Evansville</v>
          </cell>
          <cell r="B38">
            <v>1</v>
          </cell>
        </row>
        <row r="39">
          <cell r="A39" t="str">
            <v>Owens</v>
          </cell>
          <cell r="B39">
            <v>1</v>
          </cell>
        </row>
        <row r="40">
          <cell r="A40" t="str">
            <v>Canon</v>
          </cell>
          <cell r="B40">
            <v>1</v>
          </cell>
        </row>
        <row r="41">
          <cell r="A41" t="str">
            <v>Salomon</v>
          </cell>
          <cell r="B41">
            <v>1</v>
          </cell>
        </row>
        <row r="42">
          <cell r="A42" t="str">
            <v>Whiting</v>
          </cell>
          <cell r="B42">
            <v>1</v>
          </cell>
        </row>
        <row r="43">
          <cell r="A43" t="str">
            <v>D'Orr</v>
          </cell>
          <cell r="B43">
            <v>1</v>
          </cell>
        </row>
        <row r="44">
          <cell r="A44" t="str">
            <v>Prowell</v>
          </cell>
          <cell r="B44">
            <v>1</v>
          </cell>
        </row>
        <row r="45">
          <cell r="A45" t="str">
            <v>Bobo</v>
          </cell>
          <cell r="B45">
            <v>1</v>
          </cell>
        </row>
        <row r="46">
          <cell r="A46" t="str">
            <v>Mattson</v>
          </cell>
          <cell r="B46">
            <v>1</v>
          </cell>
        </row>
        <row r="47">
          <cell r="A47" t="str">
            <v>Garner</v>
          </cell>
          <cell r="B47">
            <v>1</v>
          </cell>
        </row>
        <row r="48">
          <cell r="A48" t="str">
            <v>Doady</v>
          </cell>
          <cell r="B48">
            <v>1</v>
          </cell>
        </row>
        <row r="49">
          <cell r="A49" t="str">
            <v>Oliver</v>
          </cell>
          <cell r="B49">
            <v>1</v>
          </cell>
        </row>
        <row r="50">
          <cell r="A50" t="str">
            <v>Buford</v>
          </cell>
          <cell r="B50">
            <v>1</v>
          </cell>
        </row>
        <row r="51">
          <cell r="A51" t="str">
            <v>Rome</v>
          </cell>
          <cell r="B51">
            <v>1</v>
          </cell>
        </row>
        <row r="52">
          <cell r="A52" t="str">
            <v>Falls</v>
          </cell>
          <cell r="B52">
            <v>1</v>
          </cell>
        </row>
        <row r="53">
          <cell r="A53" t="str">
            <v>Monroe</v>
          </cell>
          <cell r="B53">
            <v>1</v>
          </cell>
        </row>
        <row r="54">
          <cell r="A54" t="str">
            <v>Reynolds</v>
          </cell>
          <cell r="B54">
            <v>1</v>
          </cell>
        </row>
        <row r="55">
          <cell r="A55" t="str">
            <v>Acree</v>
          </cell>
          <cell r="B55">
            <v>1</v>
          </cell>
        </row>
        <row r="56">
          <cell r="A56" t="str">
            <v>Harris Bayou</v>
          </cell>
          <cell r="B56">
            <v>1</v>
          </cell>
        </row>
        <row r="57">
          <cell r="A57" t="str">
            <v>Rufus Davis</v>
          </cell>
          <cell r="B57">
            <v>1</v>
          </cell>
        </row>
        <row r="58">
          <cell r="A58" t="str">
            <v>Carson</v>
          </cell>
          <cell r="B58">
            <v>1</v>
          </cell>
        </row>
        <row r="59">
          <cell r="A59" t="str">
            <v>Baytown</v>
          </cell>
          <cell r="B59">
            <v>1</v>
          </cell>
        </row>
        <row r="60">
          <cell r="A60" t="str">
            <v>Dickerson</v>
          </cell>
          <cell r="B60">
            <v>1</v>
          </cell>
        </row>
        <row r="61">
          <cell r="A61" t="str">
            <v>Alligator</v>
          </cell>
          <cell r="B61">
            <v>1</v>
          </cell>
        </row>
        <row r="62">
          <cell r="A62" t="str">
            <v>Tomanelli</v>
          </cell>
          <cell r="B62">
            <v>1</v>
          </cell>
        </row>
        <row r="63">
          <cell r="A63" t="str">
            <v>Massey</v>
          </cell>
          <cell r="B63">
            <v>1</v>
          </cell>
        </row>
        <row r="64">
          <cell r="A64" t="str">
            <v>Toltec</v>
          </cell>
          <cell r="B64">
            <v>1</v>
          </cell>
        </row>
        <row r="65">
          <cell r="A65" t="str">
            <v>Walt</v>
          </cell>
          <cell r="B65">
            <v>1</v>
          </cell>
        </row>
        <row r="66">
          <cell r="A66" t="str">
            <v>Almond</v>
          </cell>
          <cell r="B66">
            <v>1</v>
          </cell>
        </row>
        <row r="67">
          <cell r="A67" t="str">
            <v>Menard</v>
          </cell>
          <cell r="B67">
            <v>1</v>
          </cell>
        </row>
        <row r="68">
          <cell r="A68" t="str">
            <v>Poor</v>
          </cell>
          <cell r="B68">
            <v>1</v>
          </cell>
        </row>
        <row r="69">
          <cell r="A69" t="str">
            <v>Bear Ridge</v>
          </cell>
          <cell r="B69">
            <v>1</v>
          </cell>
        </row>
        <row r="70">
          <cell r="A70" t="str">
            <v>Roosevelt</v>
          </cell>
          <cell r="B70">
            <v>1</v>
          </cell>
        </row>
        <row r="71">
          <cell r="A71" t="str">
            <v>Merigold</v>
          </cell>
          <cell r="B71">
            <v>1</v>
          </cell>
        </row>
        <row r="72">
          <cell r="A72" t="str">
            <v>Reynolds</v>
          </cell>
          <cell r="B72">
            <v>1</v>
          </cell>
        </row>
        <row r="73">
          <cell r="A73" t="str">
            <v>Monroe</v>
          </cell>
          <cell r="B73">
            <v>1</v>
          </cell>
        </row>
        <row r="74">
          <cell r="A74" t="str">
            <v>Boles Lake</v>
          </cell>
          <cell r="B74">
            <v>1</v>
          </cell>
        </row>
        <row r="75">
          <cell r="A75" t="str">
            <v>Cook</v>
          </cell>
          <cell r="B75">
            <v>1</v>
          </cell>
        </row>
        <row r="76">
          <cell r="A76" t="str">
            <v>Alma Brown</v>
          </cell>
          <cell r="B76">
            <v>1</v>
          </cell>
        </row>
        <row r="77">
          <cell r="A77" t="str">
            <v>Wynn</v>
          </cell>
          <cell r="B77">
            <v>1</v>
          </cell>
        </row>
        <row r="78">
          <cell r="A78" t="str">
            <v>Bush</v>
          </cell>
          <cell r="B78">
            <v>1</v>
          </cell>
        </row>
        <row r="79">
          <cell r="A79" t="str">
            <v>Rome</v>
          </cell>
          <cell r="B79">
            <v>1</v>
          </cell>
        </row>
        <row r="80">
          <cell r="A80" t="str">
            <v>McGehee</v>
          </cell>
          <cell r="B80">
            <v>1</v>
          </cell>
        </row>
        <row r="81">
          <cell r="A81" t="str">
            <v>Ely</v>
          </cell>
          <cell r="B81">
            <v>1</v>
          </cell>
        </row>
        <row r="82">
          <cell r="A82" t="str">
            <v>Ash Bayou</v>
          </cell>
          <cell r="B82">
            <v>1</v>
          </cell>
        </row>
        <row r="83">
          <cell r="A83" t="str">
            <v>Silver Lake</v>
          </cell>
          <cell r="B83">
            <v>1</v>
          </cell>
        </row>
        <row r="84">
          <cell r="A84" t="str">
            <v>Cold Lake</v>
          </cell>
          <cell r="B84">
            <v>1</v>
          </cell>
        </row>
        <row r="85">
          <cell r="A85" t="str">
            <v>Jaketown</v>
          </cell>
          <cell r="B85">
            <v>1</v>
          </cell>
        </row>
        <row r="86">
          <cell r="A86" t="str">
            <v>Kinlock</v>
          </cell>
          <cell r="B86">
            <v>1</v>
          </cell>
        </row>
        <row r="87">
          <cell r="A87" t="str">
            <v>Shellwood</v>
          </cell>
          <cell r="B87">
            <v>1</v>
          </cell>
        </row>
        <row r="88">
          <cell r="A88" t="str">
            <v>Mt. Helena</v>
          </cell>
          <cell r="B88">
            <v>1</v>
          </cell>
        </row>
        <row r="89">
          <cell r="A89" t="str">
            <v>Bethlehem</v>
          </cell>
          <cell r="B89">
            <v>1</v>
          </cell>
        </row>
        <row r="90">
          <cell r="A90" t="str">
            <v>Head</v>
          </cell>
          <cell r="B90">
            <v>1</v>
          </cell>
        </row>
        <row r="91">
          <cell r="A91" t="str">
            <v>Bear Garden</v>
          </cell>
          <cell r="B91">
            <v>1</v>
          </cell>
        </row>
        <row r="92">
          <cell r="A92" t="str">
            <v>Lessiedell</v>
          </cell>
          <cell r="B92">
            <v>1</v>
          </cell>
        </row>
        <row r="93">
          <cell r="A93" t="str">
            <v>Swan Lake</v>
          </cell>
          <cell r="B93">
            <v>1</v>
          </cell>
        </row>
        <row r="94">
          <cell r="A94" t="str">
            <v>Lake George</v>
          </cell>
          <cell r="B94">
            <v>1</v>
          </cell>
        </row>
        <row r="95">
          <cell r="A95" t="str">
            <v>Spanish Fort</v>
          </cell>
          <cell r="B95">
            <v>1</v>
          </cell>
        </row>
        <row r="96">
          <cell r="A96" t="str">
            <v>Mabin</v>
          </cell>
          <cell r="B96">
            <v>1</v>
          </cell>
        </row>
        <row r="97">
          <cell r="A97" t="str">
            <v>Trammell</v>
          </cell>
          <cell r="B97">
            <v>1</v>
          </cell>
        </row>
        <row r="98">
          <cell r="A98" t="str">
            <v>Thorton</v>
          </cell>
          <cell r="B98">
            <v>1</v>
          </cell>
        </row>
        <row r="99">
          <cell r="A99" t="str">
            <v>Aden</v>
          </cell>
          <cell r="B99">
            <v>1</v>
          </cell>
        </row>
        <row r="100">
          <cell r="A100" t="str">
            <v>Mengel</v>
          </cell>
          <cell r="B100">
            <v>1</v>
          </cell>
        </row>
        <row r="101">
          <cell r="A101" t="str">
            <v>Gammel</v>
          </cell>
          <cell r="B101">
            <v>1</v>
          </cell>
        </row>
        <row r="102">
          <cell r="A102" t="str">
            <v>Cowan</v>
          </cell>
          <cell r="B102">
            <v>1</v>
          </cell>
        </row>
        <row r="103">
          <cell r="A103" t="str">
            <v>Haynes Bluff</v>
          </cell>
          <cell r="B103">
            <v>1</v>
          </cell>
        </row>
        <row r="104">
          <cell r="A104" t="str">
            <v>Blakely</v>
          </cell>
          <cell r="B104">
            <v>1</v>
          </cell>
        </row>
        <row r="105">
          <cell r="A105" t="str">
            <v>Kings Crossing</v>
          </cell>
          <cell r="B105">
            <v>1</v>
          </cell>
        </row>
        <row r="106">
          <cell r="A106" t="str">
            <v>Compton</v>
          </cell>
          <cell r="B106">
            <v>1</v>
          </cell>
        </row>
        <row r="107">
          <cell r="A107" t="str">
            <v>Quimby</v>
          </cell>
          <cell r="B107">
            <v>1</v>
          </cell>
        </row>
        <row r="108">
          <cell r="A108" t="str">
            <v>Manning</v>
          </cell>
          <cell r="B108">
            <v>1</v>
          </cell>
        </row>
        <row r="109">
          <cell r="A109" t="str">
            <v>Neeley</v>
          </cell>
          <cell r="B109">
            <v>1</v>
          </cell>
        </row>
        <row r="110">
          <cell r="A110" t="str">
            <v>Turtle</v>
          </cell>
          <cell r="B110">
            <v>1</v>
          </cell>
        </row>
        <row r="111">
          <cell r="A111" t="str">
            <v>Johnson</v>
          </cell>
          <cell r="B111">
            <v>1</v>
          </cell>
        </row>
        <row r="112">
          <cell r="A112" t="str">
            <v>Panther Lake</v>
          </cell>
          <cell r="B112">
            <v>1</v>
          </cell>
        </row>
        <row r="113">
          <cell r="A113" t="str">
            <v>Stickley</v>
          </cell>
          <cell r="B113">
            <v>1</v>
          </cell>
        </row>
        <row r="114">
          <cell r="A114" t="str">
            <v>Manny</v>
          </cell>
          <cell r="B114">
            <v>1</v>
          </cell>
        </row>
        <row r="115">
          <cell r="A115" t="str">
            <v>Transylvania</v>
          </cell>
          <cell r="B115">
            <v>1</v>
          </cell>
        </row>
        <row r="116">
          <cell r="A116" t="str">
            <v>Marsden</v>
          </cell>
          <cell r="B116">
            <v>1</v>
          </cell>
        </row>
        <row r="117">
          <cell r="A117" t="str">
            <v>Crowfoot</v>
          </cell>
          <cell r="B117">
            <v>1</v>
          </cell>
        </row>
        <row r="118">
          <cell r="A118" t="str">
            <v>Sheperd</v>
          </cell>
          <cell r="B118">
            <v>1</v>
          </cell>
        </row>
        <row r="119">
          <cell r="A119" t="str">
            <v>Insley</v>
          </cell>
          <cell r="B119">
            <v>1</v>
          </cell>
        </row>
        <row r="120">
          <cell r="A120" t="str">
            <v>Mott</v>
          </cell>
          <cell r="B120">
            <v>1</v>
          </cell>
        </row>
        <row r="121">
          <cell r="A121" t="str">
            <v>New Hope</v>
          </cell>
          <cell r="B121">
            <v>1</v>
          </cell>
        </row>
        <row r="122">
          <cell r="A122" t="str">
            <v>Egypt</v>
          </cell>
          <cell r="B122">
            <v>1</v>
          </cell>
        </row>
        <row r="123">
          <cell r="A123" t="str">
            <v>Chelly Landing</v>
          </cell>
          <cell r="B123">
            <v>1</v>
          </cell>
        </row>
        <row r="124">
          <cell r="A124" t="str">
            <v>Mt. Nebo</v>
          </cell>
          <cell r="B124">
            <v>1</v>
          </cell>
        </row>
        <row r="125">
          <cell r="A125" t="str">
            <v>Indian Bayou</v>
          </cell>
          <cell r="B125">
            <v>1</v>
          </cell>
        </row>
        <row r="126">
          <cell r="A126" t="str">
            <v>Folk</v>
          </cell>
          <cell r="B126">
            <v>1</v>
          </cell>
        </row>
        <row r="127">
          <cell r="A127" t="str">
            <v>Biggs</v>
          </cell>
          <cell r="B127">
            <v>1</v>
          </cell>
        </row>
        <row r="128">
          <cell r="A128" t="str">
            <v>Hopkins</v>
          </cell>
          <cell r="B128">
            <v>1</v>
          </cell>
        </row>
        <row r="129">
          <cell r="A129" t="str">
            <v>Compton Lake</v>
          </cell>
          <cell r="B129">
            <v>1</v>
          </cell>
        </row>
        <row r="130">
          <cell r="A130" t="str">
            <v>Ione</v>
          </cell>
          <cell r="B130">
            <v>1</v>
          </cell>
        </row>
        <row r="131">
          <cell r="A131" t="str">
            <v>Yokena</v>
          </cell>
          <cell r="B131">
            <v>1</v>
          </cell>
        </row>
        <row r="132">
          <cell r="A132" t="str">
            <v>Balmoral</v>
          </cell>
          <cell r="B132">
            <v>1</v>
          </cell>
        </row>
        <row r="133">
          <cell r="A133" t="str">
            <v>Jacoby</v>
          </cell>
          <cell r="B133">
            <v>1</v>
          </cell>
        </row>
        <row r="134">
          <cell r="A134" t="str">
            <v>Caney Bayou</v>
          </cell>
          <cell r="B134">
            <v>1</v>
          </cell>
        </row>
        <row r="135">
          <cell r="A135" t="str">
            <v>New China Grove</v>
          </cell>
          <cell r="B135">
            <v>1</v>
          </cell>
        </row>
        <row r="136">
          <cell r="A136" t="str">
            <v>Mayvlower</v>
          </cell>
          <cell r="B136">
            <v>1</v>
          </cell>
        </row>
        <row r="137">
          <cell r="A137" t="str">
            <v>Mount Point</v>
          </cell>
          <cell r="B137">
            <v>1</v>
          </cell>
        </row>
        <row r="138">
          <cell r="A138" t="str">
            <v>Jim Bodman</v>
          </cell>
          <cell r="B138">
            <v>1</v>
          </cell>
        </row>
        <row r="139">
          <cell r="A139" t="str">
            <v>Truly</v>
          </cell>
          <cell r="B139">
            <v>1</v>
          </cell>
        </row>
        <row r="140">
          <cell r="A140" t="str">
            <v>Gordon</v>
          </cell>
          <cell r="B140">
            <v>1</v>
          </cell>
        </row>
        <row r="141">
          <cell r="A141" t="str">
            <v>Chase</v>
          </cell>
          <cell r="B141">
            <v>1</v>
          </cell>
        </row>
        <row r="142">
          <cell r="A142" t="str">
            <v>Mazique</v>
          </cell>
          <cell r="B142">
            <v>1</v>
          </cell>
        </row>
        <row r="143">
          <cell r="A143" t="str">
            <v>Frogmore</v>
          </cell>
          <cell r="B143">
            <v>1</v>
          </cell>
        </row>
        <row r="144">
          <cell r="A144" t="str">
            <v>Ballina</v>
          </cell>
          <cell r="B144">
            <v>1</v>
          </cell>
        </row>
        <row r="145">
          <cell r="A145" t="str">
            <v>Sec. 35 Md.</v>
          </cell>
          <cell r="B145">
            <v>1</v>
          </cell>
        </row>
        <row r="146">
          <cell r="A146" t="str">
            <v>Dunbarton</v>
          </cell>
          <cell r="B146">
            <v>1</v>
          </cell>
        </row>
        <row r="147">
          <cell r="A147" t="str">
            <v>Steep Bayou</v>
          </cell>
          <cell r="B147">
            <v>1</v>
          </cell>
        </row>
        <row r="148">
          <cell r="A148" t="str">
            <v>Alphenia</v>
          </cell>
          <cell r="B148">
            <v>1</v>
          </cell>
        </row>
        <row r="149">
          <cell r="A149" t="str">
            <v>Sundown</v>
          </cell>
          <cell r="B149">
            <v>1</v>
          </cell>
        </row>
        <row r="150">
          <cell r="A150" t="str">
            <v>Ditto Lake</v>
          </cell>
          <cell r="B150">
            <v>1</v>
          </cell>
        </row>
        <row r="151">
          <cell r="A151" t="str">
            <v>Hopeka</v>
          </cell>
          <cell r="B151">
            <v>1</v>
          </cell>
        </row>
        <row r="152">
          <cell r="A152" t="str">
            <v>Cut-off Landing</v>
          </cell>
          <cell r="B152">
            <v>1</v>
          </cell>
        </row>
        <row r="153">
          <cell r="A153" t="str">
            <v>Peck</v>
          </cell>
          <cell r="B153">
            <v>1</v>
          </cell>
        </row>
        <row r="154">
          <cell r="A154" t="str">
            <v>Pritchard Landing</v>
          </cell>
          <cell r="B154">
            <v>1</v>
          </cell>
        </row>
        <row r="155">
          <cell r="A155" t="str">
            <v>Watson Landing</v>
          </cell>
          <cell r="B155">
            <v>1</v>
          </cell>
        </row>
        <row r="156">
          <cell r="A156" t="str">
            <v>Perrin</v>
          </cell>
          <cell r="B156">
            <v>1</v>
          </cell>
        </row>
        <row r="157">
          <cell r="A157" t="str">
            <v>Troyville</v>
          </cell>
          <cell r="B157">
            <v>1</v>
          </cell>
        </row>
        <row r="158">
          <cell r="A158" t="str">
            <v>Archie</v>
          </cell>
          <cell r="B158">
            <v>1</v>
          </cell>
        </row>
        <row r="159">
          <cell r="A159" t="str">
            <v>Chevalier</v>
          </cell>
          <cell r="B159">
            <v>1</v>
          </cell>
        </row>
        <row r="160">
          <cell r="A160" t="str">
            <v>Old Rhinehart</v>
          </cell>
          <cell r="B160">
            <v>1</v>
          </cell>
        </row>
        <row r="161">
          <cell r="A161" t="str">
            <v>Clear Creek Bay</v>
          </cell>
          <cell r="B161">
            <v>1</v>
          </cell>
        </row>
        <row r="162">
          <cell r="A162" t="str">
            <v>Camp Bayou</v>
          </cell>
          <cell r="B162">
            <v>1</v>
          </cell>
        </row>
        <row r="163">
          <cell r="A163" t="str">
            <v>Gorum</v>
          </cell>
          <cell r="B163">
            <v>1</v>
          </cell>
        </row>
        <row r="164">
          <cell r="A164" t="str">
            <v>Wiley</v>
          </cell>
          <cell r="B164">
            <v>1</v>
          </cell>
        </row>
        <row r="165">
          <cell r="A165" t="str">
            <v>Saucier</v>
          </cell>
          <cell r="B165">
            <v>1</v>
          </cell>
        </row>
        <row r="166">
          <cell r="A166" t="str">
            <v>Lamartiniere</v>
          </cell>
          <cell r="B166">
            <v>1</v>
          </cell>
        </row>
        <row r="167">
          <cell r="A167" t="str">
            <v>Nick</v>
          </cell>
          <cell r="B167">
            <v>1</v>
          </cell>
        </row>
        <row r="168">
          <cell r="A168" t="str">
            <v>Baptiste</v>
          </cell>
          <cell r="B168">
            <v>1</v>
          </cell>
        </row>
        <row r="169">
          <cell r="A169" t="str">
            <v>Bordelon</v>
          </cell>
          <cell r="B169">
            <v>1</v>
          </cell>
        </row>
        <row r="170">
          <cell r="A170" t="str">
            <v>Smith Creek</v>
          </cell>
          <cell r="B170">
            <v>1</v>
          </cell>
        </row>
        <row r="171">
          <cell r="A171" t="str">
            <v>Livonia</v>
          </cell>
          <cell r="B171">
            <v>1</v>
          </cell>
        </row>
        <row r="172">
          <cell r="A172" t="str">
            <v>Reed Mounds</v>
          </cell>
          <cell r="B172">
            <v>1</v>
          </cell>
        </row>
        <row r="173">
          <cell r="A173" t="str">
            <v>Bayou Portage</v>
          </cell>
          <cell r="B173">
            <v>1</v>
          </cell>
        </row>
        <row r="174">
          <cell r="A174" t="str">
            <v>Bayou sorrel</v>
          </cell>
          <cell r="B174">
            <v>1</v>
          </cell>
        </row>
        <row r="175">
          <cell r="A175" t="str">
            <v>Greenhouse</v>
          </cell>
          <cell r="B175">
            <v>1</v>
          </cell>
        </row>
        <row r="176">
          <cell r="A176" t="str">
            <v>Fisher</v>
          </cell>
          <cell r="B176">
            <v>1</v>
          </cell>
        </row>
        <row r="177">
          <cell r="A177" t="str">
            <v>Laborde</v>
          </cell>
          <cell r="B177">
            <v>1</v>
          </cell>
        </row>
        <row r="178">
          <cell r="A178" t="str">
            <v>Dean Lake</v>
          </cell>
          <cell r="B178">
            <v>1</v>
          </cell>
        </row>
        <row r="179">
          <cell r="A179" t="str">
            <v>Blanche</v>
          </cell>
          <cell r="B179">
            <v>1</v>
          </cell>
        </row>
        <row r="180">
          <cell r="A180" t="str">
            <v>Black Lake</v>
          </cell>
          <cell r="B180">
            <v>1</v>
          </cell>
        </row>
        <row r="181">
          <cell r="A181" t="str">
            <v>King</v>
          </cell>
          <cell r="B181">
            <v>1</v>
          </cell>
        </row>
        <row r="182">
          <cell r="A182" t="str">
            <v>Turtle Lake</v>
          </cell>
          <cell r="B182">
            <v>1</v>
          </cell>
        </row>
      </sheetData>
      <sheetData sheetId="44">
        <row r="1">
          <cell r="A1" t="str">
            <v>Name</v>
          </cell>
          <cell r="B1" t="str">
            <v>Present</v>
          </cell>
        </row>
        <row r="2">
          <cell r="A2" t="str">
            <v>Sandy Woods</v>
          </cell>
          <cell r="B2">
            <v>1</v>
          </cell>
        </row>
        <row r="3">
          <cell r="A3" t="str">
            <v>Charleston</v>
          </cell>
          <cell r="B3">
            <v>1</v>
          </cell>
        </row>
        <row r="4">
          <cell r="A4" t="str">
            <v>Myers</v>
          </cell>
          <cell r="B4">
            <v>1</v>
          </cell>
        </row>
        <row r="5">
          <cell r="A5" t="str">
            <v>Wickliff</v>
          </cell>
          <cell r="B5">
            <v>1</v>
          </cell>
        </row>
        <row r="6">
          <cell r="A6" t="str">
            <v>Crosno</v>
          </cell>
          <cell r="B6">
            <v>1</v>
          </cell>
        </row>
        <row r="7">
          <cell r="A7" t="str">
            <v>Sassafras River</v>
          </cell>
          <cell r="B7">
            <v>1</v>
          </cell>
        </row>
        <row r="8">
          <cell r="A8" t="str">
            <v>Beckwith's Fort</v>
          </cell>
          <cell r="B8">
            <v>1</v>
          </cell>
        </row>
        <row r="9">
          <cell r="A9" t="str">
            <v>Beckwith's Ranch</v>
          </cell>
          <cell r="B9">
            <v>1</v>
          </cell>
        </row>
        <row r="10">
          <cell r="A10" t="str">
            <v>O'Byam's Fort</v>
          </cell>
          <cell r="B10">
            <v>1</v>
          </cell>
        </row>
        <row r="11">
          <cell r="A11" t="str">
            <v>Barker</v>
          </cell>
          <cell r="B11">
            <v>1</v>
          </cell>
        </row>
        <row r="12">
          <cell r="A12" t="str">
            <v>Mound Field</v>
          </cell>
          <cell r="B12">
            <v>1</v>
          </cell>
        </row>
        <row r="13">
          <cell r="A13" t="str">
            <v>Baker</v>
          </cell>
          <cell r="B13">
            <v>1</v>
          </cell>
        </row>
        <row r="14">
          <cell r="A14" t="str">
            <v>East Lake</v>
          </cell>
          <cell r="B14">
            <v>1</v>
          </cell>
        </row>
        <row r="15">
          <cell r="A15" t="str">
            <v>Sikeston</v>
          </cell>
          <cell r="B15">
            <v>1</v>
          </cell>
        </row>
        <row r="16">
          <cell r="A16" t="str">
            <v>Morehouse</v>
          </cell>
          <cell r="B16">
            <v>1</v>
          </cell>
        </row>
        <row r="17">
          <cell r="A17" t="str">
            <v>Matthews</v>
          </cell>
          <cell r="B17">
            <v>1</v>
          </cell>
        </row>
        <row r="18">
          <cell r="A18" t="str">
            <v>Rich Woods</v>
          </cell>
          <cell r="B18">
            <v>1</v>
          </cell>
        </row>
        <row r="19">
          <cell r="A19" t="str">
            <v>Kewanbe</v>
          </cell>
          <cell r="B19">
            <v>1</v>
          </cell>
        </row>
        <row r="20">
          <cell r="A20" t="str">
            <v>Lilbourn</v>
          </cell>
          <cell r="B20">
            <v>1</v>
          </cell>
        </row>
        <row r="21">
          <cell r="A21" t="str">
            <v>Wulfing</v>
          </cell>
          <cell r="B21">
            <v>1</v>
          </cell>
        </row>
        <row r="22">
          <cell r="A22" t="str">
            <v>Stewart Sp.</v>
          </cell>
          <cell r="B22">
            <v>1</v>
          </cell>
        </row>
        <row r="23">
          <cell r="A23" t="str">
            <v>County Line</v>
          </cell>
          <cell r="B23">
            <v>1</v>
          </cell>
        </row>
        <row r="24">
          <cell r="A24" t="str">
            <v>Holcomb</v>
          </cell>
          <cell r="B24">
            <v>1</v>
          </cell>
        </row>
        <row r="25">
          <cell r="A25" t="str">
            <v>Watson</v>
          </cell>
          <cell r="B25">
            <v>1</v>
          </cell>
        </row>
        <row r="26">
          <cell r="A26" t="str">
            <v>Wardell</v>
          </cell>
          <cell r="B26">
            <v>1</v>
          </cell>
        </row>
        <row r="27">
          <cell r="A27" t="str">
            <v>Estes</v>
          </cell>
          <cell r="B27">
            <v>1</v>
          </cell>
        </row>
        <row r="28">
          <cell r="A28" t="str">
            <v>Johnson Island</v>
          </cell>
          <cell r="B28">
            <v>1</v>
          </cell>
        </row>
        <row r="29">
          <cell r="A29" t="str">
            <v>Kennett</v>
          </cell>
          <cell r="B29">
            <v>1</v>
          </cell>
        </row>
        <row r="30">
          <cell r="A30" t="str">
            <v>Canady</v>
          </cell>
          <cell r="B30">
            <v>1</v>
          </cell>
        </row>
        <row r="31">
          <cell r="A31" t="str">
            <v>Pelts</v>
          </cell>
          <cell r="B31">
            <v>1</v>
          </cell>
        </row>
        <row r="32">
          <cell r="A32" t="str">
            <v>Langdon</v>
          </cell>
          <cell r="B32">
            <v>1</v>
          </cell>
        </row>
        <row r="33">
          <cell r="A33" t="str">
            <v>Holland</v>
          </cell>
          <cell r="B33">
            <v>1</v>
          </cell>
        </row>
        <row r="34">
          <cell r="A34" t="str">
            <v>Persimmon</v>
          </cell>
          <cell r="B34">
            <v>1</v>
          </cell>
        </row>
        <row r="35">
          <cell r="A35" t="str">
            <v>Kinfolk Ridge</v>
          </cell>
          <cell r="B35">
            <v>1</v>
          </cell>
        </row>
        <row r="36">
          <cell r="A36" t="str">
            <v>Chute</v>
          </cell>
          <cell r="B36">
            <v>1</v>
          </cell>
        </row>
        <row r="37">
          <cell r="A37" t="str">
            <v>Caruthersville</v>
          </cell>
          <cell r="B37">
            <v>1</v>
          </cell>
        </row>
        <row r="38">
          <cell r="A38" t="str">
            <v>Law</v>
          </cell>
          <cell r="B38">
            <v>1</v>
          </cell>
        </row>
        <row r="39">
          <cell r="A39" t="str">
            <v>Cockrum Landing</v>
          </cell>
          <cell r="B39">
            <v>1</v>
          </cell>
        </row>
        <row r="40">
          <cell r="A40" t="str">
            <v>Wilkins Island</v>
          </cell>
          <cell r="B40">
            <v>1</v>
          </cell>
        </row>
        <row r="41">
          <cell r="A41" t="str">
            <v>Cypress Point</v>
          </cell>
          <cell r="B41">
            <v>1</v>
          </cell>
        </row>
        <row r="42">
          <cell r="A42" t="str">
            <v>Old Varney River</v>
          </cell>
          <cell r="B42">
            <v>1</v>
          </cell>
        </row>
        <row r="43">
          <cell r="A43" t="str">
            <v>Schugtown</v>
          </cell>
          <cell r="B43">
            <v>1</v>
          </cell>
        </row>
        <row r="44">
          <cell r="A44" t="str">
            <v>Carpenters Landing</v>
          </cell>
          <cell r="B44">
            <v>1</v>
          </cell>
        </row>
        <row r="45">
          <cell r="A45" t="str">
            <v>Chickasawba</v>
          </cell>
          <cell r="B45">
            <v>1</v>
          </cell>
        </row>
        <row r="46">
          <cell r="A46" t="str">
            <v>Jackson Mounds</v>
          </cell>
          <cell r="B46">
            <v>1</v>
          </cell>
        </row>
        <row r="47">
          <cell r="A47" t="str">
            <v>Walnut</v>
          </cell>
          <cell r="B47">
            <v>1</v>
          </cell>
        </row>
        <row r="48">
          <cell r="A48" t="str">
            <v>Campbell</v>
          </cell>
          <cell r="B48">
            <v>1</v>
          </cell>
        </row>
        <row r="49">
          <cell r="A49" t="str">
            <v>Hale's Point</v>
          </cell>
          <cell r="B49">
            <v>1</v>
          </cell>
        </row>
        <row r="50">
          <cell r="A50" t="str">
            <v>Wildy</v>
          </cell>
          <cell r="B50">
            <v>1</v>
          </cell>
        </row>
        <row r="51">
          <cell r="A51" t="str">
            <v>Gant</v>
          </cell>
          <cell r="B51">
            <v>1</v>
          </cell>
        </row>
        <row r="52">
          <cell r="A52" t="str">
            <v>Stott</v>
          </cell>
          <cell r="B52">
            <v>1</v>
          </cell>
        </row>
        <row r="53">
          <cell r="A53" t="str">
            <v>Rhodes</v>
          </cell>
          <cell r="B53">
            <v>1</v>
          </cell>
        </row>
        <row r="54">
          <cell r="A54" t="str">
            <v>Notgrass</v>
          </cell>
          <cell r="B54">
            <v>1</v>
          </cell>
        </row>
        <row r="55">
          <cell r="A55" t="str">
            <v>Bell</v>
          </cell>
          <cell r="B55">
            <v>1</v>
          </cell>
        </row>
        <row r="56">
          <cell r="A56" t="str">
            <v>Turnage</v>
          </cell>
          <cell r="B56">
            <v>1</v>
          </cell>
        </row>
        <row r="57">
          <cell r="A57" t="str">
            <v>Nodena</v>
          </cell>
          <cell r="B57">
            <v>1</v>
          </cell>
        </row>
        <row r="58">
          <cell r="A58" t="str">
            <v>Sherman Mound</v>
          </cell>
          <cell r="B58">
            <v>1</v>
          </cell>
        </row>
        <row r="59">
          <cell r="A59" t="str">
            <v>Bishop</v>
          </cell>
          <cell r="B59">
            <v>1</v>
          </cell>
        </row>
        <row r="60">
          <cell r="A60" t="str">
            <v>Richardson Landing</v>
          </cell>
          <cell r="B60">
            <v>1</v>
          </cell>
        </row>
        <row r="61">
          <cell r="A61" t="str">
            <v>Miller</v>
          </cell>
          <cell r="B61">
            <v>1</v>
          </cell>
        </row>
        <row r="62">
          <cell r="A62" t="str">
            <v>Harris</v>
          </cell>
          <cell r="B62">
            <v>1</v>
          </cell>
        </row>
        <row r="63">
          <cell r="A63" t="str">
            <v>Warren Mound</v>
          </cell>
          <cell r="B63">
            <v>1</v>
          </cell>
        </row>
        <row r="64">
          <cell r="A64" t="str">
            <v>Potter</v>
          </cell>
          <cell r="B64">
            <v>1</v>
          </cell>
        </row>
        <row r="65">
          <cell r="A65" t="str">
            <v>Stott</v>
          </cell>
          <cell r="B65">
            <v>1</v>
          </cell>
        </row>
        <row r="66">
          <cell r="A66" t="str">
            <v>Tyronza</v>
          </cell>
          <cell r="B66">
            <v>1</v>
          </cell>
        </row>
        <row r="67">
          <cell r="A67" t="str">
            <v>Turnbow</v>
          </cell>
          <cell r="B67">
            <v>1</v>
          </cell>
        </row>
        <row r="68">
          <cell r="A68" t="str">
            <v>Fortune</v>
          </cell>
          <cell r="B68">
            <v>1</v>
          </cell>
        </row>
        <row r="69">
          <cell r="A69" t="str">
            <v>Cherry Valley</v>
          </cell>
          <cell r="B69">
            <v>1</v>
          </cell>
        </row>
        <row r="70">
          <cell r="A70" t="str">
            <v>Birdeye</v>
          </cell>
          <cell r="B70">
            <v>1</v>
          </cell>
        </row>
        <row r="71">
          <cell r="A71" t="str">
            <v>Togo</v>
          </cell>
          <cell r="B71">
            <v>1</v>
          </cell>
        </row>
        <row r="72">
          <cell r="A72" t="str">
            <v>Cross Country club</v>
          </cell>
          <cell r="B72">
            <v>1</v>
          </cell>
        </row>
        <row r="73">
          <cell r="A73" t="str">
            <v>Lewis</v>
          </cell>
          <cell r="B73">
            <v>1</v>
          </cell>
        </row>
        <row r="74">
          <cell r="A74" t="str">
            <v>Barton</v>
          </cell>
          <cell r="B74">
            <v>1</v>
          </cell>
        </row>
        <row r="75">
          <cell r="A75" t="str">
            <v>Pacific</v>
          </cell>
          <cell r="B75">
            <v>1</v>
          </cell>
        </row>
        <row r="76">
          <cell r="A76" t="str">
            <v>Golightly</v>
          </cell>
          <cell r="B76">
            <v>1</v>
          </cell>
        </row>
        <row r="77">
          <cell r="A77" t="str">
            <v>Bradley</v>
          </cell>
          <cell r="B77">
            <v>1</v>
          </cell>
        </row>
        <row r="78">
          <cell r="A78" t="str">
            <v>Pecan Point</v>
          </cell>
          <cell r="B78">
            <v>1</v>
          </cell>
        </row>
        <row r="79">
          <cell r="A79" t="str">
            <v>Rose Mound</v>
          </cell>
          <cell r="B79">
            <v>1</v>
          </cell>
        </row>
        <row r="80">
          <cell r="A80" t="str">
            <v>Parkin</v>
          </cell>
          <cell r="B80">
            <v>1</v>
          </cell>
        </row>
        <row r="81">
          <cell r="A81" t="str">
            <v>Lansing</v>
          </cell>
          <cell r="B81">
            <v>1</v>
          </cell>
        </row>
        <row r="82">
          <cell r="A82" t="str">
            <v>Parks</v>
          </cell>
          <cell r="B82">
            <v>1</v>
          </cell>
        </row>
        <row r="83">
          <cell r="A83" t="str">
            <v>Pouncey</v>
          </cell>
          <cell r="B83">
            <v>1</v>
          </cell>
        </row>
        <row r="84">
          <cell r="A84" t="str">
            <v>Mound Place</v>
          </cell>
          <cell r="B84">
            <v>1</v>
          </cell>
        </row>
        <row r="85">
          <cell r="A85" t="str">
            <v>Big Eddy</v>
          </cell>
          <cell r="B85">
            <v>1</v>
          </cell>
        </row>
        <row r="86">
          <cell r="A86" t="str">
            <v>Manly</v>
          </cell>
          <cell r="B86">
            <v>1</v>
          </cell>
        </row>
        <row r="87">
          <cell r="A87" t="str">
            <v>Castile</v>
          </cell>
          <cell r="B87">
            <v>1</v>
          </cell>
        </row>
        <row r="88">
          <cell r="A88" t="str">
            <v>Riverside</v>
          </cell>
          <cell r="B88">
            <v>1</v>
          </cell>
        </row>
        <row r="89">
          <cell r="A89" t="str">
            <v>Clay Hill</v>
          </cell>
          <cell r="B89">
            <v>1</v>
          </cell>
        </row>
        <row r="90">
          <cell r="A90" t="str">
            <v>Connor</v>
          </cell>
          <cell r="B90">
            <v>1</v>
          </cell>
        </row>
        <row r="91">
          <cell r="A91" t="str">
            <v>Greer</v>
          </cell>
          <cell r="B91">
            <v>1</v>
          </cell>
        </row>
        <row r="92">
          <cell r="A92" t="str">
            <v>Walls</v>
          </cell>
          <cell r="B92">
            <v>1</v>
          </cell>
        </row>
        <row r="93">
          <cell r="A93" t="str">
            <v>Dogwood river</v>
          </cell>
          <cell r="B93">
            <v>1</v>
          </cell>
        </row>
        <row r="94">
          <cell r="A94" t="str">
            <v>Irby</v>
          </cell>
          <cell r="B94">
            <v>1</v>
          </cell>
        </row>
        <row r="95">
          <cell r="A95" t="str">
            <v>Shannon</v>
          </cell>
          <cell r="B95">
            <v>1</v>
          </cell>
        </row>
        <row r="96">
          <cell r="A96" t="str">
            <v>Hollywood</v>
          </cell>
          <cell r="B96">
            <v>1</v>
          </cell>
        </row>
        <row r="97">
          <cell r="A97" t="str">
            <v>Kent</v>
          </cell>
          <cell r="B97">
            <v>1</v>
          </cell>
        </row>
        <row r="98">
          <cell r="A98" t="str">
            <v>Greer</v>
          </cell>
          <cell r="B98">
            <v>1</v>
          </cell>
        </row>
        <row r="99">
          <cell r="A99" t="str">
            <v>Forrest Place</v>
          </cell>
          <cell r="B99">
            <v>1</v>
          </cell>
        </row>
        <row r="100">
          <cell r="A100" t="str">
            <v>Steagal</v>
          </cell>
          <cell r="B100">
            <v>1</v>
          </cell>
        </row>
        <row r="101">
          <cell r="A101" t="str">
            <v>Moore</v>
          </cell>
          <cell r="B101">
            <v>1</v>
          </cell>
        </row>
        <row r="102">
          <cell r="A102" t="str">
            <v>Owens</v>
          </cell>
          <cell r="B102">
            <v>1</v>
          </cell>
        </row>
        <row r="103">
          <cell r="A103" t="str">
            <v>Beaverdam</v>
          </cell>
          <cell r="B103">
            <v>1</v>
          </cell>
        </row>
        <row r="104">
          <cell r="A104" t="str">
            <v>Indian Creek</v>
          </cell>
          <cell r="B104">
            <v>1</v>
          </cell>
        </row>
        <row r="105">
          <cell r="A105" t="str">
            <v>Kendall</v>
          </cell>
          <cell r="B105">
            <v>1</v>
          </cell>
        </row>
        <row r="106">
          <cell r="A106" t="str">
            <v>Evansville</v>
          </cell>
          <cell r="B106">
            <v>1</v>
          </cell>
        </row>
        <row r="107">
          <cell r="A107" t="str">
            <v>Canon</v>
          </cell>
          <cell r="B107">
            <v>1</v>
          </cell>
        </row>
        <row r="108">
          <cell r="A108" t="str">
            <v>West</v>
          </cell>
          <cell r="B108">
            <v>1</v>
          </cell>
        </row>
        <row r="109">
          <cell r="A109" t="str">
            <v>Dundee</v>
          </cell>
          <cell r="B109">
            <v>1</v>
          </cell>
        </row>
        <row r="110">
          <cell r="A110" t="str">
            <v>Lula</v>
          </cell>
          <cell r="B110">
            <v>1</v>
          </cell>
        </row>
        <row r="111">
          <cell r="A111" t="str">
            <v>Barbee</v>
          </cell>
          <cell r="B111">
            <v>1</v>
          </cell>
        </row>
        <row r="112">
          <cell r="A112" t="str">
            <v>Allison</v>
          </cell>
          <cell r="B112">
            <v>1</v>
          </cell>
        </row>
        <row r="113">
          <cell r="A113" t="str">
            <v>Wilford</v>
          </cell>
          <cell r="B113">
            <v>1</v>
          </cell>
        </row>
        <row r="114">
          <cell r="A114" t="str">
            <v xml:space="preserve">Salomon </v>
          </cell>
          <cell r="B114">
            <v>1</v>
          </cell>
        </row>
        <row r="115">
          <cell r="A115" t="str">
            <v>Hull</v>
          </cell>
          <cell r="B115">
            <v>1</v>
          </cell>
        </row>
        <row r="116">
          <cell r="A116" t="str">
            <v>Posey</v>
          </cell>
          <cell r="B116">
            <v>1</v>
          </cell>
        </row>
        <row r="117">
          <cell r="A117" t="str">
            <v>Dickerson</v>
          </cell>
          <cell r="B117">
            <v>1</v>
          </cell>
        </row>
        <row r="118">
          <cell r="A118" t="str">
            <v>Parchmann</v>
          </cell>
          <cell r="B118">
            <v>1</v>
          </cell>
        </row>
        <row r="119">
          <cell r="A119" t="str">
            <v>Buie</v>
          </cell>
          <cell r="B119">
            <v>1</v>
          </cell>
        </row>
        <row r="120">
          <cell r="A120" t="str">
            <v>Old Town</v>
          </cell>
          <cell r="B120">
            <v>1</v>
          </cell>
        </row>
        <row r="121">
          <cell r="A121" t="str">
            <v>Ellis</v>
          </cell>
          <cell r="B121">
            <v>1</v>
          </cell>
        </row>
        <row r="122">
          <cell r="A122" t="str">
            <v>Tinsley</v>
          </cell>
          <cell r="B122">
            <v>1</v>
          </cell>
        </row>
        <row r="123">
          <cell r="A123" t="str">
            <v>Baytown</v>
          </cell>
          <cell r="B123">
            <v>1</v>
          </cell>
        </row>
        <row r="124">
          <cell r="A124" t="str">
            <v>Dupress</v>
          </cell>
          <cell r="B124">
            <v>1</v>
          </cell>
        </row>
        <row r="125">
          <cell r="A125" t="str">
            <v>Alligator</v>
          </cell>
          <cell r="B125">
            <v>1</v>
          </cell>
        </row>
        <row r="126">
          <cell r="A126" t="str">
            <v>Tomanelli</v>
          </cell>
          <cell r="B126">
            <v>1</v>
          </cell>
        </row>
        <row r="127">
          <cell r="A127" t="str">
            <v>Stokes Bayou</v>
          </cell>
          <cell r="B127">
            <v>1</v>
          </cell>
        </row>
        <row r="128">
          <cell r="A128" t="str">
            <v>Wallace</v>
          </cell>
          <cell r="B128">
            <v>1</v>
          </cell>
        </row>
        <row r="129">
          <cell r="A129" t="str">
            <v>Greer</v>
          </cell>
          <cell r="B129">
            <v>1</v>
          </cell>
        </row>
        <row r="130">
          <cell r="A130" t="str">
            <v>Noble Lake</v>
          </cell>
          <cell r="B130">
            <v>1</v>
          </cell>
        </row>
        <row r="131">
          <cell r="A131" t="str">
            <v>Douglas</v>
          </cell>
          <cell r="B131">
            <v>1</v>
          </cell>
        </row>
        <row r="132">
          <cell r="A132" t="str">
            <v>Thiele Hill</v>
          </cell>
          <cell r="B132">
            <v>1</v>
          </cell>
        </row>
        <row r="133">
          <cell r="A133" t="str">
            <v>Menard</v>
          </cell>
          <cell r="B133">
            <v>1</v>
          </cell>
        </row>
        <row r="134">
          <cell r="A134" t="str">
            <v>Jones</v>
          </cell>
          <cell r="B134">
            <v>1</v>
          </cell>
        </row>
        <row r="135">
          <cell r="A135" t="str">
            <v>Wallace</v>
          </cell>
          <cell r="B135">
            <v>1</v>
          </cell>
        </row>
        <row r="136">
          <cell r="A136" t="str">
            <v>Massey</v>
          </cell>
          <cell r="B136">
            <v>1</v>
          </cell>
        </row>
        <row r="137">
          <cell r="A137" t="str">
            <v>Stokes Bayou</v>
          </cell>
          <cell r="B137">
            <v>1</v>
          </cell>
        </row>
        <row r="138">
          <cell r="A138" t="str">
            <v>Yakes</v>
          </cell>
          <cell r="B138">
            <v>1</v>
          </cell>
        </row>
        <row r="139">
          <cell r="A139" t="str">
            <v>Blanchard</v>
          </cell>
          <cell r="B139">
            <v>1</v>
          </cell>
        </row>
        <row r="140">
          <cell r="A140" t="str">
            <v>Garner</v>
          </cell>
          <cell r="B140">
            <v>1</v>
          </cell>
        </row>
        <row r="141">
          <cell r="A141" t="str">
            <v>Flower</v>
          </cell>
          <cell r="B141">
            <v>1</v>
          </cell>
        </row>
        <row r="142">
          <cell r="A142" t="str">
            <v>Buford</v>
          </cell>
          <cell r="B142">
            <v>1</v>
          </cell>
        </row>
        <row r="143">
          <cell r="A143" t="str">
            <v>Carson Prowell</v>
          </cell>
          <cell r="B143">
            <v>1</v>
          </cell>
        </row>
        <row r="144">
          <cell r="A144" t="str">
            <v>Rodgers</v>
          </cell>
          <cell r="B144">
            <v>1</v>
          </cell>
        </row>
        <row r="145">
          <cell r="A145" t="str">
            <v>Shady Grove</v>
          </cell>
          <cell r="B145">
            <v>1</v>
          </cell>
        </row>
        <row r="146">
          <cell r="A146" t="str">
            <v>Crosslyn</v>
          </cell>
          <cell r="B146">
            <v>1</v>
          </cell>
        </row>
        <row r="147">
          <cell r="A147" t="str">
            <v>Mitchell</v>
          </cell>
          <cell r="B147">
            <v>1</v>
          </cell>
        </row>
        <row r="148">
          <cell r="A148" t="str">
            <v>Blue Lake</v>
          </cell>
          <cell r="B148">
            <v>1</v>
          </cell>
        </row>
        <row r="149">
          <cell r="A149" t="str">
            <v>Twin Lakes</v>
          </cell>
          <cell r="B149">
            <v>1</v>
          </cell>
        </row>
        <row r="150">
          <cell r="A150" t="str">
            <v>Charleston</v>
          </cell>
          <cell r="B150">
            <v>1</v>
          </cell>
        </row>
        <row r="151">
          <cell r="A151" t="str">
            <v>Tippo Bayou</v>
          </cell>
          <cell r="B151">
            <v>1</v>
          </cell>
        </row>
        <row r="152">
          <cell r="A152" t="str">
            <v>Powell Bayou</v>
          </cell>
          <cell r="B152">
            <v>1</v>
          </cell>
        </row>
        <row r="153">
          <cell r="A153" t="str">
            <v>Rome</v>
          </cell>
          <cell r="B153">
            <v>1</v>
          </cell>
        </row>
        <row r="154">
          <cell r="A154" t="str">
            <v>Walford</v>
          </cell>
          <cell r="B154">
            <v>1</v>
          </cell>
        </row>
        <row r="155">
          <cell r="A155" t="str">
            <v>Merigold</v>
          </cell>
          <cell r="B155">
            <v>1</v>
          </cell>
        </row>
        <row r="156">
          <cell r="A156" t="str">
            <v>Bush</v>
          </cell>
          <cell r="B156">
            <v>1</v>
          </cell>
        </row>
        <row r="157">
          <cell r="A157" t="str">
            <v>Blanchard</v>
          </cell>
          <cell r="B157">
            <v>1</v>
          </cell>
        </row>
        <row r="158">
          <cell r="A158" t="str">
            <v>Yakes</v>
          </cell>
          <cell r="B158">
            <v>1</v>
          </cell>
        </row>
        <row r="159">
          <cell r="A159" t="str">
            <v>Oliver</v>
          </cell>
          <cell r="B159">
            <v>1</v>
          </cell>
        </row>
        <row r="160">
          <cell r="A160" t="str">
            <v>Bear Ridge</v>
          </cell>
          <cell r="B160">
            <v>1</v>
          </cell>
        </row>
        <row r="161">
          <cell r="A161" t="str">
            <v>O'Donnell</v>
          </cell>
          <cell r="B161">
            <v>1</v>
          </cell>
        </row>
        <row r="162">
          <cell r="A162" t="str">
            <v>Cook</v>
          </cell>
          <cell r="B162">
            <v>1</v>
          </cell>
        </row>
        <row r="163">
          <cell r="A163" t="str">
            <v>Alma Brown</v>
          </cell>
          <cell r="B163">
            <v>1</v>
          </cell>
        </row>
        <row r="164">
          <cell r="A164" t="str">
            <v>Gibson</v>
          </cell>
          <cell r="B164">
            <v>1</v>
          </cell>
        </row>
        <row r="165">
          <cell r="A165" t="str">
            <v>Bellaire</v>
          </cell>
          <cell r="B165">
            <v>1</v>
          </cell>
        </row>
        <row r="166">
          <cell r="A166" t="str">
            <v>Lipe</v>
          </cell>
          <cell r="B166">
            <v>1</v>
          </cell>
        </row>
        <row r="167">
          <cell r="A167" t="str">
            <v>Winterville</v>
          </cell>
          <cell r="B167">
            <v>1</v>
          </cell>
        </row>
        <row r="168">
          <cell r="A168" t="str">
            <v>Neblett Lake</v>
          </cell>
          <cell r="B168">
            <v>1</v>
          </cell>
        </row>
        <row r="169">
          <cell r="A169" t="str">
            <v>Marlow</v>
          </cell>
          <cell r="B169">
            <v>1</v>
          </cell>
        </row>
        <row r="170">
          <cell r="A170" t="str">
            <v>Eastland</v>
          </cell>
          <cell r="B170">
            <v>1</v>
          </cell>
        </row>
        <row r="171">
          <cell r="A171" t="str">
            <v>Steiner</v>
          </cell>
          <cell r="B171">
            <v>1</v>
          </cell>
        </row>
        <row r="172">
          <cell r="A172" t="str">
            <v>Boyer</v>
          </cell>
          <cell r="B172">
            <v>1</v>
          </cell>
        </row>
        <row r="173">
          <cell r="A173" t="str">
            <v>McLean</v>
          </cell>
          <cell r="B173">
            <v>1</v>
          </cell>
        </row>
        <row r="174">
          <cell r="A174" t="str">
            <v>Shell Bluff</v>
          </cell>
          <cell r="B174">
            <v>1</v>
          </cell>
        </row>
        <row r="175">
          <cell r="A175" t="str">
            <v>Roebuck</v>
          </cell>
          <cell r="B175">
            <v>1</v>
          </cell>
        </row>
        <row r="176">
          <cell r="A176" t="str">
            <v>Nichols</v>
          </cell>
          <cell r="B176">
            <v>1</v>
          </cell>
        </row>
        <row r="177">
          <cell r="A177" t="str">
            <v>Hunt</v>
          </cell>
          <cell r="B177">
            <v>1</v>
          </cell>
        </row>
        <row r="178">
          <cell r="A178" t="str">
            <v>Phillipi</v>
          </cell>
          <cell r="B178">
            <v>1</v>
          </cell>
        </row>
        <row r="179">
          <cell r="A179" t="str">
            <v>Jaketown</v>
          </cell>
          <cell r="B179">
            <v>1</v>
          </cell>
        </row>
        <row r="180">
          <cell r="A180" t="str">
            <v>Horseshoe Brake</v>
          </cell>
          <cell r="B180">
            <v>1</v>
          </cell>
        </row>
        <row r="181">
          <cell r="A181" t="str">
            <v>Silver City</v>
          </cell>
          <cell r="B181">
            <v>1</v>
          </cell>
        </row>
        <row r="182">
          <cell r="A182" t="str">
            <v>Midnight</v>
          </cell>
          <cell r="B182">
            <v>1</v>
          </cell>
        </row>
        <row r="183">
          <cell r="A183" t="str">
            <v>Fortune</v>
          </cell>
          <cell r="B183">
            <v>1</v>
          </cell>
        </row>
        <row r="184">
          <cell r="A184" t="str">
            <v>Shellwood</v>
          </cell>
          <cell r="B184">
            <v>1</v>
          </cell>
        </row>
        <row r="185">
          <cell r="A185" t="str">
            <v>Erickson</v>
          </cell>
          <cell r="B185">
            <v>1</v>
          </cell>
        </row>
        <row r="186">
          <cell r="A186" t="str">
            <v>Lake George</v>
          </cell>
          <cell r="B186">
            <v>1</v>
          </cell>
        </row>
        <row r="187">
          <cell r="A187" t="str">
            <v>Mabin</v>
          </cell>
          <cell r="B187">
            <v>1</v>
          </cell>
        </row>
        <row r="188">
          <cell r="A188" t="str">
            <v>Gammel</v>
          </cell>
          <cell r="B188">
            <v>1</v>
          </cell>
        </row>
        <row r="189">
          <cell r="A189" t="str">
            <v>No Mistake</v>
          </cell>
          <cell r="B189">
            <v>1</v>
          </cell>
        </row>
        <row r="190">
          <cell r="A190" t="str">
            <v>Russell</v>
          </cell>
          <cell r="B190">
            <v>1</v>
          </cell>
        </row>
        <row r="191">
          <cell r="A191" t="str">
            <v>Dornbusch</v>
          </cell>
          <cell r="B191">
            <v>1</v>
          </cell>
        </row>
        <row r="192">
          <cell r="A192" t="str">
            <v>Haynes Bluff</v>
          </cell>
          <cell r="B192">
            <v>1</v>
          </cell>
        </row>
        <row r="193">
          <cell r="A193" t="str">
            <v>Leist</v>
          </cell>
          <cell r="B193">
            <v>1</v>
          </cell>
        </row>
        <row r="194">
          <cell r="A194" t="str">
            <v>Manny Flannigan</v>
          </cell>
          <cell r="B194">
            <v>1</v>
          </cell>
        </row>
        <row r="195">
          <cell r="A195" t="str">
            <v>Mayersville</v>
          </cell>
          <cell r="B195">
            <v>1</v>
          </cell>
        </row>
        <row r="196">
          <cell r="A196" t="str">
            <v>East Carroll</v>
          </cell>
          <cell r="B196">
            <v>1</v>
          </cell>
        </row>
        <row r="197">
          <cell r="A197" t="str">
            <v>Rose Hill</v>
          </cell>
          <cell r="B197">
            <v>1</v>
          </cell>
        </row>
        <row r="198">
          <cell r="A198" t="str">
            <v>Wilson</v>
          </cell>
          <cell r="B198">
            <v>1</v>
          </cell>
        </row>
        <row r="199">
          <cell r="A199" t="str">
            <v>Grace</v>
          </cell>
          <cell r="B199">
            <v>1</v>
          </cell>
        </row>
        <row r="200">
          <cell r="A200" t="str">
            <v>Law</v>
          </cell>
          <cell r="B200">
            <v>1</v>
          </cell>
        </row>
        <row r="201">
          <cell r="A201" t="str">
            <v>Griffin</v>
          </cell>
          <cell r="B201">
            <v>1</v>
          </cell>
        </row>
        <row r="202">
          <cell r="A202" t="str">
            <v>Swan Lake</v>
          </cell>
          <cell r="B202">
            <v>1</v>
          </cell>
        </row>
        <row r="203">
          <cell r="A203" t="str">
            <v>Arcola</v>
          </cell>
          <cell r="B203">
            <v>1</v>
          </cell>
        </row>
        <row r="204">
          <cell r="A204" t="str">
            <v>Refule</v>
          </cell>
          <cell r="B204">
            <v>1</v>
          </cell>
        </row>
        <row r="205">
          <cell r="A205" t="str">
            <v>Arcola School</v>
          </cell>
          <cell r="B205">
            <v>1</v>
          </cell>
        </row>
        <row r="206">
          <cell r="A206" t="str">
            <v>Metcalfe</v>
          </cell>
          <cell r="B206">
            <v>1</v>
          </cell>
        </row>
        <row r="207">
          <cell r="A207" t="str">
            <v>Ely</v>
          </cell>
          <cell r="B207">
            <v>1</v>
          </cell>
        </row>
        <row r="208">
          <cell r="A208" t="str">
            <v>Sheldon</v>
          </cell>
          <cell r="B208">
            <v>1</v>
          </cell>
        </row>
        <row r="209">
          <cell r="A209" t="str">
            <v>Leland</v>
          </cell>
          <cell r="B209">
            <v>1</v>
          </cell>
        </row>
        <row r="210">
          <cell r="A210" t="str">
            <v>Failing</v>
          </cell>
          <cell r="B210">
            <v>1</v>
          </cell>
        </row>
        <row r="211">
          <cell r="A211" t="str">
            <v>Bay Lake</v>
          </cell>
          <cell r="B211">
            <v>1</v>
          </cell>
        </row>
        <row r="212">
          <cell r="A212" t="str">
            <v>Kinlock</v>
          </cell>
          <cell r="B212">
            <v>1</v>
          </cell>
        </row>
        <row r="213">
          <cell r="A213" t="str">
            <v>Lake Dawson</v>
          </cell>
          <cell r="B213">
            <v>1</v>
          </cell>
        </row>
        <row r="214">
          <cell r="A214" t="str">
            <v>Cold Lake</v>
          </cell>
          <cell r="B214">
            <v>1</v>
          </cell>
        </row>
        <row r="215">
          <cell r="A215" t="str">
            <v>Clower</v>
          </cell>
          <cell r="B215">
            <v>1</v>
          </cell>
        </row>
        <row r="216">
          <cell r="A216" t="str">
            <v>Magee</v>
          </cell>
          <cell r="B216">
            <v>1</v>
          </cell>
        </row>
        <row r="217">
          <cell r="A217" t="str">
            <v>Peaster</v>
          </cell>
          <cell r="B217">
            <v>1</v>
          </cell>
        </row>
        <row r="218">
          <cell r="A218" t="str">
            <v>Belzoni</v>
          </cell>
          <cell r="B218">
            <v>1</v>
          </cell>
        </row>
        <row r="219">
          <cell r="A219" t="str">
            <v>Fortune</v>
          </cell>
          <cell r="B219">
            <v>1</v>
          </cell>
        </row>
        <row r="220">
          <cell r="A220" t="str">
            <v>Palther</v>
          </cell>
          <cell r="B220">
            <v>1</v>
          </cell>
        </row>
        <row r="221">
          <cell r="A221" t="str">
            <v>Rolling Fork</v>
          </cell>
          <cell r="B221">
            <v>1</v>
          </cell>
        </row>
        <row r="222">
          <cell r="A222" t="str">
            <v>Cary</v>
          </cell>
          <cell r="B222">
            <v>1</v>
          </cell>
        </row>
        <row r="223">
          <cell r="A223" t="str">
            <v>Flannigan</v>
          </cell>
          <cell r="B223">
            <v>1</v>
          </cell>
        </row>
        <row r="224">
          <cell r="A224" t="str">
            <v>Tensas Bayou</v>
          </cell>
          <cell r="B224">
            <v>1</v>
          </cell>
        </row>
        <row r="225">
          <cell r="A225" t="str">
            <v>Julice</v>
          </cell>
          <cell r="B225">
            <v>1</v>
          </cell>
        </row>
        <row r="226">
          <cell r="A226" t="str">
            <v>Manny</v>
          </cell>
          <cell r="B226">
            <v>1</v>
          </cell>
        </row>
        <row r="227">
          <cell r="A227" t="str">
            <v>Transylvania</v>
          </cell>
          <cell r="B227">
            <v>1</v>
          </cell>
        </row>
        <row r="228">
          <cell r="A228" t="str">
            <v>Magna Vista</v>
          </cell>
          <cell r="B228">
            <v>1</v>
          </cell>
        </row>
        <row r="229">
          <cell r="A229" t="str">
            <v>Weld</v>
          </cell>
          <cell r="B229">
            <v>1</v>
          </cell>
        </row>
        <row r="230">
          <cell r="A230" t="str">
            <v>Raffman</v>
          </cell>
          <cell r="B230">
            <v>1</v>
          </cell>
        </row>
        <row r="231">
          <cell r="A231" t="str">
            <v>Willow Bayou</v>
          </cell>
          <cell r="B231">
            <v>1</v>
          </cell>
        </row>
        <row r="232">
          <cell r="A232" t="str">
            <v>Bear Lake</v>
          </cell>
          <cell r="B232">
            <v>1</v>
          </cell>
        </row>
        <row r="233">
          <cell r="A233" t="str">
            <v>Parks</v>
          </cell>
          <cell r="B233">
            <v>1</v>
          </cell>
        </row>
        <row r="234">
          <cell r="A234" t="str">
            <v>Patterson</v>
          </cell>
          <cell r="B234">
            <v>1</v>
          </cell>
        </row>
        <row r="235">
          <cell r="A235" t="str">
            <v>Sheperd</v>
          </cell>
          <cell r="B235">
            <v>1</v>
          </cell>
        </row>
        <row r="236">
          <cell r="A236" t="str">
            <v>Mott</v>
          </cell>
          <cell r="B236">
            <v>1</v>
          </cell>
        </row>
        <row r="237">
          <cell r="A237" t="str">
            <v>Indian Bayou</v>
          </cell>
          <cell r="B237">
            <v>1</v>
          </cell>
        </row>
        <row r="238">
          <cell r="A238" t="str">
            <v>Quimby</v>
          </cell>
          <cell r="B238">
            <v>1</v>
          </cell>
        </row>
        <row r="239">
          <cell r="A239" t="str">
            <v>Somerset</v>
          </cell>
          <cell r="B239">
            <v>1</v>
          </cell>
        </row>
        <row r="240">
          <cell r="A240" t="str">
            <v>Bixler</v>
          </cell>
          <cell r="B240">
            <v>1</v>
          </cell>
        </row>
        <row r="241">
          <cell r="A241" t="str">
            <v>Clark Bayou</v>
          </cell>
          <cell r="B241">
            <v>1</v>
          </cell>
        </row>
        <row r="242">
          <cell r="A242" t="str">
            <v>Barfield</v>
          </cell>
          <cell r="B242">
            <v>1</v>
          </cell>
        </row>
        <row r="243">
          <cell r="A243" t="str">
            <v>ChellyLanding</v>
          </cell>
          <cell r="B243">
            <v>1</v>
          </cell>
        </row>
        <row r="244">
          <cell r="A244" t="str">
            <v>Egypt</v>
          </cell>
          <cell r="B244">
            <v>1</v>
          </cell>
        </row>
        <row r="245">
          <cell r="A245" t="str">
            <v>Harris</v>
          </cell>
          <cell r="B245">
            <v>1</v>
          </cell>
        </row>
        <row r="246">
          <cell r="A246" t="str">
            <v>Canebrake</v>
          </cell>
          <cell r="B246">
            <v>1</v>
          </cell>
        </row>
        <row r="247">
          <cell r="A247" t="str">
            <v>Barfield</v>
          </cell>
          <cell r="B247">
            <v>1</v>
          </cell>
        </row>
        <row r="248">
          <cell r="A248" t="str">
            <v>Graves</v>
          </cell>
          <cell r="B248">
            <v>1</v>
          </cell>
        </row>
        <row r="249">
          <cell r="A249" t="str">
            <v>Peck</v>
          </cell>
          <cell r="B249">
            <v>1</v>
          </cell>
        </row>
        <row r="250">
          <cell r="A250" t="str">
            <v>Pritchard Landing</v>
          </cell>
          <cell r="B250">
            <v>1</v>
          </cell>
        </row>
        <row r="251">
          <cell r="A251" t="str">
            <v>New Ground</v>
          </cell>
          <cell r="B251">
            <v>1</v>
          </cell>
        </row>
        <row r="252">
          <cell r="A252" t="str">
            <v>Balmoral</v>
          </cell>
          <cell r="B252">
            <v>1</v>
          </cell>
        </row>
        <row r="253">
          <cell r="A253" t="str">
            <v>Muir</v>
          </cell>
          <cell r="B253">
            <v>1</v>
          </cell>
        </row>
        <row r="254">
          <cell r="A254" t="str">
            <v>Glass</v>
          </cell>
          <cell r="B254">
            <v>1</v>
          </cell>
        </row>
        <row r="255">
          <cell r="A255" t="str">
            <v>Burthe</v>
          </cell>
          <cell r="B255">
            <v>1</v>
          </cell>
        </row>
        <row r="256">
          <cell r="A256" t="str">
            <v>Ring</v>
          </cell>
          <cell r="B256">
            <v>1</v>
          </cell>
        </row>
        <row r="257">
          <cell r="A257" t="str">
            <v>Oak Bend</v>
          </cell>
          <cell r="B257">
            <v>1</v>
          </cell>
        </row>
        <row r="258">
          <cell r="A258" t="str">
            <v>Routh</v>
          </cell>
          <cell r="B258">
            <v>1</v>
          </cell>
        </row>
        <row r="259">
          <cell r="A259" t="str">
            <v>Magnum</v>
          </cell>
          <cell r="B259">
            <v>1</v>
          </cell>
        </row>
        <row r="260">
          <cell r="A260" t="str">
            <v>Ione</v>
          </cell>
          <cell r="B260">
            <v>1</v>
          </cell>
        </row>
        <row r="261">
          <cell r="A261" t="str">
            <v>Natchez Fort</v>
          </cell>
          <cell r="B261">
            <v>1</v>
          </cell>
        </row>
        <row r="262">
          <cell r="A262" t="str">
            <v>Aubrey</v>
          </cell>
          <cell r="B262">
            <v>1</v>
          </cell>
        </row>
        <row r="263">
          <cell r="A263" t="str">
            <v>Avondale</v>
          </cell>
          <cell r="B263">
            <v>1</v>
          </cell>
        </row>
        <row r="264">
          <cell r="A264" t="str">
            <v>Truly</v>
          </cell>
          <cell r="B264">
            <v>1</v>
          </cell>
        </row>
        <row r="265">
          <cell r="A265" t="str">
            <v>Gordon</v>
          </cell>
          <cell r="B265">
            <v>1</v>
          </cell>
        </row>
        <row r="266">
          <cell r="A266" t="str">
            <v>Emerald</v>
          </cell>
          <cell r="B266">
            <v>1</v>
          </cell>
        </row>
        <row r="267">
          <cell r="A267" t="str">
            <v>Fatherland</v>
          </cell>
          <cell r="B267">
            <v>1</v>
          </cell>
        </row>
        <row r="268">
          <cell r="A268" t="str">
            <v>Mazique</v>
          </cell>
          <cell r="B268">
            <v>1</v>
          </cell>
        </row>
        <row r="269">
          <cell r="A269" t="str">
            <v>Wiley</v>
          </cell>
          <cell r="B269">
            <v>1</v>
          </cell>
        </row>
        <row r="270">
          <cell r="A270" t="str">
            <v>MayeSanson</v>
          </cell>
          <cell r="B270">
            <v>1</v>
          </cell>
        </row>
        <row r="271">
          <cell r="A271" t="str">
            <v>Burnham</v>
          </cell>
          <cell r="B271">
            <v>1</v>
          </cell>
        </row>
        <row r="272">
          <cell r="A272" t="str">
            <v>Saline Point</v>
          </cell>
          <cell r="B272">
            <v>1</v>
          </cell>
        </row>
        <row r="273">
          <cell r="A273" t="str">
            <v>Troyville</v>
          </cell>
          <cell r="B273">
            <v>1</v>
          </cell>
        </row>
        <row r="274">
          <cell r="A274" t="str">
            <v>Watson Landing</v>
          </cell>
          <cell r="B274">
            <v>1</v>
          </cell>
        </row>
        <row r="275">
          <cell r="A275" t="str">
            <v>Dunbarton</v>
          </cell>
          <cell r="B275">
            <v>1</v>
          </cell>
        </row>
        <row r="276">
          <cell r="A276" t="str">
            <v>Black Lake</v>
          </cell>
          <cell r="B276">
            <v>1</v>
          </cell>
        </row>
        <row r="277">
          <cell r="A277" t="str">
            <v>Elkhorn</v>
          </cell>
          <cell r="B277">
            <v>1</v>
          </cell>
        </row>
        <row r="278">
          <cell r="A278" t="str">
            <v>Gorum</v>
          </cell>
          <cell r="B278">
            <v>1</v>
          </cell>
        </row>
        <row r="279">
          <cell r="A279" t="str">
            <v>Camp Bayou</v>
          </cell>
          <cell r="B279">
            <v>1</v>
          </cell>
        </row>
        <row r="280">
          <cell r="A280" t="str">
            <v>MayeSanson</v>
          </cell>
          <cell r="B280">
            <v>1</v>
          </cell>
        </row>
        <row r="281">
          <cell r="A281" t="str">
            <v>Wiley</v>
          </cell>
          <cell r="B281">
            <v>1</v>
          </cell>
        </row>
        <row r="282">
          <cell r="A282" t="str">
            <v>Mazique</v>
          </cell>
          <cell r="B282">
            <v>1</v>
          </cell>
        </row>
        <row r="283">
          <cell r="A283" t="str">
            <v>Lake Eau Noire</v>
          </cell>
          <cell r="B283">
            <v>1</v>
          </cell>
        </row>
        <row r="284">
          <cell r="A284" t="str">
            <v>Greenhouse</v>
          </cell>
          <cell r="B284">
            <v>1</v>
          </cell>
        </row>
        <row r="285">
          <cell r="A285" t="str">
            <v>Marksville</v>
          </cell>
          <cell r="B285">
            <v>1</v>
          </cell>
        </row>
        <row r="286">
          <cell r="A286" t="str">
            <v>Baptiste</v>
          </cell>
          <cell r="B286">
            <v>1</v>
          </cell>
        </row>
        <row r="287">
          <cell r="A287" t="str">
            <v>Prinz</v>
          </cell>
          <cell r="B287">
            <v>1</v>
          </cell>
        </row>
        <row r="288">
          <cell r="A288" t="str">
            <v>Bordelon</v>
          </cell>
          <cell r="B288">
            <v>1</v>
          </cell>
        </row>
        <row r="289">
          <cell r="A289" t="str">
            <v>Lamartiniere</v>
          </cell>
          <cell r="B289">
            <v>1</v>
          </cell>
        </row>
        <row r="290">
          <cell r="A290" t="str">
            <v>Saucier</v>
          </cell>
          <cell r="B290">
            <v>1</v>
          </cell>
        </row>
        <row r="291">
          <cell r="A291" t="str">
            <v>Smith Creek</v>
          </cell>
          <cell r="B291">
            <v>1</v>
          </cell>
        </row>
        <row r="292">
          <cell r="A292" t="str">
            <v>Angola Farms</v>
          </cell>
          <cell r="B292">
            <v>1</v>
          </cell>
        </row>
        <row r="293">
          <cell r="A293" t="str">
            <v>Tunica Mounds</v>
          </cell>
          <cell r="B293">
            <v>1</v>
          </cell>
        </row>
        <row r="294">
          <cell r="A294" t="str">
            <v>Riddle</v>
          </cell>
          <cell r="B294">
            <v>1</v>
          </cell>
        </row>
        <row r="295">
          <cell r="A295" t="str">
            <v>Livonia</v>
          </cell>
          <cell r="B295">
            <v>1</v>
          </cell>
        </row>
        <row r="296">
          <cell r="A296" t="str">
            <v>Peter Hill</v>
          </cell>
          <cell r="B296">
            <v>1</v>
          </cell>
        </row>
        <row r="297">
          <cell r="A297" t="str">
            <v>Rosedale</v>
          </cell>
          <cell r="B297">
            <v>1</v>
          </cell>
        </row>
        <row r="298">
          <cell r="A298" t="str">
            <v>Reed</v>
          </cell>
          <cell r="B298">
            <v>1</v>
          </cell>
        </row>
        <row r="299">
          <cell r="A299" t="str">
            <v>Medora</v>
          </cell>
          <cell r="B299">
            <v>1</v>
          </cell>
        </row>
        <row r="300">
          <cell r="A300" t="str">
            <v>Bayou Gould</v>
          </cell>
          <cell r="B300">
            <v>1</v>
          </cell>
        </row>
        <row r="301">
          <cell r="A301" t="str">
            <v>Clara Murray</v>
          </cell>
          <cell r="B301">
            <v>1</v>
          </cell>
        </row>
        <row r="302">
          <cell r="A302" t="str">
            <v>Bayou Sorrel</v>
          </cell>
          <cell r="B302">
            <v>1</v>
          </cell>
        </row>
        <row r="303">
          <cell r="A303" t="str">
            <v>Bayou Chene</v>
          </cell>
          <cell r="B303">
            <v>1</v>
          </cell>
        </row>
        <row r="304">
          <cell r="A304" t="str">
            <v>Portage</v>
          </cell>
          <cell r="B304">
            <v>1</v>
          </cell>
        </row>
        <row r="305">
          <cell r="A305" t="str">
            <v>Cary</v>
          </cell>
          <cell r="B305">
            <v>1</v>
          </cell>
        </row>
      </sheetData>
      <sheetData sheetId="45">
        <row r="1">
          <cell r="A1" t="str">
            <v>Name</v>
          </cell>
          <cell r="B1" t="str">
            <v>Number</v>
          </cell>
        </row>
        <row r="2">
          <cell r="A2" t="str">
            <v>Baseline</v>
          </cell>
          <cell r="B2">
            <v>1</v>
          </cell>
        </row>
        <row r="3">
          <cell r="A3" t="str">
            <v>Brushy Lake</v>
          </cell>
          <cell r="B3">
            <v>1</v>
          </cell>
        </row>
        <row r="4">
          <cell r="A4" t="str">
            <v>Sand Ridge</v>
          </cell>
          <cell r="B4">
            <v>1</v>
          </cell>
        </row>
        <row r="5">
          <cell r="A5" t="str">
            <v>Sandy Woods</v>
          </cell>
          <cell r="B5">
            <v>1</v>
          </cell>
        </row>
        <row r="6">
          <cell r="A6" t="str">
            <v>Lusk</v>
          </cell>
          <cell r="B6">
            <v>1</v>
          </cell>
        </row>
        <row r="7">
          <cell r="A7" t="str">
            <v>Myers</v>
          </cell>
          <cell r="B7">
            <v>1</v>
          </cell>
        </row>
        <row r="8">
          <cell r="A8" t="str">
            <v>Sikeston</v>
          </cell>
          <cell r="B8">
            <v>1</v>
          </cell>
        </row>
        <row r="9">
          <cell r="A9" t="str">
            <v>East Lake</v>
          </cell>
          <cell r="B9">
            <v>1</v>
          </cell>
        </row>
        <row r="10">
          <cell r="A10" t="str">
            <v>Hoecake</v>
          </cell>
          <cell r="B10">
            <v>1</v>
          </cell>
        </row>
        <row r="11">
          <cell r="A11" t="str">
            <v>Spanish Grant</v>
          </cell>
          <cell r="B11">
            <v>1</v>
          </cell>
        </row>
        <row r="12">
          <cell r="A12" t="str">
            <v>Barker</v>
          </cell>
          <cell r="B12">
            <v>1</v>
          </cell>
        </row>
        <row r="13">
          <cell r="A13" t="str">
            <v>LaPlant</v>
          </cell>
          <cell r="B13">
            <v>1</v>
          </cell>
        </row>
        <row r="14">
          <cell r="A14" t="str">
            <v>East Bayou</v>
          </cell>
          <cell r="B14">
            <v>1</v>
          </cell>
        </row>
        <row r="15">
          <cell r="A15" t="str">
            <v>Mound Field</v>
          </cell>
          <cell r="B15">
            <v>1</v>
          </cell>
        </row>
        <row r="16">
          <cell r="A16" t="str">
            <v>Newmann</v>
          </cell>
          <cell r="B16">
            <v>1</v>
          </cell>
        </row>
        <row r="17">
          <cell r="A17" t="str">
            <v>Reaves</v>
          </cell>
          <cell r="B17">
            <v>1</v>
          </cell>
        </row>
        <row r="18">
          <cell r="A18" t="str">
            <v>Lilbourn</v>
          </cell>
          <cell r="B18">
            <v>1</v>
          </cell>
        </row>
        <row r="19">
          <cell r="A19" t="str">
            <v>County Line</v>
          </cell>
          <cell r="B19">
            <v>1</v>
          </cell>
        </row>
        <row r="20">
          <cell r="A20" t="str">
            <v>Stewart Sp.</v>
          </cell>
          <cell r="B20">
            <v>1</v>
          </cell>
        </row>
        <row r="21">
          <cell r="A21" t="str">
            <v>Whittaker</v>
          </cell>
          <cell r="B21">
            <v>1</v>
          </cell>
        </row>
        <row r="22">
          <cell r="A22" t="str">
            <v>Rich Woods</v>
          </cell>
          <cell r="B22">
            <v>1</v>
          </cell>
        </row>
        <row r="23">
          <cell r="A23" t="str">
            <v>Matthews</v>
          </cell>
          <cell r="B23">
            <v>1</v>
          </cell>
        </row>
        <row r="24">
          <cell r="A24" t="str">
            <v>Durnell</v>
          </cell>
          <cell r="B24">
            <v>1</v>
          </cell>
        </row>
        <row r="25">
          <cell r="A25" t="str">
            <v>Case School</v>
          </cell>
          <cell r="B25">
            <v>1</v>
          </cell>
        </row>
        <row r="26">
          <cell r="A26" t="str">
            <v>Holcomb</v>
          </cell>
          <cell r="B26">
            <v>1</v>
          </cell>
        </row>
        <row r="27">
          <cell r="A27" t="str">
            <v>Spence</v>
          </cell>
          <cell r="B27">
            <v>1</v>
          </cell>
        </row>
        <row r="28">
          <cell r="A28" t="str">
            <v>Watson</v>
          </cell>
          <cell r="B28">
            <v>1</v>
          </cell>
        </row>
        <row r="29">
          <cell r="A29" t="str">
            <v>Old Varney River</v>
          </cell>
          <cell r="B29">
            <v>1</v>
          </cell>
        </row>
        <row r="30">
          <cell r="A30" t="str">
            <v>Gum Island</v>
          </cell>
          <cell r="B30">
            <v>1</v>
          </cell>
        </row>
        <row r="31">
          <cell r="A31" t="str">
            <v>Wilkins Island</v>
          </cell>
          <cell r="B31">
            <v>1</v>
          </cell>
        </row>
        <row r="32">
          <cell r="A32" t="str">
            <v>Cockrum Landing</v>
          </cell>
          <cell r="B32">
            <v>1</v>
          </cell>
        </row>
        <row r="33">
          <cell r="A33" t="str">
            <v>Langdon</v>
          </cell>
          <cell r="B33">
            <v>1</v>
          </cell>
        </row>
        <row r="34">
          <cell r="A34" t="str">
            <v>Treasure Island</v>
          </cell>
          <cell r="B34">
            <v>1</v>
          </cell>
        </row>
        <row r="35">
          <cell r="A35" t="str">
            <v>Hurley</v>
          </cell>
          <cell r="B35">
            <v>1</v>
          </cell>
        </row>
        <row r="36">
          <cell r="A36" t="str">
            <v>Lipsey</v>
          </cell>
          <cell r="B36">
            <v>1</v>
          </cell>
        </row>
        <row r="37">
          <cell r="A37" t="str">
            <v>Pascola</v>
          </cell>
          <cell r="B37">
            <v>1</v>
          </cell>
        </row>
        <row r="38">
          <cell r="A38" t="str">
            <v>Estes</v>
          </cell>
          <cell r="B38">
            <v>1</v>
          </cell>
        </row>
        <row r="39">
          <cell r="A39" t="str">
            <v>Wilbur</v>
          </cell>
          <cell r="B39">
            <v>1</v>
          </cell>
        </row>
        <row r="40">
          <cell r="A40" t="str">
            <v>Portage</v>
          </cell>
          <cell r="B40">
            <v>1</v>
          </cell>
        </row>
        <row r="41">
          <cell r="A41" t="str">
            <v>Double Bridge</v>
          </cell>
          <cell r="B41">
            <v>1</v>
          </cell>
        </row>
        <row r="42">
          <cell r="A42" t="str">
            <v>Canady</v>
          </cell>
          <cell r="B42">
            <v>1</v>
          </cell>
        </row>
        <row r="43">
          <cell r="A43" t="str">
            <v>McKay</v>
          </cell>
          <cell r="B43">
            <v>1</v>
          </cell>
        </row>
        <row r="44">
          <cell r="A44" t="str">
            <v>Lawhorn</v>
          </cell>
          <cell r="B44">
            <v>1</v>
          </cell>
        </row>
        <row r="45">
          <cell r="A45" t="str">
            <v>Pittman</v>
          </cell>
          <cell r="B45">
            <v>1</v>
          </cell>
        </row>
        <row r="46">
          <cell r="A46" t="str">
            <v>Pinkston</v>
          </cell>
          <cell r="B46">
            <v>1</v>
          </cell>
        </row>
        <row r="47">
          <cell r="A47" t="str">
            <v>Emory</v>
          </cell>
          <cell r="B47">
            <v>1</v>
          </cell>
        </row>
        <row r="48">
          <cell r="A48" t="str">
            <v>Gilliland</v>
          </cell>
          <cell r="B48">
            <v>1</v>
          </cell>
        </row>
        <row r="49">
          <cell r="A49" t="str">
            <v>Lewis</v>
          </cell>
          <cell r="B49">
            <v>1</v>
          </cell>
        </row>
        <row r="50">
          <cell r="A50" t="str">
            <v>Togo</v>
          </cell>
          <cell r="B50">
            <v>1</v>
          </cell>
        </row>
        <row r="51">
          <cell r="A51" t="str">
            <v>Williams</v>
          </cell>
          <cell r="B51">
            <v>1</v>
          </cell>
        </row>
        <row r="52">
          <cell r="A52" t="str">
            <v>Delta</v>
          </cell>
          <cell r="B52">
            <v>1</v>
          </cell>
        </row>
        <row r="53">
          <cell r="A53" t="str">
            <v>Cross Country Club</v>
          </cell>
          <cell r="B53">
            <v>1</v>
          </cell>
        </row>
        <row r="54">
          <cell r="A54" t="str">
            <v>Welshans</v>
          </cell>
          <cell r="B54">
            <v>1</v>
          </cell>
        </row>
        <row r="55">
          <cell r="A55" t="str">
            <v>Westmoreland</v>
          </cell>
          <cell r="B55">
            <v>1</v>
          </cell>
        </row>
        <row r="56">
          <cell r="A56" t="str">
            <v>Rose Mound</v>
          </cell>
          <cell r="B56">
            <v>1</v>
          </cell>
        </row>
        <row r="57">
          <cell r="A57" t="str">
            <v>Parkin</v>
          </cell>
          <cell r="B57">
            <v>1</v>
          </cell>
        </row>
        <row r="58">
          <cell r="A58" t="str">
            <v>Turner</v>
          </cell>
          <cell r="B58">
            <v>1</v>
          </cell>
        </row>
        <row r="59">
          <cell r="A59" t="str">
            <v>Swan Place</v>
          </cell>
          <cell r="B59">
            <v>1</v>
          </cell>
        </row>
        <row r="60">
          <cell r="A60" t="str">
            <v>Burns</v>
          </cell>
          <cell r="B60">
            <v>1</v>
          </cell>
        </row>
        <row r="61">
          <cell r="A61" t="str">
            <v>Manly</v>
          </cell>
          <cell r="B61">
            <v>1</v>
          </cell>
        </row>
        <row r="62">
          <cell r="A62" t="str">
            <v>Turner</v>
          </cell>
          <cell r="B62">
            <v>1</v>
          </cell>
        </row>
        <row r="63">
          <cell r="A63" t="str">
            <v>Mound Place</v>
          </cell>
          <cell r="B63">
            <v>1</v>
          </cell>
        </row>
        <row r="64">
          <cell r="A64" t="str">
            <v>Lake Cormorant</v>
          </cell>
          <cell r="B64">
            <v>1</v>
          </cell>
        </row>
        <row r="65">
          <cell r="A65" t="str">
            <v>Withers</v>
          </cell>
          <cell r="B65">
            <v>1</v>
          </cell>
        </row>
        <row r="66">
          <cell r="A66" t="str">
            <v>Shannon</v>
          </cell>
          <cell r="B66">
            <v>1</v>
          </cell>
        </row>
        <row r="67">
          <cell r="A67" t="str">
            <v>New Bethel</v>
          </cell>
          <cell r="B67">
            <v>1</v>
          </cell>
        </row>
        <row r="68">
          <cell r="A68" t="str">
            <v>Widner Cemetery</v>
          </cell>
          <cell r="B68">
            <v>1</v>
          </cell>
        </row>
        <row r="69">
          <cell r="A69" t="str">
            <v>Clay Hill</v>
          </cell>
          <cell r="B69">
            <v>1</v>
          </cell>
        </row>
        <row r="70">
          <cell r="A70" t="str">
            <v>Barrett</v>
          </cell>
          <cell r="B70">
            <v>1</v>
          </cell>
        </row>
        <row r="71">
          <cell r="A71" t="str">
            <v>Hughes</v>
          </cell>
          <cell r="B71">
            <v>1</v>
          </cell>
        </row>
        <row r="72">
          <cell r="A72" t="str">
            <v>Connor</v>
          </cell>
          <cell r="B72">
            <v>1</v>
          </cell>
        </row>
        <row r="73">
          <cell r="A73" t="str">
            <v>Findley</v>
          </cell>
          <cell r="B73">
            <v>1</v>
          </cell>
        </row>
        <row r="74">
          <cell r="A74" t="str">
            <v>Hollywood</v>
          </cell>
          <cell r="B74">
            <v>1</v>
          </cell>
        </row>
        <row r="75">
          <cell r="A75" t="str">
            <v>Greer</v>
          </cell>
          <cell r="B75">
            <v>1</v>
          </cell>
        </row>
        <row r="76">
          <cell r="A76" t="str">
            <v>Bonner</v>
          </cell>
          <cell r="B76">
            <v>1</v>
          </cell>
        </row>
        <row r="77">
          <cell r="A77" t="str">
            <v>Bowie</v>
          </cell>
          <cell r="B77">
            <v>1</v>
          </cell>
        </row>
        <row r="78">
          <cell r="A78" t="str">
            <v>Fitzhugh</v>
          </cell>
          <cell r="B78">
            <v>1</v>
          </cell>
        </row>
        <row r="79">
          <cell r="A79" t="str">
            <v>Evansville</v>
          </cell>
          <cell r="B79">
            <v>1</v>
          </cell>
        </row>
        <row r="80">
          <cell r="A80" t="str">
            <v>Beaverdam</v>
          </cell>
          <cell r="B80">
            <v>1</v>
          </cell>
        </row>
        <row r="81">
          <cell r="A81" t="str">
            <v>Owens</v>
          </cell>
          <cell r="B81">
            <v>1</v>
          </cell>
        </row>
        <row r="82">
          <cell r="A82" t="str">
            <v>Westmoreland</v>
          </cell>
          <cell r="B82">
            <v>1</v>
          </cell>
        </row>
        <row r="83">
          <cell r="A83" t="str">
            <v>Dundee</v>
          </cell>
          <cell r="B83">
            <v>1</v>
          </cell>
        </row>
        <row r="84">
          <cell r="A84" t="str">
            <v>Canon</v>
          </cell>
          <cell r="B84">
            <v>1</v>
          </cell>
        </row>
        <row r="85">
          <cell r="A85" t="str">
            <v>Indian Creek</v>
          </cell>
          <cell r="B85">
            <v>1</v>
          </cell>
        </row>
        <row r="86">
          <cell r="A86" t="str">
            <v>Corn Lake</v>
          </cell>
          <cell r="B86">
            <v>1</v>
          </cell>
        </row>
        <row r="87">
          <cell r="A87" t="str">
            <v>Thomas</v>
          </cell>
          <cell r="B87">
            <v>1</v>
          </cell>
        </row>
        <row r="88">
          <cell r="A88" t="str">
            <v>Salomon</v>
          </cell>
          <cell r="B88">
            <v>1</v>
          </cell>
        </row>
        <row r="89">
          <cell r="A89" t="str">
            <v>Posey</v>
          </cell>
          <cell r="B89">
            <v>1</v>
          </cell>
        </row>
        <row r="90">
          <cell r="A90" t="str">
            <v>Crosslyn</v>
          </cell>
          <cell r="B90">
            <v>1</v>
          </cell>
        </row>
        <row r="91">
          <cell r="A91" t="str">
            <v>Dickerson</v>
          </cell>
          <cell r="B91">
            <v>1</v>
          </cell>
        </row>
        <row r="92">
          <cell r="A92" t="str">
            <v>Carson</v>
          </cell>
          <cell r="B92">
            <v>1</v>
          </cell>
        </row>
        <row r="93">
          <cell r="A93" t="str">
            <v>Parchmann</v>
          </cell>
          <cell r="B93">
            <v>1</v>
          </cell>
        </row>
        <row r="94">
          <cell r="A94" t="str">
            <v>Buie</v>
          </cell>
          <cell r="B94">
            <v>1</v>
          </cell>
        </row>
        <row r="95">
          <cell r="A95" t="str">
            <v>Ellis</v>
          </cell>
          <cell r="B95">
            <v>1</v>
          </cell>
        </row>
        <row r="96">
          <cell r="A96" t="str">
            <v>Helena</v>
          </cell>
          <cell r="B96">
            <v>1</v>
          </cell>
        </row>
        <row r="97">
          <cell r="A97" t="str">
            <v>Websters</v>
          </cell>
          <cell r="B97">
            <v>1</v>
          </cell>
        </row>
        <row r="98">
          <cell r="A98" t="str">
            <v>Baytown</v>
          </cell>
          <cell r="B98">
            <v>1</v>
          </cell>
        </row>
        <row r="99">
          <cell r="A99" t="str">
            <v>Tinsley</v>
          </cell>
          <cell r="B99">
            <v>1</v>
          </cell>
        </row>
        <row r="100">
          <cell r="A100" t="str">
            <v>Stovall</v>
          </cell>
          <cell r="B100">
            <v>1</v>
          </cell>
        </row>
        <row r="101">
          <cell r="A101" t="str">
            <v>Dupree</v>
          </cell>
          <cell r="B101">
            <v>1</v>
          </cell>
        </row>
        <row r="102">
          <cell r="A102" t="str">
            <v>Harris Bayou</v>
          </cell>
          <cell r="B102">
            <v>1</v>
          </cell>
        </row>
        <row r="103">
          <cell r="A103" t="str">
            <v>Dunn</v>
          </cell>
          <cell r="B103">
            <v>1</v>
          </cell>
        </row>
        <row r="104">
          <cell r="A104" t="str">
            <v>Alligator</v>
          </cell>
          <cell r="B104">
            <v>1</v>
          </cell>
        </row>
        <row r="105">
          <cell r="A105" t="str">
            <v>Stokes Byaou</v>
          </cell>
          <cell r="B105">
            <v>1</v>
          </cell>
        </row>
        <row r="106">
          <cell r="A106" t="str">
            <v>Oliver</v>
          </cell>
          <cell r="B106">
            <v>1</v>
          </cell>
        </row>
        <row r="107">
          <cell r="A107" t="str">
            <v>Acree</v>
          </cell>
          <cell r="B107">
            <v>1</v>
          </cell>
        </row>
        <row r="108">
          <cell r="A108" t="str">
            <v>Spendthrift</v>
          </cell>
          <cell r="B108">
            <v>1</v>
          </cell>
        </row>
        <row r="109">
          <cell r="A109" t="str">
            <v>Everett</v>
          </cell>
          <cell r="B109">
            <v>1</v>
          </cell>
        </row>
        <row r="110">
          <cell r="A110" t="str">
            <v>Stover</v>
          </cell>
          <cell r="B110">
            <v>1</v>
          </cell>
        </row>
        <row r="111">
          <cell r="A111" t="str">
            <v>Mitchell</v>
          </cell>
          <cell r="B111">
            <v>1</v>
          </cell>
        </row>
        <row r="112">
          <cell r="A112" t="str">
            <v>Cox</v>
          </cell>
          <cell r="B112">
            <v>1</v>
          </cell>
        </row>
        <row r="113">
          <cell r="A113" t="str">
            <v>Dunn</v>
          </cell>
          <cell r="B113">
            <v>1</v>
          </cell>
        </row>
        <row r="114">
          <cell r="A114" t="str">
            <v>Mt Olive</v>
          </cell>
          <cell r="B114">
            <v>1</v>
          </cell>
        </row>
        <row r="115">
          <cell r="A115" t="str">
            <v>Yakes</v>
          </cell>
          <cell r="B115">
            <v>1</v>
          </cell>
        </row>
        <row r="116">
          <cell r="A116" t="str">
            <v>Bear Ridge</v>
          </cell>
          <cell r="B116">
            <v>1</v>
          </cell>
        </row>
        <row r="117">
          <cell r="A117" t="str">
            <v>O'Donnell</v>
          </cell>
          <cell r="B117">
            <v>1</v>
          </cell>
        </row>
        <row r="118">
          <cell r="A118" t="str">
            <v>Wilnot</v>
          </cell>
          <cell r="B118">
            <v>1</v>
          </cell>
        </row>
        <row r="119">
          <cell r="A119" t="str">
            <v>Monroe</v>
          </cell>
          <cell r="B119">
            <v>1</v>
          </cell>
        </row>
        <row r="120">
          <cell r="A120" t="str">
            <v>Nelson</v>
          </cell>
          <cell r="B120">
            <v>1</v>
          </cell>
        </row>
        <row r="121">
          <cell r="A121" t="str">
            <v>Massey</v>
          </cell>
          <cell r="B121">
            <v>1</v>
          </cell>
        </row>
        <row r="122">
          <cell r="A122" t="str">
            <v>Boykin Boque</v>
          </cell>
          <cell r="B122">
            <v>1</v>
          </cell>
        </row>
        <row r="123">
          <cell r="A123" t="str">
            <v>May</v>
          </cell>
          <cell r="B123">
            <v>1</v>
          </cell>
        </row>
        <row r="124">
          <cell r="A124" t="str">
            <v>Powell Bayou</v>
          </cell>
          <cell r="B124">
            <v>1</v>
          </cell>
        </row>
        <row r="125">
          <cell r="A125" t="str">
            <v>Flaut</v>
          </cell>
          <cell r="B125">
            <v>1</v>
          </cell>
        </row>
        <row r="126">
          <cell r="A126" t="str">
            <v>King</v>
          </cell>
          <cell r="B126">
            <v>1</v>
          </cell>
        </row>
        <row r="127">
          <cell r="A127" t="str">
            <v>Tippo Bayou</v>
          </cell>
          <cell r="B127">
            <v>1</v>
          </cell>
        </row>
        <row r="128">
          <cell r="A128" t="str">
            <v>Debow</v>
          </cell>
          <cell r="B128">
            <v>1</v>
          </cell>
        </row>
        <row r="129">
          <cell r="A129" t="str">
            <v>Walford</v>
          </cell>
          <cell r="B129">
            <v>1</v>
          </cell>
        </row>
        <row r="130">
          <cell r="A130" t="str">
            <v>Falls</v>
          </cell>
          <cell r="B130">
            <v>1</v>
          </cell>
        </row>
        <row r="131">
          <cell r="A131" t="str">
            <v>Cason</v>
          </cell>
          <cell r="B131">
            <v>1</v>
          </cell>
        </row>
        <row r="132">
          <cell r="A132" t="str">
            <v>Alma Brown</v>
          </cell>
          <cell r="B132">
            <v>1</v>
          </cell>
        </row>
        <row r="133">
          <cell r="A133" t="str">
            <v>Marlow</v>
          </cell>
          <cell r="B133">
            <v>1</v>
          </cell>
        </row>
        <row r="134">
          <cell r="A134" t="str">
            <v>Brooks</v>
          </cell>
          <cell r="B134">
            <v>1</v>
          </cell>
        </row>
        <row r="135">
          <cell r="A135" t="str">
            <v>Jack LeFlore</v>
          </cell>
          <cell r="B135">
            <v>1</v>
          </cell>
        </row>
        <row r="136">
          <cell r="A136" t="str">
            <v>Whaley</v>
          </cell>
          <cell r="B136">
            <v>1</v>
          </cell>
        </row>
        <row r="137">
          <cell r="A137" t="str">
            <v>Eastland</v>
          </cell>
          <cell r="B137">
            <v>1</v>
          </cell>
        </row>
        <row r="138">
          <cell r="A138" t="str">
            <v>Neblet Landing</v>
          </cell>
          <cell r="B138">
            <v>1</v>
          </cell>
        </row>
        <row r="139">
          <cell r="A139" t="str">
            <v>Lipe</v>
          </cell>
          <cell r="B139">
            <v>1</v>
          </cell>
        </row>
        <row r="140">
          <cell r="A140" t="str">
            <v>Stringtown</v>
          </cell>
          <cell r="B140">
            <v>1</v>
          </cell>
        </row>
        <row r="141">
          <cell r="A141" t="str">
            <v>Ireland</v>
          </cell>
          <cell r="B141">
            <v>1</v>
          </cell>
        </row>
        <row r="142">
          <cell r="A142" t="str">
            <v>McGregor</v>
          </cell>
          <cell r="B142">
            <v>1</v>
          </cell>
        </row>
        <row r="143">
          <cell r="A143" t="str">
            <v>Barry</v>
          </cell>
          <cell r="B143">
            <v>1</v>
          </cell>
        </row>
        <row r="144">
          <cell r="A144" t="str">
            <v>Lester Way</v>
          </cell>
          <cell r="B144">
            <v>1</v>
          </cell>
        </row>
        <row r="145">
          <cell r="A145" t="str">
            <v>Palusha Creek</v>
          </cell>
          <cell r="B145">
            <v>1</v>
          </cell>
        </row>
        <row r="146">
          <cell r="A146" t="str">
            <v>Barry</v>
          </cell>
          <cell r="B146">
            <v>1</v>
          </cell>
        </row>
        <row r="147">
          <cell r="A147" t="str">
            <v>Eastland</v>
          </cell>
          <cell r="B147">
            <v>1</v>
          </cell>
        </row>
        <row r="148">
          <cell r="A148" t="str">
            <v>Choctaw</v>
          </cell>
          <cell r="B148">
            <v>1</v>
          </cell>
        </row>
        <row r="149">
          <cell r="A149" t="str">
            <v>Ireland</v>
          </cell>
          <cell r="B149">
            <v>1</v>
          </cell>
        </row>
        <row r="150">
          <cell r="A150" t="str">
            <v>Winterville</v>
          </cell>
          <cell r="B150">
            <v>1</v>
          </cell>
        </row>
        <row r="151">
          <cell r="A151" t="str">
            <v>Ely</v>
          </cell>
          <cell r="B151">
            <v>1</v>
          </cell>
        </row>
        <row r="152">
          <cell r="A152" t="str">
            <v>Failing</v>
          </cell>
          <cell r="B152">
            <v>1</v>
          </cell>
        </row>
        <row r="153">
          <cell r="A153" t="str">
            <v>McLean</v>
          </cell>
          <cell r="B153">
            <v>1</v>
          </cell>
        </row>
        <row r="154">
          <cell r="A154" t="str">
            <v>Roebuck</v>
          </cell>
          <cell r="B154">
            <v>1</v>
          </cell>
        </row>
        <row r="155">
          <cell r="A155" t="str">
            <v>Shell Bluff</v>
          </cell>
          <cell r="B155">
            <v>1</v>
          </cell>
        </row>
        <row r="156">
          <cell r="A156" t="str">
            <v>Nichols</v>
          </cell>
          <cell r="B156">
            <v>1</v>
          </cell>
        </row>
        <row r="157">
          <cell r="A157" t="str">
            <v>Hunt</v>
          </cell>
          <cell r="B157">
            <v>1</v>
          </cell>
        </row>
        <row r="158">
          <cell r="A158" t="str">
            <v>Archer</v>
          </cell>
          <cell r="B158">
            <v>1</v>
          </cell>
        </row>
        <row r="159">
          <cell r="A159" t="str">
            <v>Fleming</v>
          </cell>
          <cell r="B159">
            <v>1</v>
          </cell>
        </row>
        <row r="160">
          <cell r="A160" t="str">
            <v>Lake Dawson</v>
          </cell>
          <cell r="B160">
            <v>1</v>
          </cell>
        </row>
        <row r="161">
          <cell r="A161" t="str">
            <v>Kinlock</v>
          </cell>
          <cell r="B161">
            <v>1</v>
          </cell>
        </row>
        <row r="162">
          <cell r="A162" t="str">
            <v>Polk</v>
          </cell>
          <cell r="B162">
            <v>1</v>
          </cell>
        </row>
        <row r="163">
          <cell r="A163" t="str">
            <v>King</v>
          </cell>
          <cell r="B163">
            <v>1</v>
          </cell>
        </row>
        <row r="164">
          <cell r="A164" t="str">
            <v>Cold Lake</v>
          </cell>
          <cell r="B164">
            <v>1</v>
          </cell>
        </row>
        <row r="165">
          <cell r="A165" t="str">
            <v>Jaketown</v>
          </cell>
          <cell r="B165">
            <v>1</v>
          </cell>
        </row>
        <row r="166">
          <cell r="A166" t="str">
            <v>Jackson Bayou</v>
          </cell>
          <cell r="B166">
            <v>1</v>
          </cell>
        </row>
        <row r="167">
          <cell r="A167" t="str">
            <v>Golson</v>
          </cell>
          <cell r="B167">
            <v>1</v>
          </cell>
        </row>
        <row r="168">
          <cell r="A168" t="str">
            <v>Silver City</v>
          </cell>
          <cell r="B168">
            <v>1</v>
          </cell>
        </row>
        <row r="169">
          <cell r="A169" t="str">
            <v>Midnight</v>
          </cell>
          <cell r="B169">
            <v>1</v>
          </cell>
        </row>
        <row r="170">
          <cell r="A170" t="str">
            <v>Love</v>
          </cell>
          <cell r="B170">
            <v>1</v>
          </cell>
        </row>
        <row r="171">
          <cell r="A171" t="str">
            <v>Fort</v>
          </cell>
          <cell r="B171">
            <v>1</v>
          </cell>
        </row>
        <row r="172">
          <cell r="A172" t="str">
            <v>Quafalorma</v>
          </cell>
          <cell r="B172">
            <v>1</v>
          </cell>
        </row>
        <row r="173">
          <cell r="A173" t="str">
            <v>Ingersoll</v>
          </cell>
          <cell r="B173">
            <v>1</v>
          </cell>
        </row>
        <row r="174">
          <cell r="A174" t="str">
            <v>Gamewood</v>
          </cell>
          <cell r="B174">
            <v>1</v>
          </cell>
        </row>
        <row r="175">
          <cell r="A175" t="str">
            <v>Tchula Lake</v>
          </cell>
          <cell r="B175">
            <v>1</v>
          </cell>
        </row>
        <row r="176">
          <cell r="A176" t="str">
            <v>Brooks</v>
          </cell>
          <cell r="B176">
            <v>1</v>
          </cell>
        </row>
        <row r="177">
          <cell r="A177" t="str">
            <v>Swan Lake</v>
          </cell>
          <cell r="B177">
            <v>1</v>
          </cell>
        </row>
        <row r="178">
          <cell r="A178" t="str">
            <v>Griffin</v>
          </cell>
          <cell r="B178">
            <v>1</v>
          </cell>
        </row>
        <row r="179">
          <cell r="A179" t="str">
            <v>Woods</v>
          </cell>
          <cell r="B179">
            <v>1</v>
          </cell>
        </row>
        <row r="180">
          <cell r="A180" t="str">
            <v>Godfrey Smith</v>
          </cell>
          <cell r="B180">
            <v>1</v>
          </cell>
        </row>
        <row r="181">
          <cell r="A181" t="str">
            <v>Crump</v>
          </cell>
          <cell r="B181">
            <v>1</v>
          </cell>
        </row>
        <row r="182">
          <cell r="A182" t="str">
            <v>York Hill</v>
          </cell>
          <cell r="B182">
            <v>1</v>
          </cell>
        </row>
        <row r="183">
          <cell r="A183" t="str">
            <v>Mabin</v>
          </cell>
          <cell r="B183">
            <v>1</v>
          </cell>
        </row>
        <row r="184">
          <cell r="A184" t="str">
            <v>Lake George</v>
          </cell>
          <cell r="B184">
            <v>1</v>
          </cell>
        </row>
        <row r="185">
          <cell r="A185" t="str">
            <v>Spanish Fort</v>
          </cell>
          <cell r="B185">
            <v>1</v>
          </cell>
        </row>
        <row r="186">
          <cell r="A186" t="str">
            <v>Little Spanish Fort</v>
          </cell>
          <cell r="B186">
            <v>1</v>
          </cell>
        </row>
        <row r="187">
          <cell r="A187" t="str">
            <v>Rugby</v>
          </cell>
          <cell r="B187">
            <v>1</v>
          </cell>
        </row>
        <row r="188">
          <cell r="A188" t="str">
            <v>Hancork</v>
          </cell>
          <cell r="B188">
            <v>1</v>
          </cell>
        </row>
        <row r="189">
          <cell r="A189" t="str">
            <v>Barry</v>
          </cell>
          <cell r="B189">
            <v>1</v>
          </cell>
        </row>
        <row r="190">
          <cell r="A190" t="str">
            <v>Harworth</v>
          </cell>
          <cell r="B190">
            <v>1</v>
          </cell>
        </row>
        <row r="191">
          <cell r="A191" t="str">
            <v>Kitterman</v>
          </cell>
          <cell r="B191">
            <v>1</v>
          </cell>
        </row>
        <row r="192">
          <cell r="A192" t="str">
            <v>Burroughs</v>
          </cell>
          <cell r="B192">
            <v>1</v>
          </cell>
        </row>
        <row r="193">
          <cell r="A193" t="str">
            <v>Jeff Davis</v>
          </cell>
          <cell r="B193">
            <v>1</v>
          </cell>
        </row>
        <row r="194">
          <cell r="A194" t="str">
            <v>Thorton</v>
          </cell>
          <cell r="B194">
            <v>1</v>
          </cell>
        </row>
        <row r="195">
          <cell r="A195" t="str">
            <v>Manny</v>
          </cell>
          <cell r="B195">
            <v>1</v>
          </cell>
        </row>
        <row r="196">
          <cell r="A196" t="str">
            <v>Neeley</v>
          </cell>
          <cell r="B196">
            <v>1</v>
          </cell>
        </row>
        <row r="197">
          <cell r="A197" t="str">
            <v>Stickley</v>
          </cell>
          <cell r="B197">
            <v>1</v>
          </cell>
        </row>
        <row r="198">
          <cell r="A198" t="str">
            <v>McNeal</v>
          </cell>
          <cell r="B198">
            <v>1</v>
          </cell>
        </row>
        <row r="199">
          <cell r="A199" t="str">
            <v>Jackson</v>
          </cell>
          <cell r="B199">
            <v>1</v>
          </cell>
        </row>
        <row r="200">
          <cell r="A200" t="str">
            <v>Marsden</v>
          </cell>
          <cell r="B200">
            <v>1</v>
          </cell>
        </row>
        <row r="201">
          <cell r="A201" t="str">
            <v>Lake Place</v>
          </cell>
          <cell r="B201">
            <v>1</v>
          </cell>
        </row>
        <row r="202">
          <cell r="A202" t="str">
            <v>Insley</v>
          </cell>
          <cell r="B202">
            <v>1</v>
          </cell>
        </row>
        <row r="203">
          <cell r="A203" t="str">
            <v>Mott</v>
          </cell>
          <cell r="B203">
            <v>1</v>
          </cell>
        </row>
        <row r="204">
          <cell r="A204" t="str">
            <v>Indian Bayou</v>
          </cell>
          <cell r="B204">
            <v>1</v>
          </cell>
        </row>
        <row r="205">
          <cell r="A205" t="str">
            <v>Biggs</v>
          </cell>
          <cell r="B205">
            <v>1</v>
          </cell>
        </row>
        <row r="206">
          <cell r="A206" t="str">
            <v>Blance</v>
          </cell>
          <cell r="B206">
            <v>1</v>
          </cell>
        </row>
        <row r="207">
          <cell r="A207" t="str">
            <v>Jacoby</v>
          </cell>
          <cell r="B207">
            <v>1</v>
          </cell>
        </row>
        <row r="208">
          <cell r="A208" t="str">
            <v>Jim Bodman</v>
          </cell>
          <cell r="B208">
            <v>1</v>
          </cell>
        </row>
        <row r="209">
          <cell r="A209" t="str">
            <v>Hedgeland</v>
          </cell>
          <cell r="B209">
            <v>1</v>
          </cell>
        </row>
        <row r="210">
          <cell r="A210" t="str">
            <v>Alphenia</v>
          </cell>
          <cell r="B210">
            <v>1</v>
          </cell>
        </row>
        <row r="211">
          <cell r="A211" t="str">
            <v>Peck</v>
          </cell>
          <cell r="B211">
            <v>1</v>
          </cell>
        </row>
        <row r="212">
          <cell r="A212" t="str">
            <v>King</v>
          </cell>
          <cell r="B212">
            <v>1</v>
          </cell>
        </row>
        <row r="213">
          <cell r="A213" t="str">
            <v>Lake Louis</v>
          </cell>
          <cell r="B213">
            <v>1</v>
          </cell>
        </row>
        <row r="214">
          <cell r="A214" t="str">
            <v>Sec. 35 Mound</v>
          </cell>
          <cell r="B214">
            <v>1</v>
          </cell>
        </row>
        <row r="215">
          <cell r="A215" t="str">
            <v>Troyville</v>
          </cell>
          <cell r="B215">
            <v>1</v>
          </cell>
        </row>
        <row r="216">
          <cell r="A216" t="str">
            <v>Chevalier</v>
          </cell>
          <cell r="B216">
            <v>1</v>
          </cell>
        </row>
        <row r="217">
          <cell r="A217" t="str">
            <v>Wiley</v>
          </cell>
          <cell r="B217">
            <v>1</v>
          </cell>
        </row>
        <row r="218">
          <cell r="A218" t="str">
            <v>Greenhouse</v>
          </cell>
          <cell r="B218">
            <v>1</v>
          </cell>
        </row>
        <row r="219">
          <cell r="A219" t="str">
            <v>Marksville</v>
          </cell>
          <cell r="B219">
            <v>1</v>
          </cell>
        </row>
        <row r="220">
          <cell r="A220" t="str">
            <v>Baptiste</v>
          </cell>
          <cell r="B220">
            <v>1</v>
          </cell>
        </row>
        <row r="221">
          <cell r="A221" t="str">
            <v>Lamartiniere</v>
          </cell>
          <cell r="B221">
            <v>1</v>
          </cell>
        </row>
        <row r="222">
          <cell r="A222" t="str">
            <v>Smithfield</v>
          </cell>
          <cell r="B222">
            <v>1</v>
          </cell>
        </row>
        <row r="223">
          <cell r="A223" t="str">
            <v>Formosa</v>
          </cell>
          <cell r="B223">
            <v>1</v>
          </cell>
        </row>
        <row r="224">
          <cell r="A224" t="str">
            <v>Scott</v>
          </cell>
          <cell r="B224">
            <v>1</v>
          </cell>
        </row>
        <row r="225">
          <cell r="A225" t="str">
            <v>McLean</v>
          </cell>
          <cell r="B225">
            <v>1</v>
          </cell>
        </row>
      </sheetData>
      <sheetData sheetId="4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755"/>
  <sheetViews>
    <sheetView tabSelected="1" zoomScale="75" workbookViewId="0">
      <pane xSplit="3" ySplit="1" topLeftCell="D3" activePane="bottomRight" state="frozenSplit"/>
      <selection pane="topRight" activeCell="C1" sqref="C1"/>
      <selection pane="bottomLeft" activeCell="A2" sqref="A2"/>
      <selection pane="bottomRight" activeCell="E1770" sqref="E1770"/>
    </sheetView>
  </sheetViews>
  <sheetFormatPr baseColWidth="10" defaultColWidth="18" defaultRowHeight="13" x14ac:dyDescent="0.15"/>
  <cols>
    <col min="1" max="1" width="9.5" style="7" customWidth="1"/>
    <col min="2" max="3" width="18" style="7" customWidth="1"/>
    <col min="4" max="4" width="18" style="8" customWidth="1"/>
    <col min="5" max="5" width="18" style="9" customWidth="1"/>
    <col min="6" max="6" width="7" style="9" customWidth="1"/>
    <col min="7" max="11" width="8.5" style="9" customWidth="1"/>
    <col min="12" max="13" width="18" style="10" customWidth="1"/>
    <col min="14" max="15" width="18" style="11" customWidth="1"/>
    <col min="16" max="16" width="61.5" style="7" customWidth="1"/>
    <col min="17" max="20" width="18" style="9" customWidth="1"/>
    <col min="21" max="25" width="18" style="12" customWidth="1"/>
    <col min="26" max="33" width="18" style="11" customWidth="1"/>
    <col min="34" max="34" width="18" style="9" customWidth="1"/>
    <col min="35" max="51" width="18" style="11" customWidth="1"/>
    <col min="52" max="58" width="18" style="12" customWidth="1"/>
  </cols>
  <sheetData>
    <row r="1" spans="1:62" s="6" customFormat="1" x14ac:dyDescent="0.15">
      <c r="A1" s="1" t="s">
        <v>4995</v>
      </c>
      <c r="B1" s="1" t="s">
        <v>4996</v>
      </c>
      <c r="C1" s="1" t="s">
        <v>4997</v>
      </c>
      <c r="D1" s="2" t="s">
        <v>4998</v>
      </c>
      <c r="E1" s="3" t="s">
        <v>4999</v>
      </c>
      <c r="F1" s="3" t="s">
        <v>4606</v>
      </c>
      <c r="G1" s="3" t="s">
        <v>4607</v>
      </c>
      <c r="H1" s="3" t="s">
        <v>4608</v>
      </c>
      <c r="I1" s="3" t="s">
        <v>7097</v>
      </c>
      <c r="J1" s="3" t="s">
        <v>4612</v>
      </c>
      <c r="K1" s="3" t="s">
        <v>4613</v>
      </c>
      <c r="L1" s="4" t="s">
        <v>5000</v>
      </c>
      <c r="M1" s="4" t="s">
        <v>5001</v>
      </c>
      <c r="N1" s="4" t="s">
        <v>5002</v>
      </c>
      <c r="O1" s="4" t="s">
        <v>5003</v>
      </c>
      <c r="P1" s="1" t="s">
        <v>5004</v>
      </c>
      <c r="Q1" s="3" t="s">
        <v>5005</v>
      </c>
      <c r="R1" s="3" t="s">
        <v>5006</v>
      </c>
      <c r="S1" s="3" t="s">
        <v>5007</v>
      </c>
      <c r="T1" s="3" t="s">
        <v>5008</v>
      </c>
      <c r="U1" s="5" t="s">
        <v>5009</v>
      </c>
      <c r="V1" s="5" t="s">
        <v>5010</v>
      </c>
      <c r="W1" s="5" t="s">
        <v>5011</v>
      </c>
      <c r="X1" s="5" t="s">
        <v>5012</v>
      </c>
      <c r="Y1" s="5" t="s">
        <v>5013</v>
      </c>
      <c r="Z1" s="4" t="s">
        <v>5014</v>
      </c>
      <c r="AA1" s="4" t="s">
        <v>5015</v>
      </c>
      <c r="AB1" s="4" t="s">
        <v>5016</v>
      </c>
      <c r="AC1" s="4" t="s">
        <v>5017</v>
      </c>
      <c r="AD1" s="4" t="s">
        <v>5018</v>
      </c>
      <c r="AE1" s="4" t="s">
        <v>5019</v>
      </c>
      <c r="AF1" s="4" t="s">
        <v>5020</v>
      </c>
      <c r="AG1" s="4" t="s">
        <v>5021</v>
      </c>
      <c r="AH1" s="3" t="s">
        <v>5022</v>
      </c>
      <c r="AI1" s="4" t="s">
        <v>5023</v>
      </c>
      <c r="AJ1" s="4" t="s">
        <v>5024</v>
      </c>
      <c r="AK1" s="4" t="s">
        <v>5025</v>
      </c>
      <c r="AL1" s="4" t="s">
        <v>4843</v>
      </c>
      <c r="AM1" s="4" t="s">
        <v>6466</v>
      </c>
      <c r="AN1" s="4" t="s">
        <v>4844</v>
      </c>
      <c r="AO1" s="4" t="s">
        <v>4845</v>
      </c>
      <c r="AP1" s="4" t="s">
        <v>4846</v>
      </c>
      <c r="AQ1" s="4" t="s">
        <v>4847</v>
      </c>
      <c r="AR1" s="4" t="s">
        <v>4848</v>
      </c>
      <c r="AS1" s="4" t="s">
        <v>4849</v>
      </c>
      <c r="AT1" s="4" t="s">
        <v>4850</v>
      </c>
      <c r="AU1" s="4" t="s">
        <v>4851</v>
      </c>
      <c r="AV1" s="4" t="s">
        <v>4852</v>
      </c>
      <c r="AW1" s="4" t="s">
        <v>4853</v>
      </c>
      <c r="AX1" s="4" t="s">
        <v>4854</v>
      </c>
      <c r="AY1" s="4" t="s">
        <v>4855</v>
      </c>
      <c r="AZ1" s="5" t="s">
        <v>4856</v>
      </c>
      <c r="BA1" s="5" t="s">
        <v>4857</v>
      </c>
      <c r="BB1" s="5" t="s">
        <v>4858</v>
      </c>
      <c r="BC1" s="5" t="s">
        <v>4859</v>
      </c>
      <c r="BD1" s="5" t="s">
        <v>4860</v>
      </c>
      <c r="BE1" s="5" t="s">
        <v>4861</v>
      </c>
      <c r="BF1" s="5" t="s">
        <v>4862</v>
      </c>
      <c r="BG1" s="5" t="s">
        <v>4863</v>
      </c>
      <c r="BH1" s="5" t="s">
        <v>4864</v>
      </c>
      <c r="BI1" s="6" t="s">
        <v>4865</v>
      </c>
      <c r="BJ1" s="6" t="s">
        <v>4866</v>
      </c>
    </row>
    <row r="2" spans="1:62" x14ac:dyDescent="0.15">
      <c r="A2" s="7" t="s">
        <v>4867</v>
      </c>
      <c r="B2" s="7" t="s">
        <v>4867</v>
      </c>
      <c r="C2" s="7" t="s">
        <v>4868</v>
      </c>
      <c r="D2" s="8" t="s">
        <v>4869</v>
      </c>
      <c r="E2" s="9" t="s">
        <v>4870</v>
      </c>
      <c r="L2" s="10">
        <v>3821248</v>
      </c>
      <c r="M2" s="10">
        <v>758056</v>
      </c>
      <c r="N2" s="11">
        <v>15</v>
      </c>
      <c r="O2" s="11" t="s">
        <v>4871</v>
      </c>
      <c r="P2" s="7" t="s">
        <v>4872</v>
      </c>
      <c r="Q2" s="9" t="s">
        <v>4873</v>
      </c>
      <c r="S2" s="9" t="s">
        <v>4874</v>
      </c>
      <c r="T2" s="9" t="s">
        <v>4875</v>
      </c>
      <c r="U2" s="12" t="s">
        <v>5020</v>
      </c>
      <c r="V2" s="12" t="s">
        <v>5021</v>
      </c>
      <c r="W2" s="12">
        <v>0</v>
      </c>
      <c r="X2" s="12">
        <v>0</v>
      </c>
      <c r="Y2" s="12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1</v>
      </c>
      <c r="AG2" s="11">
        <v>1</v>
      </c>
      <c r="AH2" s="9" t="s">
        <v>4876</v>
      </c>
      <c r="AI2" s="11">
        <v>3</v>
      </c>
      <c r="AJ2" s="11">
        <v>1</v>
      </c>
      <c r="AK2" s="11">
        <v>1</v>
      </c>
      <c r="AL2" s="11">
        <v>1</v>
      </c>
      <c r="AN2" s="11">
        <v>0</v>
      </c>
      <c r="AO2" s="11">
        <v>0</v>
      </c>
      <c r="AP2" s="11">
        <v>0</v>
      </c>
      <c r="AQ2" s="11">
        <v>1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9"/>
      <c r="BA2" s="12" t="s">
        <v>4877</v>
      </c>
      <c r="BB2" s="12">
        <v>0</v>
      </c>
      <c r="BC2" s="9" t="s">
        <v>4878</v>
      </c>
      <c r="BD2" s="12">
        <v>0</v>
      </c>
      <c r="BE2" s="12">
        <v>0</v>
      </c>
      <c r="BF2" s="12">
        <v>0</v>
      </c>
      <c r="BI2" s="12">
        <v>0</v>
      </c>
      <c r="BJ2" s="12">
        <v>0</v>
      </c>
    </row>
    <row r="3" spans="1:62" x14ac:dyDescent="0.15">
      <c r="A3" s="7" t="s">
        <v>4879</v>
      </c>
      <c r="C3" s="7" t="s">
        <v>4880</v>
      </c>
      <c r="D3" s="8" t="s">
        <v>4881</v>
      </c>
      <c r="E3" s="9" t="s">
        <v>4882</v>
      </c>
      <c r="L3" s="10">
        <v>3681890.9580000001</v>
      </c>
      <c r="M3" s="10">
        <v>686730.03</v>
      </c>
      <c r="N3" s="11">
        <v>15</v>
      </c>
      <c r="O3" s="11" t="s">
        <v>4871</v>
      </c>
      <c r="P3" s="13" t="s">
        <v>4883</v>
      </c>
      <c r="S3" s="9" t="s">
        <v>4881</v>
      </c>
      <c r="T3" s="12" t="s">
        <v>4884</v>
      </c>
      <c r="U3" s="12" t="s">
        <v>5016</v>
      </c>
      <c r="V3" s="12" t="s">
        <v>5017</v>
      </c>
      <c r="W3" s="12">
        <v>0</v>
      </c>
      <c r="X3" s="12">
        <v>0</v>
      </c>
      <c r="Y3" s="12">
        <v>0</v>
      </c>
      <c r="Z3" s="11">
        <v>0</v>
      </c>
      <c r="AA3" s="11">
        <v>0</v>
      </c>
      <c r="AB3" s="11">
        <f>IF(FIND("F",T3),1,0)</f>
        <v>1</v>
      </c>
      <c r="AC3" s="11">
        <f>IF(FIND("E",T3),1,0)</f>
        <v>1</v>
      </c>
      <c r="AD3" s="11">
        <v>0</v>
      </c>
      <c r="AE3" s="11">
        <v>0</v>
      </c>
      <c r="AF3" s="11">
        <v>0</v>
      </c>
      <c r="AG3" s="11">
        <v>0</v>
      </c>
      <c r="AH3" s="9">
        <v>2</v>
      </c>
      <c r="AI3" s="11">
        <v>2</v>
      </c>
      <c r="AJ3" s="11">
        <v>1</v>
      </c>
      <c r="AK3" s="11">
        <v>1</v>
      </c>
      <c r="AL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1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9" t="s">
        <v>4878</v>
      </c>
      <c r="AY3" s="11">
        <v>0</v>
      </c>
      <c r="BA3" s="12" t="s">
        <v>4877</v>
      </c>
      <c r="BB3" s="12">
        <v>0</v>
      </c>
      <c r="BC3" s="9" t="s">
        <v>4878</v>
      </c>
      <c r="BD3" s="12">
        <v>6.5616797900262469</v>
      </c>
      <c r="BE3" s="12">
        <v>0</v>
      </c>
      <c r="BF3" s="12">
        <v>0</v>
      </c>
      <c r="BI3" s="12">
        <v>0</v>
      </c>
      <c r="BJ3" s="12">
        <v>0</v>
      </c>
    </row>
    <row r="4" spans="1:62" x14ac:dyDescent="0.15">
      <c r="A4" s="7" t="s">
        <v>4885</v>
      </c>
      <c r="C4" s="7" t="s">
        <v>4886</v>
      </c>
      <c r="D4" s="8" t="s">
        <v>4881</v>
      </c>
      <c r="E4" s="9" t="s">
        <v>4882</v>
      </c>
      <c r="L4" s="10">
        <v>3681231.9580000001</v>
      </c>
      <c r="M4" s="10">
        <v>687108.04200000002</v>
      </c>
      <c r="N4" s="11">
        <v>15</v>
      </c>
      <c r="O4" s="11" t="s">
        <v>4871</v>
      </c>
      <c r="P4" s="13" t="s">
        <v>4883</v>
      </c>
      <c r="S4" s="9" t="s">
        <v>4881</v>
      </c>
      <c r="T4" s="12" t="s">
        <v>4887</v>
      </c>
      <c r="U4" s="12" t="s">
        <v>5016</v>
      </c>
      <c r="V4" s="12" t="s">
        <v>5018</v>
      </c>
      <c r="W4" s="12">
        <v>0</v>
      </c>
      <c r="X4" s="12">
        <v>0</v>
      </c>
      <c r="Y4" s="12">
        <v>0</v>
      </c>
      <c r="Z4" s="11">
        <v>0</v>
      </c>
      <c r="AA4" s="11">
        <v>0</v>
      </c>
      <c r="AB4" s="11">
        <f>IF(FIND("F",T4),1,0)</f>
        <v>1</v>
      </c>
      <c r="AC4" s="11">
        <v>1</v>
      </c>
      <c r="AD4" s="11">
        <f>IF(FIND("D",T4),1,0)</f>
        <v>1</v>
      </c>
      <c r="AE4" s="11">
        <v>0</v>
      </c>
      <c r="AF4" s="11">
        <v>0</v>
      </c>
      <c r="AG4" s="11">
        <v>0</v>
      </c>
      <c r="AH4" s="9">
        <v>2</v>
      </c>
      <c r="AI4" s="11">
        <v>2</v>
      </c>
      <c r="AJ4" s="11">
        <v>1</v>
      </c>
      <c r="AK4" s="11">
        <v>1</v>
      </c>
      <c r="AL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1</v>
      </c>
      <c r="AU4" s="11">
        <v>0</v>
      </c>
      <c r="AV4" s="11">
        <v>0</v>
      </c>
      <c r="AW4" s="11">
        <v>0</v>
      </c>
      <c r="AX4" s="9" t="s">
        <v>4878</v>
      </c>
      <c r="AY4" s="11">
        <v>0</v>
      </c>
      <c r="AZ4" s="9"/>
      <c r="BA4" s="12" t="s">
        <v>4877</v>
      </c>
      <c r="BB4" s="12">
        <v>0</v>
      </c>
      <c r="BC4" s="9" t="s">
        <v>4878</v>
      </c>
      <c r="BD4" s="12">
        <v>0</v>
      </c>
      <c r="BE4" s="12">
        <v>0</v>
      </c>
      <c r="BF4" s="12">
        <v>0</v>
      </c>
      <c r="BI4" s="12">
        <v>0</v>
      </c>
      <c r="BJ4" s="12">
        <v>0</v>
      </c>
    </row>
    <row r="5" spans="1:62" x14ac:dyDescent="0.15">
      <c r="A5" s="7" t="s">
        <v>4888</v>
      </c>
      <c r="C5" s="7" t="s">
        <v>4889</v>
      </c>
      <c r="D5" s="8" t="s">
        <v>4881</v>
      </c>
      <c r="E5" s="9" t="s">
        <v>4882</v>
      </c>
      <c r="L5" s="10">
        <v>3684848.9440000001</v>
      </c>
      <c r="M5" s="10">
        <v>731685.97100000002</v>
      </c>
      <c r="N5" s="11">
        <v>15</v>
      </c>
      <c r="O5" s="11" t="s">
        <v>4871</v>
      </c>
      <c r="P5" s="13" t="s">
        <v>4890</v>
      </c>
      <c r="S5" s="9" t="s">
        <v>4881</v>
      </c>
      <c r="T5" s="12" t="s">
        <v>4891</v>
      </c>
      <c r="U5" s="12" t="s">
        <v>5017</v>
      </c>
      <c r="V5" s="12" t="s">
        <v>5018</v>
      </c>
      <c r="W5" s="12">
        <v>0</v>
      </c>
      <c r="X5" s="12">
        <v>0</v>
      </c>
      <c r="Y5" s="12">
        <v>0</v>
      </c>
      <c r="Z5" s="11">
        <v>0</v>
      </c>
      <c r="AA5" s="11">
        <v>0</v>
      </c>
      <c r="AB5" s="11">
        <v>0</v>
      </c>
      <c r="AC5" s="11">
        <f>IF(FIND("E",T5),1,0)</f>
        <v>1</v>
      </c>
      <c r="AD5" s="11">
        <f>IF(FIND("D",T5),1,0)</f>
        <v>1</v>
      </c>
      <c r="AE5" s="11">
        <v>0</v>
      </c>
      <c r="AF5" s="11">
        <v>0</v>
      </c>
      <c r="AG5" s="11">
        <v>0</v>
      </c>
      <c r="AH5" s="9">
        <v>0</v>
      </c>
      <c r="AI5" s="11">
        <v>0</v>
      </c>
      <c r="AJ5" s="11">
        <v>0</v>
      </c>
      <c r="AK5" s="11">
        <v>0</v>
      </c>
      <c r="AL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9" t="s">
        <v>4878</v>
      </c>
      <c r="AY5" s="11">
        <v>0</v>
      </c>
      <c r="AZ5" s="9"/>
      <c r="BA5" s="12" t="s">
        <v>4877</v>
      </c>
      <c r="BB5" s="12">
        <v>0</v>
      </c>
      <c r="BC5" s="9" t="s">
        <v>4878</v>
      </c>
      <c r="BD5" s="12">
        <v>0</v>
      </c>
      <c r="BE5" s="12">
        <v>0</v>
      </c>
      <c r="BF5" s="12">
        <v>0</v>
      </c>
      <c r="BI5" s="12">
        <v>0</v>
      </c>
      <c r="BJ5" s="12">
        <v>0</v>
      </c>
    </row>
    <row r="6" spans="1:62" x14ac:dyDescent="0.15">
      <c r="A6" s="7" t="s">
        <v>4892</v>
      </c>
      <c r="C6" s="7" t="s">
        <v>4893</v>
      </c>
      <c r="D6" s="8" t="s">
        <v>4881</v>
      </c>
      <c r="E6" s="9" t="s">
        <v>4882</v>
      </c>
      <c r="L6" s="10">
        <v>3686241.0350000001</v>
      </c>
      <c r="M6" s="10">
        <v>732441.97400000005</v>
      </c>
      <c r="N6" s="11">
        <v>15</v>
      </c>
      <c r="O6" s="11" t="s">
        <v>4871</v>
      </c>
      <c r="P6" s="13" t="s">
        <v>4894</v>
      </c>
      <c r="S6" s="9" t="s">
        <v>4895</v>
      </c>
      <c r="T6" s="12" t="s">
        <v>4896</v>
      </c>
      <c r="U6" s="12" t="s">
        <v>4897</v>
      </c>
      <c r="V6" s="12" t="s">
        <v>4898</v>
      </c>
      <c r="W6" s="12">
        <v>0</v>
      </c>
      <c r="X6" s="12">
        <v>0</v>
      </c>
      <c r="Y6" s="12">
        <v>0</v>
      </c>
      <c r="Z6" s="11">
        <v>1</v>
      </c>
      <c r="AA6" s="11">
        <v>1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9">
        <v>2</v>
      </c>
      <c r="AI6" s="11">
        <v>2</v>
      </c>
      <c r="AJ6" s="11">
        <v>1</v>
      </c>
      <c r="AK6" s="11">
        <v>1</v>
      </c>
      <c r="AL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1</v>
      </c>
      <c r="AS6" s="11">
        <v>0</v>
      </c>
      <c r="AT6" s="11">
        <v>1</v>
      </c>
      <c r="AU6" s="11">
        <v>0</v>
      </c>
      <c r="AV6" s="11">
        <v>0</v>
      </c>
      <c r="AW6" s="11">
        <v>0</v>
      </c>
      <c r="AX6" s="9" t="s">
        <v>4878</v>
      </c>
      <c r="AY6" s="11">
        <v>0</v>
      </c>
      <c r="AZ6" s="9"/>
      <c r="BA6" s="12" t="s">
        <v>4877</v>
      </c>
      <c r="BB6" s="12">
        <v>0</v>
      </c>
      <c r="BC6" s="9" t="s">
        <v>4878</v>
      </c>
      <c r="BD6" s="12">
        <v>13.123359580052494</v>
      </c>
      <c r="BE6" s="12">
        <v>0</v>
      </c>
      <c r="BF6" s="12">
        <v>13526.328755613566</v>
      </c>
      <c r="BI6">
        <f>BD6/BF6</f>
        <v>9.70208533088194E-4</v>
      </c>
      <c r="BJ6">
        <f>BI6*10000</f>
        <v>9.7020853308819408</v>
      </c>
    </row>
    <row r="7" spans="1:62" x14ac:dyDescent="0.15">
      <c r="A7" s="7" t="s">
        <v>4899</v>
      </c>
      <c r="C7" s="7" t="s">
        <v>4900</v>
      </c>
      <c r="D7" s="8" t="s">
        <v>4881</v>
      </c>
      <c r="E7" s="9" t="s">
        <v>4882</v>
      </c>
      <c r="L7" s="10">
        <v>3678279.9730000002</v>
      </c>
      <c r="M7" s="10">
        <v>720792.00399999996</v>
      </c>
      <c r="N7" s="11">
        <v>15</v>
      </c>
      <c r="O7" s="11" t="s">
        <v>4871</v>
      </c>
      <c r="P7" s="13" t="s">
        <v>4901</v>
      </c>
      <c r="S7" s="9" t="s">
        <v>4881</v>
      </c>
      <c r="T7" s="12" t="s">
        <v>4902</v>
      </c>
      <c r="U7" s="12" t="s">
        <v>4902</v>
      </c>
      <c r="V7" s="12" t="s">
        <v>4902</v>
      </c>
      <c r="W7" s="12">
        <v>0</v>
      </c>
      <c r="X7" s="12">
        <v>0</v>
      </c>
      <c r="Y7" s="12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9">
        <v>1</v>
      </c>
      <c r="AI7" s="11">
        <v>1</v>
      </c>
      <c r="AJ7" s="11">
        <v>1</v>
      </c>
      <c r="AK7" s="11">
        <v>0</v>
      </c>
      <c r="AL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1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9" t="s">
        <v>4878</v>
      </c>
      <c r="AY7" s="11">
        <v>0</v>
      </c>
      <c r="AZ7" s="9"/>
      <c r="BA7" s="12" t="s">
        <v>4877</v>
      </c>
      <c r="BB7" s="12">
        <v>0</v>
      </c>
      <c r="BC7" s="9" t="s">
        <v>4878</v>
      </c>
      <c r="BD7" s="12">
        <v>0</v>
      </c>
      <c r="BE7" s="12">
        <v>0</v>
      </c>
      <c r="BF7" s="12">
        <v>0</v>
      </c>
      <c r="BI7" s="12">
        <v>0</v>
      </c>
      <c r="BJ7" s="12">
        <v>0</v>
      </c>
    </row>
    <row r="8" spans="1:62" x14ac:dyDescent="0.15">
      <c r="A8" s="7" t="s">
        <v>4903</v>
      </c>
      <c r="C8" s="7" t="s">
        <v>4904</v>
      </c>
      <c r="D8" s="8" t="s">
        <v>4881</v>
      </c>
      <c r="E8" s="9" t="s">
        <v>4882</v>
      </c>
      <c r="L8" s="10">
        <v>3699119.9819999998</v>
      </c>
      <c r="M8" s="10">
        <v>732108.01899999997</v>
      </c>
      <c r="N8" s="11">
        <v>15</v>
      </c>
      <c r="O8" s="11" t="s">
        <v>4871</v>
      </c>
      <c r="P8" s="13" t="s">
        <v>4905</v>
      </c>
      <c r="S8" s="9" t="s">
        <v>4895</v>
      </c>
      <c r="T8" s="12" t="s">
        <v>4896</v>
      </c>
      <c r="U8" s="12" t="s">
        <v>4897</v>
      </c>
      <c r="V8" s="12" t="s">
        <v>4898</v>
      </c>
      <c r="W8" s="12">
        <v>0</v>
      </c>
      <c r="X8" s="12">
        <v>0</v>
      </c>
      <c r="Y8" s="12">
        <v>0</v>
      </c>
      <c r="Z8" s="11">
        <f>IF(FIND("H",T8),1,0)</f>
        <v>1</v>
      </c>
      <c r="AA8" s="11">
        <f>IF(FIND("G",T8),1,0)</f>
        <v>1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9">
        <v>0</v>
      </c>
      <c r="AI8" s="11">
        <v>0</v>
      </c>
      <c r="AJ8" s="11">
        <v>0</v>
      </c>
      <c r="AK8" s="11">
        <v>0</v>
      </c>
      <c r="AL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9" t="s">
        <v>4878</v>
      </c>
      <c r="AY8" s="11">
        <v>0</v>
      </c>
      <c r="AZ8" s="9"/>
      <c r="BA8" s="12" t="s">
        <v>4877</v>
      </c>
      <c r="BB8" s="12">
        <v>0</v>
      </c>
      <c r="BC8" s="9" t="s">
        <v>4878</v>
      </c>
      <c r="BD8" s="12">
        <v>0</v>
      </c>
      <c r="BE8" s="12">
        <v>0</v>
      </c>
      <c r="BF8" s="12">
        <v>0</v>
      </c>
      <c r="BI8" s="12">
        <v>0</v>
      </c>
      <c r="BJ8" s="12">
        <v>0</v>
      </c>
    </row>
    <row r="9" spans="1:62" x14ac:dyDescent="0.15">
      <c r="A9" s="7" t="s">
        <v>4906</v>
      </c>
      <c r="C9" s="7" t="s">
        <v>4907</v>
      </c>
      <c r="D9" s="8" t="s">
        <v>4881</v>
      </c>
      <c r="E9" s="9" t="s">
        <v>4882</v>
      </c>
      <c r="L9" s="10">
        <v>3689778.9610000001</v>
      </c>
      <c r="M9" s="10">
        <v>739646.96900000004</v>
      </c>
      <c r="N9" s="11">
        <v>15</v>
      </c>
      <c r="O9" s="11" t="s">
        <v>4871</v>
      </c>
      <c r="P9" s="13" t="s">
        <v>4908</v>
      </c>
      <c r="S9" s="9" t="s">
        <v>4881</v>
      </c>
      <c r="T9" s="12" t="s">
        <v>4891</v>
      </c>
      <c r="U9" s="12" t="s">
        <v>5017</v>
      </c>
      <c r="V9" s="12" t="s">
        <v>5018</v>
      </c>
      <c r="W9" s="12">
        <v>0</v>
      </c>
      <c r="X9" s="12">
        <v>0</v>
      </c>
      <c r="Y9" s="12">
        <v>0</v>
      </c>
      <c r="Z9" s="11">
        <v>0</v>
      </c>
      <c r="AA9" s="11">
        <v>0</v>
      </c>
      <c r="AB9" s="11">
        <v>0</v>
      </c>
      <c r="AC9" s="11">
        <f>IF(FIND("E",T9),1,0)</f>
        <v>1</v>
      </c>
      <c r="AD9" s="11">
        <f>IF(FIND("D",T9),1,0)</f>
        <v>1</v>
      </c>
      <c r="AE9" s="11">
        <v>0</v>
      </c>
      <c r="AF9" s="11">
        <v>0</v>
      </c>
      <c r="AG9" s="11">
        <v>0</v>
      </c>
      <c r="AH9" s="9">
        <v>0</v>
      </c>
      <c r="AI9" s="11">
        <v>0</v>
      </c>
      <c r="AJ9" s="11">
        <v>0</v>
      </c>
      <c r="AK9" s="11">
        <v>0</v>
      </c>
      <c r="AL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9" t="s">
        <v>4909</v>
      </c>
      <c r="AY9" s="11">
        <v>0</v>
      </c>
      <c r="AZ9" s="9" t="s">
        <v>4910</v>
      </c>
      <c r="BA9" s="12" t="s">
        <v>4911</v>
      </c>
      <c r="BB9" s="12">
        <v>0</v>
      </c>
      <c r="BC9" s="9" t="s">
        <v>4909</v>
      </c>
      <c r="BD9" s="12">
        <v>0</v>
      </c>
      <c r="BE9" s="12">
        <v>0</v>
      </c>
      <c r="BF9" s="12">
        <v>0</v>
      </c>
      <c r="BI9" s="12">
        <v>0</v>
      </c>
      <c r="BJ9" s="12">
        <v>0</v>
      </c>
    </row>
    <row r="10" spans="1:62" x14ac:dyDescent="0.15">
      <c r="A10" s="7" t="s">
        <v>4912</v>
      </c>
      <c r="C10" s="7" t="s">
        <v>4913</v>
      </c>
      <c r="D10" s="8" t="s">
        <v>4881</v>
      </c>
      <c r="E10" s="9" t="s">
        <v>4882</v>
      </c>
      <c r="L10" s="10">
        <v>3691661.0049999999</v>
      </c>
      <c r="M10" s="10">
        <v>738660.00800000003</v>
      </c>
      <c r="N10" s="11">
        <v>15</v>
      </c>
      <c r="O10" s="11" t="s">
        <v>4871</v>
      </c>
      <c r="P10" s="13" t="s">
        <v>4914</v>
      </c>
      <c r="S10" s="9" t="s">
        <v>4895</v>
      </c>
      <c r="T10" s="12" t="s">
        <v>4915</v>
      </c>
      <c r="U10" s="12" t="s">
        <v>4897</v>
      </c>
      <c r="V10" s="12" t="s">
        <v>5021</v>
      </c>
      <c r="W10" s="12">
        <v>0</v>
      </c>
      <c r="X10" s="12">
        <v>0</v>
      </c>
      <c r="Y10" s="12">
        <v>0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0</v>
      </c>
      <c r="AF10" s="11">
        <v>1</v>
      </c>
      <c r="AG10" s="11">
        <f>IF(FIND("A",T10),1,0)</f>
        <v>1</v>
      </c>
      <c r="AH10" s="9">
        <v>1</v>
      </c>
      <c r="AI10" s="11">
        <v>1</v>
      </c>
      <c r="AJ10" s="11">
        <v>1</v>
      </c>
      <c r="AK10" s="11">
        <v>0</v>
      </c>
      <c r="AL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1</v>
      </c>
      <c r="AU10" s="11">
        <v>0</v>
      </c>
      <c r="AV10" s="11">
        <v>0</v>
      </c>
      <c r="AW10" s="11">
        <v>0</v>
      </c>
      <c r="AX10" s="9" t="s">
        <v>4909</v>
      </c>
      <c r="AY10" s="11">
        <v>0</v>
      </c>
      <c r="AZ10" s="9" t="s">
        <v>4916</v>
      </c>
      <c r="BA10" s="12" t="s">
        <v>4911</v>
      </c>
      <c r="BB10" s="12">
        <v>0</v>
      </c>
      <c r="BC10" s="9" t="s">
        <v>4878</v>
      </c>
      <c r="BD10" s="12">
        <v>4.9210000000000003</v>
      </c>
      <c r="BE10" s="12">
        <v>0</v>
      </c>
      <c r="BF10" s="12">
        <v>3381.5821889033914</v>
      </c>
      <c r="BI10">
        <f>BD10/BF10</f>
        <v>1.4552359591164705E-3</v>
      </c>
      <c r="BJ10">
        <f>BI10*10000</f>
        <v>14.552359591164706</v>
      </c>
    </row>
    <row r="11" spans="1:62" x14ac:dyDescent="0.15">
      <c r="A11" s="7" t="s">
        <v>4917</v>
      </c>
      <c r="C11" s="7" t="s">
        <v>4918</v>
      </c>
      <c r="D11" s="8" t="s">
        <v>4881</v>
      </c>
      <c r="E11" s="9" t="s">
        <v>4882</v>
      </c>
      <c r="L11" s="10">
        <v>3691661.0049999999</v>
      </c>
      <c r="M11" s="10">
        <v>738660.00800000003</v>
      </c>
      <c r="N11" s="11">
        <v>15</v>
      </c>
      <c r="O11" s="11" t="s">
        <v>4871</v>
      </c>
      <c r="P11" s="13" t="s">
        <v>4919</v>
      </c>
      <c r="S11" s="9" t="s">
        <v>4881</v>
      </c>
      <c r="T11" s="12" t="s">
        <v>4891</v>
      </c>
      <c r="U11" s="12" t="s">
        <v>5017</v>
      </c>
      <c r="V11" s="12" t="s">
        <v>5018</v>
      </c>
      <c r="W11" s="12">
        <v>0</v>
      </c>
      <c r="X11" s="12">
        <v>0</v>
      </c>
      <c r="Y11" s="12">
        <v>0</v>
      </c>
      <c r="Z11" s="11">
        <v>0</v>
      </c>
      <c r="AA11" s="11">
        <v>0</v>
      </c>
      <c r="AB11" s="11">
        <v>0</v>
      </c>
      <c r="AC11" s="11">
        <f>IF(FIND("E",T11),1,0)</f>
        <v>1</v>
      </c>
      <c r="AD11" s="11">
        <f>IF(FIND("D",T11),1,0)</f>
        <v>1</v>
      </c>
      <c r="AE11" s="11">
        <v>0</v>
      </c>
      <c r="AF11" s="11">
        <v>0</v>
      </c>
      <c r="AG11" s="11">
        <v>0</v>
      </c>
      <c r="AH11" s="9">
        <v>1</v>
      </c>
      <c r="AI11" s="11">
        <v>1</v>
      </c>
      <c r="AJ11" s="11">
        <v>1</v>
      </c>
      <c r="AK11" s="11">
        <v>0</v>
      </c>
      <c r="AL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1</v>
      </c>
      <c r="AU11" s="11">
        <v>0</v>
      </c>
      <c r="AV11" s="11">
        <v>0</v>
      </c>
      <c r="AW11" s="11">
        <v>0</v>
      </c>
      <c r="AX11" s="9" t="s">
        <v>4878</v>
      </c>
      <c r="AY11" s="11">
        <v>0</v>
      </c>
      <c r="AZ11" s="9"/>
      <c r="BA11" s="12" t="s">
        <v>4877</v>
      </c>
      <c r="BB11" s="12">
        <v>0</v>
      </c>
      <c r="BC11" s="9" t="s">
        <v>4878</v>
      </c>
      <c r="BD11" s="12">
        <v>0</v>
      </c>
      <c r="BE11" s="12">
        <v>0</v>
      </c>
      <c r="BF11" s="12">
        <v>0</v>
      </c>
      <c r="BI11" s="12">
        <v>0</v>
      </c>
      <c r="BJ11" s="12">
        <v>0</v>
      </c>
    </row>
    <row r="12" spans="1:62" x14ac:dyDescent="0.15">
      <c r="A12" s="7" t="s">
        <v>4920</v>
      </c>
      <c r="C12" s="7" t="s">
        <v>4921</v>
      </c>
      <c r="D12" s="8" t="s">
        <v>4881</v>
      </c>
      <c r="E12" s="9" t="s">
        <v>4882</v>
      </c>
      <c r="L12" s="10">
        <v>3687699.9939999999</v>
      </c>
      <c r="M12" s="10">
        <v>734514.98699999996</v>
      </c>
      <c r="N12" s="11">
        <v>15</v>
      </c>
      <c r="O12" s="11" t="s">
        <v>4871</v>
      </c>
      <c r="P12" s="13" t="s">
        <v>4922</v>
      </c>
      <c r="S12" s="9" t="s">
        <v>4895</v>
      </c>
      <c r="T12" s="12" t="s">
        <v>4915</v>
      </c>
      <c r="U12" s="12" t="s">
        <v>5016</v>
      </c>
      <c r="V12" s="12" t="s">
        <v>5017</v>
      </c>
      <c r="W12" s="12">
        <v>0</v>
      </c>
      <c r="X12" s="12">
        <v>0</v>
      </c>
      <c r="Y12" s="12">
        <v>0</v>
      </c>
      <c r="Z12" s="11">
        <v>1</v>
      </c>
      <c r="AA12" s="11">
        <v>1</v>
      </c>
      <c r="AB12" s="11">
        <v>1</v>
      </c>
      <c r="AC12" s="11">
        <v>1</v>
      </c>
      <c r="AD12" s="12">
        <v>0</v>
      </c>
      <c r="AE12" s="12">
        <v>0</v>
      </c>
      <c r="AF12" s="12">
        <v>0</v>
      </c>
      <c r="AG12" s="12">
        <v>0</v>
      </c>
      <c r="AH12" s="9">
        <v>2</v>
      </c>
      <c r="AI12" s="11">
        <v>2</v>
      </c>
      <c r="AJ12" s="11">
        <v>1</v>
      </c>
      <c r="AK12" s="11">
        <v>1</v>
      </c>
      <c r="AL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1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9" t="s">
        <v>4878</v>
      </c>
      <c r="AY12" s="11">
        <v>0</v>
      </c>
      <c r="AZ12" s="9"/>
      <c r="BA12" s="12" t="s">
        <v>4877</v>
      </c>
      <c r="BB12" s="12">
        <v>0</v>
      </c>
      <c r="BC12" s="9" t="s">
        <v>4878</v>
      </c>
      <c r="BD12" s="12">
        <v>0</v>
      </c>
      <c r="BE12" s="12">
        <v>0</v>
      </c>
      <c r="BF12" s="12">
        <v>0</v>
      </c>
      <c r="BI12" s="12">
        <v>0</v>
      </c>
      <c r="BJ12" s="12">
        <v>0</v>
      </c>
    </row>
    <row r="13" spans="1:62" x14ac:dyDescent="0.15">
      <c r="A13" s="7" t="s">
        <v>4923</v>
      </c>
      <c r="C13" s="7" t="s">
        <v>4924</v>
      </c>
      <c r="D13" s="8" t="s">
        <v>4881</v>
      </c>
      <c r="E13" s="9" t="s">
        <v>4882</v>
      </c>
      <c r="L13" s="10">
        <v>3688326.9580000001</v>
      </c>
      <c r="M13" s="10">
        <v>747965.01199999999</v>
      </c>
      <c r="N13" s="11">
        <v>15</v>
      </c>
      <c r="O13" s="11" t="s">
        <v>4871</v>
      </c>
      <c r="P13" s="13" t="s">
        <v>4925</v>
      </c>
      <c r="S13" s="9" t="s">
        <v>4881</v>
      </c>
      <c r="T13" s="12" t="s">
        <v>4884</v>
      </c>
      <c r="U13" s="12" t="s">
        <v>5016</v>
      </c>
      <c r="V13" s="12" t="s">
        <v>5017</v>
      </c>
      <c r="W13" s="12">
        <v>0</v>
      </c>
      <c r="X13" s="12">
        <v>0</v>
      </c>
      <c r="Y13" s="12">
        <v>0</v>
      </c>
      <c r="Z13" s="11">
        <v>0</v>
      </c>
      <c r="AA13" s="11">
        <v>0</v>
      </c>
      <c r="AB13" s="11">
        <f>IF(FIND("F",T13),1,0)</f>
        <v>1</v>
      </c>
      <c r="AC13" s="11">
        <f>IF(FIND("E",T13),1,0)</f>
        <v>1</v>
      </c>
      <c r="AD13" s="11">
        <v>0</v>
      </c>
      <c r="AE13" s="11">
        <v>0</v>
      </c>
      <c r="AF13" s="11">
        <v>0</v>
      </c>
      <c r="AG13" s="11">
        <v>0</v>
      </c>
      <c r="AH13" s="9">
        <v>1</v>
      </c>
      <c r="AI13" s="11">
        <v>1</v>
      </c>
      <c r="AJ13" s="11">
        <v>1</v>
      </c>
      <c r="AK13" s="11">
        <v>0</v>
      </c>
      <c r="AL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1</v>
      </c>
      <c r="AU13" s="11">
        <v>0</v>
      </c>
      <c r="AV13" s="11">
        <v>0</v>
      </c>
      <c r="AW13" s="11">
        <v>0</v>
      </c>
      <c r="AX13" s="9" t="s">
        <v>4878</v>
      </c>
      <c r="AY13" s="11">
        <v>0</v>
      </c>
      <c r="AZ13" s="9" t="s">
        <v>4926</v>
      </c>
      <c r="BA13" s="12" t="s">
        <v>4911</v>
      </c>
      <c r="BB13" s="12">
        <v>0</v>
      </c>
      <c r="BC13" s="9" t="s">
        <v>4909</v>
      </c>
      <c r="BD13" s="12">
        <v>12</v>
      </c>
      <c r="BE13" s="12">
        <v>0</v>
      </c>
      <c r="BF13" s="12">
        <v>0</v>
      </c>
      <c r="BI13" s="12">
        <v>0</v>
      </c>
      <c r="BJ13" s="12">
        <v>0</v>
      </c>
    </row>
    <row r="14" spans="1:62" x14ac:dyDescent="0.15">
      <c r="A14" s="7" t="s">
        <v>4927</v>
      </c>
      <c r="C14" s="7" t="s">
        <v>4928</v>
      </c>
      <c r="D14" s="8" t="s">
        <v>4881</v>
      </c>
      <c r="E14" s="9" t="s">
        <v>4882</v>
      </c>
      <c r="L14" s="10">
        <v>3688326.9580000001</v>
      </c>
      <c r="M14" s="10">
        <v>747965.01199999999</v>
      </c>
      <c r="N14" s="11">
        <v>15</v>
      </c>
      <c r="O14" s="11" t="s">
        <v>4871</v>
      </c>
      <c r="P14" s="13" t="s">
        <v>4929</v>
      </c>
      <c r="S14" s="9" t="s">
        <v>4881</v>
      </c>
      <c r="T14" s="12" t="s">
        <v>4902</v>
      </c>
      <c r="U14" s="12" t="s">
        <v>4902</v>
      </c>
      <c r="V14" s="12" t="s">
        <v>4902</v>
      </c>
      <c r="W14" s="12">
        <v>0</v>
      </c>
      <c r="X14" s="12">
        <v>0</v>
      </c>
      <c r="Y14" s="12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9" t="s">
        <v>4878</v>
      </c>
      <c r="AI14" s="11">
        <v>0</v>
      </c>
      <c r="AJ14" s="11">
        <v>1</v>
      </c>
      <c r="AK14" s="11">
        <v>1</v>
      </c>
      <c r="AL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9" t="s">
        <v>4909</v>
      </c>
      <c r="AY14" s="11">
        <v>0</v>
      </c>
      <c r="AZ14" s="9"/>
      <c r="BA14" s="12" t="s">
        <v>4877</v>
      </c>
      <c r="BB14" s="12">
        <v>0</v>
      </c>
      <c r="BC14" s="9" t="s">
        <v>4878</v>
      </c>
      <c r="BD14" s="12">
        <v>0</v>
      </c>
      <c r="BE14" s="12">
        <v>0</v>
      </c>
      <c r="BF14" s="12">
        <v>0</v>
      </c>
      <c r="BI14" s="12">
        <v>0</v>
      </c>
      <c r="BJ14" s="12">
        <v>0</v>
      </c>
    </row>
    <row r="15" spans="1:62" x14ac:dyDescent="0.15">
      <c r="A15" s="7" t="s">
        <v>4930</v>
      </c>
      <c r="C15" s="7" t="s">
        <v>4931</v>
      </c>
      <c r="D15" s="8" t="s">
        <v>4881</v>
      </c>
      <c r="E15" s="9" t="s">
        <v>4882</v>
      </c>
      <c r="L15" s="10">
        <v>3695545.014</v>
      </c>
      <c r="M15" s="10">
        <v>740610.95700000005</v>
      </c>
      <c r="N15" s="11">
        <v>15</v>
      </c>
      <c r="O15" s="11" t="s">
        <v>4871</v>
      </c>
      <c r="P15" s="13" t="s">
        <v>4932</v>
      </c>
      <c r="S15" s="9" t="s">
        <v>4881</v>
      </c>
      <c r="T15" s="12" t="s">
        <v>4902</v>
      </c>
      <c r="U15" s="12" t="s">
        <v>4902</v>
      </c>
      <c r="V15" s="12" t="s">
        <v>4902</v>
      </c>
      <c r="W15" s="12">
        <v>0</v>
      </c>
      <c r="X15" s="12">
        <v>0</v>
      </c>
      <c r="Y15" s="12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9">
        <v>2</v>
      </c>
      <c r="AI15" s="11">
        <v>2</v>
      </c>
      <c r="AJ15" s="11">
        <v>1</v>
      </c>
      <c r="AK15" s="11">
        <v>1</v>
      </c>
      <c r="AL15" s="11">
        <v>1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9" t="s">
        <v>4878</v>
      </c>
      <c r="AY15" s="11">
        <v>0</v>
      </c>
      <c r="AZ15" s="9"/>
      <c r="BA15" s="12" t="s">
        <v>4877</v>
      </c>
      <c r="BB15" s="12">
        <v>0</v>
      </c>
      <c r="BC15" s="9" t="s">
        <v>4878</v>
      </c>
      <c r="BD15" s="12">
        <v>8.2020997375328086</v>
      </c>
      <c r="BE15" s="12">
        <v>0</v>
      </c>
      <c r="BF15" s="12">
        <v>13185.790260469408</v>
      </c>
      <c r="BI15">
        <f>BD15/BF15</f>
        <v>6.2204081632653071E-4</v>
      </c>
      <c r="BJ15">
        <f>BI15*10000</f>
        <v>6.220408163265307</v>
      </c>
    </row>
    <row r="16" spans="1:62" x14ac:dyDescent="0.15">
      <c r="A16" s="7" t="s">
        <v>4933</v>
      </c>
      <c r="C16" s="7" t="s">
        <v>4934</v>
      </c>
      <c r="D16" s="8" t="s">
        <v>4881</v>
      </c>
      <c r="E16" s="9" t="s">
        <v>4882</v>
      </c>
      <c r="L16" s="10">
        <v>3691792.0380000002</v>
      </c>
      <c r="M16" s="10">
        <v>738388.04299999995</v>
      </c>
      <c r="N16" s="11">
        <v>15</v>
      </c>
      <c r="O16" s="11" t="s">
        <v>4871</v>
      </c>
      <c r="P16" s="13" t="s">
        <v>4935</v>
      </c>
      <c r="S16" s="9" t="s">
        <v>4881</v>
      </c>
      <c r="T16" s="12" t="s">
        <v>4887</v>
      </c>
      <c r="U16" s="12" t="s">
        <v>5016</v>
      </c>
      <c r="V16" s="12" t="s">
        <v>5018</v>
      </c>
      <c r="W16" s="12">
        <v>0</v>
      </c>
      <c r="X16" s="12">
        <v>0</v>
      </c>
      <c r="Y16" s="12">
        <v>0</v>
      </c>
      <c r="Z16" s="11">
        <v>0</v>
      </c>
      <c r="AA16" s="11">
        <v>0</v>
      </c>
      <c r="AB16" s="11">
        <f>IF(FIND("F",T16),1,0)</f>
        <v>1</v>
      </c>
      <c r="AC16" s="11">
        <v>1</v>
      </c>
      <c r="AD16" s="11">
        <f>IF(FIND("D",T16),1,0)</f>
        <v>1</v>
      </c>
      <c r="AE16" s="11">
        <v>0</v>
      </c>
      <c r="AF16" s="11">
        <v>0</v>
      </c>
      <c r="AG16" s="11">
        <v>0</v>
      </c>
      <c r="AH16" s="9">
        <v>1</v>
      </c>
      <c r="AI16" s="11">
        <v>1</v>
      </c>
      <c r="AJ16" s="11">
        <v>1</v>
      </c>
      <c r="AK16" s="11">
        <v>0</v>
      </c>
      <c r="AL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1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9" t="s">
        <v>4878</v>
      </c>
      <c r="AY16" s="11">
        <v>0</v>
      </c>
      <c r="AZ16" s="9"/>
      <c r="BA16" s="12" t="s">
        <v>4877</v>
      </c>
      <c r="BB16" s="12">
        <v>0</v>
      </c>
      <c r="BC16" s="9" t="s">
        <v>4878</v>
      </c>
      <c r="BD16" s="12">
        <v>8.2020997375328086</v>
      </c>
      <c r="BE16" s="12">
        <v>0</v>
      </c>
      <c r="BF16" s="12">
        <v>10956.326292046988</v>
      </c>
      <c r="BI16">
        <f>BD16/BF16</f>
        <v>7.4861769528410029E-4</v>
      </c>
      <c r="BJ16">
        <f>BI16*10000</f>
        <v>7.4861769528410029</v>
      </c>
    </row>
    <row r="17" spans="1:62" x14ac:dyDescent="0.15">
      <c r="A17" s="7" t="s">
        <v>4936</v>
      </c>
      <c r="C17" s="7" t="s">
        <v>4937</v>
      </c>
      <c r="D17" s="8" t="s">
        <v>4881</v>
      </c>
      <c r="E17" s="9" t="s">
        <v>4882</v>
      </c>
      <c r="L17" s="10">
        <v>3686617.9580000001</v>
      </c>
      <c r="M17" s="10">
        <v>732944.96299999999</v>
      </c>
      <c r="N17" s="11">
        <v>15</v>
      </c>
      <c r="O17" s="11" t="s">
        <v>4871</v>
      </c>
      <c r="P17" s="13" t="s">
        <v>4764</v>
      </c>
      <c r="S17" s="9" t="s">
        <v>4881</v>
      </c>
      <c r="T17" s="12" t="s">
        <v>4875</v>
      </c>
      <c r="U17" s="12" t="s">
        <v>5020</v>
      </c>
      <c r="V17" s="12" t="s">
        <v>5021</v>
      </c>
      <c r="W17" s="12">
        <v>0</v>
      </c>
      <c r="X17" s="12">
        <v>0</v>
      </c>
      <c r="Y17" s="12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f>IF(FIND("B",T17),1,0)</f>
        <v>1</v>
      </c>
      <c r="AG17" s="11">
        <f>IF(FIND("A",T17),1,0)</f>
        <v>1</v>
      </c>
      <c r="AH17" s="9">
        <v>0</v>
      </c>
      <c r="AI17" s="11">
        <v>0</v>
      </c>
      <c r="AJ17" s="11">
        <v>0</v>
      </c>
      <c r="AK17" s="11">
        <v>0</v>
      </c>
      <c r="AL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9" t="s">
        <v>4878</v>
      </c>
      <c r="AY17" s="11">
        <v>0</v>
      </c>
      <c r="AZ17" s="9"/>
      <c r="BA17" s="12" t="s">
        <v>4877</v>
      </c>
      <c r="BB17" s="12">
        <v>0</v>
      </c>
      <c r="BC17" s="9" t="s">
        <v>4878</v>
      </c>
      <c r="BD17" s="12">
        <v>0</v>
      </c>
      <c r="BE17" s="12">
        <v>0</v>
      </c>
      <c r="BF17" s="12">
        <v>0</v>
      </c>
      <c r="BI17" s="12">
        <v>0</v>
      </c>
      <c r="BJ17" s="12">
        <v>0</v>
      </c>
    </row>
    <row r="18" spans="1:62" x14ac:dyDescent="0.15">
      <c r="A18" s="7" t="s">
        <v>4765</v>
      </c>
      <c r="C18" s="7" t="s">
        <v>4766</v>
      </c>
      <c r="D18" s="8" t="s">
        <v>4881</v>
      </c>
      <c r="E18" s="9" t="s">
        <v>4882</v>
      </c>
      <c r="L18" s="10">
        <v>3706123.9649999999</v>
      </c>
      <c r="M18" s="10">
        <v>758373.96499999997</v>
      </c>
      <c r="N18" s="11">
        <v>15</v>
      </c>
      <c r="O18" s="11" t="s">
        <v>4871</v>
      </c>
      <c r="P18" s="13" t="s">
        <v>4767</v>
      </c>
      <c r="S18" s="9" t="s">
        <v>4881</v>
      </c>
      <c r="T18" s="12" t="s">
        <v>4887</v>
      </c>
      <c r="U18" s="12" t="s">
        <v>5016</v>
      </c>
      <c r="V18" s="12" t="s">
        <v>5018</v>
      </c>
      <c r="W18" s="12">
        <v>0</v>
      </c>
      <c r="X18" s="12">
        <v>0</v>
      </c>
      <c r="Y18" s="12">
        <v>0</v>
      </c>
      <c r="Z18" s="11">
        <v>0</v>
      </c>
      <c r="AA18" s="11">
        <v>0</v>
      </c>
      <c r="AB18" s="11">
        <f>IF(FIND("F",T18),1,0)</f>
        <v>1</v>
      </c>
      <c r="AC18" s="11">
        <v>1</v>
      </c>
      <c r="AD18" s="11">
        <f>IF(FIND("D",T18),1,0)</f>
        <v>1</v>
      </c>
      <c r="AE18" s="11">
        <v>0</v>
      </c>
      <c r="AF18" s="11">
        <v>0</v>
      </c>
      <c r="AG18" s="11">
        <v>0</v>
      </c>
      <c r="AH18" s="9" t="s">
        <v>4878</v>
      </c>
      <c r="AI18" s="11" t="s">
        <v>4878</v>
      </c>
      <c r="AJ18" s="11">
        <v>1</v>
      </c>
      <c r="AK18" s="11">
        <v>1</v>
      </c>
      <c r="AL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9" t="s">
        <v>4909</v>
      </c>
      <c r="AY18" s="11">
        <v>0</v>
      </c>
      <c r="AZ18" s="9" t="s">
        <v>4926</v>
      </c>
      <c r="BA18" s="12" t="s">
        <v>4911</v>
      </c>
      <c r="BB18" s="12">
        <v>0</v>
      </c>
      <c r="BC18" s="9" t="s">
        <v>4909</v>
      </c>
      <c r="BD18" s="12">
        <v>0</v>
      </c>
      <c r="BE18" s="12">
        <v>0</v>
      </c>
      <c r="BF18" s="12">
        <v>0</v>
      </c>
      <c r="BI18" s="12">
        <v>0</v>
      </c>
      <c r="BJ18" s="12">
        <v>0</v>
      </c>
    </row>
    <row r="19" spans="1:62" x14ac:dyDescent="0.15">
      <c r="A19" s="7" t="s">
        <v>4768</v>
      </c>
      <c r="C19" s="7" t="s">
        <v>4769</v>
      </c>
      <c r="D19" s="8" t="s">
        <v>4881</v>
      </c>
      <c r="E19" s="9" t="s">
        <v>4882</v>
      </c>
      <c r="L19" s="10">
        <v>3702211.9720000001</v>
      </c>
      <c r="M19" s="10">
        <v>757132.01699999999</v>
      </c>
      <c r="N19" s="11">
        <v>15</v>
      </c>
      <c r="O19" s="11" t="s">
        <v>4871</v>
      </c>
      <c r="P19" s="13" t="s">
        <v>4770</v>
      </c>
      <c r="S19" s="9" t="s">
        <v>4881</v>
      </c>
      <c r="T19" s="12" t="s">
        <v>4891</v>
      </c>
      <c r="U19" s="12" t="s">
        <v>5017</v>
      </c>
      <c r="V19" s="12" t="s">
        <v>5018</v>
      </c>
      <c r="W19" s="12">
        <v>0</v>
      </c>
      <c r="X19" s="12">
        <v>0</v>
      </c>
      <c r="Y19" s="12">
        <v>0</v>
      </c>
      <c r="Z19" s="11">
        <v>0</v>
      </c>
      <c r="AA19" s="11">
        <v>0</v>
      </c>
      <c r="AB19" s="11">
        <v>0</v>
      </c>
      <c r="AC19" s="11">
        <f>IF(FIND("E",T19),1,0)</f>
        <v>1</v>
      </c>
      <c r="AD19" s="11">
        <f>IF(FIND("D",T19),1,0)</f>
        <v>1</v>
      </c>
      <c r="AE19" s="11">
        <v>0</v>
      </c>
      <c r="AF19" s="11">
        <v>0</v>
      </c>
      <c r="AG19" s="11">
        <v>0</v>
      </c>
      <c r="AH19" s="9">
        <v>2</v>
      </c>
      <c r="AI19" s="11">
        <v>2</v>
      </c>
      <c r="AJ19" s="11">
        <v>1</v>
      </c>
      <c r="AK19" s="11">
        <v>1</v>
      </c>
      <c r="AL19" s="11">
        <v>1</v>
      </c>
      <c r="AN19" s="11">
        <v>0</v>
      </c>
      <c r="AO19" s="11">
        <v>0</v>
      </c>
      <c r="AP19" s="11">
        <v>0</v>
      </c>
      <c r="AQ19" s="11">
        <v>1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9" t="s">
        <v>4909</v>
      </c>
      <c r="AY19" s="11">
        <v>0</v>
      </c>
      <c r="AZ19" s="9"/>
      <c r="BA19" s="12" t="s">
        <v>4877</v>
      </c>
      <c r="BB19" s="12">
        <v>0</v>
      </c>
      <c r="BC19" s="9" t="s">
        <v>4878</v>
      </c>
      <c r="BD19" s="12">
        <v>19.685039370078741</v>
      </c>
      <c r="BE19" s="12">
        <v>0</v>
      </c>
      <c r="BF19" s="12">
        <v>5381.9552083548606</v>
      </c>
      <c r="BI19">
        <f>BD19/BF19</f>
        <v>3.6576000000000004E-3</v>
      </c>
      <c r="BJ19">
        <f>BI19*10000</f>
        <v>36.576000000000008</v>
      </c>
    </row>
    <row r="20" spans="1:62" x14ac:dyDescent="0.15">
      <c r="A20" s="7" t="s">
        <v>4771</v>
      </c>
      <c r="C20" s="7" t="s">
        <v>4772</v>
      </c>
      <c r="D20" s="8" t="s">
        <v>4881</v>
      </c>
      <c r="E20" s="9" t="s">
        <v>4882</v>
      </c>
      <c r="L20" s="10">
        <v>3702211.9720000001</v>
      </c>
      <c r="M20" s="10">
        <v>757132.01699999999</v>
      </c>
      <c r="N20" s="11">
        <v>15</v>
      </c>
      <c r="O20" s="11" t="s">
        <v>4871</v>
      </c>
      <c r="P20" s="13" t="s">
        <v>4773</v>
      </c>
      <c r="S20" s="9" t="s">
        <v>4881</v>
      </c>
      <c r="T20" s="12" t="s">
        <v>4884</v>
      </c>
      <c r="U20" s="12" t="s">
        <v>5016</v>
      </c>
      <c r="V20" s="12" t="s">
        <v>5017</v>
      </c>
      <c r="W20" s="12">
        <v>0</v>
      </c>
      <c r="X20" s="12">
        <v>0</v>
      </c>
      <c r="Y20" s="12">
        <v>0</v>
      </c>
      <c r="Z20" s="11">
        <v>0</v>
      </c>
      <c r="AA20" s="11">
        <v>0</v>
      </c>
      <c r="AB20" s="11">
        <f>IF(FIND("F",T20),1,0)</f>
        <v>1</v>
      </c>
      <c r="AC20" s="11">
        <f>IF(FIND("E",T20),1,0)</f>
        <v>1</v>
      </c>
      <c r="AD20" s="11">
        <v>0</v>
      </c>
      <c r="AE20" s="11">
        <v>0</v>
      </c>
      <c r="AF20" s="11">
        <v>0</v>
      </c>
      <c r="AG20" s="11">
        <v>0</v>
      </c>
      <c r="AH20" s="9">
        <v>5</v>
      </c>
      <c r="AI20" s="11">
        <v>5</v>
      </c>
      <c r="AJ20" s="11">
        <v>1</v>
      </c>
      <c r="AK20" s="11">
        <v>1</v>
      </c>
      <c r="AL20" s="11">
        <v>1</v>
      </c>
      <c r="AN20" s="11">
        <v>0</v>
      </c>
      <c r="AO20" s="11">
        <v>0</v>
      </c>
      <c r="AP20" s="11">
        <v>0</v>
      </c>
      <c r="AQ20" s="11">
        <v>0</v>
      </c>
      <c r="AR20" s="11">
        <v>1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9" t="s">
        <v>4878</v>
      </c>
      <c r="AY20" s="11">
        <v>0</v>
      </c>
      <c r="AZ20" s="9"/>
      <c r="BA20" s="12" t="s">
        <v>4877</v>
      </c>
      <c r="BB20" s="12">
        <v>0</v>
      </c>
      <c r="BC20" s="9" t="s">
        <v>4878</v>
      </c>
      <c r="BD20" s="12">
        <v>0</v>
      </c>
      <c r="BE20" s="12">
        <v>0</v>
      </c>
      <c r="BF20" s="12">
        <v>0</v>
      </c>
      <c r="BI20" s="12">
        <v>0</v>
      </c>
      <c r="BJ20" s="12">
        <v>0</v>
      </c>
    </row>
    <row r="21" spans="1:62" x14ac:dyDescent="0.15">
      <c r="A21" s="7" t="s">
        <v>4774</v>
      </c>
      <c r="C21" s="7" t="s">
        <v>4775</v>
      </c>
      <c r="D21" s="8" t="s">
        <v>4881</v>
      </c>
      <c r="E21" s="9" t="s">
        <v>4882</v>
      </c>
      <c r="L21" s="10">
        <v>3662760.0279999999</v>
      </c>
      <c r="M21" s="10">
        <v>684831.96499999997</v>
      </c>
      <c r="N21" s="11">
        <v>15</v>
      </c>
      <c r="O21" s="11" t="s">
        <v>4871</v>
      </c>
      <c r="P21" s="13" t="s">
        <v>4776</v>
      </c>
      <c r="S21" s="9" t="s">
        <v>4881</v>
      </c>
      <c r="T21" s="12" t="s">
        <v>4875</v>
      </c>
      <c r="U21" s="12" t="s">
        <v>5020</v>
      </c>
      <c r="V21" s="12" t="s">
        <v>5021</v>
      </c>
      <c r="W21" s="12">
        <v>0</v>
      </c>
      <c r="X21" s="12">
        <v>0</v>
      </c>
      <c r="Y21" s="12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f>IF(FIND("B",T21),1,0)</f>
        <v>1</v>
      </c>
      <c r="AG21" s="11">
        <f>IF(FIND("A",T21),1,0)</f>
        <v>1</v>
      </c>
      <c r="AH21" s="9">
        <v>3</v>
      </c>
      <c r="AI21" s="11">
        <v>3</v>
      </c>
      <c r="AJ21" s="11">
        <v>1</v>
      </c>
      <c r="AK21" s="11">
        <v>1</v>
      </c>
      <c r="AL21" s="11">
        <v>1</v>
      </c>
      <c r="AN21" s="11">
        <v>1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1</v>
      </c>
      <c r="AU21" s="11">
        <v>0</v>
      </c>
      <c r="AV21" s="11">
        <v>0</v>
      </c>
      <c r="AW21" s="11">
        <v>0</v>
      </c>
      <c r="AX21" s="9" t="s">
        <v>4878</v>
      </c>
      <c r="AY21" s="11">
        <v>0</v>
      </c>
      <c r="AZ21" s="9"/>
      <c r="BA21" s="12" t="s">
        <v>4877</v>
      </c>
      <c r="BB21" s="9" t="s">
        <v>4909</v>
      </c>
      <c r="BC21" s="9" t="s">
        <v>4878</v>
      </c>
      <c r="BD21" s="12">
        <v>19.685039370078741</v>
      </c>
      <c r="BE21" s="12">
        <v>0</v>
      </c>
      <c r="BF21" s="12">
        <v>0</v>
      </c>
      <c r="BI21" s="12">
        <v>0</v>
      </c>
      <c r="BJ21" s="12">
        <v>0</v>
      </c>
    </row>
    <row r="22" spans="1:62" x14ac:dyDescent="0.15">
      <c r="A22" s="7" t="s">
        <v>4777</v>
      </c>
      <c r="C22" s="7" t="s">
        <v>4778</v>
      </c>
      <c r="D22" s="8" t="s">
        <v>4881</v>
      </c>
      <c r="E22" s="9" t="s">
        <v>4882</v>
      </c>
      <c r="L22" s="10">
        <v>3670587.0440000002</v>
      </c>
      <c r="M22" s="10">
        <v>684215.03300000005</v>
      </c>
      <c r="N22" s="11">
        <v>15</v>
      </c>
      <c r="O22" s="11" t="s">
        <v>4871</v>
      </c>
      <c r="P22" s="13" t="s">
        <v>4779</v>
      </c>
      <c r="S22" s="9" t="s">
        <v>4881</v>
      </c>
      <c r="T22" s="12" t="s">
        <v>4780</v>
      </c>
      <c r="U22" s="12" t="s">
        <v>5016</v>
      </c>
      <c r="V22" s="12" t="s">
        <v>5019</v>
      </c>
      <c r="W22" s="12">
        <v>0</v>
      </c>
      <c r="X22" s="12">
        <v>0</v>
      </c>
      <c r="Y22" s="12">
        <v>0</v>
      </c>
      <c r="Z22" s="11">
        <v>0</v>
      </c>
      <c r="AA22" s="11">
        <v>0</v>
      </c>
      <c r="AB22" s="11">
        <f>IF(FIND("F",T22),1,0)</f>
        <v>1</v>
      </c>
      <c r="AC22" s="11">
        <v>1</v>
      </c>
      <c r="AD22" s="11">
        <v>1</v>
      </c>
      <c r="AE22" s="11">
        <f>IF(FIND("C",T22),1,0)</f>
        <v>1</v>
      </c>
      <c r="AF22" s="11">
        <v>0</v>
      </c>
      <c r="AG22" s="11">
        <v>0</v>
      </c>
      <c r="AH22" s="9">
        <v>1</v>
      </c>
      <c r="AI22" s="11">
        <v>1</v>
      </c>
      <c r="AJ22" s="11">
        <v>1</v>
      </c>
      <c r="AK22" s="11">
        <v>0</v>
      </c>
      <c r="AL22" s="11">
        <v>1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9" t="s">
        <v>4878</v>
      </c>
      <c r="AY22" s="11">
        <v>0</v>
      </c>
      <c r="AZ22" s="9"/>
      <c r="BA22" s="12" t="s">
        <v>4877</v>
      </c>
      <c r="BB22" s="12">
        <v>0</v>
      </c>
      <c r="BC22" s="9" t="s">
        <v>4878</v>
      </c>
      <c r="BD22" s="12">
        <v>0</v>
      </c>
      <c r="BE22" s="12">
        <v>0</v>
      </c>
      <c r="BF22" s="12">
        <v>0</v>
      </c>
      <c r="BI22" s="12">
        <v>0</v>
      </c>
      <c r="BJ22" s="12">
        <v>0</v>
      </c>
    </row>
    <row r="23" spans="1:62" x14ac:dyDescent="0.15">
      <c r="A23" s="7" t="s">
        <v>4781</v>
      </c>
      <c r="C23" s="7" t="s">
        <v>4782</v>
      </c>
      <c r="D23" s="8" t="s">
        <v>4881</v>
      </c>
      <c r="E23" s="9" t="s">
        <v>4882</v>
      </c>
      <c r="L23" s="10">
        <v>3665245.997</v>
      </c>
      <c r="M23" s="10">
        <v>685638.01500000001</v>
      </c>
      <c r="N23" s="11">
        <v>15</v>
      </c>
      <c r="O23" s="11" t="s">
        <v>4871</v>
      </c>
      <c r="P23" s="13" t="s">
        <v>4783</v>
      </c>
      <c r="S23" s="9" t="s">
        <v>4881</v>
      </c>
      <c r="T23" s="12" t="s">
        <v>4784</v>
      </c>
      <c r="U23" s="12" t="s">
        <v>5017</v>
      </c>
      <c r="V23" s="12" t="s">
        <v>5021</v>
      </c>
      <c r="W23" s="12">
        <v>0</v>
      </c>
      <c r="X23" s="12">
        <v>0</v>
      </c>
      <c r="Y23" s="12">
        <v>0</v>
      </c>
      <c r="Z23" s="11">
        <v>0</v>
      </c>
      <c r="AA23" s="11">
        <v>0</v>
      </c>
      <c r="AB23" s="11">
        <v>0</v>
      </c>
      <c r="AC23" s="11">
        <f>IF(FIND("E",T23),1,0)</f>
        <v>1</v>
      </c>
      <c r="AD23" s="11">
        <v>1</v>
      </c>
      <c r="AE23" s="11">
        <v>1</v>
      </c>
      <c r="AF23" s="11">
        <v>1</v>
      </c>
      <c r="AG23" s="11">
        <f>IF(FIND("A",T23),1,0)</f>
        <v>1</v>
      </c>
      <c r="AH23" s="9">
        <v>4</v>
      </c>
      <c r="AI23" s="11">
        <v>4</v>
      </c>
      <c r="AJ23" s="11">
        <v>1</v>
      </c>
      <c r="AK23" s="11">
        <v>1</v>
      </c>
      <c r="AL23" s="11">
        <v>1</v>
      </c>
      <c r="AN23" s="11">
        <v>1</v>
      </c>
      <c r="AO23" s="11">
        <v>0</v>
      </c>
      <c r="AP23" s="11">
        <v>0</v>
      </c>
      <c r="AQ23" s="11">
        <v>1</v>
      </c>
      <c r="AR23" s="11">
        <v>1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9" t="s">
        <v>4878</v>
      </c>
      <c r="AY23" s="11">
        <v>0</v>
      </c>
      <c r="AZ23" s="9"/>
      <c r="BA23" s="12" t="s">
        <v>4877</v>
      </c>
      <c r="BB23" s="9" t="s">
        <v>4909</v>
      </c>
      <c r="BC23" s="9" t="s">
        <v>4878</v>
      </c>
      <c r="BD23" s="12">
        <v>9.8425196850393704</v>
      </c>
      <c r="BE23" s="12">
        <v>0</v>
      </c>
      <c r="BF23" s="12">
        <v>13454.888020887151</v>
      </c>
      <c r="BI23">
        <f>BD23/BF23</f>
        <v>7.3152000000000015E-4</v>
      </c>
      <c r="BJ23">
        <f>BI23*10000</f>
        <v>7.3152000000000017</v>
      </c>
    </row>
    <row r="24" spans="1:62" x14ac:dyDescent="0.15">
      <c r="A24" s="7" t="s">
        <v>4785</v>
      </c>
      <c r="C24" s="7" t="s">
        <v>4786</v>
      </c>
      <c r="D24" s="8" t="s">
        <v>4881</v>
      </c>
      <c r="E24" s="9" t="s">
        <v>4882</v>
      </c>
      <c r="L24" s="10">
        <v>3654836.0410000002</v>
      </c>
      <c r="M24" s="10">
        <v>691334.99699999997</v>
      </c>
      <c r="N24" s="11">
        <v>15</v>
      </c>
      <c r="O24" s="11" t="s">
        <v>4871</v>
      </c>
      <c r="P24" s="13" t="s">
        <v>4787</v>
      </c>
      <c r="S24" s="9" t="s">
        <v>4881</v>
      </c>
      <c r="T24" s="12" t="s">
        <v>4902</v>
      </c>
      <c r="U24" s="12" t="s">
        <v>4902</v>
      </c>
      <c r="V24" s="12" t="s">
        <v>4902</v>
      </c>
      <c r="W24" s="12">
        <v>0</v>
      </c>
      <c r="X24" s="12">
        <v>0</v>
      </c>
      <c r="Y24" s="12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9">
        <v>2</v>
      </c>
      <c r="AI24" s="11">
        <v>2</v>
      </c>
      <c r="AJ24" s="11">
        <v>1</v>
      </c>
      <c r="AK24" s="11">
        <v>1</v>
      </c>
      <c r="AL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1</v>
      </c>
      <c r="AS24" s="11">
        <v>0</v>
      </c>
      <c r="AT24" s="11">
        <v>1</v>
      </c>
      <c r="AU24" s="11">
        <v>0</v>
      </c>
      <c r="AV24" s="11">
        <v>0</v>
      </c>
      <c r="AW24" s="11">
        <v>0</v>
      </c>
      <c r="AX24" s="9" t="s">
        <v>4878</v>
      </c>
      <c r="AY24" s="11">
        <v>0</v>
      </c>
      <c r="AZ24" s="9"/>
      <c r="BA24" s="12" t="s">
        <v>4877</v>
      </c>
      <c r="BB24" s="12">
        <v>0</v>
      </c>
      <c r="BC24" s="9" t="s">
        <v>4878</v>
      </c>
      <c r="BD24" s="12">
        <v>6.5616797900262469</v>
      </c>
      <c r="BE24" s="12">
        <v>0</v>
      </c>
      <c r="BF24" s="12">
        <v>21134.888680646192</v>
      </c>
      <c r="BI24">
        <f>BD24/BF24</f>
        <v>3.1046673058822215E-4</v>
      </c>
      <c r="BJ24">
        <f>BI24*10000</f>
        <v>3.1046673058822214</v>
      </c>
    </row>
    <row r="25" spans="1:62" x14ac:dyDescent="0.15">
      <c r="A25" s="7" t="s">
        <v>4788</v>
      </c>
      <c r="C25" s="7" t="s">
        <v>4789</v>
      </c>
      <c r="D25" s="8" t="s">
        <v>4881</v>
      </c>
      <c r="E25" s="9" t="s">
        <v>4882</v>
      </c>
      <c r="L25" s="10">
        <v>3667738.0469999998</v>
      </c>
      <c r="M25" s="10">
        <v>689266.01399999997</v>
      </c>
      <c r="N25" s="11">
        <v>15</v>
      </c>
      <c r="O25" s="11" t="s">
        <v>4871</v>
      </c>
      <c r="P25" s="13" t="s">
        <v>4790</v>
      </c>
      <c r="S25" s="9" t="s">
        <v>4881</v>
      </c>
      <c r="T25" s="12" t="s">
        <v>4902</v>
      </c>
      <c r="U25" s="12" t="s">
        <v>4902</v>
      </c>
      <c r="V25" s="12" t="s">
        <v>4902</v>
      </c>
      <c r="W25" s="12">
        <v>0</v>
      </c>
      <c r="X25" s="12">
        <v>0</v>
      </c>
      <c r="Y25" s="12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9">
        <v>3</v>
      </c>
      <c r="AI25" s="11">
        <v>3</v>
      </c>
      <c r="AJ25" s="11">
        <v>1</v>
      </c>
      <c r="AK25" s="11">
        <v>1</v>
      </c>
      <c r="AL25" s="11">
        <v>0</v>
      </c>
      <c r="AN25" s="11">
        <v>0</v>
      </c>
      <c r="AO25" s="11">
        <v>0</v>
      </c>
      <c r="AP25" s="11">
        <v>0</v>
      </c>
      <c r="AQ25" s="11">
        <v>1</v>
      </c>
      <c r="AR25" s="11">
        <v>1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9" t="s">
        <v>4878</v>
      </c>
      <c r="AY25" s="11">
        <v>0</v>
      </c>
      <c r="AZ25" s="9"/>
      <c r="BA25" s="12" t="s">
        <v>4877</v>
      </c>
      <c r="BB25" s="9" t="s">
        <v>4909</v>
      </c>
      <c r="BC25" s="9" t="s">
        <v>4878</v>
      </c>
      <c r="BD25" s="12">
        <v>0</v>
      </c>
      <c r="BE25" s="12">
        <v>0</v>
      </c>
      <c r="BF25" s="12">
        <v>0</v>
      </c>
      <c r="BI25" s="12">
        <v>0</v>
      </c>
      <c r="BJ25" s="12">
        <v>0</v>
      </c>
    </row>
    <row r="26" spans="1:62" x14ac:dyDescent="0.15">
      <c r="A26" s="7" t="s">
        <v>4791</v>
      </c>
      <c r="C26" s="7" t="s">
        <v>4792</v>
      </c>
      <c r="D26" s="8" t="s">
        <v>4881</v>
      </c>
      <c r="E26" s="9" t="s">
        <v>4882</v>
      </c>
      <c r="L26" s="10">
        <v>3666224.0240000002</v>
      </c>
      <c r="M26" s="10">
        <v>690919.995</v>
      </c>
      <c r="N26" s="11">
        <v>15</v>
      </c>
      <c r="O26" s="11" t="s">
        <v>4871</v>
      </c>
      <c r="P26" s="13" t="s">
        <v>4793</v>
      </c>
      <c r="S26" s="9" t="s">
        <v>4881</v>
      </c>
      <c r="T26" s="12" t="s">
        <v>4891</v>
      </c>
      <c r="U26" s="12" t="s">
        <v>5017</v>
      </c>
      <c r="V26" s="12" t="s">
        <v>5018</v>
      </c>
      <c r="W26" s="12">
        <v>0</v>
      </c>
      <c r="X26" s="12">
        <v>0</v>
      </c>
      <c r="Y26" s="12">
        <v>0</v>
      </c>
      <c r="Z26" s="11">
        <v>0</v>
      </c>
      <c r="AA26" s="11">
        <v>0</v>
      </c>
      <c r="AB26" s="11">
        <v>0</v>
      </c>
      <c r="AC26" s="11">
        <f>IF(FIND("E",T26),1,0)</f>
        <v>1</v>
      </c>
      <c r="AD26" s="11">
        <f>IF(FIND("D",T26),1,0)</f>
        <v>1</v>
      </c>
      <c r="AE26" s="11">
        <v>0</v>
      </c>
      <c r="AF26" s="11">
        <v>0</v>
      </c>
      <c r="AG26" s="11">
        <v>0</v>
      </c>
      <c r="AH26" s="9">
        <v>1</v>
      </c>
      <c r="AI26" s="11">
        <v>1</v>
      </c>
      <c r="AJ26" s="11">
        <v>1</v>
      </c>
      <c r="AK26" s="11">
        <v>0</v>
      </c>
      <c r="AL26" s="11">
        <v>0</v>
      </c>
      <c r="AN26" s="11">
        <v>0</v>
      </c>
      <c r="AO26" s="11">
        <v>0</v>
      </c>
      <c r="AP26" s="11">
        <v>0</v>
      </c>
      <c r="AQ26" s="11">
        <v>1</v>
      </c>
      <c r="AR26" s="11">
        <v>1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9" t="s">
        <v>4878</v>
      </c>
      <c r="AY26" s="11">
        <v>0</v>
      </c>
      <c r="AZ26" s="9"/>
      <c r="BA26" s="12" t="s">
        <v>4877</v>
      </c>
      <c r="BB26" s="12">
        <v>0</v>
      </c>
      <c r="BC26" s="9" t="s">
        <v>4878</v>
      </c>
      <c r="BD26" s="12">
        <v>0</v>
      </c>
      <c r="BE26" s="12">
        <v>0</v>
      </c>
      <c r="BF26" s="12">
        <v>0</v>
      </c>
      <c r="BI26" s="12">
        <v>0</v>
      </c>
      <c r="BJ26" s="12">
        <v>0</v>
      </c>
    </row>
    <row r="27" spans="1:62" x14ac:dyDescent="0.15">
      <c r="A27" s="7" t="s">
        <v>4794</v>
      </c>
      <c r="C27" s="7" t="s">
        <v>4795</v>
      </c>
      <c r="D27" s="8" t="s">
        <v>4881</v>
      </c>
      <c r="E27" s="9" t="s">
        <v>4882</v>
      </c>
      <c r="L27" s="10">
        <v>3661466.97</v>
      </c>
      <c r="M27" s="10">
        <v>690524.99899999995</v>
      </c>
      <c r="N27" s="11">
        <v>15</v>
      </c>
      <c r="O27" s="11" t="s">
        <v>4871</v>
      </c>
      <c r="P27" s="13" t="s">
        <v>4796</v>
      </c>
      <c r="S27" s="9" t="s">
        <v>4881</v>
      </c>
      <c r="T27" s="12" t="s">
        <v>4797</v>
      </c>
      <c r="U27" s="12" t="s">
        <v>5018</v>
      </c>
      <c r="V27" s="12" t="s">
        <v>5019</v>
      </c>
      <c r="W27" s="12">
        <v>0</v>
      </c>
      <c r="X27" s="12">
        <v>0</v>
      </c>
      <c r="Y27" s="12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f>IF(FIND("D",T27),1,0)</f>
        <v>1</v>
      </c>
      <c r="AE27" s="11">
        <f>IF(FIND("C",T27),1,0)</f>
        <v>1</v>
      </c>
      <c r="AF27" s="11">
        <v>0</v>
      </c>
      <c r="AG27" s="11">
        <v>0</v>
      </c>
      <c r="AH27" s="9">
        <v>1</v>
      </c>
      <c r="AI27" s="11">
        <v>1</v>
      </c>
      <c r="AJ27" s="11">
        <v>1</v>
      </c>
      <c r="AK27" s="11">
        <v>0</v>
      </c>
      <c r="AL27" s="11">
        <v>0</v>
      </c>
      <c r="AN27" s="11">
        <v>0</v>
      </c>
      <c r="AO27" s="11">
        <v>0</v>
      </c>
      <c r="AP27" s="11">
        <v>0</v>
      </c>
      <c r="AQ27" s="11">
        <v>1</v>
      </c>
      <c r="AR27" s="11">
        <v>1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9" t="s">
        <v>4878</v>
      </c>
      <c r="AY27" s="11">
        <v>0</v>
      </c>
      <c r="AZ27" s="9"/>
      <c r="BA27" s="12" t="s">
        <v>4877</v>
      </c>
      <c r="BB27" s="12">
        <v>0</v>
      </c>
      <c r="BC27" s="9" t="s">
        <v>4878</v>
      </c>
      <c r="BD27" s="12">
        <v>3.2808398950131235</v>
      </c>
      <c r="BE27" s="12">
        <v>0</v>
      </c>
      <c r="BF27" s="12">
        <v>10763.910416709721</v>
      </c>
      <c r="BI27">
        <f>BD27/BF27</f>
        <v>3.0480000000000004E-4</v>
      </c>
      <c r="BJ27">
        <f>BI27*10000</f>
        <v>3.0480000000000005</v>
      </c>
    </row>
    <row r="28" spans="1:62" x14ac:dyDescent="0.15">
      <c r="A28" s="7" t="s">
        <v>4798</v>
      </c>
      <c r="C28" s="7" t="s">
        <v>4799</v>
      </c>
      <c r="D28" s="8" t="s">
        <v>4881</v>
      </c>
      <c r="E28" s="9" t="s">
        <v>4882</v>
      </c>
      <c r="L28" s="10">
        <v>3678241.9550000001</v>
      </c>
      <c r="M28" s="10">
        <v>721189.97900000005</v>
      </c>
      <c r="N28" s="11">
        <v>15</v>
      </c>
      <c r="O28" s="11" t="s">
        <v>4871</v>
      </c>
      <c r="P28" s="13" t="s">
        <v>4800</v>
      </c>
      <c r="S28" s="9" t="s">
        <v>4895</v>
      </c>
      <c r="T28" s="12" t="s">
        <v>4801</v>
      </c>
      <c r="U28" s="12" t="s">
        <v>4897</v>
      </c>
      <c r="V28" s="12" t="s">
        <v>5019</v>
      </c>
      <c r="W28" s="12">
        <v>0</v>
      </c>
      <c r="X28" s="12">
        <v>0</v>
      </c>
      <c r="Y28" s="12">
        <v>0</v>
      </c>
      <c r="Z28" s="11">
        <v>1</v>
      </c>
      <c r="AA28" s="11">
        <v>1</v>
      </c>
      <c r="AB28" s="11">
        <v>0</v>
      </c>
      <c r="AC28" s="11">
        <v>1</v>
      </c>
      <c r="AD28" s="11">
        <v>1</v>
      </c>
      <c r="AE28" s="11">
        <f>IF(FIND("C",T28),1,0)</f>
        <v>1</v>
      </c>
      <c r="AF28" s="11">
        <v>0</v>
      </c>
      <c r="AG28" s="11">
        <v>0</v>
      </c>
      <c r="AH28" s="9">
        <v>3</v>
      </c>
      <c r="AI28" s="11">
        <v>3</v>
      </c>
      <c r="AJ28" s="11">
        <v>1</v>
      </c>
      <c r="AK28" s="11">
        <v>1</v>
      </c>
      <c r="AL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1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9" t="s">
        <v>4909</v>
      </c>
      <c r="AY28" s="11">
        <v>0</v>
      </c>
      <c r="AZ28" s="9"/>
      <c r="BA28" s="12" t="s">
        <v>4877</v>
      </c>
      <c r="BB28" s="12">
        <v>0</v>
      </c>
      <c r="BC28" s="9" t="s">
        <v>4878</v>
      </c>
      <c r="BD28" s="12">
        <v>8.2020997375328086</v>
      </c>
      <c r="BE28" s="12">
        <v>0</v>
      </c>
      <c r="BF28" s="12">
        <v>3381.5821889033914</v>
      </c>
      <c r="BI28">
        <f>BD28/BF28</f>
        <v>2.4255213327204848E-3</v>
      </c>
      <c r="BJ28">
        <f>BI28*10000</f>
        <v>24.255213327204849</v>
      </c>
    </row>
    <row r="29" spans="1:62" x14ac:dyDescent="0.15">
      <c r="A29" s="7" t="s">
        <v>4802</v>
      </c>
      <c r="C29" s="7" t="s">
        <v>4803</v>
      </c>
      <c r="D29" s="8" t="s">
        <v>4881</v>
      </c>
      <c r="E29" s="9" t="s">
        <v>4882</v>
      </c>
      <c r="L29" s="10">
        <v>3666888.0529999998</v>
      </c>
      <c r="M29" s="10">
        <v>722711.99100000004</v>
      </c>
      <c r="N29" s="11">
        <v>15</v>
      </c>
      <c r="O29" s="11" t="s">
        <v>4871</v>
      </c>
      <c r="P29" s="13" t="s">
        <v>4804</v>
      </c>
      <c r="S29" s="9" t="s">
        <v>4881</v>
      </c>
      <c r="T29" s="12" t="s">
        <v>4902</v>
      </c>
      <c r="U29" s="12" t="s">
        <v>4902</v>
      </c>
      <c r="V29" s="12" t="s">
        <v>4902</v>
      </c>
      <c r="W29" s="12">
        <v>0</v>
      </c>
      <c r="X29" s="12">
        <v>0</v>
      </c>
      <c r="Y29" s="12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9">
        <v>4</v>
      </c>
      <c r="AI29" s="11">
        <v>4</v>
      </c>
      <c r="AJ29" s="11">
        <v>1</v>
      </c>
      <c r="AK29" s="11">
        <v>1</v>
      </c>
      <c r="AL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1</v>
      </c>
      <c r="AU29" s="11">
        <v>0</v>
      </c>
      <c r="AV29" s="11">
        <v>0</v>
      </c>
      <c r="AW29" s="11">
        <v>0</v>
      </c>
      <c r="AX29" s="9" t="s">
        <v>4878</v>
      </c>
      <c r="AY29" s="11">
        <v>0</v>
      </c>
      <c r="AZ29" s="9"/>
      <c r="BA29" s="12" t="s">
        <v>4877</v>
      </c>
      <c r="BB29" s="12">
        <v>0</v>
      </c>
      <c r="BC29" s="9" t="s">
        <v>4878</v>
      </c>
      <c r="BD29" s="12">
        <v>9.8425196850393704</v>
      </c>
      <c r="BE29" s="12">
        <v>0</v>
      </c>
      <c r="BF29" s="12">
        <v>0</v>
      </c>
      <c r="BI29" s="12">
        <v>0</v>
      </c>
      <c r="BJ29" s="12">
        <v>0</v>
      </c>
    </row>
    <row r="30" spans="1:62" x14ac:dyDescent="0.15">
      <c r="A30" s="7" t="s">
        <v>4805</v>
      </c>
      <c r="C30" s="7" t="s">
        <v>4806</v>
      </c>
      <c r="D30" s="8" t="s">
        <v>4881</v>
      </c>
      <c r="E30" s="9" t="s">
        <v>4882</v>
      </c>
      <c r="L30" s="10">
        <v>3674479.0440000002</v>
      </c>
      <c r="M30" s="10">
        <v>750974.98100000003</v>
      </c>
      <c r="N30" s="11">
        <v>15</v>
      </c>
      <c r="O30" s="11" t="s">
        <v>4871</v>
      </c>
      <c r="P30" s="13" t="s">
        <v>4807</v>
      </c>
      <c r="S30" s="9" t="s">
        <v>4881</v>
      </c>
      <c r="T30" s="12" t="s">
        <v>4887</v>
      </c>
      <c r="U30" s="12" t="s">
        <v>5016</v>
      </c>
      <c r="V30" s="12" t="s">
        <v>5018</v>
      </c>
      <c r="W30" s="12">
        <v>0</v>
      </c>
      <c r="X30" s="12">
        <v>0</v>
      </c>
      <c r="Y30" s="12">
        <v>0</v>
      </c>
      <c r="Z30" s="11">
        <v>0</v>
      </c>
      <c r="AA30" s="11">
        <v>0</v>
      </c>
      <c r="AB30" s="11">
        <f>IF(FIND("F",T30),1,0)</f>
        <v>1</v>
      </c>
      <c r="AC30" s="11">
        <v>1</v>
      </c>
      <c r="AD30" s="11">
        <f>IF(FIND("D",T30),1,0)</f>
        <v>1</v>
      </c>
      <c r="AE30" s="11">
        <v>0</v>
      </c>
      <c r="AF30" s="11">
        <v>0</v>
      </c>
      <c r="AG30" s="11">
        <v>0</v>
      </c>
      <c r="AH30" s="9" t="s">
        <v>4878</v>
      </c>
      <c r="AI30" s="11" t="s">
        <v>4878</v>
      </c>
      <c r="AJ30" s="11">
        <v>1</v>
      </c>
      <c r="AK30" s="11">
        <v>1</v>
      </c>
      <c r="AL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9" t="s">
        <v>4909</v>
      </c>
      <c r="AY30" s="11">
        <v>0</v>
      </c>
      <c r="AZ30" s="9"/>
      <c r="BA30" s="12" t="s">
        <v>4877</v>
      </c>
      <c r="BB30" s="12">
        <v>0</v>
      </c>
      <c r="BC30" s="9" t="s">
        <v>4878</v>
      </c>
      <c r="BD30" s="12">
        <v>0</v>
      </c>
      <c r="BE30" s="12">
        <v>0</v>
      </c>
      <c r="BF30" s="12">
        <v>0</v>
      </c>
      <c r="BI30" s="12">
        <v>0</v>
      </c>
      <c r="BJ30" s="12">
        <v>0</v>
      </c>
    </row>
    <row r="31" spans="1:62" x14ac:dyDescent="0.15">
      <c r="A31" s="7" t="s">
        <v>4808</v>
      </c>
      <c r="C31" s="7" t="s">
        <v>4809</v>
      </c>
      <c r="D31" s="8" t="s">
        <v>4881</v>
      </c>
      <c r="E31" s="9" t="s">
        <v>4882</v>
      </c>
      <c r="L31" s="10">
        <v>3665595.9939999999</v>
      </c>
      <c r="M31" s="10">
        <v>749656.00399999996</v>
      </c>
      <c r="N31" s="11">
        <v>15</v>
      </c>
      <c r="O31" s="11" t="s">
        <v>4871</v>
      </c>
      <c r="P31" s="13" t="s">
        <v>4810</v>
      </c>
      <c r="S31" s="9" t="s">
        <v>4881</v>
      </c>
      <c r="T31" s="12" t="s">
        <v>4891</v>
      </c>
      <c r="U31" s="12" t="s">
        <v>5017</v>
      </c>
      <c r="V31" s="12" t="s">
        <v>5018</v>
      </c>
      <c r="W31" s="12">
        <v>0</v>
      </c>
      <c r="X31" s="12">
        <v>0</v>
      </c>
      <c r="Y31" s="12">
        <v>0</v>
      </c>
      <c r="Z31" s="11">
        <v>0</v>
      </c>
      <c r="AA31" s="11">
        <v>0</v>
      </c>
      <c r="AB31" s="11">
        <v>0</v>
      </c>
      <c r="AC31" s="11">
        <f>IF(FIND("E",T31),1,0)</f>
        <v>1</v>
      </c>
      <c r="AD31" s="11">
        <f>IF(FIND("D",T31),1,0)</f>
        <v>1</v>
      </c>
      <c r="AE31" s="11">
        <v>0</v>
      </c>
      <c r="AF31" s="11">
        <v>0</v>
      </c>
      <c r="AG31" s="11">
        <v>0</v>
      </c>
      <c r="AH31" s="9" t="s">
        <v>4878</v>
      </c>
      <c r="AI31" s="11" t="s">
        <v>4878</v>
      </c>
      <c r="AJ31" s="11">
        <v>1</v>
      </c>
      <c r="AK31" s="11">
        <v>1</v>
      </c>
      <c r="AL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9" t="s">
        <v>4878</v>
      </c>
      <c r="AY31" s="11">
        <v>0</v>
      </c>
      <c r="AZ31" s="9"/>
      <c r="BA31" s="12" t="s">
        <v>4877</v>
      </c>
      <c r="BB31" s="12">
        <v>0</v>
      </c>
      <c r="BC31" s="9" t="s">
        <v>4878</v>
      </c>
      <c r="BD31" s="12">
        <v>0</v>
      </c>
      <c r="BE31" s="12">
        <v>0</v>
      </c>
      <c r="BF31" s="12">
        <v>0</v>
      </c>
      <c r="BI31" s="12">
        <v>0</v>
      </c>
      <c r="BJ31" s="12">
        <v>0</v>
      </c>
    </row>
    <row r="32" spans="1:62" x14ac:dyDescent="0.15">
      <c r="A32" s="7" t="s">
        <v>4811</v>
      </c>
      <c r="C32" s="7" t="s">
        <v>4812</v>
      </c>
      <c r="D32" s="8" t="s">
        <v>4881</v>
      </c>
      <c r="E32" s="9" t="s">
        <v>4882</v>
      </c>
      <c r="L32" s="10">
        <v>3665671.0350000001</v>
      </c>
      <c r="M32" s="10">
        <v>750433.98400000005</v>
      </c>
      <c r="N32" s="11">
        <v>15</v>
      </c>
      <c r="O32" s="11" t="s">
        <v>4871</v>
      </c>
      <c r="P32" s="13" t="s">
        <v>4813</v>
      </c>
      <c r="S32" s="9" t="s">
        <v>4881</v>
      </c>
      <c r="T32" s="12" t="s">
        <v>4875</v>
      </c>
      <c r="U32" s="12" t="s">
        <v>5020</v>
      </c>
      <c r="V32" s="12" t="s">
        <v>5021</v>
      </c>
      <c r="W32" s="12">
        <v>0</v>
      </c>
      <c r="X32" s="12">
        <v>0</v>
      </c>
      <c r="Y32" s="12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f>IF(FIND("B",T32),1,0)</f>
        <v>1</v>
      </c>
      <c r="AG32" s="11">
        <f>IF(FIND("A",T32),1,0)</f>
        <v>1</v>
      </c>
      <c r="AH32" s="9">
        <v>2</v>
      </c>
      <c r="AI32" s="11">
        <v>2</v>
      </c>
      <c r="AJ32" s="11">
        <v>1</v>
      </c>
      <c r="AK32" s="11">
        <v>1</v>
      </c>
      <c r="AL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9" t="s">
        <v>4878</v>
      </c>
      <c r="AY32" s="11">
        <v>0</v>
      </c>
      <c r="AZ32" s="9"/>
      <c r="BA32" s="12" t="s">
        <v>4877</v>
      </c>
      <c r="BB32" s="12">
        <v>0</v>
      </c>
      <c r="BC32" s="9" t="s">
        <v>4878</v>
      </c>
      <c r="BD32" s="12">
        <v>0</v>
      </c>
      <c r="BE32" s="12">
        <v>0</v>
      </c>
      <c r="BF32" s="12">
        <v>0</v>
      </c>
      <c r="BI32" s="12">
        <v>0</v>
      </c>
      <c r="BJ32" s="12">
        <v>0</v>
      </c>
    </row>
    <row r="33" spans="1:62" x14ac:dyDescent="0.15">
      <c r="A33" s="7" t="s">
        <v>4814</v>
      </c>
      <c r="C33" s="7" t="s">
        <v>4815</v>
      </c>
      <c r="D33" s="8" t="s">
        <v>4881</v>
      </c>
      <c r="E33" s="9" t="s">
        <v>4882</v>
      </c>
      <c r="L33" s="10">
        <v>3658449.031</v>
      </c>
      <c r="M33" s="10">
        <v>747870.00899999996</v>
      </c>
      <c r="N33" s="11">
        <v>15</v>
      </c>
      <c r="O33" s="11" t="s">
        <v>4871</v>
      </c>
      <c r="P33" s="13" t="s">
        <v>8456</v>
      </c>
      <c r="S33" s="9" t="s">
        <v>4881</v>
      </c>
      <c r="T33" s="12" t="s">
        <v>4884</v>
      </c>
      <c r="U33" s="12" t="s">
        <v>5016</v>
      </c>
      <c r="V33" s="12" t="s">
        <v>5017</v>
      </c>
      <c r="W33" s="12">
        <v>0</v>
      </c>
      <c r="X33" s="12">
        <v>0</v>
      </c>
      <c r="Y33" s="12">
        <v>0</v>
      </c>
      <c r="Z33" s="11">
        <v>0</v>
      </c>
      <c r="AA33" s="11">
        <v>0</v>
      </c>
      <c r="AB33" s="11">
        <f>IF(FIND("F",T33),1,0)</f>
        <v>1</v>
      </c>
      <c r="AC33" s="11">
        <f>IF(FIND("E",T33),1,0)</f>
        <v>1</v>
      </c>
      <c r="AD33" s="11">
        <v>0</v>
      </c>
      <c r="AE33" s="11">
        <v>0</v>
      </c>
      <c r="AF33" s="11">
        <v>0</v>
      </c>
      <c r="AG33" s="11">
        <v>0</v>
      </c>
      <c r="AH33" s="9" t="s">
        <v>4878</v>
      </c>
      <c r="AI33" s="11" t="s">
        <v>4878</v>
      </c>
      <c r="AJ33" s="11">
        <v>1</v>
      </c>
      <c r="AK33" s="11">
        <v>1</v>
      </c>
      <c r="AL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9" t="s">
        <v>4878</v>
      </c>
      <c r="AY33" s="11">
        <v>0</v>
      </c>
      <c r="AZ33" s="9"/>
      <c r="BA33" s="12" t="s">
        <v>4877</v>
      </c>
      <c r="BB33" s="12">
        <v>0</v>
      </c>
      <c r="BC33" s="9" t="s">
        <v>4878</v>
      </c>
      <c r="BD33" s="12">
        <v>0</v>
      </c>
      <c r="BE33" s="12">
        <v>0</v>
      </c>
      <c r="BF33" s="12">
        <v>0</v>
      </c>
      <c r="BI33" s="12">
        <v>0</v>
      </c>
      <c r="BJ33" s="12">
        <v>0</v>
      </c>
    </row>
    <row r="34" spans="1:62" x14ac:dyDescent="0.15">
      <c r="A34" s="7" t="s">
        <v>8457</v>
      </c>
      <c r="C34" s="7" t="s">
        <v>8458</v>
      </c>
      <c r="D34" s="8" t="s">
        <v>4881</v>
      </c>
      <c r="E34" s="9" t="s">
        <v>4882</v>
      </c>
      <c r="L34" s="10">
        <v>3658449.031</v>
      </c>
      <c r="M34" s="10">
        <v>747870.00899999996</v>
      </c>
      <c r="N34" s="11">
        <v>15</v>
      </c>
      <c r="O34" s="11" t="s">
        <v>4871</v>
      </c>
      <c r="P34" s="13" t="s">
        <v>8459</v>
      </c>
      <c r="S34" s="9" t="s">
        <v>4881</v>
      </c>
      <c r="T34" s="12" t="s">
        <v>4875</v>
      </c>
      <c r="U34" s="12" t="s">
        <v>5020</v>
      </c>
      <c r="V34" s="12" t="s">
        <v>5021</v>
      </c>
      <c r="W34" s="12">
        <v>0</v>
      </c>
      <c r="X34" s="12">
        <v>0</v>
      </c>
      <c r="Y34" s="12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f>IF(FIND("B",T34),1,0)</f>
        <v>1</v>
      </c>
      <c r="AG34" s="11">
        <f>IF(FIND("A",T34),1,0)</f>
        <v>1</v>
      </c>
      <c r="AH34" s="9">
        <v>4</v>
      </c>
      <c r="AI34" s="11">
        <v>4</v>
      </c>
      <c r="AJ34" s="11">
        <v>1</v>
      </c>
      <c r="AK34" s="11">
        <v>1</v>
      </c>
      <c r="AL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1</v>
      </c>
      <c r="AS34" s="11">
        <v>0</v>
      </c>
      <c r="AT34" s="11">
        <v>1</v>
      </c>
      <c r="AU34" s="11">
        <v>0</v>
      </c>
      <c r="AV34" s="11">
        <v>0</v>
      </c>
      <c r="AW34" s="11">
        <v>0</v>
      </c>
      <c r="AX34" s="9" t="s">
        <v>4878</v>
      </c>
      <c r="AY34" s="11">
        <v>0</v>
      </c>
      <c r="AZ34" s="9"/>
      <c r="BA34" s="12" t="s">
        <v>4877</v>
      </c>
      <c r="BB34" s="12">
        <v>0</v>
      </c>
      <c r="BC34" s="9" t="s">
        <v>4878</v>
      </c>
      <c r="BD34" s="12">
        <v>0</v>
      </c>
      <c r="BE34" s="12">
        <v>0</v>
      </c>
      <c r="BF34" s="12">
        <v>0</v>
      </c>
      <c r="BI34" s="12">
        <v>0</v>
      </c>
      <c r="BJ34" s="12">
        <v>0</v>
      </c>
    </row>
    <row r="35" spans="1:62" x14ac:dyDescent="0.15">
      <c r="A35" s="7" t="s">
        <v>8460</v>
      </c>
      <c r="C35" s="7" t="s">
        <v>8461</v>
      </c>
      <c r="D35" s="8" t="s">
        <v>4881</v>
      </c>
      <c r="E35" s="9" t="s">
        <v>4882</v>
      </c>
      <c r="L35" s="10">
        <v>3675310.966</v>
      </c>
      <c r="M35" s="10">
        <v>741229.03799999994</v>
      </c>
      <c r="N35" s="11">
        <v>15</v>
      </c>
      <c r="O35" s="11" t="s">
        <v>4871</v>
      </c>
      <c r="P35" s="13" t="s">
        <v>8462</v>
      </c>
      <c r="S35" s="9" t="s">
        <v>4881</v>
      </c>
      <c r="T35" s="12" t="s">
        <v>4896</v>
      </c>
      <c r="U35" s="12" t="s">
        <v>4897</v>
      </c>
      <c r="V35" s="12" t="s">
        <v>4898</v>
      </c>
      <c r="W35" s="12">
        <v>0</v>
      </c>
      <c r="X35" s="12">
        <v>0</v>
      </c>
      <c r="Y35" s="12">
        <v>0</v>
      </c>
      <c r="Z35" s="11">
        <f>IF(FIND("H",T35),1,0)</f>
        <v>1</v>
      </c>
      <c r="AA35" s="11">
        <f>IF(FIND("G",T35),1,0)</f>
        <v>1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9">
        <v>1</v>
      </c>
      <c r="AI35" s="11">
        <v>1</v>
      </c>
      <c r="AJ35" s="11">
        <v>1</v>
      </c>
      <c r="AK35" s="11">
        <v>0</v>
      </c>
      <c r="AL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1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9" t="s">
        <v>4878</v>
      </c>
      <c r="AY35" s="11">
        <v>0</v>
      </c>
      <c r="AZ35" s="9"/>
      <c r="BA35" s="12" t="s">
        <v>4877</v>
      </c>
      <c r="BB35" s="12">
        <v>0</v>
      </c>
      <c r="BC35" s="9" t="s">
        <v>4878</v>
      </c>
      <c r="BD35" s="12">
        <v>9</v>
      </c>
      <c r="BE35" s="12">
        <v>0</v>
      </c>
      <c r="BF35" s="12">
        <v>1734.9445429449634</v>
      </c>
      <c r="BI35">
        <f>BD35/BF35</f>
        <v>5.1874856960690196E-3</v>
      </c>
      <c r="BJ35">
        <f>BI35*10000</f>
        <v>51.874856960690195</v>
      </c>
    </row>
    <row r="36" spans="1:62" x14ac:dyDescent="0.15">
      <c r="A36" s="7" t="s">
        <v>8463</v>
      </c>
      <c r="C36" s="7" t="s">
        <v>8464</v>
      </c>
      <c r="D36" s="8" t="s">
        <v>4881</v>
      </c>
      <c r="E36" s="9" t="s">
        <v>4882</v>
      </c>
      <c r="L36" s="10">
        <v>3673080.9890000001</v>
      </c>
      <c r="M36" s="10">
        <v>737163.01800000004</v>
      </c>
      <c r="N36" s="11">
        <v>15</v>
      </c>
      <c r="O36" s="11" t="s">
        <v>4871</v>
      </c>
      <c r="P36" s="13" t="s">
        <v>8465</v>
      </c>
      <c r="S36" s="9" t="s">
        <v>4881</v>
      </c>
      <c r="T36" s="12" t="s">
        <v>4891</v>
      </c>
      <c r="U36" s="12" t="s">
        <v>5017</v>
      </c>
      <c r="V36" s="12" t="s">
        <v>5018</v>
      </c>
      <c r="W36" s="12">
        <v>0</v>
      </c>
      <c r="X36" s="12">
        <v>0</v>
      </c>
      <c r="Y36" s="12">
        <v>0</v>
      </c>
      <c r="Z36" s="11">
        <v>0</v>
      </c>
      <c r="AA36" s="11">
        <v>0</v>
      </c>
      <c r="AB36" s="11">
        <v>0</v>
      </c>
      <c r="AC36" s="11">
        <f>IF(FIND("E",T36),1,0)</f>
        <v>1</v>
      </c>
      <c r="AD36" s="11">
        <f>IF(FIND("D",T36),1,0)</f>
        <v>1</v>
      </c>
      <c r="AE36" s="11">
        <v>0</v>
      </c>
      <c r="AF36" s="11">
        <v>0</v>
      </c>
      <c r="AG36" s="11">
        <v>0</v>
      </c>
      <c r="AH36" s="9">
        <v>0</v>
      </c>
      <c r="AI36" s="11">
        <v>0</v>
      </c>
      <c r="AJ36" s="11">
        <v>0</v>
      </c>
      <c r="AK36" s="11">
        <v>0</v>
      </c>
      <c r="AL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9" t="s">
        <v>4909</v>
      </c>
      <c r="AY36" s="11">
        <v>0</v>
      </c>
      <c r="AZ36" s="9"/>
      <c r="BA36" s="12" t="s">
        <v>4877</v>
      </c>
      <c r="BB36" s="12">
        <v>0</v>
      </c>
      <c r="BC36" s="9" t="s">
        <v>4909</v>
      </c>
      <c r="BD36" s="12">
        <v>0</v>
      </c>
      <c r="BE36" s="12">
        <v>0</v>
      </c>
      <c r="BF36" s="12">
        <v>0</v>
      </c>
      <c r="BI36" s="12">
        <v>0</v>
      </c>
      <c r="BJ36" s="12">
        <v>0</v>
      </c>
    </row>
    <row r="37" spans="1:62" x14ac:dyDescent="0.15">
      <c r="A37" s="7" t="s">
        <v>8466</v>
      </c>
      <c r="C37" s="7" t="s">
        <v>8467</v>
      </c>
      <c r="D37" s="8" t="s">
        <v>4881</v>
      </c>
      <c r="E37" s="9" t="s">
        <v>4882</v>
      </c>
      <c r="L37" s="10">
        <v>3676519.0129999998</v>
      </c>
      <c r="M37" s="10">
        <v>740414.03899999999</v>
      </c>
      <c r="N37" s="11">
        <v>15</v>
      </c>
      <c r="O37" s="11" t="s">
        <v>4871</v>
      </c>
      <c r="P37" s="13" t="s">
        <v>8468</v>
      </c>
      <c r="S37" s="9" t="s">
        <v>4881</v>
      </c>
      <c r="T37" s="12" t="s">
        <v>4902</v>
      </c>
      <c r="U37" s="12" t="s">
        <v>4902</v>
      </c>
      <c r="V37" s="12" t="s">
        <v>4902</v>
      </c>
      <c r="W37" s="12">
        <v>0</v>
      </c>
      <c r="X37" s="12">
        <v>0</v>
      </c>
      <c r="Y37" s="12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9">
        <v>1</v>
      </c>
      <c r="AI37" s="11">
        <v>1</v>
      </c>
      <c r="AJ37" s="11">
        <v>1</v>
      </c>
      <c r="AK37" s="11">
        <v>0</v>
      </c>
      <c r="AL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1</v>
      </c>
      <c r="AU37" s="11">
        <v>0</v>
      </c>
      <c r="AV37" s="11">
        <v>0</v>
      </c>
      <c r="AW37" s="11">
        <v>0</v>
      </c>
      <c r="AX37" s="9" t="s">
        <v>4878</v>
      </c>
      <c r="AY37" s="11">
        <v>0</v>
      </c>
      <c r="AZ37" s="9"/>
      <c r="BA37" s="12" t="s">
        <v>4877</v>
      </c>
      <c r="BB37" s="12">
        <v>0</v>
      </c>
      <c r="BC37" s="9" t="s">
        <v>4878</v>
      </c>
      <c r="BD37" s="12">
        <v>0</v>
      </c>
      <c r="BE37" s="12">
        <v>0</v>
      </c>
      <c r="BF37" s="12">
        <v>0</v>
      </c>
      <c r="BI37" s="12">
        <v>0</v>
      </c>
      <c r="BJ37" s="12">
        <v>0</v>
      </c>
    </row>
    <row r="38" spans="1:62" x14ac:dyDescent="0.15">
      <c r="A38" s="7" t="s">
        <v>8469</v>
      </c>
      <c r="C38" s="7" t="s">
        <v>8470</v>
      </c>
      <c r="D38" s="8" t="s">
        <v>4881</v>
      </c>
      <c r="E38" s="9" t="s">
        <v>4882</v>
      </c>
      <c r="L38" s="10">
        <v>3675117.9939999999</v>
      </c>
      <c r="M38" s="10">
        <v>755620.04599999997</v>
      </c>
      <c r="N38" s="11">
        <v>15</v>
      </c>
      <c r="O38" s="11" t="s">
        <v>4871</v>
      </c>
      <c r="P38" s="13" t="s">
        <v>8471</v>
      </c>
      <c r="S38" s="9" t="s">
        <v>4881</v>
      </c>
      <c r="T38" s="12" t="s">
        <v>4891</v>
      </c>
      <c r="U38" s="12" t="s">
        <v>5017</v>
      </c>
      <c r="V38" s="12" t="s">
        <v>5018</v>
      </c>
      <c r="W38" s="12">
        <v>0</v>
      </c>
      <c r="X38" s="12">
        <v>0</v>
      </c>
      <c r="Y38" s="12">
        <v>0</v>
      </c>
      <c r="Z38" s="11">
        <v>0</v>
      </c>
      <c r="AA38" s="11">
        <v>0</v>
      </c>
      <c r="AB38" s="11">
        <v>0</v>
      </c>
      <c r="AC38" s="11">
        <f>IF(FIND("E",T38),1,0)</f>
        <v>1</v>
      </c>
      <c r="AD38" s="11">
        <f>IF(FIND("D",T38),1,0)</f>
        <v>1</v>
      </c>
      <c r="AE38" s="11">
        <v>0</v>
      </c>
      <c r="AF38" s="11">
        <v>0</v>
      </c>
      <c r="AG38" s="11">
        <v>0</v>
      </c>
      <c r="AH38" s="9" t="s">
        <v>4878</v>
      </c>
      <c r="AI38" s="11" t="s">
        <v>4878</v>
      </c>
      <c r="AJ38" s="11">
        <v>1</v>
      </c>
      <c r="AK38" s="11">
        <v>1</v>
      </c>
      <c r="AL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9" t="s">
        <v>4909</v>
      </c>
      <c r="AY38" s="11">
        <v>0</v>
      </c>
      <c r="AZ38" s="9" t="s">
        <v>4926</v>
      </c>
      <c r="BA38" s="12" t="s">
        <v>4911</v>
      </c>
      <c r="BB38" s="12">
        <v>0</v>
      </c>
      <c r="BC38" s="9" t="s">
        <v>4909</v>
      </c>
      <c r="BD38" s="12">
        <v>0</v>
      </c>
      <c r="BE38" s="12">
        <v>0</v>
      </c>
      <c r="BF38" s="12">
        <v>0</v>
      </c>
      <c r="BI38" s="12">
        <v>0</v>
      </c>
      <c r="BJ38" s="12">
        <v>0</v>
      </c>
    </row>
    <row r="39" spans="1:62" x14ac:dyDescent="0.15">
      <c r="A39" s="7" t="s">
        <v>8472</v>
      </c>
      <c r="C39" s="7" t="s">
        <v>8473</v>
      </c>
      <c r="D39" s="8" t="s">
        <v>4881</v>
      </c>
      <c r="E39" s="9" t="s">
        <v>4882</v>
      </c>
      <c r="L39" s="10">
        <v>3669060.0490000001</v>
      </c>
      <c r="M39" s="10">
        <v>761925.02399999998</v>
      </c>
      <c r="N39" s="11">
        <v>15</v>
      </c>
      <c r="O39" s="11" t="s">
        <v>4871</v>
      </c>
      <c r="P39" s="13" t="s">
        <v>8474</v>
      </c>
      <c r="S39" s="9" t="s">
        <v>4881</v>
      </c>
      <c r="T39" s="12" t="s">
        <v>4887</v>
      </c>
      <c r="U39" s="12" t="s">
        <v>5016</v>
      </c>
      <c r="V39" s="12" t="s">
        <v>5018</v>
      </c>
      <c r="W39" s="12">
        <v>0</v>
      </c>
      <c r="X39" s="12">
        <v>0</v>
      </c>
      <c r="Y39" s="12">
        <v>0</v>
      </c>
      <c r="Z39" s="11">
        <v>0</v>
      </c>
      <c r="AA39" s="11">
        <v>0</v>
      </c>
      <c r="AB39" s="11">
        <f>IF(FIND("F",T39),1,0)</f>
        <v>1</v>
      </c>
      <c r="AC39" s="11">
        <v>1</v>
      </c>
      <c r="AD39" s="11">
        <f>IF(FIND("D",T39),1,0)</f>
        <v>1</v>
      </c>
      <c r="AE39" s="11">
        <v>0</v>
      </c>
      <c r="AF39" s="11">
        <v>0</v>
      </c>
      <c r="AG39" s="11">
        <v>0</v>
      </c>
      <c r="AH39" s="9">
        <v>1</v>
      </c>
      <c r="AI39" s="11">
        <v>1</v>
      </c>
      <c r="AJ39" s="11">
        <v>1</v>
      </c>
      <c r="AK39" s="11">
        <v>0</v>
      </c>
      <c r="AL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1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9" t="s">
        <v>4909</v>
      </c>
      <c r="AY39" s="11">
        <v>0</v>
      </c>
      <c r="AZ39" s="9"/>
      <c r="BA39" s="12" t="s">
        <v>4877</v>
      </c>
      <c r="BB39" s="12">
        <v>0</v>
      </c>
      <c r="BC39" s="9" t="s">
        <v>4878</v>
      </c>
      <c r="BD39" s="12">
        <v>0</v>
      </c>
      <c r="BE39" s="12">
        <v>0</v>
      </c>
      <c r="BF39" s="12">
        <v>0</v>
      </c>
      <c r="BI39" s="12">
        <v>0</v>
      </c>
      <c r="BJ39" s="12">
        <v>0</v>
      </c>
    </row>
    <row r="40" spans="1:62" x14ac:dyDescent="0.15">
      <c r="A40" s="7" t="s">
        <v>8475</v>
      </c>
      <c r="C40" s="7" t="s">
        <v>8476</v>
      </c>
      <c r="D40" s="8" t="s">
        <v>4881</v>
      </c>
      <c r="E40" s="9" t="s">
        <v>4882</v>
      </c>
      <c r="L40" s="10">
        <v>3667852.96</v>
      </c>
      <c r="M40" s="10">
        <v>766589.96400000004</v>
      </c>
      <c r="N40" s="11">
        <v>15</v>
      </c>
      <c r="O40" s="11" t="s">
        <v>4871</v>
      </c>
      <c r="P40" s="13" t="s">
        <v>8477</v>
      </c>
      <c r="S40" s="9" t="s">
        <v>4881</v>
      </c>
      <c r="T40" s="12" t="s">
        <v>4902</v>
      </c>
      <c r="U40" s="12" t="s">
        <v>4902</v>
      </c>
      <c r="V40" s="12" t="s">
        <v>4902</v>
      </c>
      <c r="W40" s="12">
        <v>0</v>
      </c>
      <c r="X40" s="12">
        <v>0</v>
      </c>
      <c r="Y40" s="12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9">
        <v>1</v>
      </c>
      <c r="AI40" s="11">
        <v>1</v>
      </c>
      <c r="AJ40" s="11">
        <v>1</v>
      </c>
      <c r="AK40" s="11">
        <v>0</v>
      </c>
      <c r="AL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1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9" t="s">
        <v>4878</v>
      </c>
      <c r="AY40" s="11">
        <v>0</v>
      </c>
      <c r="AZ40" s="9"/>
      <c r="BA40" s="12" t="s">
        <v>4877</v>
      </c>
      <c r="BB40" s="12">
        <v>0</v>
      </c>
      <c r="BC40" s="9" t="s">
        <v>4878</v>
      </c>
      <c r="BD40" s="12">
        <v>9.8425196850393704</v>
      </c>
      <c r="BE40" s="12">
        <v>0</v>
      </c>
      <c r="BF40" s="12">
        <v>1902.1399812581576</v>
      </c>
      <c r="BI40">
        <f>BD40/BF40</f>
        <v>5.1744455098037016E-3</v>
      </c>
      <c r="BJ40">
        <f>BI40*10000</f>
        <v>51.744455098037015</v>
      </c>
    </row>
    <row r="41" spans="1:62" x14ac:dyDescent="0.15">
      <c r="A41" s="7" t="s">
        <v>8478</v>
      </c>
      <c r="C41" s="7" t="s">
        <v>8479</v>
      </c>
      <c r="D41" s="8" t="s">
        <v>4881</v>
      </c>
      <c r="E41" s="9" t="s">
        <v>4882</v>
      </c>
      <c r="L41" s="10">
        <v>3667702.986</v>
      </c>
      <c r="M41" s="10">
        <v>763781.97400000005</v>
      </c>
      <c r="N41" s="11">
        <v>15</v>
      </c>
      <c r="O41" s="11" t="s">
        <v>4871</v>
      </c>
      <c r="P41" s="13" t="s">
        <v>8480</v>
      </c>
      <c r="S41" s="9" t="s">
        <v>4881</v>
      </c>
      <c r="T41" s="12" t="s">
        <v>4902</v>
      </c>
      <c r="U41" s="12" t="s">
        <v>4902</v>
      </c>
      <c r="V41" s="12" t="s">
        <v>4902</v>
      </c>
      <c r="W41" s="12">
        <v>0</v>
      </c>
      <c r="X41" s="12">
        <v>0</v>
      </c>
      <c r="Y41" s="12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9">
        <v>0</v>
      </c>
      <c r="AI41" s="11">
        <v>0</v>
      </c>
      <c r="AJ41" s="11">
        <v>0</v>
      </c>
      <c r="AK41" s="11">
        <v>0</v>
      </c>
      <c r="AL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9" t="s">
        <v>4878</v>
      </c>
      <c r="AY41" s="11">
        <v>0</v>
      </c>
      <c r="AZ41" s="9"/>
      <c r="BA41" s="12" t="s">
        <v>4877</v>
      </c>
      <c r="BB41" s="12">
        <v>0</v>
      </c>
      <c r="BC41" s="9" t="s">
        <v>4878</v>
      </c>
      <c r="BD41" s="12">
        <v>0</v>
      </c>
      <c r="BE41" s="12">
        <v>0</v>
      </c>
      <c r="BF41" s="12">
        <v>0</v>
      </c>
      <c r="BI41" s="12">
        <v>0</v>
      </c>
      <c r="BJ41" s="12">
        <v>0</v>
      </c>
    </row>
    <row r="42" spans="1:62" x14ac:dyDescent="0.15">
      <c r="A42" s="7" t="s">
        <v>8481</v>
      </c>
      <c r="C42" s="7" t="s">
        <v>8482</v>
      </c>
      <c r="D42" s="8" t="s">
        <v>4881</v>
      </c>
      <c r="E42" s="9" t="s">
        <v>4882</v>
      </c>
      <c r="L42" s="10">
        <v>3640487.9780000001</v>
      </c>
      <c r="M42" s="10">
        <v>681976.00199999998</v>
      </c>
      <c r="N42" s="11">
        <v>15</v>
      </c>
      <c r="O42" s="11" t="s">
        <v>4871</v>
      </c>
      <c r="P42" s="13" t="s">
        <v>8483</v>
      </c>
      <c r="S42" s="9" t="s">
        <v>4881</v>
      </c>
      <c r="T42" s="12" t="s">
        <v>8484</v>
      </c>
      <c r="U42" s="12" t="s">
        <v>5019</v>
      </c>
      <c r="V42" s="12" t="s">
        <v>5020</v>
      </c>
      <c r="W42" s="12">
        <v>0</v>
      </c>
      <c r="X42" s="12">
        <v>0</v>
      </c>
      <c r="Y42" s="12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f>IF(FIND("C",T42),1,0)</f>
        <v>1</v>
      </c>
      <c r="AF42" s="11">
        <f>IF(FIND("B",T42),1,0)</f>
        <v>1</v>
      </c>
      <c r="AG42" s="11">
        <v>0</v>
      </c>
      <c r="AH42" s="9">
        <v>11</v>
      </c>
      <c r="AI42" s="11">
        <v>11</v>
      </c>
      <c r="AJ42" s="11">
        <v>1</v>
      </c>
      <c r="AK42" s="11">
        <v>1</v>
      </c>
      <c r="AL42" s="11">
        <v>1</v>
      </c>
      <c r="AN42" s="11">
        <v>1</v>
      </c>
      <c r="AO42" s="11">
        <v>0</v>
      </c>
      <c r="AP42" s="11">
        <v>1</v>
      </c>
      <c r="AQ42" s="11">
        <v>0</v>
      </c>
      <c r="AR42" s="11">
        <v>1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9" t="s">
        <v>4878</v>
      </c>
      <c r="AY42" s="11">
        <v>0</v>
      </c>
      <c r="AZ42" s="9"/>
      <c r="BA42" s="12" t="s">
        <v>4877</v>
      </c>
      <c r="BB42" s="12">
        <v>0</v>
      </c>
      <c r="BC42" s="9" t="s">
        <v>4878</v>
      </c>
      <c r="BD42" s="12">
        <v>32.808398950131235</v>
      </c>
      <c r="BE42" s="12">
        <v>0</v>
      </c>
      <c r="BF42" s="12">
        <v>0</v>
      </c>
      <c r="BI42" s="12">
        <v>0</v>
      </c>
      <c r="BJ42" s="12">
        <v>0</v>
      </c>
    </row>
    <row r="43" spans="1:62" x14ac:dyDescent="0.15">
      <c r="A43" s="7" t="s">
        <v>8485</v>
      </c>
      <c r="C43" s="7" t="s">
        <v>8486</v>
      </c>
      <c r="D43" s="8" t="s">
        <v>4881</v>
      </c>
      <c r="E43" s="9" t="s">
        <v>4882</v>
      </c>
      <c r="L43" s="10">
        <v>3641747.986</v>
      </c>
      <c r="M43" s="10">
        <v>698323.96799999999</v>
      </c>
      <c r="N43" s="11">
        <v>15</v>
      </c>
      <c r="O43" s="11" t="s">
        <v>4871</v>
      </c>
      <c r="P43" s="13" t="s">
        <v>8487</v>
      </c>
      <c r="S43" s="9" t="s">
        <v>4881</v>
      </c>
      <c r="T43" s="12" t="s">
        <v>4875</v>
      </c>
      <c r="U43" s="12" t="s">
        <v>5020</v>
      </c>
      <c r="V43" s="12" t="s">
        <v>5021</v>
      </c>
      <c r="W43" s="12">
        <v>0</v>
      </c>
      <c r="X43" s="12">
        <v>0</v>
      </c>
      <c r="Y43" s="12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f>IF(FIND("B",T43),1,0)</f>
        <v>1</v>
      </c>
      <c r="AG43" s="11">
        <f>IF(FIND("A",T43),1,0)</f>
        <v>1</v>
      </c>
      <c r="AH43" s="9">
        <v>3</v>
      </c>
      <c r="AI43" s="11">
        <v>3</v>
      </c>
      <c r="AJ43" s="11">
        <v>1</v>
      </c>
      <c r="AK43" s="11">
        <v>1</v>
      </c>
      <c r="AL43" s="11">
        <v>1</v>
      </c>
      <c r="AN43" s="11">
        <v>1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9" t="s">
        <v>4878</v>
      </c>
      <c r="AY43" s="11">
        <v>0</v>
      </c>
      <c r="AZ43" s="9"/>
      <c r="BA43" s="12" t="s">
        <v>4877</v>
      </c>
      <c r="BB43" s="12">
        <v>0</v>
      </c>
      <c r="BC43" s="9" t="s">
        <v>4878</v>
      </c>
      <c r="BD43" s="12">
        <v>38</v>
      </c>
      <c r="BE43" s="12">
        <v>0</v>
      </c>
      <c r="BF43" s="12">
        <v>8075</v>
      </c>
      <c r="BI43">
        <f>BD43/BF43</f>
        <v>4.7058823529411761E-3</v>
      </c>
      <c r="BJ43">
        <f>BI43*10000</f>
        <v>47.058823529411761</v>
      </c>
    </row>
    <row r="44" spans="1:62" x14ac:dyDescent="0.15">
      <c r="A44" s="7" t="s">
        <v>8488</v>
      </c>
      <c r="C44" s="7" t="s">
        <v>8489</v>
      </c>
      <c r="D44" s="8" t="s">
        <v>4881</v>
      </c>
      <c r="E44" s="9" t="s">
        <v>4882</v>
      </c>
      <c r="L44" s="10">
        <v>3641747.986</v>
      </c>
      <c r="M44" s="10">
        <v>698323.96799999999</v>
      </c>
      <c r="N44" s="11">
        <v>15</v>
      </c>
      <c r="O44" s="11" t="s">
        <v>4871</v>
      </c>
      <c r="P44" s="13" t="s">
        <v>8490</v>
      </c>
      <c r="S44" s="9" t="s">
        <v>4881</v>
      </c>
      <c r="T44" s="12" t="s">
        <v>4902</v>
      </c>
      <c r="U44" s="12" t="s">
        <v>4902</v>
      </c>
      <c r="V44" s="12" t="s">
        <v>4902</v>
      </c>
      <c r="W44" s="12">
        <v>0</v>
      </c>
      <c r="X44" s="12">
        <v>0</v>
      </c>
      <c r="Y44" s="12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9">
        <v>1</v>
      </c>
      <c r="AI44" s="11">
        <v>1</v>
      </c>
      <c r="AJ44" s="11">
        <v>1</v>
      </c>
      <c r="AK44" s="11">
        <v>0</v>
      </c>
      <c r="AL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1</v>
      </c>
      <c r="AU44" s="11">
        <v>0</v>
      </c>
      <c r="AV44" s="11">
        <v>0</v>
      </c>
      <c r="AW44" s="11">
        <v>0</v>
      </c>
      <c r="AX44" s="9" t="s">
        <v>4878</v>
      </c>
      <c r="AY44" s="11">
        <v>0</v>
      </c>
      <c r="AZ44" s="9"/>
      <c r="BA44" s="12" t="s">
        <v>4877</v>
      </c>
      <c r="BB44" s="12">
        <v>0</v>
      </c>
      <c r="BC44" s="9" t="s">
        <v>4878</v>
      </c>
      <c r="BD44" s="12">
        <v>4</v>
      </c>
      <c r="BE44" s="12">
        <v>0</v>
      </c>
      <c r="BF44" s="12">
        <v>0</v>
      </c>
      <c r="BI44" s="12">
        <v>0</v>
      </c>
      <c r="BJ44" s="12">
        <v>0</v>
      </c>
    </row>
    <row r="45" spans="1:62" x14ac:dyDescent="0.15">
      <c r="A45" s="7" t="s">
        <v>8491</v>
      </c>
      <c r="C45" s="7" t="s">
        <v>8492</v>
      </c>
      <c r="D45" s="8" t="s">
        <v>4881</v>
      </c>
      <c r="E45" s="9" t="s">
        <v>4882</v>
      </c>
      <c r="L45" s="10">
        <v>3644747.9610000001</v>
      </c>
      <c r="M45" s="10">
        <v>697891.99800000002</v>
      </c>
      <c r="N45" s="11">
        <v>15</v>
      </c>
      <c r="O45" s="11" t="s">
        <v>4871</v>
      </c>
      <c r="P45" s="13" t="s">
        <v>8493</v>
      </c>
      <c r="S45" s="9" t="s">
        <v>4881</v>
      </c>
      <c r="T45" s="12" t="s">
        <v>4902</v>
      </c>
      <c r="U45" s="12" t="s">
        <v>4902</v>
      </c>
      <c r="V45" s="12" t="s">
        <v>4902</v>
      </c>
      <c r="W45" s="12">
        <v>0</v>
      </c>
      <c r="X45" s="12">
        <v>0</v>
      </c>
      <c r="Y45" s="12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9" t="s">
        <v>4909</v>
      </c>
      <c r="AI45" s="11" t="s">
        <v>4909</v>
      </c>
      <c r="AJ45" s="11">
        <v>1</v>
      </c>
      <c r="AK45" s="11">
        <v>1</v>
      </c>
      <c r="AL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1</v>
      </c>
      <c r="AU45" s="11">
        <v>0</v>
      </c>
      <c r="AV45" s="11">
        <v>0</v>
      </c>
      <c r="AW45" s="11">
        <v>0</v>
      </c>
      <c r="AX45" s="9" t="s">
        <v>4878</v>
      </c>
      <c r="AY45" s="11">
        <v>0</v>
      </c>
      <c r="AZ45" s="9"/>
      <c r="BA45" s="12" t="s">
        <v>4877</v>
      </c>
      <c r="BB45" s="12">
        <v>0</v>
      </c>
      <c r="BC45" s="9" t="s">
        <v>4878</v>
      </c>
      <c r="BD45" s="12">
        <v>0</v>
      </c>
      <c r="BE45" s="12">
        <v>0</v>
      </c>
      <c r="BF45" s="12">
        <v>0</v>
      </c>
      <c r="BI45" s="12">
        <v>0</v>
      </c>
      <c r="BJ45" s="12">
        <v>0</v>
      </c>
    </row>
    <row r="46" spans="1:62" x14ac:dyDescent="0.15">
      <c r="A46" s="7" t="s">
        <v>8494</v>
      </c>
      <c r="C46" s="7" t="s">
        <v>8495</v>
      </c>
      <c r="D46" s="8" t="s">
        <v>4881</v>
      </c>
      <c r="E46" s="9" t="s">
        <v>4882</v>
      </c>
      <c r="L46" s="10">
        <v>3647088.0529999998</v>
      </c>
      <c r="M46" s="10">
        <v>699104.02</v>
      </c>
      <c r="N46" s="11">
        <v>15</v>
      </c>
      <c r="O46" s="11" t="s">
        <v>4871</v>
      </c>
      <c r="P46" s="13" t="s">
        <v>8496</v>
      </c>
      <c r="S46" s="9" t="s">
        <v>4881</v>
      </c>
      <c r="T46" s="12" t="s">
        <v>4902</v>
      </c>
      <c r="U46" s="12" t="s">
        <v>4902</v>
      </c>
      <c r="V46" s="12" t="s">
        <v>4902</v>
      </c>
      <c r="W46" s="12">
        <v>0</v>
      </c>
      <c r="X46" s="12">
        <v>0</v>
      </c>
      <c r="Y46" s="12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9">
        <v>3</v>
      </c>
      <c r="AI46" s="11">
        <v>3</v>
      </c>
      <c r="AJ46" s="11">
        <v>1</v>
      </c>
      <c r="AK46" s="11">
        <v>1</v>
      </c>
      <c r="AL46" s="11">
        <v>1</v>
      </c>
      <c r="AN46" s="11">
        <v>0</v>
      </c>
      <c r="AO46" s="11">
        <v>0</v>
      </c>
      <c r="AP46" s="11">
        <v>0</v>
      </c>
      <c r="AQ46" s="11">
        <v>1</v>
      </c>
      <c r="AR46" s="11">
        <v>0</v>
      </c>
      <c r="AS46" s="11">
        <v>0</v>
      </c>
      <c r="AT46" s="11">
        <v>1</v>
      </c>
      <c r="AU46" s="11">
        <v>0</v>
      </c>
      <c r="AV46" s="11">
        <v>0</v>
      </c>
      <c r="AW46" s="11">
        <v>0</v>
      </c>
      <c r="AX46" s="9" t="s">
        <v>4878</v>
      </c>
      <c r="AY46" s="11">
        <v>0</v>
      </c>
      <c r="AZ46" s="9"/>
      <c r="BA46" s="12" t="s">
        <v>4877</v>
      </c>
      <c r="BB46" s="12">
        <v>0</v>
      </c>
      <c r="BC46" s="9" t="s">
        <v>4878</v>
      </c>
      <c r="BD46" s="12">
        <v>25</v>
      </c>
      <c r="BE46" s="12">
        <v>0</v>
      </c>
      <c r="BF46" s="12">
        <v>56700</v>
      </c>
      <c r="BI46">
        <f>BD46/BF46</f>
        <v>4.4091710758377423E-4</v>
      </c>
      <c r="BJ46">
        <f>BI46*10000</f>
        <v>4.409171075837742</v>
      </c>
    </row>
    <row r="47" spans="1:62" x14ac:dyDescent="0.15">
      <c r="A47" s="7" t="s">
        <v>8497</v>
      </c>
      <c r="C47" s="7" t="s">
        <v>8498</v>
      </c>
      <c r="D47" s="8" t="s">
        <v>4881</v>
      </c>
      <c r="E47" s="9" t="s">
        <v>4882</v>
      </c>
      <c r="L47" s="10">
        <v>3650240.003</v>
      </c>
      <c r="M47" s="10">
        <v>701740.00100000005</v>
      </c>
      <c r="N47" s="11">
        <v>15</v>
      </c>
      <c r="O47" s="11" t="s">
        <v>4871</v>
      </c>
      <c r="P47" s="13" t="s">
        <v>8330</v>
      </c>
      <c r="S47" s="9" t="s">
        <v>4881</v>
      </c>
      <c r="T47" s="12" t="s">
        <v>4902</v>
      </c>
      <c r="U47" s="12" t="s">
        <v>4902</v>
      </c>
      <c r="V47" s="12" t="s">
        <v>4902</v>
      </c>
      <c r="W47" s="12">
        <v>0</v>
      </c>
      <c r="X47" s="12">
        <v>0</v>
      </c>
      <c r="Y47" s="12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9">
        <v>1</v>
      </c>
      <c r="AI47" s="11">
        <v>1</v>
      </c>
      <c r="AJ47" s="11">
        <v>1</v>
      </c>
      <c r="AK47" s="11">
        <v>0</v>
      </c>
      <c r="AL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1</v>
      </c>
      <c r="AU47" s="11">
        <v>0</v>
      </c>
      <c r="AV47" s="11">
        <v>0</v>
      </c>
      <c r="AW47" s="11">
        <v>0</v>
      </c>
      <c r="AX47" s="9" t="s">
        <v>4878</v>
      </c>
      <c r="AY47" s="11">
        <v>0</v>
      </c>
      <c r="AZ47" s="9"/>
      <c r="BA47" s="12" t="s">
        <v>4877</v>
      </c>
      <c r="BB47" s="12">
        <v>0</v>
      </c>
      <c r="BC47" s="9" t="s">
        <v>4878</v>
      </c>
      <c r="BD47" s="12">
        <v>18</v>
      </c>
      <c r="BE47" s="12">
        <v>0</v>
      </c>
      <c r="BF47" s="12">
        <v>18334.649444186347</v>
      </c>
      <c r="BI47">
        <f>BD47/BF47</f>
        <v>9.8174770424681022E-4</v>
      </c>
      <c r="BJ47">
        <f>BI47*10000</f>
        <v>9.8174770424681022</v>
      </c>
    </row>
    <row r="48" spans="1:62" x14ac:dyDescent="0.15">
      <c r="A48" s="7" t="s">
        <v>8331</v>
      </c>
      <c r="C48" s="7" t="s">
        <v>8332</v>
      </c>
      <c r="D48" s="8" t="s">
        <v>4881</v>
      </c>
      <c r="E48" s="9" t="s">
        <v>4882</v>
      </c>
      <c r="L48" s="10">
        <v>3633951.9870000002</v>
      </c>
      <c r="M48" s="10">
        <v>709320.04200000002</v>
      </c>
      <c r="N48" s="11">
        <v>15</v>
      </c>
      <c r="O48" s="11" t="s">
        <v>4871</v>
      </c>
      <c r="P48" s="13" t="s">
        <v>8333</v>
      </c>
      <c r="S48" s="9" t="s">
        <v>4881</v>
      </c>
      <c r="T48" s="12" t="s">
        <v>4884</v>
      </c>
      <c r="U48" s="12" t="s">
        <v>5016</v>
      </c>
      <c r="V48" s="12" t="s">
        <v>5017</v>
      </c>
      <c r="W48" s="12">
        <v>0</v>
      </c>
      <c r="X48" s="12">
        <v>0</v>
      </c>
      <c r="Y48" s="12">
        <v>0</v>
      </c>
      <c r="Z48" s="11">
        <v>0</v>
      </c>
      <c r="AA48" s="11">
        <v>0</v>
      </c>
      <c r="AB48" s="11">
        <f>IF(FIND("F",T48),1,0)</f>
        <v>1</v>
      </c>
      <c r="AC48" s="11">
        <f>IF(FIND("E",T48),1,0)</f>
        <v>1</v>
      </c>
      <c r="AD48" s="11">
        <v>0</v>
      </c>
      <c r="AE48" s="11">
        <v>0</v>
      </c>
      <c r="AF48" s="11">
        <v>0</v>
      </c>
      <c r="AG48" s="11">
        <v>0</v>
      </c>
      <c r="AH48" s="9">
        <v>2</v>
      </c>
      <c r="AI48" s="11">
        <v>2</v>
      </c>
      <c r="AJ48" s="11">
        <v>1</v>
      </c>
      <c r="AK48" s="11">
        <v>1</v>
      </c>
      <c r="AL48" s="11">
        <v>1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1</v>
      </c>
      <c r="AW48" s="11">
        <v>0</v>
      </c>
      <c r="AX48" s="9" t="s">
        <v>4878</v>
      </c>
      <c r="AY48" s="11">
        <v>0</v>
      </c>
      <c r="AZ48" s="9" t="s">
        <v>4910</v>
      </c>
      <c r="BA48" s="12" t="s">
        <v>4911</v>
      </c>
      <c r="BB48" s="12">
        <v>0</v>
      </c>
      <c r="BC48" s="9" t="s">
        <v>4878</v>
      </c>
      <c r="BD48" s="12">
        <v>9.8425196850393704</v>
      </c>
      <c r="BE48" s="12">
        <v>0</v>
      </c>
      <c r="BF48" s="12">
        <v>8072.9328125322918</v>
      </c>
      <c r="BI48">
        <f>BD48/BF48</f>
        <v>1.2191999999999999E-3</v>
      </c>
      <c r="BJ48">
        <f>BI48*10000</f>
        <v>12.191999999999998</v>
      </c>
    </row>
    <row r="49" spans="1:62" x14ac:dyDescent="0.15">
      <c r="A49" s="7" t="s">
        <v>8334</v>
      </c>
      <c r="C49" s="7" t="s">
        <v>8335</v>
      </c>
      <c r="D49" s="8" t="s">
        <v>4881</v>
      </c>
      <c r="E49" s="9" t="s">
        <v>4882</v>
      </c>
      <c r="L49" s="10">
        <v>3631480.02</v>
      </c>
      <c r="M49" s="10">
        <v>693687.98699999996</v>
      </c>
      <c r="N49" s="11">
        <v>15</v>
      </c>
      <c r="O49" s="11" t="s">
        <v>4871</v>
      </c>
      <c r="P49" s="13" t="s">
        <v>8336</v>
      </c>
      <c r="S49" s="9" t="s">
        <v>4881</v>
      </c>
      <c r="T49" s="12" t="s">
        <v>4902</v>
      </c>
      <c r="U49" s="12" t="s">
        <v>4902</v>
      </c>
      <c r="V49" s="12" t="s">
        <v>4902</v>
      </c>
      <c r="W49" s="12">
        <v>0</v>
      </c>
      <c r="X49" s="12">
        <v>0</v>
      </c>
      <c r="Y49" s="12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9">
        <v>4</v>
      </c>
      <c r="AI49" s="11">
        <v>4</v>
      </c>
      <c r="AJ49" s="11">
        <v>1</v>
      </c>
      <c r="AK49" s="11">
        <v>1</v>
      </c>
      <c r="AL49" s="11">
        <v>1</v>
      </c>
      <c r="AN49" s="11">
        <v>1</v>
      </c>
      <c r="AO49" s="11">
        <v>0</v>
      </c>
      <c r="AP49" s="11">
        <v>0</v>
      </c>
      <c r="AQ49" s="11">
        <v>0</v>
      </c>
      <c r="AR49" s="11">
        <v>1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9" t="s">
        <v>4878</v>
      </c>
      <c r="AY49" s="11">
        <v>0</v>
      </c>
      <c r="AZ49" s="9"/>
      <c r="BA49" s="12" t="s">
        <v>4877</v>
      </c>
      <c r="BB49" s="9" t="s">
        <v>4909</v>
      </c>
      <c r="BC49" s="9" t="s">
        <v>4878</v>
      </c>
      <c r="BD49" s="12">
        <v>22</v>
      </c>
      <c r="BE49" s="12">
        <v>0</v>
      </c>
      <c r="BF49" s="12">
        <v>5920</v>
      </c>
      <c r="BI49">
        <f>BD49/BF49</f>
        <v>3.7162162162162164E-3</v>
      </c>
      <c r="BJ49">
        <f>BI49*10000</f>
        <v>37.162162162162161</v>
      </c>
    </row>
    <row r="50" spans="1:62" x14ac:dyDescent="0.15">
      <c r="A50" s="7" t="s">
        <v>8337</v>
      </c>
      <c r="C50" s="7" t="s">
        <v>8338</v>
      </c>
      <c r="D50" s="8" t="s">
        <v>4881</v>
      </c>
      <c r="E50" s="9" t="s">
        <v>4882</v>
      </c>
      <c r="L50" s="10">
        <v>3631480.02</v>
      </c>
      <c r="M50" s="10">
        <v>693687.98699999996</v>
      </c>
      <c r="N50" s="11">
        <v>15</v>
      </c>
      <c r="O50" s="11" t="s">
        <v>4871</v>
      </c>
      <c r="P50" s="13" t="s">
        <v>8490</v>
      </c>
      <c r="S50" s="9" t="s">
        <v>4881</v>
      </c>
      <c r="T50" s="12" t="s">
        <v>4902</v>
      </c>
      <c r="U50" s="12" t="s">
        <v>4902</v>
      </c>
      <c r="V50" s="12" t="s">
        <v>4902</v>
      </c>
      <c r="W50" s="12">
        <v>0</v>
      </c>
      <c r="X50" s="12">
        <v>0</v>
      </c>
      <c r="Y50" s="12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9">
        <v>1</v>
      </c>
      <c r="AI50" s="11">
        <v>1</v>
      </c>
      <c r="AJ50" s="11">
        <v>1</v>
      </c>
      <c r="AK50" s="11">
        <v>0</v>
      </c>
      <c r="AL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1</v>
      </c>
      <c r="AU50" s="11">
        <v>0</v>
      </c>
      <c r="AV50" s="11">
        <v>0</v>
      </c>
      <c r="AW50" s="11">
        <v>0</v>
      </c>
      <c r="AX50" s="9" t="s">
        <v>4878</v>
      </c>
      <c r="AY50" s="11">
        <v>0</v>
      </c>
      <c r="AZ50" s="9"/>
      <c r="BA50" s="12" t="s">
        <v>4877</v>
      </c>
      <c r="BB50" s="12">
        <v>0</v>
      </c>
      <c r="BC50" s="9" t="s">
        <v>4878</v>
      </c>
      <c r="BD50" s="12">
        <v>2</v>
      </c>
      <c r="BE50" s="12">
        <v>0</v>
      </c>
      <c r="BF50" s="12">
        <v>0</v>
      </c>
      <c r="BI50" s="12">
        <v>0</v>
      </c>
      <c r="BJ50" s="12">
        <v>0</v>
      </c>
    </row>
    <row r="51" spans="1:62" x14ac:dyDescent="0.15">
      <c r="A51" s="7" t="s">
        <v>8339</v>
      </c>
      <c r="C51" s="7" t="s">
        <v>8340</v>
      </c>
      <c r="D51" s="8" t="s">
        <v>4881</v>
      </c>
      <c r="E51" s="9" t="s">
        <v>4882</v>
      </c>
      <c r="L51" s="10">
        <v>3651876.9810000001</v>
      </c>
      <c r="M51" s="10">
        <v>689584.97400000005</v>
      </c>
      <c r="N51" s="11">
        <v>15</v>
      </c>
      <c r="O51" s="11" t="s">
        <v>4871</v>
      </c>
      <c r="P51" s="13" t="s">
        <v>8341</v>
      </c>
      <c r="S51" s="9" t="s">
        <v>4881</v>
      </c>
      <c r="T51" s="12" t="s">
        <v>8342</v>
      </c>
      <c r="U51" s="12" t="s">
        <v>5019</v>
      </c>
      <c r="V51" s="12" t="s">
        <v>5021</v>
      </c>
      <c r="W51" s="12">
        <v>0</v>
      </c>
      <c r="X51" s="12">
        <v>0</v>
      </c>
      <c r="Y51" s="12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f>IF(FIND("C",T51),1,0)</f>
        <v>1</v>
      </c>
      <c r="AF51" s="11">
        <v>1</v>
      </c>
      <c r="AG51" s="11">
        <f>IF(FIND("A",T51),1,0)</f>
        <v>1</v>
      </c>
      <c r="AH51" s="9">
        <v>4</v>
      </c>
      <c r="AI51" s="11">
        <v>4</v>
      </c>
      <c r="AJ51" s="11">
        <v>1</v>
      </c>
      <c r="AK51" s="11">
        <v>1</v>
      </c>
      <c r="AL51" s="11">
        <v>1</v>
      </c>
      <c r="AN51" s="11">
        <v>1</v>
      </c>
      <c r="AO51" s="11">
        <v>0</v>
      </c>
      <c r="AP51" s="11">
        <v>1</v>
      </c>
      <c r="AQ51" s="11">
        <v>0</v>
      </c>
      <c r="AR51" s="11">
        <v>0</v>
      </c>
      <c r="AS51" s="11">
        <v>0</v>
      </c>
      <c r="AT51" s="11">
        <v>1</v>
      </c>
      <c r="AU51" s="11">
        <v>0</v>
      </c>
      <c r="AV51" s="11">
        <v>0</v>
      </c>
      <c r="AW51" s="11">
        <v>0</v>
      </c>
      <c r="AX51" s="9" t="s">
        <v>4878</v>
      </c>
      <c r="AY51" s="11">
        <v>0</v>
      </c>
      <c r="AZ51" s="9"/>
      <c r="BA51" s="12" t="s">
        <v>4877</v>
      </c>
      <c r="BB51" s="12">
        <v>0</v>
      </c>
      <c r="BC51" s="9" t="s">
        <v>4878</v>
      </c>
      <c r="BD51" s="12">
        <v>39.370078740157481</v>
      </c>
      <c r="BE51" s="12">
        <v>0</v>
      </c>
      <c r="BF51" s="12">
        <v>30434.239700130522</v>
      </c>
      <c r="BI51">
        <f>BD51/BF51</f>
        <v>1.2936113774509254E-3</v>
      </c>
      <c r="BJ51">
        <f>BI51*10000</f>
        <v>12.936113774509254</v>
      </c>
    </row>
    <row r="52" spans="1:62" x14ac:dyDescent="0.15">
      <c r="A52" s="7" t="s">
        <v>8343</v>
      </c>
      <c r="C52" s="7" t="s">
        <v>8344</v>
      </c>
      <c r="D52" s="8" t="s">
        <v>4881</v>
      </c>
      <c r="E52" s="9" t="s">
        <v>4882</v>
      </c>
      <c r="L52" s="10">
        <v>3651876.9810000001</v>
      </c>
      <c r="M52" s="10">
        <v>689584.97400000005</v>
      </c>
      <c r="N52" s="11">
        <v>15</v>
      </c>
      <c r="O52" s="11" t="s">
        <v>4871</v>
      </c>
      <c r="P52" s="13" t="s">
        <v>8345</v>
      </c>
      <c r="S52" s="9" t="s">
        <v>4881</v>
      </c>
      <c r="T52" s="12" t="s">
        <v>4902</v>
      </c>
      <c r="U52" s="12" t="s">
        <v>4902</v>
      </c>
      <c r="V52" s="12" t="s">
        <v>4902</v>
      </c>
      <c r="W52" s="12">
        <v>0</v>
      </c>
      <c r="X52" s="12">
        <v>0</v>
      </c>
      <c r="Y52" s="12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9">
        <v>1</v>
      </c>
      <c r="AI52" s="11">
        <v>1</v>
      </c>
      <c r="AJ52" s="11">
        <v>1</v>
      </c>
      <c r="AK52" s="11">
        <v>0</v>
      </c>
      <c r="AL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1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9" t="s">
        <v>4878</v>
      </c>
      <c r="AY52" s="11">
        <v>0</v>
      </c>
      <c r="AZ52" s="9"/>
      <c r="BA52" s="12" t="s">
        <v>4877</v>
      </c>
      <c r="BB52" s="12">
        <v>0</v>
      </c>
      <c r="BC52" s="9" t="s">
        <v>4878</v>
      </c>
      <c r="BD52" s="12">
        <v>4.9212598425196852</v>
      </c>
      <c r="BE52" s="12">
        <v>0</v>
      </c>
      <c r="BF52" s="12">
        <v>21134.888680646192</v>
      </c>
      <c r="BI52">
        <f>BD52/BF52</f>
        <v>2.328500479411666E-4</v>
      </c>
      <c r="BJ52">
        <f>BI52*10000</f>
        <v>2.3285004794116659</v>
      </c>
    </row>
    <row r="53" spans="1:62" x14ac:dyDescent="0.15">
      <c r="A53" s="7" t="s">
        <v>8346</v>
      </c>
      <c r="C53" s="7" t="s">
        <v>8347</v>
      </c>
      <c r="D53" s="8" t="s">
        <v>4881</v>
      </c>
      <c r="E53" s="9" t="s">
        <v>4882</v>
      </c>
      <c r="L53" s="10">
        <v>3645429.017</v>
      </c>
      <c r="M53" s="10">
        <v>688499.03799999994</v>
      </c>
      <c r="N53" s="11">
        <v>15</v>
      </c>
      <c r="O53" s="11" t="s">
        <v>4871</v>
      </c>
      <c r="P53" s="13" t="s">
        <v>8348</v>
      </c>
      <c r="S53" s="9" t="s">
        <v>4881</v>
      </c>
      <c r="T53" s="12" t="s">
        <v>4902</v>
      </c>
      <c r="U53" s="12" t="s">
        <v>4902</v>
      </c>
      <c r="V53" s="12" t="s">
        <v>4902</v>
      </c>
      <c r="W53" s="12">
        <v>0</v>
      </c>
      <c r="X53" s="12">
        <v>0</v>
      </c>
      <c r="Y53" s="12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9">
        <v>1</v>
      </c>
      <c r="AI53" s="11">
        <v>1</v>
      </c>
      <c r="AJ53" s="11">
        <v>1</v>
      </c>
      <c r="AK53" s="11">
        <v>0</v>
      </c>
      <c r="AL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1</v>
      </c>
      <c r="AU53" s="11">
        <v>0</v>
      </c>
      <c r="AV53" s="11">
        <v>0</v>
      </c>
      <c r="AW53" s="11" t="s">
        <v>8349</v>
      </c>
      <c r="AX53" s="9" t="s">
        <v>4878</v>
      </c>
      <c r="AY53" s="11">
        <v>0</v>
      </c>
      <c r="AZ53" s="9"/>
      <c r="BA53" s="12" t="s">
        <v>4877</v>
      </c>
      <c r="BB53" s="12">
        <v>0</v>
      </c>
      <c r="BC53" s="9" t="s">
        <v>4878</v>
      </c>
      <c r="BD53" s="12">
        <v>9.8425196850393704</v>
      </c>
      <c r="BE53" s="12">
        <v>0</v>
      </c>
      <c r="BF53" s="12">
        <v>19375.0387500775</v>
      </c>
      <c r="BI53">
        <f>BD53/BF53</f>
        <v>5.0799999999999999E-4</v>
      </c>
      <c r="BJ53">
        <f>BI53*10000</f>
        <v>5.08</v>
      </c>
    </row>
    <row r="54" spans="1:62" x14ac:dyDescent="0.15">
      <c r="A54" s="7" t="s">
        <v>8350</v>
      </c>
      <c r="C54" s="7" t="s">
        <v>8351</v>
      </c>
      <c r="D54" s="8" t="s">
        <v>4881</v>
      </c>
      <c r="E54" s="9" t="s">
        <v>4882</v>
      </c>
      <c r="L54" s="10">
        <v>3633043.9509999999</v>
      </c>
      <c r="M54" s="10">
        <v>716892.03099999996</v>
      </c>
      <c r="N54" s="11">
        <v>15</v>
      </c>
      <c r="O54" s="11" t="s">
        <v>4871</v>
      </c>
      <c r="P54" s="13" t="s">
        <v>8352</v>
      </c>
      <c r="S54" s="9" t="s">
        <v>4881</v>
      </c>
      <c r="T54" s="12" t="s">
        <v>4915</v>
      </c>
      <c r="U54" s="12" t="s">
        <v>4897</v>
      </c>
      <c r="V54" s="12" t="s">
        <v>5021</v>
      </c>
      <c r="W54" s="12">
        <v>0</v>
      </c>
      <c r="X54" s="12">
        <v>0</v>
      </c>
      <c r="Y54" s="12">
        <v>0</v>
      </c>
      <c r="Z54" s="11">
        <f>IF(FIND("H",T54),1,0)</f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11">
        <v>1</v>
      </c>
      <c r="AG54" s="11">
        <f>IF(FIND("A",T54),1,0)</f>
        <v>1</v>
      </c>
      <c r="AH54" s="9">
        <v>25</v>
      </c>
      <c r="AI54" s="11">
        <v>25</v>
      </c>
      <c r="AJ54" s="11">
        <v>1</v>
      </c>
      <c r="AK54" s="11">
        <v>1</v>
      </c>
      <c r="AL54" s="11">
        <v>1</v>
      </c>
      <c r="AN54" s="11">
        <v>1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1</v>
      </c>
      <c r="AV54" s="11">
        <v>1</v>
      </c>
      <c r="AW54" s="11">
        <v>0</v>
      </c>
      <c r="AX54" s="9" t="s">
        <v>4878</v>
      </c>
      <c r="AY54" s="11">
        <v>0</v>
      </c>
      <c r="AZ54" s="9" t="s">
        <v>4843</v>
      </c>
      <c r="BA54" s="12" t="s">
        <v>4911</v>
      </c>
      <c r="BB54" s="12">
        <v>1</v>
      </c>
      <c r="BC54" s="9" t="s">
        <v>4878</v>
      </c>
      <c r="BD54" s="12">
        <v>60</v>
      </c>
      <c r="BE54" s="12">
        <v>0</v>
      </c>
      <c r="BF54" s="12">
        <v>16500</v>
      </c>
      <c r="BI54">
        <f>BD54/BF54</f>
        <v>3.6363636363636364E-3</v>
      </c>
      <c r="BJ54">
        <f>BI54*10000</f>
        <v>36.363636363636367</v>
      </c>
    </row>
    <row r="55" spans="1:62" x14ac:dyDescent="0.15">
      <c r="A55" s="7" t="s">
        <v>8353</v>
      </c>
      <c r="C55" s="7" t="s">
        <v>8354</v>
      </c>
      <c r="D55" s="8" t="s">
        <v>4881</v>
      </c>
      <c r="E55" s="9" t="s">
        <v>4882</v>
      </c>
      <c r="L55" s="10">
        <v>3632890.9550000001</v>
      </c>
      <c r="M55" s="10">
        <v>714756.00399999996</v>
      </c>
      <c r="N55" s="11">
        <v>15</v>
      </c>
      <c r="O55" s="11" t="s">
        <v>4871</v>
      </c>
      <c r="P55" s="13" t="s">
        <v>8355</v>
      </c>
      <c r="S55" s="9" t="s">
        <v>4895</v>
      </c>
      <c r="T55" s="12" t="s">
        <v>4915</v>
      </c>
      <c r="U55" s="12" t="s">
        <v>4897</v>
      </c>
      <c r="V55" s="12" t="s">
        <v>5021</v>
      </c>
      <c r="W55" s="12">
        <v>0</v>
      </c>
      <c r="X55" s="12">
        <v>0</v>
      </c>
      <c r="Y55" s="12">
        <v>0</v>
      </c>
      <c r="Z55" s="11">
        <f>IF(FIND("H",T55),1,0)</f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11">
        <v>1</v>
      </c>
      <c r="AG55" s="11">
        <f>IF(FIND("A",T55),1,0)</f>
        <v>1</v>
      </c>
      <c r="AH55" s="9">
        <v>8</v>
      </c>
      <c r="AI55" s="11">
        <v>8</v>
      </c>
      <c r="AJ55" s="11">
        <v>1</v>
      </c>
      <c r="AK55" s="11">
        <v>1</v>
      </c>
      <c r="AL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1</v>
      </c>
      <c r="AS55" s="11">
        <v>0</v>
      </c>
      <c r="AT55" s="11">
        <v>1</v>
      </c>
      <c r="AU55" s="11">
        <v>0</v>
      </c>
      <c r="AV55" s="11">
        <v>0</v>
      </c>
      <c r="AW55" s="11">
        <v>0</v>
      </c>
      <c r="AX55" s="9" t="s">
        <v>4878</v>
      </c>
      <c r="AY55" s="11">
        <v>0</v>
      </c>
      <c r="AZ55" s="9" t="s">
        <v>4910</v>
      </c>
      <c r="BA55" s="12" t="s">
        <v>4911</v>
      </c>
      <c r="BB55" s="9" t="s">
        <v>4909</v>
      </c>
      <c r="BC55" s="9" t="s">
        <v>4878</v>
      </c>
      <c r="BD55" s="12">
        <v>0</v>
      </c>
      <c r="BE55">
        <f>500*100/2.54/12</f>
        <v>1640.4199475065616</v>
      </c>
      <c r="BF55" s="12">
        <v>0</v>
      </c>
      <c r="BI55" s="12">
        <v>0</v>
      </c>
      <c r="BJ55" s="12">
        <v>0</v>
      </c>
    </row>
    <row r="56" spans="1:62" x14ac:dyDescent="0.15">
      <c r="A56" s="7" t="s">
        <v>8356</v>
      </c>
      <c r="C56" s="7" t="s">
        <v>8357</v>
      </c>
      <c r="D56" s="8" t="s">
        <v>4881</v>
      </c>
      <c r="E56" s="9" t="s">
        <v>4882</v>
      </c>
      <c r="L56" s="10">
        <v>3643779.9580000001</v>
      </c>
      <c r="M56" s="10">
        <v>731163.96</v>
      </c>
      <c r="N56" s="11">
        <v>15</v>
      </c>
      <c r="O56" s="11" t="s">
        <v>4871</v>
      </c>
      <c r="P56" s="13" t="s">
        <v>8358</v>
      </c>
      <c r="S56" s="9" t="s">
        <v>4881</v>
      </c>
      <c r="T56" s="12" t="s">
        <v>4887</v>
      </c>
      <c r="U56" s="12" t="s">
        <v>5016</v>
      </c>
      <c r="V56" s="12" t="s">
        <v>5018</v>
      </c>
      <c r="W56" s="12">
        <v>0</v>
      </c>
      <c r="X56" s="12">
        <v>0</v>
      </c>
      <c r="Y56" s="12">
        <v>0</v>
      </c>
      <c r="Z56" s="11">
        <v>0</v>
      </c>
      <c r="AA56" s="11">
        <v>0</v>
      </c>
      <c r="AB56" s="11">
        <f>IF(FIND("F",T56),1,0)</f>
        <v>1</v>
      </c>
      <c r="AC56" s="11">
        <v>1</v>
      </c>
      <c r="AD56" s="11">
        <f>IF(FIND("D",T56),1,0)</f>
        <v>1</v>
      </c>
      <c r="AE56" s="11">
        <v>0</v>
      </c>
      <c r="AF56" s="11">
        <v>0</v>
      </c>
      <c r="AG56" s="11">
        <v>0</v>
      </c>
      <c r="AH56" s="9">
        <v>2</v>
      </c>
      <c r="AI56" s="11">
        <v>2</v>
      </c>
      <c r="AJ56" s="11">
        <v>1</v>
      </c>
      <c r="AK56" s="11">
        <v>1</v>
      </c>
      <c r="AL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1</v>
      </c>
      <c r="AU56" s="11">
        <v>0</v>
      </c>
      <c r="AV56" s="11">
        <v>0</v>
      </c>
      <c r="AW56" s="11">
        <v>0</v>
      </c>
      <c r="AX56" s="9" t="s">
        <v>4878</v>
      </c>
      <c r="AY56" s="11">
        <v>0</v>
      </c>
      <c r="AZ56" s="9"/>
      <c r="BA56" s="12" t="s">
        <v>4877</v>
      </c>
      <c r="BB56" s="12">
        <v>0</v>
      </c>
      <c r="BC56" s="9" t="s">
        <v>4878</v>
      </c>
      <c r="BD56" s="12">
        <v>0</v>
      </c>
      <c r="BE56" s="12">
        <v>0</v>
      </c>
      <c r="BF56" s="12">
        <v>0</v>
      </c>
      <c r="BI56" s="12">
        <v>0</v>
      </c>
      <c r="BJ56" s="12">
        <v>0</v>
      </c>
    </row>
    <row r="57" spans="1:62" x14ac:dyDescent="0.15">
      <c r="A57" s="7" t="s">
        <v>8359</v>
      </c>
      <c r="C57" s="7" t="s">
        <v>8360</v>
      </c>
      <c r="D57" s="8" t="s">
        <v>4881</v>
      </c>
      <c r="E57" s="9" t="s">
        <v>4882</v>
      </c>
      <c r="L57" s="10">
        <v>3636003.0219999999</v>
      </c>
      <c r="M57" s="10">
        <v>715852.04200000002</v>
      </c>
      <c r="N57" s="11">
        <v>15</v>
      </c>
      <c r="O57" s="11" t="s">
        <v>4871</v>
      </c>
      <c r="P57" s="13" t="s">
        <v>8361</v>
      </c>
      <c r="S57" s="9" t="s">
        <v>4881</v>
      </c>
      <c r="T57" s="12" t="s">
        <v>4784</v>
      </c>
      <c r="U57" s="12" t="s">
        <v>5017</v>
      </c>
      <c r="V57" s="12" t="s">
        <v>5021</v>
      </c>
      <c r="W57" s="12">
        <v>0</v>
      </c>
      <c r="X57" s="12">
        <v>0</v>
      </c>
      <c r="Y57" s="12">
        <v>0</v>
      </c>
      <c r="Z57" s="11">
        <v>0</v>
      </c>
      <c r="AA57" s="11">
        <v>0</v>
      </c>
      <c r="AB57" s="11">
        <v>0</v>
      </c>
      <c r="AC57" s="11">
        <f>IF(FIND("E",T57),1,0)</f>
        <v>1</v>
      </c>
      <c r="AD57" s="11">
        <v>1</v>
      </c>
      <c r="AE57" s="11">
        <v>1</v>
      </c>
      <c r="AF57" s="11">
        <v>1</v>
      </c>
      <c r="AG57" s="11">
        <f>IF(FIND("A",T57),1,0)</f>
        <v>1</v>
      </c>
      <c r="AH57" s="9">
        <v>3</v>
      </c>
      <c r="AI57" s="11">
        <v>3</v>
      </c>
      <c r="AJ57" s="11">
        <v>1</v>
      </c>
      <c r="AK57" s="11">
        <v>1</v>
      </c>
      <c r="AL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1</v>
      </c>
      <c r="AU57" s="11">
        <v>0</v>
      </c>
      <c r="AV57" s="11">
        <v>0</v>
      </c>
      <c r="AW57" s="11">
        <v>0</v>
      </c>
      <c r="AX57" s="9" t="s">
        <v>4878</v>
      </c>
      <c r="AY57" s="11">
        <v>0</v>
      </c>
      <c r="AZ57" s="9" t="s">
        <v>4910</v>
      </c>
      <c r="BA57" s="12" t="s">
        <v>4911</v>
      </c>
      <c r="BB57" s="12">
        <v>0</v>
      </c>
      <c r="BC57" s="9" t="s">
        <v>4878</v>
      </c>
      <c r="BD57" s="12">
        <v>0</v>
      </c>
      <c r="BE57" s="12">
        <v>0</v>
      </c>
      <c r="BF57" s="12">
        <v>0</v>
      </c>
      <c r="BI57" s="12">
        <v>0</v>
      </c>
      <c r="BJ57" s="12">
        <v>0</v>
      </c>
    </row>
    <row r="58" spans="1:62" x14ac:dyDescent="0.15">
      <c r="A58" s="7" t="s">
        <v>8362</v>
      </c>
      <c r="C58" s="7" t="s">
        <v>8363</v>
      </c>
      <c r="D58" s="8" t="s">
        <v>4881</v>
      </c>
      <c r="E58" s="9" t="s">
        <v>4882</v>
      </c>
      <c r="L58" s="10">
        <v>3636003.0219999999</v>
      </c>
      <c r="M58" s="10">
        <v>715852.04200000002</v>
      </c>
      <c r="N58" s="11">
        <v>15</v>
      </c>
      <c r="O58" s="11" t="s">
        <v>4871</v>
      </c>
      <c r="P58" s="13" t="s">
        <v>8364</v>
      </c>
      <c r="S58" s="9" t="s">
        <v>4881</v>
      </c>
      <c r="T58" s="12" t="s">
        <v>4891</v>
      </c>
      <c r="U58" s="12" t="s">
        <v>5017</v>
      </c>
      <c r="V58" s="12" t="s">
        <v>5018</v>
      </c>
      <c r="W58" s="12">
        <v>0</v>
      </c>
      <c r="X58" s="12">
        <v>0</v>
      </c>
      <c r="Y58" s="12">
        <v>0</v>
      </c>
      <c r="Z58" s="11">
        <v>0</v>
      </c>
      <c r="AA58" s="11">
        <v>0</v>
      </c>
      <c r="AB58" s="11">
        <v>0</v>
      </c>
      <c r="AC58" s="11">
        <f>IF(FIND("E",T58),1,0)</f>
        <v>1</v>
      </c>
      <c r="AD58" s="11">
        <f>IF(FIND("D",T58),1,0)</f>
        <v>1</v>
      </c>
      <c r="AE58" s="11">
        <v>0</v>
      </c>
      <c r="AF58" s="11">
        <v>0</v>
      </c>
      <c r="AG58" s="11">
        <v>0</v>
      </c>
      <c r="AH58" s="9" t="s">
        <v>4878</v>
      </c>
      <c r="AI58" s="11" t="s">
        <v>4878</v>
      </c>
      <c r="AJ58" s="11">
        <v>1</v>
      </c>
      <c r="AK58" s="11">
        <v>1</v>
      </c>
      <c r="AL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9" t="s">
        <v>4878</v>
      </c>
      <c r="AY58" s="11">
        <v>0</v>
      </c>
      <c r="AZ58" s="9"/>
      <c r="BA58" s="12" t="s">
        <v>4877</v>
      </c>
      <c r="BB58" s="12">
        <v>0</v>
      </c>
      <c r="BC58" s="9" t="s">
        <v>4878</v>
      </c>
      <c r="BD58" s="12">
        <v>0</v>
      </c>
      <c r="BE58" s="12">
        <v>0</v>
      </c>
      <c r="BF58" s="12">
        <v>0</v>
      </c>
      <c r="BI58" s="12">
        <v>0</v>
      </c>
      <c r="BJ58" s="12">
        <v>0</v>
      </c>
    </row>
    <row r="59" spans="1:62" x14ac:dyDescent="0.15">
      <c r="A59" s="7" t="s">
        <v>8365</v>
      </c>
      <c r="C59" s="7" t="s">
        <v>8366</v>
      </c>
      <c r="D59" s="8" t="s">
        <v>4881</v>
      </c>
      <c r="E59" s="9" t="s">
        <v>4882</v>
      </c>
      <c r="L59" s="10">
        <v>3633225.9530000002</v>
      </c>
      <c r="M59" s="10">
        <v>734930.03399999999</v>
      </c>
      <c r="N59" s="11">
        <v>15</v>
      </c>
      <c r="O59" s="11" t="s">
        <v>4871</v>
      </c>
      <c r="P59" s="13" t="s">
        <v>8367</v>
      </c>
      <c r="S59" s="9" t="s">
        <v>4881</v>
      </c>
      <c r="T59" s="12" t="s">
        <v>8368</v>
      </c>
      <c r="U59" s="12" t="s">
        <v>4898</v>
      </c>
      <c r="V59" s="12" t="s">
        <v>5018</v>
      </c>
      <c r="W59" s="12">
        <v>0</v>
      </c>
      <c r="X59" s="12">
        <v>0</v>
      </c>
      <c r="Y59" s="12">
        <v>0</v>
      </c>
      <c r="Z59" s="11">
        <v>0</v>
      </c>
      <c r="AA59" s="11">
        <f>IF(FIND("G",T59),1,0)</f>
        <v>1</v>
      </c>
      <c r="AB59" s="11">
        <v>1</v>
      </c>
      <c r="AC59" s="11">
        <v>1</v>
      </c>
      <c r="AD59" s="11">
        <f>IF(FIND("D",T59),1,0)</f>
        <v>1</v>
      </c>
      <c r="AE59" s="11">
        <v>0</v>
      </c>
      <c r="AF59" s="11">
        <v>0</v>
      </c>
      <c r="AG59" s="11">
        <v>0</v>
      </c>
      <c r="AH59" s="9" t="s">
        <v>4878</v>
      </c>
      <c r="AI59" s="11" t="s">
        <v>4878</v>
      </c>
      <c r="AJ59" s="11">
        <v>1</v>
      </c>
      <c r="AK59" s="11">
        <v>1</v>
      </c>
      <c r="AL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9" t="s">
        <v>4878</v>
      </c>
      <c r="AY59" s="11">
        <v>0</v>
      </c>
      <c r="AZ59" s="9"/>
      <c r="BA59" s="12" t="s">
        <v>4877</v>
      </c>
      <c r="BB59" s="12">
        <v>0</v>
      </c>
      <c r="BC59" s="9" t="s">
        <v>4878</v>
      </c>
      <c r="BD59" s="12">
        <v>0</v>
      </c>
      <c r="BE59" s="12">
        <v>0</v>
      </c>
      <c r="BF59" s="12">
        <v>0</v>
      </c>
      <c r="BI59" s="12">
        <v>0</v>
      </c>
      <c r="BJ59" s="12">
        <v>0</v>
      </c>
    </row>
    <row r="60" spans="1:62" x14ac:dyDescent="0.15">
      <c r="A60" s="7" t="s">
        <v>8369</v>
      </c>
      <c r="C60" s="7" t="s">
        <v>8370</v>
      </c>
      <c r="D60" s="8" t="s">
        <v>4881</v>
      </c>
      <c r="E60" s="9" t="s">
        <v>4882</v>
      </c>
      <c r="L60" s="10">
        <v>3646204.0449999999</v>
      </c>
      <c r="M60" s="10">
        <v>733820.02899999998</v>
      </c>
      <c r="N60" s="11">
        <v>15</v>
      </c>
      <c r="O60" s="11" t="s">
        <v>4871</v>
      </c>
      <c r="P60" s="13" t="s">
        <v>8371</v>
      </c>
      <c r="S60" s="9" t="s">
        <v>4881</v>
      </c>
      <c r="T60" s="12" t="s">
        <v>8372</v>
      </c>
      <c r="U60" s="12" t="s">
        <v>5017</v>
      </c>
      <c r="V60" s="12" t="s">
        <v>5019</v>
      </c>
      <c r="W60" s="12">
        <v>0</v>
      </c>
      <c r="X60" s="12">
        <v>0</v>
      </c>
      <c r="Y60" s="12">
        <v>0</v>
      </c>
      <c r="Z60" s="11">
        <v>0</v>
      </c>
      <c r="AA60" s="11">
        <v>0</v>
      </c>
      <c r="AB60" s="11">
        <v>0</v>
      </c>
      <c r="AC60" s="11">
        <f>IF(FIND("E",T60),1,0)</f>
        <v>1</v>
      </c>
      <c r="AD60" s="11">
        <v>0</v>
      </c>
      <c r="AE60" s="11">
        <f>IF(FIND("C",T60),1,0)</f>
        <v>1</v>
      </c>
      <c r="AF60" s="11">
        <v>0</v>
      </c>
      <c r="AG60" s="11">
        <v>0</v>
      </c>
      <c r="AH60" s="9">
        <v>1</v>
      </c>
      <c r="AI60" s="11">
        <v>1</v>
      </c>
      <c r="AJ60" s="11">
        <v>1</v>
      </c>
      <c r="AK60" s="11">
        <v>0</v>
      </c>
      <c r="AL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1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9" t="s">
        <v>4878</v>
      </c>
      <c r="AY60" s="11">
        <v>0</v>
      </c>
      <c r="AZ60" s="9"/>
      <c r="BA60" s="12" t="s">
        <v>4877</v>
      </c>
      <c r="BB60" s="12">
        <v>0</v>
      </c>
      <c r="BC60" s="9" t="s">
        <v>4878</v>
      </c>
      <c r="BD60" s="12">
        <v>6</v>
      </c>
      <c r="BE60" s="12">
        <v>0</v>
      </c>
      <c r="BF60" s="12">
        <v>45000</v>
      </c>
      <c r="BI60">
        <f>BD60/BF60</f>
        <v>1.3333333333333334E-4</v>
      </c>
      <c r="BJ60">
        <f>BI60*10000</f>
        <v>1.3333333333333335</v>
      </c>
    </row>
    <row r="61" spans="1:62" x14ac:dyDescent="0.15">
      <c r="A61" s="7" t="s">
        <v>8373</v>
      </c>
      <c r="C61" s="7" t="s">
        <v>8374</v>
      </c>
      <c r="D61" s="8" t="s">
        <v>4881</v>
      </c>
      <c r="E61" s="9" t="s">
        <v>4882</v>
      </c>
      <c r="L61" s="10">
        <v>3633526.9720000001</v>
      </c>
      <c r="M61" s="10">
        <v>718718.96699999995</v>
      </c>
      <c r="N61" s="11">
        <v>15</v>
      </c>
      <c r="O61" s="11" t="s">
        <v>4871</v>
      </c>
      <c r="P61" s="13" t="s">
        <v>8375</v>
      </c>
      <c r="S61" s="9" t="s">
        <v>4881</v>
      </c>
      <c r="T61" s="12" t="s">
        <v>4884</v>
      </c>
      <c r="U61" s="12" t="s">
        <v>5016</v>
      </c>
      <c r="V61" s="12" t="s">
        <v>5017</v>
      </c>
      <c r="W61" s="12">
        <v>0</v>
      </c>
      <c r="X61" s="12">
        <v>0</v>
      </c>
      <c r="Y61" s="12">
        <v>0</v>
      </c>
      <c r="Z61" s="11">
        <v>0</v>
      </c>
      <c r="AA61" s="11">
        <v>0</v>
      </c>
      <c r="AB61" s="11">
        <f>IF(FIND("F",T61),1,0)</f>
        <v>1</v>
      </c>
      <c r="AC61" s="11">
        <f>IF(FIND("E",T61),1,0)</f>
        <v>1</v>
      </c>
      <c r="AD61" s="11">
        <v>0</v>
      </c>
      <c r="AE61" s="11">
        <v>0</v>
      </c>
      <c r="AF61" s="11">
        <v>0</v>
      </c>
      <c r="AG61" s="11">
        <v>0</v>
      </c>
      <c r="AH61" s="9">
        <v>1</v>
      </c>
      <c r="AI61" s="11">
        <v>1</v>
      </c>
      <c r="AJ61" s="11">
        <v>1</v>
      </c>
      <c r="AK61" s="11">
        <v>0</v>
      </c>
      <c r="AL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1</v>
      </c>
      <c r="AU61" s="11">
        <v>0</v>
      </c>
      <c r="AV61" s="11">
        <v>0</v>
      </c>
      <c r="AW61" s="11">
        <v>0</v>
      </c>
      <c r="AX61" s="9" t="s">
        <v>4878</v>
      </c>
      <c r="AY61" s="11">
        <v>0</v>
      </c>
      <c r="AZ61" s="9"/>
      <c r="BA61" s="12" t="s">
        <v>4877</v>
      </c>
      <c r="BB61" s="12">
        <v>0</v>
      </c>
      <c r="BC61" s="9" t="s">
        <v>4878</v>
      </c>
      <c r="BD61" s="12">
        <v>0</v>
      </c>
      <c r="BE61" s="12">
        <v>0</v>
      </c>
      <c r="BF61" s="12">
        <v>0</v>
      </c>
      <c r="BI61" s="12">
        <v>0</v>
      </c>
      <c r="BJ61" s="12">
        <v>0</v>
      </c>
    </row>
    <row r="62" spans="1:62" x14ac:dyDescent="0.15">
      <c r="A62" s="7" t="s">
        <v>8376</v>
      </c>
      <c r="C62" s="7" t="s">
        <v>8377</v>
      </c>
      <c r="D62" s="8" t="s">
        <v>4881</v>
      </c>
      <c r="E62" s="9" t="s">
        <v>4882</v>
      </c>
      <c r="L62" s="10">
        <v>3635839.9569999999</v>
      </c>
      <c r="M62" s="10">
        <v>715644.96100000001</v>
      </c>
      <c r="N62" s="11">
        <v>15</v>
      </c>
      <c r="O62" s="11" t="s">
        <v>4871</v>
      </c>
      <c r="P62" s="13" t="s">
        <v>8378</v>
      </c>
      <c r="S62" s="9" t="s">
        <v>4881</v>
      </c>
      <c r="T62" s="12" t="s">
        <v>4875</v>
      </c>
      <c r="U62" s="12" t="s">
        <v>5020</v>
      </c>
      <c r="V62" s="12" t="s">
        <v>5021</v>
      </c>
      <c r="W62" s="12">
        <v>0</v>
      </c>
      <c r="X62" s="12">
        <v>0</v>
      </c>
      <c r="Y62" s="12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f>IF(FIND("B",T62),1,0)</f>
        <v>1</v>
      </c>
      <c r="AG62" s="11">
        <f>IF(FIND("A",T62),1,0)</f>
        <v>1</v>
      </c>
      <c r="AH62" s="9">
        <v>0</v>
      </c>
      <c r="AI62" s="11">
        <v>0</v>
      </c>
      <c r="AJ62" s="11">
        <v>0</v>
      </c>
      <c r="AK62" s="11">
        <v>0</v>
      </c>
      <c r="AL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9" t="s">
        <v>4878</v>
      </c>
      <c r="AY62" s="11">
        <v>0</v>
      </c>
      <c r="AZ62" s="9"/>
      <c r="BA62" s="12" t="s">
        <v>4877</v>
      </c>
      <c r="BB62" s="12">
        <v>0</v>
      </c>
      <c r="BC62" s="9" t="s">
        <v>4878</v>
      </c>
      <c r="BD62" s="12">
        <v>0</v>
      </c>
      <c r="BE62" s="12">
        <v>0</v>
      </c>
      <c r="BF62" s="12">
        <v>0</v>
      </c>
      <c r="BI62" s="12">
        <v>0</v>
      </c>
      <c r="BJ62" s="12">
        <v>0</v>
      </c>
    </row>
    <row r="63" spans="1:62" x14ac:dyDescent="0.15">
      <c r="A63" s="7" t="s">
        <v>8379</v>
      </c>
      <c r="C63" s="7" t="s">
        <v>8380</v>
      </c>
      <c r="D63" s="8" t="s">
        <v>4881</v>
      </c>
      <c r="E63" s="9" t="s">
        <v>4882</v>
      </c>
      <c r="L63" s="10">
        <v>3626995.0240000002</v>
      </c>
      <c r="M63" s="10">
        <v>712446.03</v>
      </c>
      <c r="N63" s="11">
        <v>15</v>
      </c>
      <c r="O63" s="11" t="s">
        <v>4871</v>
      </c>
      <c r="P63" s="13" t="s">
        <v>8381</v>
      </c>
      <c r="S63" s="9" t="s">
        <v>4881</v>
      </c>
      <c r="T63" s="12" t="s">
        <v>4780</v>
      </c>
      <c r="U63" s="12" t="s">
        <v>5016</v>
      </c>
      <c r="V63" s="12" t="s">
        <v>5019</v>
      </c>
      <c r="W63" s="12">
        <v>0</v>
      </c>
      <c r="X63" s="12">
        <v>0</v>
      </c>
      <c r="Y63" s="12">
        <v>0</v>
      </c>
      <c r="Z63" s="11">
        <v>0</v>
      </c>
      <c r="AA63" s="11">
        <v>0</v>
      </c>
      <c r="AB63" s="11">
        <f>IF(FIND("F",T63),1,0)</f>
        <v>1</v>
      </c>
      <c r="AC63" s="11">
        <v>1</v>
      </c>
      <c r="AD63" s="11">
        <v>1</v>
      </c>
      <c r="AE63" s="11">
        <f>IF(FIND("C",T63),1,0)</f>
        <v>1</v>
      </c>
      <c r="AF63" s="11">
        <v>0</v>
      </c>
      <c r="AG63" s="11">
        <v>0</v>
      </c>
      <c r="AH63" s="9">
        <v>2</v>
      </c>
      <c r="AI63" s="11">
        <v>2</v>
      </c>
      <c r="AJ63" s="11">
        <v>1</v>
      </c>
      <c r="AK63" s="11">
        <v>1</v>
      </c>
      <c r="AL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1</v>
      </c>
      <c r="AS63" s="11">
        <v>0</v>
      </c>
      <c r="AT63" s="11">
        <v>0</v>
      </c>
      <c r="AU63" s="11">
        <v>1</v>
      </c>
      <c r="AV63" s="11">
        <v>1</v>
      </c>
      <c r="AW63" s="11">
        <v>0</v>
      </c>
      <c r="AX63" s="9" t="s">
        <v>4878</v>
      </c>
      <c r="AY63" s="11">
        <v>0</v>
      </c>
      <c r="AZ63" s="9" t="s">
        <v>4910</v>
      </c>
      <c r="BA63" s="12" t="s">
        <v>4911</v>
      </c>
      <c r="BB63" s="12">
        <v>0</v>
      </c>
      <c r="BC63" s="9" t="s">
        <v>4878</v>
      </c>
      <c r="BD63" s="12">
        <v>0</v>
      </c>
      <c r="BE63" s="12">
        <v>0</v>
      </c>
      <c r="BF63" s="12">
        <v>0</v>
      </c>
      <c r="BI63" s="12">
        <v>0</v>
      </c>
      <c r="BJ63" s="12">
        <v>0</v>
      </c>
    </row>
    <row r="64" spans="1:62" x14ac:dyDescent="0.15">
      <c r="A64" s="7" t="s">
        <v>8382</v>
      </c>
      <c r="C64" s="7" t="s">
        <v>8383</v>
      </c>
      <c r="D64" s="8" t="s">
        <v>4881</v>
      </c>
      <c r="E64" s="9" t="s">
        <v>4882</v>
      </c>
      <c r="L64" s="10">
        <v>3628540.9709999999</v>
      </c>
      <c r="M64" s="10">
        <v>715832.005</v>
      </c>
      <c r="N64" s="11">
        <v>15</v>
      </c>
      <c r="O64" s="11" t="s">
        <v>4871</v>
      </c>
      <c r="P64" s="13" t="s">
        <v>8384</v>
      </c>
      <c r="S64" s="9" t="s">
        <v>4895</v>
      </c>
      <c r="T64" s="12" t="s">
        <v>4915</v>
      </c>
      <c r="U64" s="12" t="s">
        <v>4897</v>
      </c>
      <c r="V64" s="12" t="s">
        <v>5021</v>
      </c>
      <c r="W64" s="12">
        <v>0</v>
      </c>
      <c r="X64" s="12">
        <v>0</v>
      </c>
      <c r="Y64" s="12">
        <v>0</v>
      </c>
      <c r="Z64" s="11">
        <f>IF(FIND("H",T64),1,0)</f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11">
        <v>1</v>
      </c>
      <c r="AG64" s="11">
        <f>IF(FIND("A",T64),1,0)</f>
        <v>1</v>
      </c>
      <c r="AH64" s="9">
        <v>2</v>
      </c>
      <c r="AI64" s="11">
        <v>2</v>
      </c>
      <c r="AJ64" s="11">
        <v>1</v>
      </c>
      <c r="AK64" s="11">
        <v>1</v>
      </c>
      <c r="AL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1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9" t="s">
        <v>4878</v>
      </c>
      <c r="AY64" s="11">
        <v>0</v>
      </c>
      <c r="AZ64" s="9"/>
      <c r="BA64" s="12" t="s">
        <v>4877</v>
      </c>
      <c r="BB64" s="12">
        <v>0</v>
      </c>
      <c r="BC64" s="9" t="s">
        <v>4878</v>
      </c>
      <c r="BD64" s="12">
        <v>0</v>
      </c>
      <c r="BE64" s="12">
        <v>0</v>
      </c>
      <c r="BF64" s="12">
        <v>0</v>
      </c>
      <c r="BI64" s="12">
        <v>0</v>
      </c>
      <c r="BJ64" s="12">
        <v>0</v>
      </c>
    </row>
    <row r="65" spans="1:62" x14ac:dyDescent="0.15">
      <c r="A65" s="7" t="s">
        <v>8385</v>
      </c>
      <c r="C65" s="7" t="s">
        <v>8386</v>
      </c>
      <c r="D65" s="8" t="s">
        <v>4881</v>
      </c>
      <c r="E65" s="9" t="s">
        <v>4882</v>
      </c>
      <c r="L65" s="10">
        <v>3624999.9739999999</v>
      </c>
      <c r="M65" s="10">
        <v>723373.01899999997</v>
      </c>
      <c r="N65" s="11">
        <v>15</v>
      </c>
      <c r="O65" s="11" t="s">
        <v>4871</v>
      </c>
      <c r="P65" s="13" t="s">
        <v>8387</v>
      </c>
      <c r="S65" s="9" t="s">
        <v>4881</v>
      </c>
      <c r="T65" s="12" t="s">
        <v>4891</v>
      </c>
      <c r="U65" s="12" t="s">
        <v>5017</v>
      </c>
      <c r="V65" s="12" t="s">
        <v>5018</v>
      </c>
      <c r="W65" s="12">
        <v>0</v>
      </c>
      <c r="X65" s="12">
        <v>0</v>
      </c>
      <c r="Y65" s="12">
        <v>0</v>
      </c>
      <c r="Z65" s="11">
        <v>0</v>
      </c>
      <c r="AA65" s="11">
        <v>0</v>
      </c>
      <c r="AB65" s="11">
        <v>0</v>
      </c>
      <c r="AC65" s="11">
        <f>IF(FIND("E",T65),1,0)</f>
        <v>1</v>
      </c>
      <c r="AD65" s="11">
        <f>IF(FIND("D",T65),1,0)</f>
        <v>1</v>
      </c>
      <c r="AE65" s="11">
        <v>0</v>
      </c>
      <c r="AF65" s="11">
        <v>0</v>
      </c>
      <c r="AG65" s="11">
        <v>0</v>
      </c>
      <c r="AH65" s="9" t="s">
        <v>4878</v>
      </c>
      <c r="AI65" s="11" t="s">
        <v>4878</v>
      </c>
      <c r="AJ65" s="11">
        <v>1</v>
      </c>
      <c r="AK65" s="11">
        <v>1</v>
      </c>
      <c r="AL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9" t="s">
        <v>4878</v>
      </c>
      <c r="AY65" s="11">
        <v>0</v>
      </c>
      <c r="AZ65" s="9" t="s">
        <v>4910</v>
      </c>
      <c r="BA65" s="12" t="s">
        <v>4911</v>
      </c>
      <c r="BB65" s="12">
        <v>0</v>
      </c>
      <c r="BC65" s="9" t="s">
        <v>4909</v>
      </c>
      <c r="BD65" s="12">
        <v>0</v>
      </c>
      <c r="BE65" s="12">
        <v>0</v>
      </c>
      <c r="BF65" s="12">
        <v>0</v>
      </c>
      <c r="BI65" s="12">
        <v>0</v>
      </c>
      <c r="BJ65" s="12">
        <v>0</v>
      </c>
    </row>
    <row r="66" spans="1:62" x14ac:dyDescent="0.15">
      <c r="A66" s="7" t="s">
        <v>8388</v>
      </c>
      <c r="C66" s="7" t="s">
        <v>8389</v>
      </c>
      <c r="D66" s="8" t="s">
        <v>4881</v>
      </c>
      <c r="E66" s="9" t="s">
        <v>4882</v>
      </c>
      <c r="L66" s="10">
        <v>3625970.966</v>
      </c>
      <c r="M66" s="10">
        <v>711899</v>
      </c>
      <c r="N66" s="11">
        <v>15</v>
      </c>
      <c r="O66" s="11" t="s">
        <v>4871</v>
      </c>
      <c r="P66" s="13" t="s">
        <v>8390</v>
      </c>
      <c r="S66" s="9" t="s">
        <v>4881</v>
      </c>
      <c r="T66" s="12" t="s">
        <v>4902</v>
      </c>
      <c r="U66" s="12" t="s">
        <v>4902</v>
      </c>
      <c r="V66" s="12" t="s">
        <v>4902</v>
      </c>
      <c r="W66" s="12">
        <v>0</v>
      </c>
      <c r="X66" s="12">
        <v>0</v>
      </c>
      <c r="Y66" s="12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9">
        <v>1</v>
      </c>
      <c r="AI66" s="11">
        <v>1</v>
      </c>
      <c r="AJ66" s="11">
        <v>1</v>
      </c>
      <c r="AK66" s="11">
        <v>0</v>
      </c>
      <c r="AL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  <c r="AT66" s="11">
        <v>1</v>
      </c>
      <c r="AU66" s="11">
        <v>0</v>
      </c>
      <c r="AV66" s="11">
        <v>0</v>
      </c>
      <c r="AW66" s="11">
        <v>0</v>
      </c>
      <c r="AX66" s="9" t="s">
        <v>4878</v>
      </c>
      <c r="AY66" s="11">
        <v>0</v>
      </c>
      <c r="AZ66" s="9"/>
      <c r="BA66" s="12" t="s">
        <v>4877</v>
      </c>
      <c r="BB66" s="12">
        <v>0</v>
      </c>
      <c r="BC66" s="9" t="s">
        <v>4878</v>
      </c>
      <c r="BD66" s="12">
        <v>0</v>
      </c>
      <c r="BE66" s="12">
        <v>0</v>
      </c>
      <c r="BF66" s="12">
        <v>0</v>
      </c>
      <c r="BI66" s="12">
        <v>0</v>
      </c>
      <c r="BJ66" s="12">
        <v>0</v>
      </c>
    </row>
    <row r="67" spans="1:62" x14ac:dyDescent="0.15">
      <c r="A67" s="7" t="s">
        <v>8391</v>
      </c>
      <c r="C67" s="7" t="s">
        <v>8392</v>
      </c>
      <c r="D67" s="8" t="s">
        <v>4881</v>
      </c>
      <c r="E67" s="9" t="s">
        <v>4882</v>
      </c>
      <c r="L67" s="10">
        <v>3631256.0010000002</v>
      </c>
      <c r="M67" s="10">
        <v>713871.98199999996</v>
      </c>
      <c r="N67" s="11">
        <v>15</v>
      </c>
      <c r="O67" s="11" t="s">
        <v>4871</v>
      </c>
      <c r="P67" s="13" t="s">
        <v>8393</v>
      </c>
      <c r="S67" s="9" t="s">
        <v>4881</v>
      </c>
      <c r="T67" s="12" t="s">
        <v>4797</v>
      </c>
      <c r="U67" s="12" t="s">
        <v>5018</v>
      </c>
      <c r="V67" s="12" t="s">
        <v>5019</v>
      </c>
      <c r="W67" s="12">
        <v>0</v>
      </c>
      <c r="X67" s="12">
        <v>0</v>
      </c>
      <c r="Y67" s="12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f>IF(FIND("D",T67),1,0)</f>
        <v>1</v>
      </c>
      <c r="AE67" s="11">
        <f>IF(FIND("C",T67),1,0)</f>
        <v>1</v>
      </c>
      <c r="AF67" s="11">
        <v>0</v>
      </c>
      <c r="AG67" s="11">
        <v>0</v>
      </c>
      <c r="AH67" s="9">
        <v>3</v>
      </c>
      <c r="AI67" s="11">
        <v>3</v>
      </c>
      <c r="AJ67" s="11">
        <v>1</v>
      </c>
      <c r="AK67" s="11">
        <v>1</v>
      </c>
      <c r="AL67" s="11">
        <v>0</v>
      </c>
      <c r="AN67" s="11">
        <v>0</v>
      </c>
      <c r="AO67" s="11">
        <v>0</v>
      </c>
      <c r="AP67" s="11">
        <v>0</v>
      </c>
      <c r="AQ67" s="11">
        <v>1</v>
      </c>
      <c r="AR67" s="11">
        <v>0</v>
      </c>
      <c r="AS67" s="11">
        <v>0</v>
      </c>
      <c r="AT67" s="11">
        <v>0</v>
      </c>
      <c r="AU67" s="11">
        <v>1</v>
      </c>
      <c r="AV67" s="11">
        <v>0</v>
      </c>
      <c r="AW67" s="11">
        <v>0</v>
      </c>
      <c r="AX67" s="9" t="s">
        <v>4878</v>
      </c>
      <c r="AY67" s="11">
        <v>0</v>
      </c>
      <c r="AZ67" s="9" t="s">
        <v>4843</v>
      </c>
      <c r="BA67" s="12" t="s">
        <v>4911</v>
      </c>
      <c r="BB67" s="9" t="s">
        <v>4909</v>
      </c>
      <c r="BC67" s="9" t="s">
        <v>4878</v>
      </c>
      <c r="BD67" s="12">
        <v>9</v>
      </c>
      <c r="BE67" s="12">
        <v>0</v>
      </c>
      <c r="BF67" s="12">
        <v>13184</v>
      </c>
      <c r="BI67">
        <f>BD67/BF67</f>
        <v>6.8264563106796119E-4</v>
      </c>
      <c r="BJ67">
        <f>BI67*10000</f>
        <v>6.8264563106796121</v>
      </c>
    </row>
    <row r="68" spans="1:62" x14ac:dyDescent="0.15">
      <c r="A68" s="7" t="s">
        <v>8394</v>
      </c>
      <c r="C68" s="7" t="s">
        <v>8240</v>
      </c>
      <c r="D68" s="8" t="s">
        <v>4881</v>
      </c>
      <c r="E68" s="9" t="s">
        <v>4882</v>
      </c>
      <c r="L68" s="10">
        <v>3632402.9739999999</v>
      </c>
      <c r="M68" s="10">
        <v>714442.04599999997</v>
      </c>
      <c r="N68" s="11">
        <v>15</v>
      </c>
      <c r="O68" s="11" t="s">
        <v>4871</v>
      </c>
      <c r="P68" s="13" t="s">
        <v>8241</v>
      </c>
      <c r="S68" s="9" t="s">
        <v>4881</v>
      </c>
      <c r="T68" s="12" t="s">
        <v>4887</v>
      </c>
      <c r="U68" s="12" t="s">
        <v>5016</v>
      </c>
      <c r="V68" s="12" t="s">
        <v>5018</v>
      </c>
      <c r="W68" s="12">
        <v>0</v>
      </c>
      <c r="X68" s="12">
        <v>0</v>
      </c>
      <c r="Y68" s="12">
        <v>0</v>
      </c>
      <c r="Z68" s="11">
        <v>0</v>
      </c>
      <c r="AA68" s="11">
        <v>0</v>
      </c>
      <c r="AB68" s="11">
        <f>IF(FIND("F",T68),1,0)</f>
        <v>1</v>
      </c>
      <c r="AC68" s="11">
        <v>1</v>
      </c>
      <c r="AD68" s="11">
        <f>IF(FIND("D",T68),1,0)</f>
        <v>1</v>
      </c>
      <c r="AE68" s="11">
        <v>0</v>
      </c>
      <c r="AF68" s="11">
        <v>0</v>
      </c>
      <c r="AG68" s="11">
        <v>0</v>
      </c>
      <c r="AH68" s="9">
        <v>1</v>
      </c>
      <c r="AI68" s="11">
        <v>1</v>
      </c>
      <c r="AJ68" s="11">
        <v>1</v>
      </c>
      <c r="AK68" s="11">
        <v>0</v>
      </c>
      <c r="AL68" s="11">
        <v>0</v>
      </c>
      <c r="AN68" s="11">
        <v>0</v>
      </c>
      <c r="AO68" s="11">
        <v>0</v>
      </c>
      <c r="AP68" s="11">
        <v>0</v>
      </c>
      <c r="AQ68" s="11">
        <v>0</v>
      </c>
      <c r="AR68" s="11">
        <v>0</v>
      </c>
      <c r="AS68" s="11">
        <v>0</v>
      </c>
      <c r="AT68" s="11">
        <v>1</v>
      </c>
      <c r="AU68" s="11">
        <v>0</v>
      </c>
      <c r="AV68" s="11">
        <v>0</v>
      </c>
      <c r="AW68" s="11">
        <v>0</v>
      </c>
      <c r="AX68" s="9" t="s">
        <v>4878</v>
      </c>
      <c r="AY68" s="11">
        <v>0</v>
      </c>
      <c r="AZ68" s="9" t="s">
        <v>4910</v>
      </c>
      <c r="BA68" s="12" t="s">
        <v>4911</v>
      </c>
      <c r="BB68" s="12">
        <v>0</v>
      </c>
      <c r="BC68" s="9" t="s">
        <v>4878</v>
      </c>
      <c r="BD68" s="12">
        <v>0</v>
      </c>
      <c r="BE68" s="12">
        <v>0</v>
      </c>
      <c r="BF68" s="12">
        <v>0</v>
      </c>
      <c r="BI68" s="12">
        <v>0</v>
      </c>
      <c r="BJ68" s="12">
        <v>0</v>
      </c>
    </row>
    <row r="69" spans="1:62" x14ac:dyDescent="0.15">
      <c r="A69" s="7" t="s">
        <v>8242</v>
      </c>
      <c r="C69" s="7" t="s">
        <v>8243</v>
      </c>
      <c r="D69" s="8" t="s">
        <v>4881</v>
      </c>
      <c r="E69" s="9" t="s">
        <v>4882</v>
      </c>
      <c r="L69" s="10">
        <v>3632897.0070000002</v>
      </c>
      <c r="M69" s="10">
        <v>715859.98699999996</v>
      </c>
      <c r="N69" s="11">
        <v>15</v>
      </c>
      <c r="O69" s="11" t="s">
        <v>4871</v>
      </c>
      <c r="P69" s="13" t="s">
        <v>8244</v>
      </c>
      <c r="S69" s="9" t="s">
        <v>4895</v>
      </c>
      <c r="T69" s="12" t="s">
        <v>4896</v>
      </c>
      <c r="U69" s="12" t="s">
        <v>4897</v>
      </c>
      <c r="V69" s="12" t="s">
        <v>4898</v>
      </c>
      <c r="W69" s="12">
        <v>0</v>
      </c>
      <c r="X69" s="12">
        <v>0</v>
      </c>
      <c r="Y69" s="12">
        <v>0</v>
      </c>
      <c r="Z69" s="11">
        <f>IF(FIND("H",T69),1,0)</f>
        <v>1</v>
      </c>
      <c r="AA69" s="11">
        <f>IF(FIND("G",T69),1,0)</f>
        <v>1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9">
        <v>2</v>
      </c>
      <c r="AI69" s="11">
        <v>2</v>
      </c>
      <c r="AJ69" s="11">
        <v>1</v>
      </c>
      <c r="AK69" s="11">
        <v>1</v>
      </c>
      <c r="AL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1</v>
      </c>
      <c r="AU69" s="11">
        <v>0</v>
      </c>
      <c r="AV69" s="11">
        <v>0</v>
      </c>
      <c r="AW69" s="11">
        <v>0</v>
      </c>
      <c r="AX69" s="9" t="s">
        <v>4878</v>
      </c>
      <c r="AY69" s="11">
        <v>0</v>
      </c>
      <c r="AZ69" s="9"/>
      <c r="BA69" s="12" t="s">
        <v>4877</v>
      </c>
      <c r="BB69" s="12">
        <v>0</v>
      </c>
      <c r="BC69" s="9" t="s">
        <v>4878</v>
      </c>
      <c r="BD69" s="12">
        <v>0</v>
      </c>
      <c r="BE69" s="12">
        <v>0</v>
      </c>
      <c r="BF69" s="12">
        <v>0</v>
      </c>
      <c r="BI69" s="12">
        <v>0</v>
      </c>
      <c r="BJ69" s="12">
        <v>0</v>
      </c>
    </row>
    <row r="70" spans="1:62" x14ac:dyDescent="0.15">
      <c r="A70" s="7" t="s">
        <v>8245</v>
      </c>
      <c r="C70" s="7" t="s">
        <v>8246</v>
      </c>
      <c r="D70" s="8" t="s">
        <v>4881</v>
      </c>
      <c r="E70" s="9" t="s">
        <v>4882</v>
      </c>
      <c r="L70" s="10">
        <v>3642940.0180000002</v>
      </c>
      <c r="M70" s="10">
        <v>740300.03399999999</v>
      </c>
      <c r="N70" s="11">
        <v>15</v>
      </c>
      <c r="O70" s="11" t="s">
        <v>4871</v>
      </c>
      <c r="P70" s="13" t="s">
        <v>8247</v>
      </c>
      <c r="S70" s="9" t="s">
        <v>4881</v>
      </c>
      <c r="T70" s="12" t="s">
        <v>4891</v>
      </c>
      <c r="U70" s="12" t="s">
        <v>5017</v>
      </c>
      <c r="V70" s="12" t="s">
        <v>5018</v>
      </c>
      <c r="W70" s="12">
        <v>0</v>
      </c>
      <c r="X70" s="12">
        <v>0</v>
      </c>
      <c r="Y70" s="12">
        <v>0</v>
      </c>
      <c r="Z70" s="11">
        <v>0</v>
      </c>
      <c r="AA70" s="11">
        <v>0</v>
      </c>
      <c r="AB70" s="11">
        <v>0</v>
      </c>
      <c r="AC70" s="11">
        <f>IF(FIND("E",T70),1,0)</f>
        <v>1</v>
      </c>
      <c r="AD70" s="11">
        <f>IF(FIND("D",T70),1,0)</f>
        <v>1</v>
      </c>
      <c r="AE70" s="11">
        <v>0</v>
      </c>
      <c r="AF70" s="11">
        <v>0</v>
      </c>
      <c r="AG70" s="11">
        <v>0</v>
      </c>
      <c r="AH70" s="9" t="s">
        <v>8248</v>
      </c>
      <c r="AI70" s="11">
        <v>2</v>
      </c>
      <c r="AJ70" s="11">
        <v>1</v>
      </c>
      <c r="AK70" s="11">
        <v>1</v>
      </c>
      <c r="AL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1">
        <v>0</v>
      </c>
      <c r="AT70" s="11">
        <v>1</v>
      </c>
      <c r="AU70" s="11">
        <v>0</v>
      </c>
      <c r="AV70" s="11">
        <v>0</v>
      </c>
      <c r="AW70" s="11">
        <v>0</v>
      </c>
      <c r="AX70" s="9" t="s">
        <v>4878</v>
      </c>
      <c r="AY70" s="11">
        <v>0</v>
      </c>
      <c r="AZ70" s="9"/>
      <c r="BA70" s="12" t="s">
        <v>4877</v>
      </c>
      <c r="BB70" s="12">
        <v>0</v>
      </c>
      <c r="BC70" s="9" t="s">
        <v>4878</v>
      </c>
      <c r="BD70" s="12">
        <v>0</v>
      </c>
      <c r="BE70" s="12">
        <v>0</v>
      </c>
      <c r="BF70" s="12">
        <v>0</v>
      </c>
      <c r="BI70" s="12">
        <v>0</v>
      </c>
      <c r="BJ70" s="12">
        <v>0</v>
      </c>
    </row>
    <row r="71" spans="1:62" x14ac:dyDescent="0.15">
      <c r="A71" s="7" t="s">
        <v>8249</v>
      </c>
      <c r="C71" s="7" t="s">
        <v>8250</v>
      </c>
      <c r="D71" s="8" t="s">
        <v>4881</v>
      </c>
      <c r="E71" s="9" t="s">
        <v>4882</v>
      </c>
      <c r="L71" s="10">
        <v>3640564.0350000001</v>
      </c>
      <c r="M71" s="10">
        <v>743207.98699999996</v>
      </c>
      <c r="N71" s="11">
        <v>15</v>
      </c>
      <c r="O71" s="11" t="s">
        <v>4871</v>
      </c>
      <c r="P71" s="13" t="s">
        <v>8251</v>
      </c>
      <c r="S71" s="9" t="s">
        <v>4881</v>
      </c>
      <c r="T71" s="12" t="s">
        <v>4902</v>
      </c>
      <c r="U71" s="12" t="s">
        <v>4902</v>
      </c>
      <c r="V71" s="12" t="s">
        <v>4902</v>
      </c>
      <c r="W71" s="12">
        <v>0</v>
      </c>
      <c r="X71" s="12">
        <v>0</v>
      </c>
      <c r="Y71" s="12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9">
        <v>4</v>
      </c>
      <c r="AI71" s="11">
        <v>4</v>
      </c>
      <c r="AJ71" s="11">
        <v>1</v>
      </c>
      <c r="AK71" s="11">
        <v>1</v>
      </c>
      <c r="AL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1</v>
      </c>
      <c r="AS71" s="11">
        <v>0</v>
      </c>
      <c r="AT71" s="11">
        <v>0</v>
      </c>
      <c r="AU71" s="11">
        <v>0</v>
      </c>
      <c r="AV71" s="11">
        <v>0</v>
      </c>
      <c r="AW71" s="11">
        <v>0</v>
      </c>
      <c r="AX71" s="9" t="s">
        <v>4878</v>
      </c>
      <c r="AY71" s="11">
        <v>0</v>
      </c>
      <c r="AZ71" s="9"/>
      <c r="BA71" s="12" t="s">
        <v>4877</v>
      </c>
      <c r="BB71" s="12">
        <v>0</v>
      </c>
      <c r="BC71" s="9" t="s">
        <v>4878</v>
      </c>
      <c r="BD71" s="12">
        <v>14</v>
      </c>
      <c r="BE71" s="12">
        <v>0</v>
      </c>
      <c r="BF71" s="12">
        <v>5250</v>
      </c>
      <c r="BI71">
        <f>BD71/BF71</f>
        <v>2.6666666666666666E-3</v>
      </c>
      <c r="BJ71">
        <f>BI71*10000</f>
        <v>26.666666666666664</v>
      </c>
    </row>
    <row r="72" spans="1:62" x14ac:dyDescent="0.15">
      <c r="A72" s="7" t="s">
        <v>8252</v>
      </c>
      <c r="C72" s="7" t="s">
        <v>8253</v>
      </c>
      <c r="D72" s="8" t="s">
        <v>4881</v>
      </c>
      <c r="E72" s="9" t="s">
        <v>4882</v>
      </c>
      <c r="L72" s="10">
        <v>3641088.0460000001</v>
      </c>
      <c r="M72" s="10">
        <v>745019.99600000004</v>
      </c>
      <c r="N72" s="11">
        <v>15</v>
      </c>
      <c r="O72" s="11" t="s">
        <v>4871</v>
      </c>
      <c r="P72" s="13" t="s">
        <v>8254</v>
      </c>
      <c r="S72" s="9" t="s">
        <v>4881</v>
      </c>
      <c r="T72" s="12" t="s">
        <v>4891</v>
      </c>
      <c r="U72" s="12" t="s">
        <v>5017</v>
      </c>
      <c r="V72" s="12" t="s">
        <v>5018</v>
      </c>
      <c r="W72" s="12">
        <v>0</v>
      </c>
      <c r="X72" s="12">
        <v>0</v>
      </c>
      <c r="Y72" s="12">
        <v>0</v>
      </c>
      <c r="Z72" s="11">
        <v>0</v>
      </c>
      <c r="AA72" s="11">
        <v>0</v>
      </c>
      <c r="AB72" s="11">
        <v>0</v>
      </c>
      <c r="AC72" s="11">
        <f t="shared" ref="AC72:AC79" si="0">IF(FIND("E",T72),1,0)</f>
        <v>1</v>
      </c>
      <c r="AD72" s="11">
        <f t="shared" ref="AD72:AD77" si="1">IF(FIND("D",T72),1,0)</f>
        <v>1</v>
      </c>
      <c r="AE72" s="11">
        <v>0</v>
      </c>
      <c r="AF72" s="11">
        <v>0</v>
      </c>
      <c r="AG72" s="11">
        <v>0</v>
      </c>
      <c r="AH72" s="9">
        <v>4</v>
      </c>
      <c r="AI72" s="11">
        <v>4</v>
      </c>
      <c r="AJ72" s="11">
        <v>1</v>
      </c>
      <c r="AK72" s="11">
        <v>1</v>
      </c>
      <c r="AL72" s="11">
        <v>0</v>
      </c>
      <c r="AN72" s="11">
        <v>0</v>
      </c>
      <c r="AO72" s="11">
        <v>0</v>
      </c>
      <c r="AP72" s="11">
        <v>0</v>
      </c>
      <c r="AQ72" s="11">
        <v>0</v>
      </c>
      <c r="AR72" s="11">
        <v>1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9" t="s">
        <v>4878</v>
      </c>
      <c r="AY72" s="11">
        <v>0</v>
      </c>
      <c r="AZ72" s="9"/>
      <c r="BA72" s="12" t="s">
        <v>4877</v>
      </c>
      <c r="BB72" s="12">
        <v>0</v>
      </c>
      <c r="BC72" s="9" t="s">
        <v>4878</v>
      </c>
      <c r="BD72" s="12">
        <v>0</v>
      </c>
      <c r="BE72" s="12">
        <v>0</v>
      </c>
      <c r="BF72" s="12">
        <v>0</v>
      </c>
      <c r="BI72" s="12">
        <v>0</v>
      </c>
      <c r="BJ72" s="12">
        <v>0</v>
      </c>
    </row>
    <row r="73" spans="1:62" x14ac:dyDescent="0.15">
      <c r="A73" s="7" t="s">
        <v>8255</v>
      </c>
      <c r="C73" s="7" t="s">
        <v>8256</v>
      </c>
      <c r="D73" s="8" t="s">
        <v>4881</v>
      </c>
      <c r="E73" s="9" t="s">
        <v>4882</v>
      </c>
      <c r="L73" s="10">
        <v>3643361.9709999999</v>
      </c>
      <c r="M73" s="10">
        <v>740105.98800000001</v>
      </c>
      <c r="N73" s="11">
        <v>15</v>
      </c>
      <c r="O73" s="11" t="s">
        <v>4871</v>
      </c>
      <c r="P73" s="13" t="s">
        <v>8257</v>
      </c>
      <c r="S73" s="9" t="s">
        <v>4881</v>
      </c>
      <c r="T73" s="12" t="s">
        <v>4891</v>
      </c>
      <c r="U73" s="12" t="s">
        <v>5017</v>
      </c>
      <c r="V73" s="12" t="s">
        <v>5018</v>
      </c>
      <c r="W73" s="12">
        <v>0</v>
      </c>
      <c r="X73" s="12">
        <v>0</v>
      </c>
      <c r="Y73" s="12">
        <v>0</v>
      </c>
      <c r="Z73" s="11">
        <v>0</v>
      </c>
      <c r="AA73" s="11">
        <v>0</v>
      </c>
      <c r="AB73" s="11">
        <v>0</v>
      </c>
      <c r="AC73" s="11">
        <f t="shared" si="0"/>
        <v>1</v>
      </c>
      <c r="AD73" s="11">
        <f t="shared" si="1"/>
        <v>1</v>
      </c>
      <c r="AE73" s="11">
        <v>0</v>
      </c>
      <c r="AF73" s="11">
        <v>0</v>
      </c>
      <c r="AG73" s="11">
        <v>0</v>
      </c>
      <c r="AH73" s="9">
        <v>1</v>
      </c>
      <c r="AI73" s="11">
        <v>1</v>
      </c>
      <c r="AJ73" s="11">
        <v>1</v>
      </c>
      <c r="AK73" s="11">
        <v>0</v>
      </c>
      <c r="AL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1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9" t="s">
        <v>4909</v>
      </c>
      <c r="AY73" s="11">
        <v>0</v>
      </c>
      <c r="AZ73" s="9" t="s">
        <v>4910</v>
      </c>
      <c r="BA73" s="12" t="s">
        <v>4911</v>
      </c>
      <c r="BB73" s="12">
        <v>0</v>
      </c>
      <c r="BC73" s="9" t="s">
        <v>4909</v>
      </c>
      <c r="BD73" s="12">
        <v>10</v>
      </c>
      <c r="BE73" s="12">
        <v>0</v>
      </c>
      <c r="BF73" s="12">
        <v>2827.4333882308138</v>
      </c>
      <c r="BI73">
        <f>BD73/BF73</f>
        <v>3.5367765131532297E-3</v>
      </c>
      <c r="BJ73">
        <f>BI73*10000</f>
        <v>35.367765131532295</v>
      </c>
    </row>
    <row r="74" spans="1:62" x14ac:dyDescent="0.15">
      <c r="A74" s="7" t="s">
        <v>8258</v>
      </c>
      <c r="C74" s="7" t="s">
        <v>8259</v>
      </c>
      <c r="D74" s="8" t="s">
        <v>4881</v>
      </c>
      <c r="E74" s="9" t="s">
        <v>4882</v>
      </c>
      <c r="L74" s="10">
        <v>3653239.0260000001</v>
      </c>
      <c r="M74" s="10">
        <v>752423.03899999999</v>
      </c>
      <c r="N74" s="11">
        <v>15</v>
      </c>
      <c r="O74" s="11" t="s">
        <v>4871</v>
      </c>
      <c r="P74" s="13" t="s">
        <v>8260</v>
      </c>
      <c r="S74" s="9" t="s">
        <v>4881</v>
      </c>
      <c r="T74" s="12" t="s">
        <v>4891</v>
      </c>
      <c r="U74" s="12" t="s">
        <v>5017</v>
      </c>
      <c r="V74" s="12" t="s">
        <v>5018</v>
      </c>
      <c r="W74" s="12">
        <v>0</v>
      </c>
      <c r="X74" s="12">
        <v>0</v>
      </c>
      <c r="Y74" s="12">
        <v>0</v>
      </c>
      <c r="Z74" s="11">
        <v>0</v>
      </c>
      <c r="AA74" s="11">
        <v>0</v>
      </c>
      <c r="AB74" s="11">
        <v>0</v>
      </c>
      <c r="AC74" s="11">
        <f t="shared" si="0"/>
        <v>1</v>
      </c>
      <c r="AD74" s="11">
        <f t="shared" si="1"/>
        <v>1</v>
      </c>
      <c r="AE74" s="11">
        <v>0</v>
      </c>
      <c r="AF74" s="11">
        <v>0</v>
      </c>
      <c r="AG74" s="11">
        <v>0</v>
      </c>
      <c r="AH74" s="9">
        <v>0</v>
      </c>
      <c r="AI74" s="11">
        <v>0</v>
      </c>
      <c r="AJ74" s="11">
        <v>0</v>
      </c>
      <c r="AK74" s="11">
        <v>0</v>
      </c>
      <c r="AL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1">
        <v>0</v>
      </c>
      <c r="AV74" s="11">
        <v>0</v>
      </c>
      <c r="AW74" s="11">
        <v>0</v>
      </c>
      <c r="AX74" s="9" t="s">
        <v>4878</v>
      </c>
      <c r="AY74" s="11">
        <v>0</v>
      </c>
      <c r="AZ74" s="9"/>
      <c r="BA74" s="12" t="s">
        <v>4877</v>
      </c>
      <c r="BB74" s="12">
        <v>0</v>
      </c>
      <c r="BC74" s="9" t="s">
        <v>4878</v>
      </c>
      <c r="BD74" s="12">
        <v>0</v>
      </c>
      <c r="BE74" s="12">
        <v>0</v>
      </c>
      <c r="BF74" s="12">
        <v>0</v>
      </c>
      <c r="BI74" s="12">
        <v>0</v>
      </c>
      <c r="BJ74" s="12">
        <v>0</v>
      </c>
    </row>
    <row r="75" spans="1:62" x14ac:dyDescent="0.15">
      <c r="A75" s="7" t="s">
        <v>8261</v>
      </c>
      <c r="C75" s="7" t="s">
        <v>8262</v>
      </c>
      <c r="D75" s="8" t="s">
        <v>4881</v>
      </c>
      <c r="E75" s="9" t="s">
        <v>4882</v>
      </c>
      <c r="L75" s="10">
        <v>3653239.0260000001</v>
      </c>
      <c r="M75" s="10">
        <v>752423.03899999999</v>
      </c>
      <c r="N75" s="11">
        <v>15</v>
      </c>
      <c r="O75" s="11" t="s">
        <v>4871</v>
      </c>
      <c r="P75" s="13" t="s">
        <v>8263</v>
      </c>
      <c r="S75" s="9" t="s">
        <v>4881</v>
      </c>
      <c r="T75" s="12" t="s">
        <v>4891</v>
      </c>
      <c r="U75" s="12" t="s">
        <v>5017</v>
      </c>
      <c r="V75" s="12" t="s">
        <v>5018</v>
      </c>
      <c r="W75" s="12">
        <v>0</v>
      </c>
      <c r="X75" s="12">
        <v>0</v>
      </c>
      <c r="Y75" s="12">
        <v>0</v>
      </c>
      <c r="Z75" s="11">
        <v>0</v>
      </c>
      <c r="AA75" s="11">
        <v>0</v>
      </c>
      <c r="AB75" s="11">
        <v>0</v>
      </c>
      <c r="AC75" s="11">
        <f t="shared" si="0"/>
        <v>1</v>
      </c>
      <c r="AD75" s="11">
        <f t="shared" si="1"/>
        <v>1</v>
      </c>
      <c r="AE75" s="11">
        <v>0</v>
      </c>
      <c r="AF75" s="11">
        <v>0</v>
      </c>
      <c r="AG75" s="11">
        <v>0</v>
      </c>
      <c r="AH75" s="9">
        <v>1</v>
      </c>
      <c r="AI75" s="11">
        <v>1</v>
      </c>
      <c r="AJ75" s="11">
        <v>1</v>
      </c>
      <c r="AK75" s="11">
        <v>0</v>
      </c>
      <c r="AL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1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  <c r="AX75" s="9" t="s">
        <v>4878</v>
      </c>
      <c r="AY75" s="11">
        <v>0</v>
      </c>
      <c r="AZ75" s="9"/>
      <c r="BA75" s="12" t="s">
        <v>4877</v>
      </c>
      <c r="BB75" s="12">
        <v>0</v>
      </c>
      <c r="BC75" s="9" t="s">
        <v>4878</v>
      </c>
      <c r="BD75" s="12">
        <v>12</v>
      </c>
      <c r="BE75" s="12">
        <v>0</v>
      </c>
      <c r="BF75" s="12">
        <v>768</v>
      </c>
      <c r="BI75">
        <f>BD75/BF75</f>
        <v>1.5625E-2</v>
      </c>
      <c r="BJ75">
        <f>BI75*10000</f>
        <v>156.25</v>
      </c>
    </row>
    <row r="76" spans="1:62" x14ac:dyDescent="0.15">
      <c r="A76" s="7" t="s">
        <v>8264</v>
      </c>
      <c r="C76" s="7" t="s">
        <v>8265</v>
      </c>
      <c r="D76" s="8" t="s">
        <v>4881</v>
      </c>
      <c r="E76" s="9" t="s">
        <v>4882</v>
      </c>
      <c r="L76" s="10">
        <v>3653239.0260000001</v>
      </c>
      <c r="M76" s="10">
        <v>752423.03899999999</v>
      </c>
      <c r="N76" s="11">
        <v>15</v>
      </c>
      <c r="O76" s="11" t="s">
        <v>4871</v>
      </c>
      <c r="P76" s="13" t="s">
        <v>8266</v>
      </c>
      <c r="S76" s="9" t="s">
        <v>4881</v>
      </c>
      <c r="T76" s="12" t="s">
        <v>4891</v>
      </c>
      <c r="U76" s="12" t="s">
        <v>5017</v>
      </c>
      <c r="V76" s="12" t="s">
        <v>5018</v>
      </c>
      <c r="W76" s="12">
        <v>0</v>
      </c>
      <c r="X76" s="12">
        <v>0</v>
      </c>
      <c r="Y76" s="12">
        <v>0</v>
      </c>
      <c r="Z76" s="11">
        <v>0</v>
      </c>
      <c r="AA76" s="11">
        <v>0</v>
      </c>
      <c r="AB76" s="11">
        <v>0</v>
      </c>
      <c r="AC76" s="11">
        <f t="shared" si="0"/>
        <v>1</v>
      </c>
      <c r="AD76" s="11">
        <f t="shared" si="1"/>
        <v>1</v>
      </c>
      <c r="AE76" s="11">
        <v>0</v>
      </c>
      <c r="AF76" s="11">
        <v>0</v>
      </c>
      <c r="AG76" s="11">
        <v>0</v>
      </c>
      <c r="AH76" s="9" t="s">
        <v>8248</v>
      </c>
      <c r="AI76" s="11">
        <v>2</v>
      </c>
      <c r="AJ76" s="11">
        <v>1</v>
      </c>
      <c r="AK76" s="11">
        <v>1</v>
      </c>
      <c r="AL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0</v>
      </c>
      <c r="AT76" s="11">
        <v>1</v>
      </c>
      <c r="AU76" s="11">
        <v>0</v>
      </c>
      <c r="AV76" s="11">
        <v>0</v>
      </c>
      <c r="AW76" s="11">
        <v>0</v>
      </c>
      <c r="AX76" s="9" t="s">
        <v>4878</v>
      </c>
      <c r="AY76" s="11">
        <v>0</v>
      </c>
      <c r="AZ76" s="9"/>
      <c r="BA76" s="12" t="s">
        <v>4877</v>
      </c>
      <c r="BB76" s="12">
        <v>0</v>
      </c>
      <c r="BC76" s="9" t="s">
        <v>4878</v>
      </c>
      <c r="BD76" s="12">
        <v>0</v>
      </c>
      <c r="BE76" s="12">
        <v>0</v>
      </c>
      <c r="BF76" s="12">
        <v>0</v>
      </c>
      <c r="BI76" s="12">
        <v>0</v>
      </c>
      <c r="BJ76" s="12">
        <v>0</v>
      </c>
    </row>
    <row r="77" spans="1:62" x14ac:dyDescent="0.15">
      <c r="A77" s="7" t="s">
        <v>8267</v>
      </c>
      <c r="C77" s="7" t="s">
        <v>8268</v>
      </c>
      <c r="D77" s="8" t="s">
        <v>4881</v>
      </c>
      <c r="E77" s="9" t="s">
        <v>4882</v>
      </c>
      <c r="L77" s="10">
        <v>3652385.9679999999</v>
      </c>
      <c r="M77" s="10">
        <v>741132.98</v>
      </c>
      <c r="N77" s="11">
        <v>15</v>
      </c>
      <c r="O77" s="11" t="s">
        <v>4871</v>
      </c>
      <c r="P77" s="13" t="s">
        <v>8269</v>
      </c>
      <c r="S77" s="9" t="s">
        <v>4881</v>
      </c>
      <c r="T77" s="12" t="s">
        <v>4891</v>
      </c>
      <c r="U77" s="12" t="s">
        <v>5017</v>
      </c>
      <c r="V77" s="12" t="s">
        <v>5018</v>
      </c>
      <c r="W77" s="12">
        <v>0</v>
      </c>
      <c r="X77" s="12">
        <v>0</v>
      </c>
      <c r="Y77" s="12">
        <v>0</v>
      </c>
      <c r="Z77" s="11">
        <v>0</v>
      </c>
      <c r="AA77" s="11">
        <v>0</v>
      </c>
      <c r="AB77" s="11">
        <v>0</v>
      </c>
      <c r="AC77" s="11">
        <f t="shared" si="0"/>
        <v>1</v>
      </c>
      <c r="AD77" s="11">
        <f t="shared" si="1"/>
        <v>1</v>
      </c>
      <c r="AE77" s="11">
        <v>0</v>
      </c>
      <c r="AF77" s="11">
        <v>0</v>
      </c>
      <c r="AG77" s="11">
        <v>0</v>
      </c>
      <c r="AH77" s="9">
        <v>1</v>
      </c>
      <c r="AI77" s="11">
        <v>1</v>
      </c>
      <c r="AJ77" s="11">
        <v>1</v>
      </c>
      <c r="AK77" s="11">
        <v>0</v>
      </c>
      <c r="AL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</v>
      </c>
      <c r="AT77" s="11">
        <v>1</v>
      </c>
      <c r="AU77" s="11">
        <v>0</v>
      </c>
      <c r="AV77" s="11">
        <v>0</v>
      </c>
      <c r="AW77" s="11">
        <v>0</v>
      </c>
      <c r="AX77" s="9" t="s">
        <v>4909</v>
      </c>
      <c r="AY77" s="11">
        <v>0</v>
      </c>
      <c r="AZ77" s="9"/>
      <c r="BA77" s="12" t="s">
        <v>4877</v>
      </c>
      <c r="BB77" s="12">
        <v>0</v>
      </c>
      <c r="BC77" s="9" t="s">
        <v>4878</v>
      </c>
      <c r="BD77" s="12">
        <v>0</v>
      </c>
      <c r="BE77" s="12">
        <v>0</v>
      </c>
      <c r="BF77" s="12">
        <v>0</v>
      </c>
      <c r="BI77" s="12">
        <v>0</v>
      </c>
      <c r="BJ77" s="12">
        <v>0</v>
      </c>
    </row>
    <row r="78" spans="1:62" x14ac:dyDescent="0.15">
      <c r="A78" s="7" t="s">
        <v>8270</v>
      </c>
      <c r="C78" s="7" t="s">
        <v>8271</v>
      </c>
      <c r="D78" s="8" t="s">
        <v>4881</v>
      </c>
      <c r="E78" s="9" t="s">
        <v>4882</v>
      </c>
      <c r="L78" s="10">
        <v>3649507.9530000002</v>
      </c>
      <c r="M78" s="10">
        <v>733952.04500000004</v>
      </c>
      <c r="N78" s="11">
        <v>15</v>
      </c>
      <c r="O78" s="11" t="s">
        <v>4871</v>
      </c>
      <c r="P78" s="13" t="s">
        <v>8272</v>
      </c>
      <c r="S78" s="9" t="s">
        <v>4881</v>
      </c>
      <c r="T78" s="12" t="s">
        <v>4884</v>
      </c>
      <c r="U78" s="12" t="s">
        <v>5016</v>
      </c>
      <c r="V78" s="12" t="s">
        <v>5017</v>
      </c>
      <c r="W78" s="12">
        <v>0</v>
      </c>
      <c r="X78" s="12">
        <v>0</v>
      </c>
      <c r="Y78" s="12">
        <v>0</v>
      </c>
      <c r="Z78" s="11">
        <v>0</v>
      </c>
      <c r="AA78" s="11">
        <v>0</v>
      </c>
      <c r="AB78" s="11">
        <f>IF(FIND("F",T78),1,0)</f>
        <v>1</v>
      </c>
      <c r="AC78" s="11">
        <f t="shared" si="0"/>
        <v>1</v>
      </c>
      <c r="AD78" s="11">
        <v>0</v>
      </c>
      <c r="AE78" s="11">
        <v>0</v>
      </c>
      <c r="AF78" s="11">
        <v>0</v>
      </c>
      <c r="AG78" s="11">
        <v>0</v>
      </c>
      <c r="AH78" s="9">
        <v>1</v>
      </c>
      <c r="AI78" s="11">
        <v>1</v>
      </c>
      <c r="AJ78" s="11">
        <v>1</v>
      </c>
      <c r="AK78" s="11">
        <v>0</v>
      </c>
      <c r="AL78" s="11">
        <v>0</v>
      </c>
      <c r="AN78" s="11">
        <v>0</v>
      </c>
      <c r="AO78" s="11">
        <v>0</v>
      </c>
      <c r="AP78" s="11">
        <v>0</v>
      </c>
      <c r="AQ78" s="11">
        <v>0</v>
      </c>
      <c r="AR78" s="11">
        <v>1</v>
      </c>
      <c r="AS78" s="11">
        <v>0</v>
      </c>
      <c r="AT78" s="11">
        <v>0</v>
      </c>
      <c r="AU78" s="11">
        <v>0</v>
      </c>
      <c r="AV78" s="11">
        <v>0</v>
      </c>
      <c r="AW78" s="11">
        <v>0</v>
      </c>
      <c r="AX78" s="9" t="s">
        <v>4878</v>
      </c>
      <c r="AY78" s="11">
        <v>0</v>
      </c>
      <c r="AZ78" s="9"/>
      <c r="BA78" s="12" t="s">
        <v>4877</v>
      </c>
      <c r="BB78" s="12">
        <v>0</v>
      </c>
      <c r="BC78" s="9" t="s">
        <v>4878</v>
      </c>
      <c r="BD78" s="12">
        <v>32.808398950131235</v>
      </c>
      <c r="BE78" s="12">
        <v>0</v>
      </c>
      <c r="BF78" s="12">
        <v>17119.259831323419</v>
      </c>
      <c r="BI78">
        <f>BD78/BF78</f>
        <v>1.9164612999272967E-3</v>
      </c>
      <c r="BJ78">
        <f>BI78*10000</f>
        <v>19.164612999272968</v>
      </c>
    </row>
    <row r="79" spans="1:62" x14ac:dyDescent="0.15">
      <c r="A79" s="7" t="s">
        <v>8273</v>
      </c>
      <c r="C79" s="7" t="s">
        <v>8274</v>
      </c>
      <c r="D79" s="8" t="s">
        <v>4881</v>
      </c>
      <c r="E79" s="9" t="s">
        <v>4882</v>
      </c>
      <c r="L79" s="10">
        <v>3650176.9789999998</v>
      </c>
      <c r="M79" s="10">
        <v>734749.02</v>
      </c>
      <c r="N79" s="11">
        <v>15</v>
      </c>
      <c r="O79" s="11" t="s">
        <v>4871</v>
      </c>
      <c r="P79" s="13" t="s">
        <v>8275</v>
      </c>
      <c r="S79" s="9" t="s">
        <v>4881</v>
      </c>
      <c r="T79" s="12" t="s">
        <v>8276</v>
      </c>
      <c r="U79" s="12" t="s">
        <v>4898</v>
      </c>
      <c r="V79" s="12" t="s">
        <v>5017</v>
      </c>
      <c r="W79" s="12">
        <v>0</v>
      </c>
      <c r="X79" s="12">
        <v>0</v>
      </c>
      <c r="Y79" s="12">
        <v>0</v>
      </c>
      <c r="Z79" s="11">
        <v>0</v>
      </c>
      <c r="AA79" s="11">
        <f>IF(FIND("G",T79),1,0)</f>
        <v>1</v>
      </c>
      <c r="AB79" s="11">
        <v>1</v>
      </c>
      <c r="AC79" s="11">
        <f t="shared" si="0"/>
        <v>1</v>
      </c>
      <c r="AD79" s="11">
        <v>0</v>
      </c>
      <c r="AE79" s="11">
        <v>0</v>
      </c>
      <c r="AF79" s="11">
        <v>0</v>
      </c>
      <c r="AG79" s="11">
        <v>0</v>
      </c>
      <c r="AH79" s="9">
        <v>2</v>
      </c>
      <c r="AI79" s="11">
        <v>2</v>
      </c>
      <c r="AJ79" s="11">
        <v>1</v>
      </c>
      <c r="AK79" s="11">
        <v>1</v>
      </c>
      <c r="AL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1</v>
      </c>
      <c r="AU79" s="11">
        <v>0</v>
      </c>
      <c r="AV79" s="11">
        <v>0</v>
      </c>
      <c r="AW79" s="11">
        <v>0</v>
      </c>
      <c r="AX79" s="9" t="s">
        <v>4878</v>
      </c>
      <c r="AY79" s="11">
        <v>0</v>
      </c>
      <c r="AZ79" s="9"/>
      <c r="BA79" s="12" t="s">
        <v>4877</v>
      </c>
      <c r="BB79" s="12">
        <v>0</v>
      </c>
      <c r="BC79" s="9" t="s">
        <v>4878</v>
      </c>
      <c r="BD79" s="12">
        <v>0</v>
      </c>
      <c r="BE79" s="12">
        <v>0</v>
      </c>
      <c r="BF79" s="12">
        <v>0</v>
      </c>
      <c r="BI79" s="12">
        <v>0</v>
      </c>
      <c r="BJ79" s="12">
        <v>0</v>
      </c>
    </row>
    <row r="80" spans="1:62" x14ac:dyDescent="0.15">
      <c r="A80" s="7" t="s">
        <v>8277</v>
      </c>
      <c r="C80" s="7" t="s">
        <v>8278</v>
      </c>
      <c r="D80" s="8" t="s">
        <v>4881</v>
      </c>
      <c r="E80" s="9" t="s">
        <v>4882</v>
      </c>
      <c r="L80" s="10">
        <v>3644862.9739999999</v>
      </c>
      <c r="M80" s="10">
        <v>736380.01899999997</v>
      </c>
      <c r="N80" s="11">
        <v>15</v>
      </c>
      <c r="O80" s="11" t="s">
        <v>4871</v>
      </c>
      <c r="P80" s="13" t="s">
        <v>8279</v>
      </c>
      <c r="S80" s="9" t="s">
        <v>4881</v>
      </c>
      <c r="T80" s="12" t="s">
        <v>8280</v>
      </c>
      <c r="U80" s="12" t="s">
        <v>5016</v>
      </c>
      <c r="V80" s="12" t="s">
        <v>5021</v>
      </c>
      <c r="W80" s="12">
        <v>0</v>
      </c>
      <c r="X80" s="12">
        <v>0</v>
      </c>
      <c r="Y80" s="12">
        <v>0</v>
      </c>
      <c r="Z80" s="11">
        <v>0</v>
      </c>
      <c r="AA80" s="11">
        <v>0</v>
      </c>
      <c r="AB80" s="11">
        <f>IF(FIND("F",T80),1,0)</f>
        <v>1</v>
      </c>
      <c r="AC80" s="11">
        <v>1</v>
      </c>
      <c r="AD80" s="11">
        <v>1</v>
      </c>
      <c r="AE80" s="11">
        <v>1</v>
      </c>
      <c r="AF80" s="11">
        <v>1</v>
      </c>
      <c r="AG80" s="11">
        <f>IF(FIND("A",T80),1,0)</f>
        <v>1</v>
      </c>
      <c r="AH80" s="9">
        <v>2</v>
      </c>
      <c r="AI80" s="11">
        <v>2</v>
      </c>
      <c r="AJ80" s="11">
        <v>1</v>
      </c>
      <c r="AK80" s="11">
        <v>1</v>
      </c>
      <c r="AL80" s="11">
        <v>1</v>
      </c>
      <c r="AN80" s="11">
        <v>0</v>
      </c>
      <c r="AO80" s="11">
        <v>0</v>
      </c>
      <c r="AP80" s="11">
        <v>0</v>
      </c>
      <c r="AQ80" s="11">
        <v>0</v>
      </c>
      <c r="AR80" s="11">
        <v>1</v>
      </c>
      <c r="AS80" s="11">
        <v>0</v>
      </c>
      <c r="AT80" s="11">
        <v>0</v>
      </c>
      <c r="AU80" s="11">
        <v>0</v>
      </c>
      <c r="AV80" s="11">
        <v>0</v>
      </c>
      <c r="AW80" s="11">
        <v>0</v>
      </c>
      <c r="AX80" s="9" t="s">
        <v>4909</v>
      </c>
      <c r="AY80" s="11">
        <v>0</v>
      </c>
      <c r="AZ80" s="9" t="s">
        <v>4910</v>
      </c>
      <c r="BA80" s="12" t="s">
        <v>4911</v>
      </c>
      <c r="BB80" s="12">
        <v>0</v>
      </c>
      <c r="BC80" s="9" t="s">
        <v>4909</v>
      </c>
      <c r="BD80" s="12">
        <v>0</v>
      </c>
      <c r="BE80" s="12">
        <v>0</v>
      </c>
      <c r="BF80" s="12">
        <v>0</v>
      </c>
      <c r="BI80" s="12">
        <v>0</v>
      </c>
      <c r="BJ80" s="12">
        <v>0</v>
      </c>
    </row>
    <row r="81" spans="1:62" x14ac:dyDescent="0.15">
      <c r="A81" s="7" t="s">
        <v>8281</v>
      </c>
      <c r="C81" s="7" t="s">
        <v>8282</v>
      </c>
      <c r="D81" s="8" t="s">
        <v>4881</v>
      </c>
      <c r="E81" s="9" t="s">
        <v>4882</v>
      </c>
      <c r="L81" s="10">
        <v>3614869.9890000001</v>
      </c>
      <c r="M81" s="10">
        <v>681002.03599999996</v>
      </c>
      <c r="N81" s="11">
        <v>15</v>
      </c>
      <c r="O81" s="11" t="s">
        <v>4871</v>
      </c>
      <c r="P81" s="13" t="s">
        <v>8283</v>
      </c>
      <c r="S81" s="9" t="s">
        <v>4881</v>
      </c>
      <c r="T81" s="12" t="s">
        <v>4875</v>
      </c>
      <c r="U81" s="12" t="s">
        <v>5020</v>
      </c>
      <c r="V81" s="12" t="s">
        <v>5021</v>
      </c>
      <c r="W81" s="12">
        <v>0</v>
      </c>
      <c r="X81" s="12">
        <v>0</v>
      </c>
      <c r="Y81" s="12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f>IF(FIND("B",T81),1,0)</f>
        <v>1</v>
      </c>
      <c r="AG81" s="11">
        <f>IF(FIND("A",T81),1,0)</f>
        <v>1</v>
      </c>
      <c r="AH81" s="9">
        <v>1</v>
      </c>
      <c r="AI81" s="11">
        <v>1</v>
      </c>
      <c r="AJ81" s="11">
        <v>1</v>
      </c>
      <c r="AK81" s="11">
        <v>0</v>
      </c>
      <c r="AL81" s="11">
        <v>1</v>
      </c>
      <c r="AN81" s="11">
        <v>1</v>
      </c>
      <c r="AO81" s="11">
        <v>0</v>
      </c>
      <c r="AP81" s="11">
        <v>1</v>
      </c>
      <c r="AQ81" s="11">
        <v>0</v>
      </c>
      <c r="AR81" s="11">
        <v>0</v>
      </c>
      <c r="AS81" s="11">
        <v>0</v>
      </c>
      <c r="AT81" s="11">
        <v>0</v>
      </c>
      <c r="AU81" s="11">
        <v>1</v>
      </c>
      <c r="AV81" s="11">
        <v>0</v>
      </c>
      <c r="AW81" s="11">
        <v>0</v>
      </c>
      <c r="AX81" s="9" t="s">
        <v>4878</v>
      </c>
      <c r="AY81" s="11">
        <v>0</v>
      </c>
      <c r="AZ81" s="9" t="s">
        <v>4910</v>
      </c>
      <c r="BA81" s="12" t="s">
        <v>4911</v>
      </c>
      <c r="BB81" s="12">
        <v>0</v>
      </c>
      <c r="BC81" s="9" t="s">
        <v>4878</v>
      </c>
      <c r="BD81" s="12">
        <v>9.8425196850393704</v>
      </c>
      <c r="BE81" s="12">
        <v>0</v>
      </c>
      <c r="BF81" s="12">
        <v>0</v>
      </c>
      <c r="BI81" s="12">
        <v>0</v>
      </c>
      <c r="BJ81" s="12">
        <v>0</v>
      </c>
    </row>
    <row r="82" spans="1:62" x14ac:dyDescent="0.15">
      <c r="A82" s="7" t="s">
        <v>8284</v>
      </c>
      <c r="C82" s="7" t="s">
        <v>8285</v>
      </c>
      <c r="D82" s="8" t="s">
        <v>4881</v>
      </c>
      <c r="E82" s="9" t="s">
        <v>4882</v>
      </c>
      <c r="L82" s="10">
        <v>3615159.0180000002</v>
      </c>
      <c r="M82" s="10">
        <v>708355.03799999994</v>
      </c>
      <c r="N82" s="11">
        <v>15</v>
      </c>
      <c r="O82" s="11" t="s">
        <v>4871</v>
      </c>
      <c r="P82" s="13" t="s">
        <v>8286</v>
      </c>
      <c r="S82" s="9" t="s">
        <v>4881</v>
      </c>
      <c r="T82" s="12" t="s">
        <v>8287</v>
      </c>
      <c r="U82" s="12" t="s">
        <v>4898</v>
      </c>
      <c r="V82" s="12" t="s">
        <v>5020</v>
      </c>
      <c r="W82" s="12">
        <v>0</v>
      </c>
      <c r="X82" s="12">
        <v>0</v>
      </c>
      <c r="Y82" s="12">
        <v>0</v>
      </c>
      <c r="Z82" s="11">
        <v>0</v>
      </c>
      <c r="AA82" s="11">
        <f>IF(FIND("G",T82),1,0)</f>
        <v>1</v>
      </c>
      <c r="AB82" s="11">
        <v>1</v>
      </c>
      <c r="AC82" s="11">
        <v>1</v>
      </c>
      <c r="AD82" s="11">
        <v>1</v>
      </c>
      <c r="AE82" s="11">
        <v>1</v>
      </c>
      <c r="AF82" s="11">
        <f>IF(FIND("B",T82),1,0)</f>
        <v>1</v>
      </c>
      <c r="AG82" s="11">
        <v>0</v>
      </c>
      <c r="AH82" s="9">
        <v>1</v>
      </c>
      <c r="AI82" s="11">
        <v>1</v>
      </c>
      <c r="AJ82" s="11">
        <v>1</v>
      </c>
      <c r="AK82" s="11">
        <v>0</v>
      </c>
      <c r="AL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>
        <v>1</v>
      </c>
      <c r="AU82" s="11">
        <v>0</v>
      </c>
      <c r="AV82" s="11">
        <v>0</v>
      </c>
      <c r="AW82" s="11">
        <v>0</v>
      </c>
      <c r="AX82" s="9" t="s">
        <v>4878</v>
      </c>
      <c r="AY82" s="11">
        <v>0</v>
      </c>
      <c r="AZ82" s="9" t="s">
        <v>4910</v>
      </c>
      <c r="BA82" s="12" t="s">
        <v>4911</v>
      </c>
      <c r="BB82" s="12">
        <v>0</v>
      </c>
      <c r="BC82" s="9" t="s">
        <v>4878</v>
      </c>
      <c r="BD82" s="12">
        <v>0</v>
      </c>
      <c r="BE82" s="12">
        <v>0</v>
      </c>
      <c r="BF82" s="12">
        <v>0</v>
      </c>
      <c r="BI82" s="12">
        <v>0</v>
      </c>
      <c r="BJ82" s="12">
        <v>0</v>
      </c>
    </row>
    <row r="83" spans="1:62" x14ac:dyDescent="0.15">
      <c r="A83" s="7" t="s">
        <v>8288</v>
      </c>
      <c r="C83" s="7" t="s">
        <v>8289</v>
      </c>
      <c r="D83" s="8" t="s">
        <v>4881</v>
      </c>
      <c r="E83" s="9" t="s">
        <v>4882</v>
      </c>
      <c r="L83" s="10">
        <v>3613931.98</v>
      </c>
      <c r="M83" s="10">
        <v>704147.03</v>
      </c>
      <c r="N83" s="11">
        <v>15</v>
      </c>
      <c r="O83" s="11" t="s">
        <v>4871</v>
      </c>
      <c r="P83" s="13" t="s">
        <v>5360</v>
      </c>
      <c r="S83" s="9" t="s">
        <v>4881</v>
      </c>
      <c r="T83" s="12" t="s">
        <v>5361</v>
      </c>
      <c r="U83" s="12" t="s">
        <v>5018</v>
      </c>
      <c r="V83" s="12" t="s">
        <v>5020</v>
      </c>
      <c r="W83" s="12">
        <v>0</v>
      </c>
      <c r="X83" s="12">
        <v>0</v>
      </c>
      <c r="Y83" s="12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f>IF(FIND("D",T83),1,0)</f>
        <v>1</v>
      </c>
      <c r="AE83" s="11">
        <v>1</v>
      </c>
      <c r="AF83" s="11">
        <f>IF(FIND("B",T83),1,0)</f>
        <v>1</v>
      </c>
      <c r="AG83" s="11">
        <v>0</v>
      </c>
      <c r="AH83" s="9">
        <v>4</v>
      </c>
      <c r="AI83" s="11">
        <v>4</v>
      </c>
      <c r="AJ83" s="11">
        <v>1</v>
      </c>
      <c r="AK83" s="11">
        <v>1</v>
      </c>
      <c r="AL83" s="11">
        <v>1</v>
      </c>
      <c r="AN83" s="11">
        <v>0</v>
      </c>
      <c r="AO83" s="11">
        <v>0</v>
      </c>
      <c r="AP83" s="11">
        <v>0</v>
      </c>
      <c r="AQ83" s="11">
        <v>0</v>
      </c>
      <c r="AR83" s="11">
        <v>1</v>
      </c>
      <c r="AS83" s="11">
        <v>0</v>
      </c>
      <c r="AT83" s="11">
        <v>1</v>
      </c>
      <c r="AU83" s="11">
        <v>0</v>
      </c>
      <c r="AV83" s="11">
        <v>0</v>
      </c>
      <c r="AW83" s="11">
        <v>0</v>
      </c>
      <c r="AX83" s="9" t="s">
        <v>4878</v>
      </c>
      <c r="AY83" s="11">
        <v>0</v>
      </c>
      <c r="AZ83" s="9"/>
      <c r="BA83" s="12" t="s">
        <v>4877</v>
      </c>
      <c r="BB83" s="12">
        <v>0</v>
      </c>
      <c r="BC83" s="9" t="s">
        <v>4878</v>
      </c>
      <c r="BD83" s="12">
        <v>6.5616797900262469</v>
      </c>
      <c r="BE83" s="12">
        <v>0</v>
      </c>
      <c r="BF83" s="12">
        <v>16953.158906317811</v>
      </c>
      <c r="BI83">
        <f>BD83/BF83</f>
        <v>3.8704761904761911E-4</v>
      </c>
      <c r="BJ83">
        <f>BI83*10000</f>
        <v>3.8704761904761913</v>
      </c>
    </row>
    <row r="84" spans="1:62" x14ac:dyDescent="0.15">
      <c r="A84" s="7" t="s">
        <v>5362</v>
      </c>
      <c r="C84" s="7" t="s">
        <v>5363</v>
      </c>
      <c r="D84" s="8" t="s">
        <v>4881</v>
      </c>
      <c r="E84" s="9" t="s">
        <v>4882</v>
      </c>
      <c r="L84" s="10">
        <v>3613116.0219999999</v>
      </c>
      <c r="M84" s="10">
        <v>702939.95600000001</v>
      </c>
      <c r="N84" s="11">
        <v>15</v>
      </c>
      <c r="O84" s="11" t="s">
        <v>4871</v>
      </c>
      <c r="P84" s="13" t="s">
        <v>5364</v>
      </c>
      <c r="S84" s="9" t="s">
        <v>4881</v>
      </c>
      <c r="T84" s="12" t="s">
        <v>8280</v>
      </c>
      <c r="U84" s="12" t="s">
        <v>5016</v>
      </c>
      <c r="V84" s="12" t="s">
        <v>5021</v>
      </c>
      <c r="W84" s="12">
        <v>0</v>
      </c>
      <c r="X84" s="12">
        <v>0</v>
      </c>
      <c r="Y84" s="12">
        <v>0</v>
      </c>
      <c r="Z84" s="11">
        <v>0</v>
      </c>
      <c r="AA84" s="11">
        <v>0</v>
      </c>
      <c r="AB84" s="11">
        <f>IF(FIND("F",T84),1,0)</f>
        <v>1</v>
      </c>
      <c r="AC84" s="11">
        <v>1</v>
      </c>
      <c r="AD84" s="11">
        <v>1</v>
      </c>
      <c r="AE84" s="11">
        <v>1</v>
      </c>
      <c r="AF84" s="11">
        <v>1</v>
      </c>
      <c r="AG84" s="11">
        <f>IF(FIND("A",T84),1,0)</f>
        <v>1</v>
      </c>
      <c r="AH84" s="9">
        <v>3</v>
      </c>
      <c r="AI84" s="11">
        <v>3</v>
      </c>
      <c r="AJ84" s="11">
        <v>1</v>
      </c>
      <c r="AK84" s="11">
        <v>1</v>
      </c>
      <c r="AL84" s="11">
        <v>1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9" t="s">
        <v>4878</v>
      </c>
      <c r="AY84" s="11">
        <v>0</v>
      </c>
      <c r="AZ84" s="9"/>
      <c r="BA84" s="12" t="s">
        <v>4877</v>
      </c>
      <c r="BB84" s="12">
        <v>0</v>
      </c>
      <c r="BC84" s="9" t="s">
        <v>4878</v>
      </c>
      <c r="BD84" s="12">
        <v>9.8425196850393704</v>
      </c>
      <c r="BE84" s="12">
        <v>0</v>
      </c>
      <c r="BF84" s="12">
        <v>4208.6889729335016</v>
      </c>
      <c r="BI84">
        <f>BD84/BF84</f>
        <v>2.3386189258312018E-3</v>
      </c>
      <c r="BJ84">
        <f>BI84*10000</f>
        <v>23.386189258312019</v>
      </c>
    </row>
    <row r="85" spans="1:62" x14ac:dyDescent="0.15">
      <c r="A85" s="7" t="s">
        <v>5365</v>
      </c>
      <c r="C85" s="7" t="s">
        <v>5366</v>
      </c>
      <c r="D85" s="8" t="s">
        <v>4881</v>
      </c>
      <c r="E85" s="9" t="s">
        <v>4882</v>
      </c>
      <c r="L85" s="10">
        <v>3624831.9619999998</v>
      </c>
      <c r="M85" s="10">
        <v>693546.022</v>
      </c>
      <c r="N85" s="11">
        <v>15</v>
      </c>
      <c r="O85" s="11" t="s">
        <v>4871</v>
      </c>
      <c r="P85" s="13" t="s">
        <v>5367</v>
      </c>
      <c r="S85" s="9" t="s">
        <v>4881</v>
      </c>
      <c r="T85" s="12" t="s">
        <v>4902</v>
      </c>
      <c r="U85" s="12" t="s">
        <v>4902</v>
      </c>
      <c r="V85" s="12" t="s">
        <v>4902</v>
      </c>
      <c r="W85" s="12">
        <v>0</v>
      </c>
      <c r="X85" s="12">
        <v>0</v>
      </c>
      <c r="Y85" s="12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9">
        <v>1</v>
      </c>
      <c r="AI85" s="11">
        <v>1</v>
      </c>
      <c r="AJ85" s="11">
        <v>1</v>
      </c>
      <c r="AK85" s="11">
        <v>0</v>
      </c>
      <c r="AL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11">
        <v>1</v>
      </c>
      <c r="AU85" s="11">
        <v>0</v>
      </c>
      <c r="AV85" s="11">
        <v>0</v>
      </c>
      <c r="AW85" s="11">
        <v>0</v>
      </c>
      <c r="AX85" s="9" t="s">
        <v>4878</v>
      </c>
      <c r="AY85" s="11">
        <v>0</v>
      </c>
      <c r="AZ85" s="9"/>
      <c r="BA85" s="12" t="s">
        <v>4877</v>
      </c>
      <c r="BB85" s="12">
        <v>0</v>
      </c>
      <c r="BC85" s="9" t="s">
        <v>4878</v>
      </c>
      <c r="BD85" s="12">
        <v>0</v>
      </c>
      <c r="BE85" s="12">
        <v>0</v>
      </c>
      <c r="BF85" s="12">
        <v>0</v>
      </c>
      <c r="BI85" s="12">
        <v>0</v>
      </c>
      <c r="BJ85" s="12">
        <v>0</v>
      </c>
    </row>
    <row r="86" spans="1:62" x14ac:dyDescent="0.15">
      <c r="A86" s="7" t="s">
        <v>5368</v>
      </c>
      <c r="C86" s="7" t="s">
        <v>5369</v>
      </c>
      <c r="D86" s="8" t="s">
        <v>4881</v>
      </c>
      <c r="E86" s="9" t="s">
        <v>4882</v>
      </c>
      <c r="L86" s="10">
        <v>3600137.9959999998</v>
      </c>
      <c r="M86" s="10">
        <v>708113.95400000003</v>
      </c>
      <c r="N86" s="11">
        <v>15</v>
      </c>
      <c r="O86" s="11" t="s">
        <v>4871</v>
      </c>
      <c r="P86" s="13" t="s">
        <v>5370</v>
      </c>
      <c r="S86" s="9" t="s">
        <v>5371</v>
      </c>
      <c r="T86" s="12" t="s">
        <v>5372</v>
      </c>
      <c r="U86" s="12" t="s">
        <v>5018</v>
      </c>
      <c r="V86" s="12" t="s">
        <v>5021</v>
      </c>
      <c r="W86" s="12">
        <v>0</v>
      </c>
      <c r="X86" s="12">
        <v>0</v>
      </c>
      <c r="Y86" s="12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1</v>
      </c>
      <c r="AE86" s="11">
        <v>1</v>
      </c>
      <c r="AF86" s="11">
        <v>1</v>
      </c>
      <c r="AG86" s="11">
        <f>IF(FIND("A",T86),1,0)</f>
        <v>1</v>
      </c>
      <c r="AH86" s="9">
        <v>4</v>
      </c>
      <c r="AI86" s="11">
        <v>4</v>
      </c>
      <c r="AJ86" s="11">
        <v>1</v>
      </c>
      <c r="AK86" s="11">
        <v>1</v>
      </c>
      <c r="AL86" s="11">
        <v>1</v>
      </c>
      <c r="AN86" s="11">
        <v>1</v>
      </c>
      <c r="AO86" s="11">
        <v>0</v>
      </c>
      <c r="AP86" s="11">
        <v>0</v>
      </c>
      <c r="AQ86" s="11">
        <v>0</v>
      </c>
      <c r="AR86" s="11">
        <v>1</v>
      </c>
      <c r="AS86" s="11">
        <v>0</v>
      </c>
      <c r="AT86" s="11">
        <v>0</v>
      </c>
      <c r="AU86" s="11">
        <v>0</v>
      </c>
      <c r="AV86" s="11">
        <v>0</v>
      </c>
      <c r="AW86" s="11">
        <v>0</v>
      </c>
      <c r="AX86" s="9" t="s">
        <v>4878</v>
      </c>
      <c r="AY86" s="11">
        <v>0</v>
      </c>
      <c r="AZ86" s="9"/>
      <c r="BA86" s="12" t="s">
        <v>4877</v>
      </c>
      <c r="BB86" s="9" t="s">
        <v>4909</v>
      </c>
      <c r="BC86" s="9" t="s">
        <v>4878</v>
      </c>
      <c r="BD86" s="12">
        <v>29.527559055118111</v>
      </c>
      <c r="BE86" s="12">
        <v>0</v>
      </c>
      <c r="BF86" s="12">
        <v>5694.1086104394426</v>
      </c>
      <c r="BI86">
        <f>BD86/BF86</f>
        <v>5.1856332703213619E-3</v>
      </c>
      <c r="BJ86">
        <f>BI86*10000</f>
        <v>51.856332703213617</v>
      </c>
    </row>
    <row r="87" spans="1:62" x14ac:dyDescent="0.15">
      <c r="A87" s="7" t="s">
        <v>5373</v>
      </c>
      <c r="C87" s="7" t="s">
        <v>5374</v>
      </c>
      <c r="D87" s="8" t="s">
        <v>4881</v>
      </c>
      <c r="E87" s="9" t="s">
        <v>4882</v>
      </c>
      <c r="L87" s="10">
        <v>3617767.9670000002</v>
      </c>
      <c r="M87" s="10">
        <v>689332.04599999997</v>
      </c>
      <c r="N87" s="11">
        <v>15</v>
      </c>
      <c r="O87" s="11" t="s">
        <v>4871</v>
      </c>
      <c r="P87" s="13" t="s">
        <v>5375</v>
      </c>
      <c r="S87" s="9" t="s">
        <v>4881</v>
      </c>
      <c r="T87" s="12" t="s">
        <v>5376</v>
      </c>
      <c r="U87" s="12" t="s">
        <v>5016</v>
      </c>
      <c r="V87" s="12" t="s">
        <v>5020</v>
      </c>
      <c r="W87" s="12">
        <v>0</v>
      </c>
      <c r="X87" s="12">
        <v>0</v>
      </c>
      <c r="Y87" s="12">
        <v>0</v>
      </c>
      <c r="Z87" s="11">
        <v>0</v>
      </c>
      <c r="AA87" s="11">
        <v>0</v>
      </c>
      <c r="AB87" s="11">
        <f>IF(FIND("F",T87),1,0)</f>
        <v>1</v>
      </c>
      <c r="AC87" s="11">
        <v>1</v>
      </c>
      <c r="AD87" s="11">
        <v>1</v>
      </c>
      <c r="AE87" s="11">
        <v>1</v>
      </c>
      <c r="AF87" s="11">
        <v>1</v>
      </c>
      <c r="AG87" s="11">
        <v>0</v>
      </c>
      <c r="AH87" s="9">
        <v>4</v>
      </c>
      <c r="AI87" s="11">
        <v>4</v>
      </c>
      <c r="AJ87" s="11">
        <v>1</v>
      </c>
      <c r="AK87" s="11">
        <v>1</v>
      </c>
      <c r="AL87" s="11">
        <v>1</v>
      </c>
      <c r="AN87" s="11">
        <v>1</v>
      </c>
      <c r="AO87" s="11">
        <v>0</v>
      </c>
      <c r="AP87" s="11">
        <v>1</v>
      </c>
      <c r="AQ87" s="11">
        <v>1</v>
      </c>
      <c r="AR87" s="11">
        <v>0</v>
      </c>
      <c r="AS87" s="11">
        <v>0</v>
      </c>
      <c r="AT87" s="11">
        <v>1</v>
      </c>
      <c r="AU87" s="11">
        <v>0</v>
      </c>
      <c r="AV87" s="11">
        <v>0</v>
      </c>
      <c r="AW87" s="11">
        <v>0</v>
      </c>
      <c r="AX87" s="9" t="s">
        <v>4878</v>
      </c>
      <c r="AY87" s="11">
        <v>0</v>
      </c>
      <c r="AZ87" s="9"/>
      <c r="BA87" s="12" t="s">
        <v>4877</v>
      </c>
      <c r="BB87" s="9" t="s">
        <v>4909</v>
      </c>
      <c r="BC87" s="9" t="s">
        <v>4878</v>
      </c>
      <c r="BD87" s="12">
        <v>13.123359580052494</v>
      </c>
      <c r="BE87" s="12">
        <v>0</v>
      </c>
      <c r="BF87" s="12">
        <v>0</v>
      </c>
      <c r="BI87" s="12">
        <v>0</v>
      </c>
      <c r="BJ87" s="12">
        <v>0</v>
      </c>
    </row>
    <row r="88" spans="1:62" x14ac:dyDescent="0.15">
      <c r="A88" s="7" t="s">
        <v>5377</v>
      </c>
      <c r="C88" s="7" t="s">
        <v>5378</v>
      </c>
      <c r="D88" s="8" t="s">
        <v>4881</v>
      </c>
      <c r="E88" s="9" t="s">
        <v>4882</v>
      </c>
      <c r="L88" s="10">
        <v>3614868.986</v>
      </c>
      <c r="M88" s="10">
        <v>690048.01399999997</v>
      </c>
      <c r="N88" s="11">
        <v>15</v>
      </c>
      <c r="O88" s="11" t="s">
        <v>4871</v>
      </c>
      <c r="P88" s="13" t="s">
        <v>5379</v>
      </c>
      <c r="S88" s="9" t="s">
        <v>4881</v>
      </c>
      <c r="T88" s="12" t="s">
        <v>8484</v>
      </c>
      <c r="U88" s="12" t="s">
        <v>5019</v>
      </c>
      <c r="V88" s="12" t="s">
        <v>5020</v>
      </c>
      <c r="W88" s="12">
        <v>0</v>
      </c>
      <c r="X88" s="12">
        <v>0</v>
      </c>
      <c r="Y88" s="12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f>IF(FIND("C",T88),1,0)</f>
        <v>1</v>
      </c>
      <c r="AF88" s="11">
        <f>IF(FIND("B",T88),1,0)</f>
        <v>1</v>
      </c>
      <c r="AG88" s="11">
        <v>0</v>
      </c>
      <c r="AH88" s="9" t="s">
        <v>8248</v>
      </c>
      <c r="AI88" s="11">
        <v>2</v>
      </c>
      <c r="AJ88" s="11">
        <v>1</v>
      </c>
      <c r="AK88" s="11">
        <v>1</v>
      </c>
      <c r="AL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11">
        <v>1</v>
      </c>
      <c r="AU88" s="11">
        <v>0</v>
      </c>
      <c r="AV88" s="11">
        <v>0</v>
      </c>
      <c r="AW88" s="11">
        <v>0</v>
      </c>
      <c r="AX88" s="9" t="s">
        <v>4878</v>
      </c>
      <c r="AY88" s="11">
        <v>0</v>
      </c>
      <c r="AZ88" s="9"/>
      <c r="BA88" s="12" t="s">
        <v>4877</v>
      </c>
      <c r="BB88" s="12">
        <v>0</v>
      </c>
      <c r="BC88" s="9" t="s">
        <v>4878</v>
      </c>
      <c r="BD88" s="12">
        <v>0</v>
      </c>
      <c r="BE88" s="12">
        <v>0</v>
      </c>
      <c r="BF88" s="12">
        <v>0</v>
      </c>
      <c r="BI88" s="12">
        <v>0</v>
      </c>
      <c r="BJ88" s="12">
        <v>0</v>
      </c>
    </row>
    <row r="89" spans="1:62" x14ac:dyDescent="0.15">
      <c r="A89" s="7" t="s">
        <v>5380</v>
      </c>
      <c r="C89" s="7" t="s">
        <v>5381</v>
      </c>
      <c r="D89" s="8" t="s">
        <v>4881</v>
      </c>
      <c r="E89" s="9" t="s">
        <v>4882</v>
      </c>
      <c r="L89" s="10">
        <v>3608247.997</v>
      </c>
      <c r="M89" s="10">
        <v>701392.01</v>
      </c>
      <c r="N89" s="11">
        <v>15</v>
      </c>
      <c r="O89" s="11" t="s">
        <v>4871</v>
      </c>
      <c r="P89" s="13" t="s">
        <v>5382</v>
      </c>
      <c r="S89" s="9" t="s">
        <v>4881</v>
      </c>
      <c r="T89" s="12" t="s">
        <v>8484</v>
      </c>
      <c r="U89" s="12" t="s">
        <v>5019</v>
      </c>
      <c r="V89" s="12" t="s">
        <v>5020</v>
      </c>
      <c r="W89" s="12">
        <v>0</v>
      </c>
      <c r="X89" s="12">
        <v>0</v>
      </c>
      <c r="Y89" s="12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f>IF(FIND("C",T89),1,0)</f>
        <v>1</v>
      </c>
      <c r="AF89" s="11">
        <f>IF(FIND("B",T89),1,0)</f>
        <v>1</v>
      </c>
      <c r="AG89" s="11">
        <v>0</v>
      </c>
      <c r="AH89" s="9">
        <v>3</v>
      </c>
      <c r="AI89" s="11">
        <v>3</v>
      </c>
      <c r="AJ89" s="11">
        <v>1</v>
      </c>
      <c r="AK89" s="11">
        <v>1</v>
      </c>
      <c r="AL89" s="11">
        <v>1</v>
      </c>
      <c r="AN89" s="11">
        <v>1</v>
      </c>
      <c r="AO89" s="11">
        <v>0</v>
      </c>
      <c r="AP89" s="11">
        <v>0</v>
      </c>
      <c r="AQ89" s="11">
        <v>0</v>
      </c>
      <c r="AR89" s="11">
        <v>0</v>
      </c>
      <c r="AS89" s="11">
        <v>0</v>
      </c>
      <c r="AT89" s="11">
        <v>1</v>
      </c>
      <c r="AU89" s="11">
        <v>0</v>
      </c>
      <c r="AV89" s="11">
        <v>0</v>
      </c>
      <c r="AW89" s="11">
        <v>0</v>
      </c>
      <c r="AX89" s="9" t="s">
        <v>4878</v>
      </c>
      <c r="AY89" s="11">
        <v>0</v>
      </c>
      <c r="AZ89" s="9"/>
      <c r="BA89" s="12" t="s">
        <v>4877</v>
      </c>
      <c r="BB89" s="9" t="s">
        <v>4909</v>
      </c>
      <c r="BC89" s="9" t="s">
        <v>4878</v>
      </c>
      <c r="BD89" s="12">
        <v>13.123359580052494</v>
      </c>
      <c r="BE89" s="12">
        <v>0</v>
      </c>
      <c r="BF89" s="12">
        <v>40364.664062661461</v>
      </c>
      <c r="BI89">
        <f>BD89/BF89</f>
        <v>3.2511999999999998E-4</v>
      </c>
      <c r="BJ89">
        <f>BI89*10000</f>
        <v>3.2511999999999999</v>
      </c>
    </row>
    <row r="90" spans="1:62" x14ac:dyDescent="0.15">
      <c r="A90" s="7" t="s">
        <v>5383</v>
      </c>
      <c r="C90" s="7" t="s">
        <v>5384</v>
      </c>
      <c r="D90" s="8" t="s">
        <v>4881</v>
      </c>
      <c r="E90" s="9" t="s">
        <v>4882</v>
      </c>
      <c r="L90" s="10">
        <v>3616407.0279999999</v>
      </c>
      <c r="M90" s="10">
        <v>712927.97699999996</v>
      </c>
      <c r="N90" s="11">
        <v>15</v>
      </c>
      <c r="O90" s="11" t="s">
        <v>4871</v>
      </c>
      <c r="P90" s="13" t="s">
        <v>5385</v>
      </c>
      <c r="S90" s="9" t="s">
        <v>4881</v>
      </c>
      <c r="T90" s="12" t="s">
        <v>5376</v>
      </c>
      <c r="U90" s="12" t="s">
        <v>5016</v>
      </c>
      <c r="V90" s="12" t="s">
        <v>5020</v>
      </c>
      <c r="W90" s="12">
        <v>0</v>
      </c>
      <c r="X90" s="12">
        <v>0</v>
      </c>
      <c r="Y90" s="12">
        <v>0</v>
      </c>
      <c r="Z90" s="11">
        <v>0</v>
      </c>
      <c r="AA90" s="11">
        <v>0</v>
      </c>
      <c r="AB90" s="11">
        <f>IF(FIND("F",T90),1,0)</f>
        <v>1</v>
      </c>
      <c r="AC90" s="11">
        <v>1</v>
      </c>
      <c r="AD90" s="11">
        <v>1</v>
      </c>
      <c r="AE90" s="11">
        <v>1</v>
      </c>
      <c r="AF90" s="11">
        <f>IF(FIND("B",T90),1,0)</f>
        <v>1</v>
      </c>
      <c r="AG90" s="11">
        <v>0</v>
      </c>
      <c r="AH90" s="9">
        <v>3</v>
      </c>
      <c r="AI90" s="11">
        <v>3</v>
      </c>
      <c r="AJ90" s="11">
        <v>1</v>
      </c>
      <c r="AK90" s="11">
        <v>1</v>
      </c>
      <c r="AL90" s="11">
        <v>1</v>
      </c>
      <c r="AN90" s="11">
        <v>0</v>
      </c>
      <c r="AO90" s="11">
        <v>0</v>
      </c>
      <c r="AP90" s="11">
        <v>0</v>
      </c>
      <c r="AQ90" s="11">
        <v>1</v>
      </c>
      <c r="AR90" s="11">
        <v>1</v>
      </c>
      <c r="AS90" s="11">
        <v>0</v>
      </c>
      <c r="AT90" s="11">
        <v>1</v>
      </c>
      <c r="AU90" s="11">
        <v>1</v>
      </c>
      <c r="AV90" s="11">
        <v>0</v>
      </c>
      <c r="AW90" s="11">
        <v>0</v>
      </c>
      <c r="AX90" s="9" t="s">
        <v>4878</v>
      </c>
      <c r="AY90" s="11">
        <v>0</v>
      </c>
      <c r="AZ90" s="9" t="s">
        <v>4910</v>
      </c>
      <c r="BA90" s="12" t="s">
        <v>4911</v>
      </c>
      <c r="BB90" s="12">
        <v>0</v>
      </c>
      <c r="BC90" s="9" t="s">
        <v>4878</v>
      </c>
      <c r="BD90" s="12">
        <f>5*100/2.54/12</f>
        <v>16.404199475065617</v>
      </c>
      <c r="BE90" s="12">
        <v>0</v>
      </c>
      <c r="BF90" s="12">
        <v>23778.714795021144</v>
      </c>
      <c r="BI90">
        <f>BD90/BF90</f>
        <v>6.8986905375139859E-4</v>
      </c>
      <c r="BJ90">
        <f>BI90*10000</f>
        <v>6.8986905375139855</v>
      </c>
    </row>
    <row r="91" spans="1:62" x14ac:dyDescent="0.15">
      <c r="A91" s="7" t="s">
        <v>5386</v>
      </c>
      <c r="C91" s="7" t="s">
        <v>5387</v>
      </c>
      <c r="D91" s="8" t="s">
        <v>4881</v>
      </c>
      <c r="E91" s="9" t="s">
        <v>4882</v>
      </c>
      <c r="L91" s="10">
        <v>3626892.0320000001</v>
      </c>
      <c r="M91" s="10">
        <v>716572.03899999999</v>
      </c>
      <c r="N91" s="11">
        <v>15</v>
      </c>
      <c r="O91" s="11" t="s">
        <v>4871</v>
      </c>
      <c r="P91" s="13" t="s">
        <v>5388</v>
      </c>
      <c r="S91" s="9" t="s">
        <v>4881</v>
      </c>
      <c r="T91" s="12" t="s">
        <v>4902</v>
      </c>
      <c r="U91" s="12" t="s">
        <v>4902</v>
      </c>
      <c r="V91" s="12" t="s">
        <v>4902</v>
      </c>
      <c r="W91" s="12">
        <v>0</v>
      </c>
      <c r="X91" s="12">
        <v>0</v>
      </c>
      <c r="Y91" s="12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9">
        <v>1</v>
      </c>
      <c r="AI91" s="11">
        <v>1</v>
      </c>
      <c r="AJ91" s="11">
        <v>1</v>
      </c>
      <c r="AK91" s="11">
        <v>0</v>
      </c>
      <c r="AL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1</v>
      </c>
      <c r="AS91" s="11">
        <v>0</v>
      </c>
      <c r="AT91" s="11">
        <v>0</v>
      </c>
      <c r="AU91" s="11">
        <v>0</v>
      </c>
      <c r="AV91" s="11">
        <v>0</v>
      </c>
      <c r="AW91" s="11">
        <v>0</v>
      </c>
      <c r="AX91" s="9" t="s">
        <v>4878</v>
      </c>
      <c r="AY91" s="11">
        <v>0</v>
      </c>
      <c r="AZ91" s="9"/>
      <c r="BA91" s="12" t="s">
        <v>4877</v>
      </c>
      <c r="BB91" s="12">
        <v>0</v>
      </c>
      <c r="BC91" s="9" t="s">
        <v>4878</v>
      </c>
      <c r="BD91" s="12">
        <v>13.123359580052494</v>
      </c>
      <c r="BE91" s="12">
        <v>0</v>
      </c>
      <c r="BF91" s="12">
        <v>5283.7221701615481</v>
      </c>
      <c r="BI91">
        <f>BD91/BF91</f>
        <v>2.4837338447057772E-3</v>
      </c>
      <c r="BJ91">
        <f>BI91*10000</f>
        <v>24.837338447057771</v>
      </c>
    </row>
    <row r="92" spans="1:62" x14ac:dyDescent="0.15">
      <c r="A92" s="7" t="s">
        <v>5389</v>
      </c>
      <c r="C92" s="7" t="s">
        <v>5390</v>
      </c>
      <c r="D92" s="8" t="s">
        <v>4881</v>
      </c>
      <c r="E92" s="9" t="s">
        <v>4882</v>
      </c>
      <c r="L92" s="10">
        <v>3616291.9849999999</v>
      </c>
      <c r="M92" s="10">
        <v>723116.04</v>
      </c>
      <c r="N92" s="11">
        <v>15</v>
      </c>
      <c r="O92" s="11" t="s">
        <v>4871</v>
      </c>
      <c r="P92" s="13" t="s">
        <v>5391</v>
      </c>
      <c r="S92" s="9" t="s">
        <v>4881</v>
      </c>
      <c r="T92" s="12" t="s">
        <v>4902</v>
      </c>
      <c r="U92" s="12" t="s">
        <v>4902</v>
      </c>
      <c r="V92" s="12" t="s">
        <v>4902</v>
      </c>
      <c r="W92" s="12">
        <v>0</v>
      </c>
      <c r="X92" s="12">
        <v>0</v>
      </c>
      <c r="Y92" s="12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9">
        <v>1</v>
      </c>
      <c r="AI92" s="11">
        <v>1</v>
      </c>
      <c r="AJ92" s="11">
        <v>1</v>
      </c>
      <c r="AK92" s="11">
        <v>0</v>
      </c>
      <c r="AL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1</v>
      </c>
      <c r="AS92" s="11">
        <v>0</v>
      </c>
      <c r="AT92" s="11">
        <v>0</v>
      </c>
      <c r="AU92" s="11">
        <v>0</v>
      </c>
      <c r="AV92" s="11">
        <v>0</v>
      </c>
      <c r="AW92" s="11">
        <v>0</v>
      </c>
      <c r="AX92" s="9" t="s">
        <v>4878</v>
      </c>
      <c r="AY92" s="11">
        <v>0</v>
      </c>
      <c r="AZ92" s="9"/>
      <c r="BA92" s="12" t="s">
        <v>4877</v>
      </c>
      <c r="BB92" s="12">
        <v>0</v>
      </c>
      <c r="BC92" s="9" t="s">
        <v>4878</v>
      </c>
      <c r="BD92" s="12">
        <v>6.5616797900262469</v>
      </c>
      <c r="BE92" s="12">
        <v>0</v>
      </c>
      <c r="BF92" s="12">
        <v>7608.5599250326304</v>
      </c>
      <c r="BI92">
        <f>BD92/BF92</f>
        <v>8.6240758496728353E-4</v>
      </c>
      <c r="BJ92">
        <f>BI92*10000</f>
        <v>8.6240758496728347</v>
      </c>
    </row>
    <row r="93" spans="1:62" x14ac:dyDescent="0.15">
      <c r="A93" s="7" t="s">
        <v>5392</v>
      </c>
      <c r="C93" s="7" t="s">
        <v>5393</v>
      </c>
      <c r="D93" s="8" t="s">
        <v>4881</v>
      </c>
      <c r="E93" s="9" t="s">
        <v>4882</v>
      </c>
      <c r="L93" s="10">
        <v>3618248.0109999999</v>
      </c>
      <c r="M93" s="10">
        <v>716855.99600000004</v>
      </c>
      <c r="N93" s="11">
        <v>15</v>
      </c>
      <c r="O93" s="11" t="s">
        <v>4871</v>
      </c>
      <c r="P93" s="13" t="s">
        <v>5394</v>
      </c>
      <c r="S93" s="9" t="s">
        <v>4881</v>
      </c>
      <c r="T93" s="12" t="s">
        <v>4891</v>
      </c>
      <c r="U93" s="12" t="s">
        <v>5017</v>
      </c>
      <c r="V93" s="12" t="s">
        <v>5018</v>
      </c>
      <c r="W93" s="12">
        <v>0</v>
      </c>
      <c r="X93" s="12">
        <v>0</v>
      </c>
      <c r="Y93" s="12">
        <v>0</v>
      </c>
      <c r="Z93" s="11">
        <v>0</v>
      </c>
      <c r="AA93" s="11">
        <v>0</v>
      </c>
      <c r="AB93" s="11">
        <v>0</v>
      </c>
      <c r="AC93" s="11">
        <f>IF(FIND("E",T93),1,0)</f>
        <v>1</v>
      </c>
      <c r="AD93" s="11">
        <f>IF(FIND("D",T93),1,0)</f>
        <v>1</v>
      </c>
      <c r="AE93" s="11">
        <v>0</v>
      </c>
      <c r="AF93" s="11">
        <v>0</v>
      </c>
      <c r="AG93" s="11">
        <v>0</v>
      </c>
      <c r="AH93" s="9">
        <v>0</v>
      </c>
      <c r="AI93" s="11">
        <v>0</v>
      </c>
      <c r="AJ93" s="11">
        <v>0</v>
      </c>
      <c r="AK93" s="11">
        <v>0</v>
      </c>
      <c r="AL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</v>
      </c>
      <c r="AT93" s="11">
        <v>0</v>
      </c>
      <c r="AU93" s="11">
        <v>0</v>
      </c>
      <c r="AV93" s="11">
        <v>0</v>
      </c>
      <c r="AW93" s="11">
        <v>0</v>
      </c>
      <c r="AX93" s="9" t="s">
        <v>4909</v>
      </c>
      <c r="AY93" s="11">
        <v>0</v>
      </c>
      <c r="AZ93" s="9"/>
      <c r="BA93" s="12" t="s">
        <v>4877</v>
      </c>
      <c r="BB93" s="12">
        <v>0</v>
      </c>
      <c r="BC93" s="9" t="s">
        <v>4878</v>
      </c>
      <c r="BD93" s="12">
        <v>0</v>
      </c>
      <c r="BE93" s="12">
        <v>0</v>
      </c>
      <c r="BF93" s="12">
        <v>0</v>
      </c>
      <c r="BI93" s="12">
        <v>0</v>
      </c>
      <c r="BJ93" s="12">
        <v>0</v>
      </c>
    </row>
    <row r="94" spans="1:62" x14ac:dyDescent="0.15">
      <c r="A94" s="7" t="s">
        <v>5395</v>
      </c>
      <c r="C94" s="7" t="s">
        <v>5396</v>
      </c>
      <c r="D94" s="8" t="s">
        <v>4881</v>
      </c>
      <c r="E94" s="9" t="s">
        <v>4882</v>
      </c>
      <c r="L94" s="10">
        <v>3624143.9750000001</v>
      </c>
      <c r="M94" s="10">
        <v>719760.04700000002</v>
      </c>
      <c r="N94" s="11">
        <v>15</v>
      </c>
      <c r="O94" s="11" t="s">
        <v>4871</v>
      </c>
      <c r="P94" s="13" t="s">
        <v>5397</v>
      </c>
      <c r="S94" s="9" t="s">
        <v>4881</v>
      </c>
      <c r="T94" s="12" t="s">
        <v>8276</v>
      </c>
      <c r="U94" s="12" t="s">
        <v>4898</v>
      </c>
      <c r="V94" s="12" t="s">
        <v>5017</v>
      </c>
      <c r="W94" s="12">
        <v>0</v>
      </c>
      <c r="X94" s="12">
        <v>0</v>
      </c>
      <c r="Y94" s="12">
        <v>0</v>
      </c>
      <c r="Z94" s="11">
        <v>0</v>
      </c>
      <c r="AA94" s="11">
        <f>IF(FIND("G",T94),1,0)</f>
        <v>1</v>
      </c>
      <c r="AB94" s="11">
        <v>1</v>
      </c>
      <c r="AC94" s="11">
        <f>IF(FIND("E",T94),1,0)</f>
        <v>1</v>
      </c>
      <c r="AD94" s="11">
        <v>0</v>
      </c>
      <c r="AE94" s="11">
        <v>0</v>
      </c>
      <c r="AF94" s="11">
        <v>0</v>
      </c>
      <c r="AG94" s="11">
        <v>0</v>
      </c>
      <c r="AH94" s="9">
        <v>3</v>
      </c>
      <c r="AI94" s="11">
        <v>3</v>
      </c>
      <c r="AJ94" s="11">
        <v>1</v>
      </c>
      <c r="AK94" s="11">
        <v>1</v>
      </c>
      <c r="AL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1</v>
      </c>
      <c r="AS94" s="11">
        <v>0</v>
      </c>
      <c r="AT94" s="11">
        <v>0</v>
      </c>
      <c r="AU94" s="11">
        <v>0</v>
      </c>
      <c r="AV94" s="11">
        <v>0</v>
      </c>
      <c r="AW94" s="11">
        <v>0</v>
      </c>
      <c r="AX94" s="9" t="s">
        <v>4878</v>
      </c>
      <c r="AY94" s="11">
        <v>0</v>
      </c>
      <c r="AZ94" s="9"/>
      <c r="BA94" s="12" t="s">
        <v>4877</v>
      </c>
      <c r="BB94" s="12">
        <v>0</v>
      </c>
      <c r="BC94" s="9" t="s">
        <v>4878</v>
      </c>
      <c r="BD94" s="12">
        <v>20</v>
      </c>
      <c r="BE94" s="12">
        <v>0</v>
      </c>
      <c r="BF94" s="12">
        <v>0</v>
      </c>
      <c r="BI94" s="12">
        <v>0</v>
      </c>
      <c r="BJ94" s="12">
        <v>0</v>
      </c>
    </row>
    <row r="95" spans="1:62" x14ac:dyDescent="0.15">
      <c r="A95" s="7" t="s">
        <v>5398</v>
      </c>
      <c r="C95" s="7" t="s">
        <v>5399</v>
      </c>
      <c r="D95" s="8" t="s">
        <v>4881</v>
      </c>
      <c r="E95" s="9" t="s">
        <v>4882</v>
      </c>
      <c r="L95" s="10">
        <v>3619308.01</v>
      </c>
      <c r="M95" s="10">
        <v>715940.01800000004</v>
      </c>
      <c r="N95" s="11">
        <v>15</v>
      </c>
      <c r="O95" s="11" t="s">
        <v>4871</v>
      </c>
      <c r="P95" s="13" t="s">
        <v>5400</v>
      </c>
      <c r="S95" s="9" t="s">
        <v>4881</v>
      </c>
      <c r="T95" s="12" t="s">
        <v>5401</v>
      </c>
      <c r="U95" s="12" t="s">
        <v>5017</v>
      </c>
      <c r="V95" s="12" t="s">
        <v>5020</v>
      </c>
      <c r="W95" s="12">
        <v>0</v>
      </c>
      <c r="X95" s="12">
        <v>0</v>
      </c>
      <c r="Y95" s="12">
        <v>0</v>
      </c>
      <c r="Z95" s="11">
        <v>0</v>
      </c>
      <c r="AA95" s="11">
        <v>0</v>
      </c>
      <c r="AB95" s="11">
        <v>0</v>
      </c>
      <c r="AC95" s="11">
        <f>IF(FIND("E",T95),1,0)</f>
        <v>1</v>
      </c>
      <c r="AD95" s="11">
        <v>1</v>
      </c>
      <c r="AE95" s="11">
        <v>1</v>
      </c>
      <c r="AF95" s="11">
        <f>IF(FIND("B",T95),1,0)</f>
        <v>1</v>
      </c>
      <c r="AG95" s="11">
        <v>0</v>
      </c>
      <c r="AH95" s="9">
        <v>1</v>
      </c>
      <c r="AI95" s="11">
        <v>1</v>
      </c>
      <c r="AJ95" s="11">
        <v>1</v>
      </c>
      <c r="AK95" s="11">
        <v>0</v>
      </c>
      <c r="AL95" s="11">
        <v>0</v>
      </c>
      <c r="AN95" s="11">
        <v>0</v>
      </c>
      <c r="AO95" s="11">
        <v>0</v>
      </c>
      <c r="AP95" s="11">
        <v>0</v>
      </c>
      <c r="AQ95" s="11">
        <v>1</v>
      </c>
      <c r="AR95" s="11">
        <v>1</v>
      </c>
      <c r="AS95" s="11">
        <v>0</v>
      </c>
      <c r="AT95" s="11">
        <v>0</v>
      </c>
      <c r="AU95" s="11">
        <v>1</v>
      </c>
      <c r="AV95" s="11">
        <v>0</v>
      </c>
      <c r="AW95" s="11">
        <v>0</v>
      </c>
      <c r="AX95" s="9" t="s">
        <v>4909</v>
      </c>
      <c r="AY95" s="11">
        <v>0</v>
      </c>
      <c r="AZ95" s="9" t="s">
        <v>4910</v>
      </c>
      <c r="BA95" s="12" t="s">
        <v>4911</v>
      </c>
      <c r="BB95" s="12">
        <v>0</v>
      </c>
      <c r="BC95" s="9" t="s">
        <v>4878</v>
      </c>
      <c r="BD95" s="12">
        <v>0</v>
      </c>
      <c r="BE95" s="12">
        <v>0</v>
      </c>
      <c r="BF95" s="12">
        <v>0</v>
      </c>
      <c r="BI95" s="12">
        <v>0</v>
      </c>
      <c r="BJ95" s="12">
        <v>0</v>
      </c>
    </row>
    <row r="96" spans="1:62" x14ac:dyDescent="0.15">
      <c r="A96" s="7" t="s">
        <v>5402</v>
      </c>
      <c r="C96" s="7" t="s">
        <v>5403</v>
      </c>
      <c r="D96" s="8" t="s">
        <v>4881</v>
      </c>
      <c r="E96" s="9" t="s">
        <v>4882</v>
      </c>
      <c r="L96" s="10">
        <v>3624975.9509999999</v>
      </c>
      <c r="M96" s="10">
        <v>719448.03700000001</v>
      </c>
      <c r="N96" s="11">
        <v>15</v>
      </c>
      <c r="O96" s="11" t="s">
        <v>4871</v>
      </c>
      <c r="P96" s="13" t="s">
        <v>5404</v>
      </c>
      <c r="S96" s="9" t="s">
        <v>4881</v>
      </c>
      <c r="T96" s="12" t="s">
        <v>4884</v>
      </c>
      <c r="U96" s="12" t="s">
        <v>5016</v>
      </c>
      <c r="V96" s="12" t="s">
        <v>5017</v>
      </c>
      <c r="W96" s="12">
        <v>0</v>
      </c>
      <c r="X96" s="12">
        <v>0</v>
      </c>
      <c r="Y96" s="12">
        <v>0</v>
      </c>
      <c r="Z96" s="11">
        <v>0</v>
      </c>
      <c r="AA96" s="11">
        <v>0</v>
      </c>
      <c r="AB96" s="11">
        <f>IF(FIND("F",T96),1,0)</f>
        <v>1</v>
      </c>
      <c r="AC96" s="11">
        <f>IF(FIND("E",T96),1,0)</f>
        <v>1</v>
      </c>
      <c r="AD96" s="11">
        <v>0</v>
      </c>
      <c r="AE96" s="11">
        <v>0</v>
      </c>
      <c r="AF96" s="11">
        <v>0</v>
      </c>
      <c r="AG96" s="11">
        <v>0</v>
      </c>
      <c r="AH96" s="9">
        <v>0</v>
      </c>
      <c r="AI96" s="11">
        <v>0</v>
      </c>
      <c r="AJ96" s="11">
        <v>0</v>
      </c>
      <c r="AK96" s="11">
        <v>0</v>
      </c>
      <c r="AL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0</v>
      </c>
      <c r="AU96" s="11">
        <v>0</v>
      </c>
      <c r="AV96" s="11">
        <v>0</v>
      </c>
      <c r="AW96" s="11">
        <v>0</v>
      </c>
      <c r="AX96" s="9" t="s">
        <v>4878</v>
      </c>
      <c r="AY96" s="11">
        <v>0</v>
      </c>
      <c r="AZ96" s="9"/>
      <c r="BA96" s="12" t="s">
        <v>4877</v>
      </c>
      <c r="BB96" s="12">
        <v>0</v>
      </c>
      <c r="BC96" s="9" t="s">
        <v>4878</v>
      </c>
      <c r="BD96" s="12">
        <v>0</v>
      </c>
      <c r="BE96" s="12">
        <v>0</v>
      </c>
      <c r="BF96" s="12">
        <v>0</v>
      </c>
      <c r="BI96" s="12">
        <v>0</v>
      </c>
      <c r="BJ96" s="12">
        <v>0</v>
      </c>
    </row>
    <row r="97" spans="1:62" x14ac:dyDescent="0.15">
      <c r="A97" s="7" t="s">
        <v>5405</v>
      </c>
      <c r="C97" s="7" t="s">
        <v>5406</v>
      </c>
      <c r="D97" s="8" t="s">
        <v>4881</v>
      </c>
      <c r="E97" s="9" t="s">
        <v>4882</v>
      </c>
      <c r="L97" s="10">
        <v>3621054.9780000001</v>
      </c>
      <c r="M97" s="10">
        <v>714158.04299999995</v>
      </c>
      <c r="N97" s="11">
        <v>15</v>
      </c>
      <c r="O97" s="11" t="s">
        <v>4871</v>
      </c>
      <c r="P97" s="13" t="s">
        <v>5407</v>
      </c>
      <c r="S97" s="9" t="s">
        <v>4881</v>
      </c>
      <c r="T97" s="12" t="s">
        <v>4884</v>
      </c>
      <c r="U97" s="12" t="s">
        <v>5016</v>
      </c>
      <c r="V97" s="12" t="s">
        <v>5017</v>
      </c>
      <c r="W97" s="12">
        <v>0</v>
      </c>
      <c r="X97" s="12">
        <v>0</v>
      </c>
      <c r="Y97" s="12">
        <v>0</v>
      </c>
      <c r="Z97" s="11">
        <v>0</v>
      </c>
      <c r="AA97" s="11">
        <v>0</v>
      </c>
      <c r="AB97" s="11">
        <f>IF(FIND("F",T97),1,0)</f>
        <v>1</v>
      </c>
      <c r="AC97" s="11">
        <f>IF(FIND("E",T97),1,0)</f>
        <v>1</v>
      </c>
      <c r="AD97" s="11">
        <v>0</v>
      </c>
      <c r="AE97" s="11">
        <v>0</v>
      </c>
      <c r="AF97" s="11">
        <v>0</v>
      </c>
      <c r="AG97" s="11">
        <v>0</v>
      </c>
      <c r="AH97" s="9">
        <v>1</v>
      </c>
      <c r="AI97" s="11">
        <v>1</v>
      </c>
      <c r="AJ97" s="11">
        <v>1</v>
      </c>
      <c r="AK97" s="11">
        <v>0</v>
      </c>
      <c r="AL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1</v>
      </c>
      <c r="AS97" s="11">
        <v>0</v>
      </c>
      <c r="AT97" s="11">
        <v>0</v>
      </c>
      <c r="AU97" s="11">
        <v>0</v>
      </c>
      <c r="AV97" s="11">
        <v>0</v>
      </c>
      <c r="AW97" s="11">
        <v>0</v>
      </c>
      <c r="AX97" s="9" t="s">
        <v>4878</v>
      </c>
      <c r="AY97" s="11">
        <v>0</v>
      </c>
      <c r="AZ97" s="9"/>
      <c r="BA97" s="12" t="s">
        <v>4877</v>
      </c>
      <c r="BB97" s="12">
        <v>0</v>
      </c>
      <c r="BC97" s="9" t="s">
        <v>4878</v>
      </c>
      <c r="BD97" s="12">
        <v>0</v>
      </c>
      <c r="BE97" s="12">
        <v>0</v>
      </c>
      <c r="BF97" s="12">
        <v>0</v>
      </c>
      <c r="BI97" s="12">
        <v>0</v>
      </c>
      <c r="BJ97" s="12">
        <v>0</v>
      </c>
    </row>
    <row r="98" spans="1:62" x14ac:dyDescent="0.15">
      <c r="A98" s="7" t="s">
        <v>5408</v>
      </c>
      <c r="C98" s="7" t="s">
        <v>5409</v>
      </c>
      <c r="D98" s="8" t="s">
        <v>4881</v>
      </c>
      <c r="E98" s="9" t="s">
        <v>4882</v>
      </c>
      <c r="L98" s="10">
        <v>3612698.9929999998</v>
      </c>
      <c r="M98" s="10">
        <v>711550.99899999995</v>
      </c>
      <c r="N98" s="11">
        <v>15</v>
      </c>
      <c r="O98" s="11" t="s">
        <v>4871</v>
      </c>
      <c r="P98" s="13" t="s">
        <v>5410</v>
      </c>
      <c r="S98" s="9" t="s">
        <v>4881</v>
      </c>
      <c r="T98" s="12" t="s">
        <v>4797</v>
      </c>
      <c r="U98" s="12" t="s">
        <v>5018</v>
      </c>
      <c r="V98" s="12" t="s">
        <v>5019</v>
      </c>
      <c r="W98" s="12">
        <v>0</v>
      </c>
      <c r="X98" s="12">
        <v>0</v>
      </c>
      <c r="Y98" s="12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f>IF(FIND("D",T98),1,0)</f>
        <v>1</v>
      </c>
      <c r="AE98" s="11">
        <f>IF(FIND("C",T98),1,0)</f>
        <v>1</v>
      </c>
      <c r="AF98" s="11">
        <v>0</v>
      </c>
      <c r="AG98" s="11">
        <v>0</v>
      </c>
      <c r="AH98" s="9">
        <v>0</v>
      </c>
      <c r="AI98" s="11">
        <v>0</v>
      </c>
      <c r="AJ98" s="11">
        <v>0</v>
      </c>
      <c r="AK98" s="11">
        <v>0</v>
      </c>
      <c r="AL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</v>
      </c>
      <c r="AT98" s="11">
        <v>0</v>
      </c>
      <c r="AU98" s="11">
        <v>0</v>
      </c>
      <c r="AV98" s="11">
        <v>0</v>
      </c>
      <c r="AW98" s="11">
        <v>0</v>
      </c>
      <c r="AX98" s="9" t="s">
        <v>4909</v>
      </c>
      <c r="AY98" s="11">
        <v>0</v>
      </c>
      <c r="AZ98" s="9"/>
      <c r="BA98" s="12" t="s">
        <v>4877</v>
      </c>
      <c r="BB98" s="12">
        <v>0</v>
      </c>
      <c r="BC98" s="9" t="s">
        <v>4878</v>
      </c>
      <c r="BD98" s="12">
        <v>0</v>
      </c>
      <c r="BE98" s="12">
        <v>0</v>
      </c>
      <c r="BF98" s="12">
        <v>0</v>
      </c>
      <c r="BI98" s="12">
        <v>0</v>
      </c>
      <c r="BJ98" s="12">
        <v>0</v>
      </c>
    </row>
    <row r="99" spans="1:62" x14ac:dyDescent="0.15">
      <c r="A99" s="7" t="s">
        <v>5411</v>
      </c>
      <c r="C99" s="7" t="s">
        <v>5412</v>
      </c>
      <c r="D99" s="8" t="s">
        <v>4881</v>
      </c>
      <c r="E99" s="9" t="s">
        <v>4882</v>
      </c>
      <c r="L99" s="10">
        <v>3612574.997</v>
      </c>
      <c r="M99" s="10">
        <v>712288.02800000005</v>
      </c>
      <c r="N99" s="11">
        <v>15</v>
      </c>
      <c r="O99" s="11" t="s">
        <v>4871</v>
      </c>
      <c r="P99" s="13" t="s">
        <v>5413</v>
      </c>
      <c r="S99" s="9" t="s">
        <v>4881</v>
      </c>
      <c r="T99" s="12" t="s">
        <v>4891</v>
      </c>
      <c r="U99" s="12" t="s">
        <v>5017</v>
      </c>
      <c r="V99" s="12" t="s">
        <v>5018</v>
      </c>
      <c r="W99" s="12">
        <v>0</v>
      </c>
      <c r="X99" s="12">
        <v>0</v>
      </c>
      <c r="Y99" s="12">
        <v>0</v>
      </c>
      <c r="Z99" s="11">
        <v>0</v>
      </c>
      <c r="AA99" s="11">
        <v>0</v>
      </c>
      <c r="AB99" s="11">
        <v>0</v>
      </c>
      <c r="AC99" s="11">
        <f>IF(FIND("E",T99),1,0)</f>
        <v>1</v>
      </c>
      <c r="AD99" s="11">
        <f>IF(FIND("D",T99),1,0)</f>
        <v>1</v>
      </c>
      <c r="AE99" s="11">
        <v>0</v>
      </c>
      <c r="AF99" s="11">
        <v>0</v>
      </c>
      <c r="AG99" s="11">
        <v>0</v>
      </c>
      <c r="AH99" s="9">
        <v>0</v>
      </c>
      <c r="AI99" s="11">
        <v>0</v>
      </c>
      <c r="AJ99" s="11">
        <v>0</v>
      </c>
      <c r="AK99" s="11">
        <v>0</v>
      </c>
      <c r="AL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</v>
      </c>
      <c r="AT99" s="11">
        <v>0</v>
      </c>
      <c r="AU99" s="11">
        <v>0</v>
      </c>
      <c r="AV99" s="11">
        <v>0</v>
      </c>
      <c r="AW99" s="11">
        <v>0</v>
      </c>
      <c r="AX99" s="9" t="s">
        <v>4909</v>
      </c>
      <c r="AY99" s="11">
        <v>0</v>
      </c>
      <c r="AZ99" s="9"/>
      <c r="BA99" s="12" t="s">
        <v>4877</v>
      </c>
      <c r="BB99" s="12">
        <v>0</v>
      </c>
      <c r="BC99" s="9" t="s">
        <v>4878</v>
      </c>
      <c r="BD99" s="12">
        <v>0</v>
      </c>
      <c r="BE99" s="12">
        <v>0</v>
      </c>
      <c r="BF99" s="12">
        <v>0</v>
      </c>
      <c r="BI99" s="12">
        <v>0</v>
      </c>
      <c r="BJ99" s="12">
        <v>0</v>
      </c>
    </row>
    <row r="100" spans="1:62" x14ac:dyDescent="0.15">
      <c r="A100" s="7" t="s">
        <v>5414</v>
      </c>
      <c r="C100" s="7" t="s">
        <v>5415</v>
      </c>
      <c r="D100" s="8" t="s">
        <v>4881</v>
      </c>
      <c r="E100" s="9" t="s">
        <v>4882</v>
      </c>
      <c r="L100" s="10">
        <v>3612574.997</v>
      </c>
      <c r="M100" s="10">
        <v>712288.02800000005</v>
      </c>
      <c r="N100" s="11">
        <v>15</v>
      </c>
      <c r="O100" s="11" t="s">
        <v>4871</v>
      </c>
      <c r="P100" s="13" t="s">
        <v>5416</v>
      </c>
      <c r="S100" s="9" t="s">
        <v>4881</v>
      </c>
      <c r="T100" s="12" t="s">
        <v>4902</v>
      </c>
      <c r="U100" s="12" t="s">
        <v>4902</v>
      </c>
      <c r="V100" s="12" t="s">
        <v>4902</v>
      </c>
      <c r="W100" s="12">
        <v>0</v>
      </c>
      <c r="X100" s="12">
        <v>0</v>
      </c>
      <c r="Y100" s="12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9" t="s">
        <v>8248</v>
      </c>
      <c r="AI100" s="11">
        <v>2</v>
      </c>
      <c r="AJ100" s="11">
        <v>1</v>
      </c>
      <c r="AK100" s="11">
        <v>1</v>
      </c>
      <c r="AL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</v>
      </c>
      <c r="AT100" s="11">
        <v>1</v>
      </c>
      <c r="AU100" s="11">
        <v>0</v>
      </c>
      <c r="AV100" s="11">
        <v>0</v>
      </c>
      <c r="AW100" s="11">
        <v>0</v>
      </c>
      <c r="AX100" s="9" t="s">
        <v>4878</v>
      </c>
      <c r="AY100" s="11">
        <v>0</v>
      </c>
      <c r="AZ100" s="9"/>
      <c r="BA100" s="12" t="s">
        <v>4877</v>
      </c>
      <c r="BB100" s="12">
        <v>0</v>
      </c>
      <c r="BC100" s="9" t="s">
        <v>4878</v>
      </c>
      <c r="BD100" s="12">
        <v>0</v>
      </c>
      <c r="BE100" s="12">
        <v>0</v>
      </c>
      <c r="BF100" s="12">
        <v>0</v>
      </c>
      <c r="BI100" s="12">
        <v>0</v>
      </c>
      <c r="BJ100" s="12">
        <v>0</v>
      </c>
    </row>
    <row r="101" spans="1:62" x14ac:dyDescent="0.15">
      <c r="A101" s="7" t="s">
        <v>5417</v>
      </c>
      <c r="C101" s="7" t="s">
        <v>5418</v>
      </c>
      <c r="D101" s="8" t="s">
        <v>4881</v>
      </c>
      <c r="E101" s="9" t="s">
        <v>4882</v>
      </c>
      <c r="L101" s="10">
        <v>3618191.0129999998</v>
      </c>
      <c r="M101" s="10">
        <v>719179.98100000003</v>
      </c>
      <c r="N101" s="11">
        <v>15</v>
      </c>
      <c r="O101" s="11" t="s">
        <v>4871</v>
      </c>
      <c r="P101" s="13" t="s">
        <v>5419</v>
      </c>
      <c r="S101" s="9" t="s">
        <v>4881</v>
      </c>
      <c r="T101" s="12" t="s">
        <v>4902</v>
      </c>
      <c r="U101" s="12" t="s">
        <v>4902</v>
      </c>
      <c r="V101" s="12" t="s">
        <v>4902</v>
      </c>
      <c r="W101" s="12">
        <v>0</v>
      </c>
      <c r="X101" s="12">
        <v>0</v>
      </c>
      <c r="Y101" s="12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9">
        <v>1</v>
      </c>
      <c r="AI101" s="11">
        <v>1</v>
      </c>
      <c r="AJ101" s="11">
        <v>1</v>
      </c>
      <c r="AK101" s="11">
        <v>0</v>
      </c>
      <c r="AL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1">
        <v>0</v>
      </c>
      <c r="AT101" s="11">
        <v>1</v>
      </c>
      <c r="AU101" s="11">
        <v>0</v>
      </c>
      <c r="AV101" s="11">
        <v>0</v>
      </c>
      <c r="AW101" s="11">
        <v>0</v>
      </c>
      <c r="AX101" s="9" t="s">
        <v>4878</v>
      </c>
      <c r="AY101" s="11">
        <v>0</v>
      </c>
      <c r="AZ101" s="9"/>
      <c r="BA101" s="12" t="s">
        <v>4877</v>
      </c>
      <c r="BB101" s="12">
        <v>0</v>
      </c>
      <c r="BC101" s="9" t="s">
        <v>4878</v>
      </c>
      <c r="BD101" s="12">
        <v>0</v>
      </c>
      <c r="BE101" s="12">
        <v>0</v>
      </c>
      <c r="BF101" s="12">
        <v>0</v>
      </c>
      <c r="BI101" s="12">
        <v>0</v>
      </c>
      <c r="BJ101" s="12">
        <v>0</v>
      </c>
    </row>
    <row r="102" spans="1:62" x14ac:dyDescent="0.15">
      <c r="A102" s="7" t="s">
        <v>5420</v>
      </c>
      <c r="C102" s="7" t="s">
        <v>5421</v>
      </c>
      <c r="D102" s="8" t="s">
        <v>4881</v>
      </c>
      <c r="E102" s="9" t="s">
        <v>4882</v>
      </c>
      <c r="L102" s="10">
        <v>3616822.0350000001</v>
      </c>
      <c r="M102" s="10">
        <v>718610.02399999998</v>
      </c>
      <c r="N102" s="11">
        <v>15</v>
      </c>
      <c r="O102" s="11" t="s">
        <v>4871</v>
      </c>
      <c r="P102" s="13" t="s">
        <v>5422</v>
      </c>
      <c r="S102" s="9" t="s">
        <v>4881</v>
      </c>
      <c r="T102" s="12" t="s">
        <v>5361</v>
      </c>
      <c r="U102" s="12" t="s">
        <v>5018</v>
      </c>
      <c r="V102" s="12" t="s">
        <v>5020</v>
      </c>
      <c r="W102" s="12">
        <v>0</v>
      </c>
      <c r="X102" s="12">
        <v>0</v>
      </c>
      <c r="Y102" s="12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f>IF(FIND("D",T102),1,0)</f>
        <v>1</v>
      </c>
      <c r="AE102" s="11">
        <v>1</v>
      </c>
      <c r="AF102" s="11">
        <f>IF(FIND("B",T102),1,0)</f>
        <v>1</v>
      </c>
      <c r="AG102" s="11">
        <v>0</v>
      </c>
      <c r="AH102" s="9">
        <v>2</v>
      </c>
      <c r="AI102" s="11">
        <v>2</v>
      </c>
      <c r="AJ102" s="11">
        <v>1</v>
      </c>
      <c r="AK102" s="11">
        <v>1</v>
      </c>
      <c r="AL102" s="11">
        <v>1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</v>
      </c>
      <c r="AT102" s="11">
        <v>0</v>
      </c>
      <c r="AU102" s="11">
        <v>0</v>
      </c>
      <c r="AV102" s="11">
        <v>0</v>
      </c>
      <c r="AW102" s="11">
        <v>0</v>
      </c>
      <c r="AX102" s="9" t="s">
        <v>4878</v>
      </c>
      <c r="AY102" s="11">
        <v>0</v>
      </c>
      <c r="AZ102" s="9"/>
      <c r="BA102" s="12" t="s">
        <v>4877</v>
      </c>
      <c r="BB102" s="12">
        <v>0</v>
      </c>
      <c r="BC102" s="9" t="s">
        <v>4878</v>
      </c>
      <c r="BD102" s="12">
        <v>13.123359580052494</v>
      </c>
      <c r="BE102" s="12">
        <v>0</v>
      </c>
      <c r="BF102" s="12">
        <v>0</v>
      </c>
      <c r="BI102" s="12">
        <v>0</v>
      </c>
      <c r="BJ102" s="12">
        <v>0</v>
      </c>
    </row>
    <row r="103" spans="1:62" x14ac:dyDescent="0.15">
      <c r="A103" s="7" t="s">
        <v>5423</v>
      </c>
      <c r="C103" s="7" t="s">
        <v>5424</v>
      </c>
      <c r="D103" s="8" t="s">
        <v>4881</v>
      </c>
      <c r="E103" s="9" t="s">
        <v>4882</v>
      </c>
      <c r="L103" s="10">
        <v>3609732.0010000002</v>
      </c>
      <c r="M103" s="10">
        <v>711670.03799999994</v>
      </c>
      <c r="N103" s="11">
        <v>15</v>
      </c>
      <c r="O103" s="11" t="s">
        <v>4871</v>
      </c>
      <c r="P103" s="13" t="s">
        <v>5425</v>
      </c>
      <c r="S103" s="9" t="s">
        <v>4881</v>
      </c>
      <c r="T103" s="12" t="s">
        <v>4902</v>
      </c>
      <c r="U103" s="12" t="s">
        <v>4902</v>
      </c>
      <c r="V103" s="12" t="s">
        <v>4902</v>
      </c>
      <c r="W103" s="12">
        <v>0</v>
      </c>
      <c r="X103" s="12">
        <v>0</v>
      </c>
      <c r="Y103" s="12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9">
        <v>0</v>
      </c>
      <c r="AI103" s="11">
        <v>0</v>
      </c>
      <c r="AJ103" s="11">
        <v>0</v>
      </c>
      <c r="AK103" s="11">
        <v>0</v>
      </c>
      <c r="AL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0</v>
      </c>
      <c r="AT103" s="11">
        <v>0</v>
      </c>
      <c r="AU103" s="11">
        <v>0</v>
      </c>
      <c r="AV103" s="11">
        <v>0</v>
      </c>
      <c r="AW103" s="11">
        <v>0</v>
      </c>
      <c r="AX103" s="9" t="s">
        <v>4878</v>
      </c>
      <c r="AY103" s="11">
        <v>0</v>
      </c>
      <c r="AZ103" s="9"/>
      <c r="BA103" s="12" t="s">
        <v>4877</v>
      </c>
      <c r="BB103" s="12">
        <v>0</v>
      </c>
      <c r="BC103" s="9" t="s">
        <v>4878</v>
      </c>
      <c r="BD103" s="12">
        <v>0</v>
      </c>
      <c r="BE103" s="12">
        <v>0</v>
      </c>
      <c r="BF103" s="12">
        <v>0</v>
      </c>
      <c r="BI103" s="12">
        <v>0</v>
      </c>
      <c r="BJ103" s="12">
        <v>0</v>
      </c>
    </row>
    <row r="104" spans="1:62" x14ac:dyDescent="0.15">
      <c r="A104" s="7" t="s">
        <v>5265</v>
      </c>
      <c r="C104" s="7" t="s">
        <v>5266</v>
      </c>
      <c r="D104" s="8" t="s">
        <v>4881</v>
      </c>
      <c r="E104" s="9" t="s">
        <v>4882</v>
      </c>
      <c r="L104" s="10">
        <v>3614167.986</v>
      </c>
      <c r="M104" s="10">
        <v>729213.96900000004</v>
      </c>
      <c r="N104" s="11">
        <v>15</v>
      </c>
      <c r="O104" s="11" t="s">
        <v>4871</v>
      </c>
      <c r="P104" s="13" t="s">
        <v>5267</v>
      </c>
      <c r="S104" s="9" t="s">
        <v>4881</v>
      </c>
      <c r="T104" s="12" t="s">
        <v>4902</v>
      </c>
      <c r="U104" s="12" t="s">
        <v>4902</v>
      </c>
      <c r="V104" s="12" t="s">
        <v>4902</v>
      </c>
      <c r="W104" s="12">
        <v>0</v>
      </c>
      <c r="X104" s="12">
        <v>0</v>
      </c>
      <c r="Y104" s="12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9">
        <v>2</v>
      </c>
      <c r="AI104" s="11">
        <v>2</v>
      </c>
      <c r="AJ104" s="11">
        <v>1</v>
      </c>
      <c r="AK104" s="11">
        <v>1</v>
      </c>
      <c r="AL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</v>
      </c>
      <c r="AT104" s="11">
        <v>1</v>
      </c>
      <c r="AU104" s="11">
        <v>0</v>
      </c>
      <c r="AV104" s="11">
        <v>0</v>
      </c>
      <c r="AW104" s="11">
        <v>0</v>
      </c>
      <c r="AX104" s="9" t="s">
        <v>4878</v>
      </c>
      <c r="AY104" s="11">
        <v>0</v>
      </c>
      <c r="AZ104" s="9"/>
      <c r="BA104" s="12" t="s">
        <v>4877</v>
      </c>
      <c r="BB104" s="12">
        <v>0</v>
      </c>
      <c r="BC104" s="9" t="s">
        <v>4878</v>
      </c>
      <c r="BD104" s="12">
        <v>0</v>
      </c>
      <c r="BE104" s="12">
        <v>0</v>
      </c>
      <c r="BF104" s="12">
        <v>0</v>
      </c>
      <c r="BI104" s="12">
        <v>0</v>
      </c>
      <c r="BJ104" s="12">
        <v>0</v>
      </c>
    </row>
    <row r="105" spans="1:62" x14ac:dyDescent="0.15">
      <c r="A105" s="7" t="s">
        <v>5268</v>
      </c>
      <c r="C105" s="7" t="s">
        <v>5269</v>
      </c>
      <c r="D105" s="8" t="s">
        <v>4881</v>
      </c>
      <c r="E105" s="9" t="s">
        <v>4882</v>
      </c>
      <c r="L105" s="10">
        <v>3621526.0189999999</v>
      </c>
      <c r="M105" s="10">
        <v>728867.99899999995</v>
      </c>
      <c r="N105" s="11">
        <v>15</v>
      </c>
      <c r="O105" s="11" t="s">
        <v>4871</v>
      </c>
      <c r="P105" s="13" t="s">
        <v>5270</v>
      </c>
      <c r="S105" s="9" t="s">
        <v>4881</v>
      </c>
      <c r="T105" s="12" t="s">
        <v>4891</v>
      </c>
      <c r="U105" s="12" t="s">
        <v>5017</v>
      </c>
      <c r="V105" s="12" t="s">
        <v>5018</v>
      </c>
      <c r="W105" s="12">
        <v>0</v>
      </c>
      <c r="X105" s="12">
        <v>0</v>
      </c>
      <c r="Y105" s="12">
        <v>0</v>
      </c>
      <c r="Z105" s="11">
        <v>0</v>
      </c>
      <c r="AA105" s="11">
        <v>0</v>
      </c>
      <c r="AB105" s="11">
        <v>0</v>
      </c>
      <c r="AC105" s="11">
        <f>IF(FIND("E",T105),1,0)</f>
        <v>1</v>
      </c>
      <c r="AD105" s="11">
        <f>IF(FIND("D",T105),1,0)</f>
        <v>1</v>
      </c>
      <c r="AE105" s="11">
        <v>0</v>
      </c>
      <c r="AF105" s="11">
        <v>0</v>
      </c>
      <c r="AG105" s="11">
        <v>0</v>
      </c>
      <c r="AH105" s="9">
        <v>1</v>
      </c>
      <c r="AI105" s="11">
        <v>1</v>
      </c>
      <c r="AJ105" s="11">
        <v>1</v>
      </c>
      <c r="AK105" s="11">
        <v>0</v>
      </c>
      <c r="AL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1</v>
      </c>
      <c r="AS105" s="11">
        <v>0</v>
      </c>
      <c r="AT105" s="11">
        <v>0</v>
      </c>
      <c r="AU105" s="11">
        <v>0</v>
      </c>
      <c r="AV105" s="11">
        <v>0</v>
      </c>
      <c r="AW105" s="11">
        <v>0</v>
      </c>
      <c r="AX105" s="9" t="s">
        <v>4909</v>
      </c>
      <c r="AY105" s="11">
        <v>0</v>
      </c>
      <c r="AZ105" s="9" t="s">
        <v>4910</v>
      </c>
      <c r="BA105" s="12" t="s">
        <v>4911</v>
      </c>
      <c r="BB105" s="12">
        <v>0</v>
      </c>
      <c r="BC105" s="9" t="s">
        <v>4909</v>
      </c>
      <c r="BD105" s="12">
        <v>6.5616797900262469</v>
      </c>
      <c r="BE105" s="12">
        <v>0</v>
      </c>
      <c r="BF105" s="12">
        <v>2164.2126008981709</v>
      </c>
      <c r="BI105">
        <f>BD105/BF105</f>
        <v>3.0319016659006055E-3</v>
      </c>
      <c r="BJ105">
        <f>BI105*10000</f>
        <v>30.319016659006056</v>
      </c>
    </row>
    <row r="106" spans="1:62" x14ac:dyDescent="0.15">
      <c r="A106" s="7" t="s">
        <v>5271</v>
      </c>
      <c r="C106" s="7" t="s">
        <v>5272</v>
      </c>
      <c r="D106" s="8" t="s">
        <v>4881</v>
      </c>
      <c r="E106" s="9" t="s">
        <v>4882</v>
      </c>
      <c r="L106" s="10">
        <v>3624605.0120000001</v>
      </c>
      <c r="M106" s="10">
        <v>726015.02099999995</v>
      </c>
      <c r="N106" s="11">
        <v>15</v>
      </c>
      <c r="O106" s="11" t="s">
        <v>4871</v>
      </c>
      <c r="P106" s="13" t="s">
        <v>5273</v>
      </c>
      <c r="S106" s="9" t="s">
        <v>4881</v>
      </c>
      <c r="T106" s="12" t="s">
        <v>4902</v>
      </c>
      <c r="U106" s="12" t="s">
        <v>4902</v>
      </c>
      <c r="V106" s="12" t="s">
        <v>4902</v>
      </c>
      <c r="W106" s="12">
        <v>0</v>
      </c>
      <c r="X106" s="12">
        <v>0</v>
      </c>
      <c r="Y106" s="12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9">
        <v>2</v>
      </c>
      <c r="AI106" s="11">
        <v>2</v>
      </c>
      <c r="AJ106" s="11">
        <v>1</v>
      </c>
      <c r="AK106" s="11">
        <v>1</v>
      </c>
      <c r="AL106" s="11">
        <v>1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1</v>
      </c>
      <c r="AU106" s="11">
        <v>0</v>
      </c>
      <c r="AV106" s="11">
        <v>0</v>
      </c>
      <c r="AW106" s="11">
        <v>0</v>
      </c>
      <c r="AX106" s="9" t="s">
        <v>4878</v>
      </c>
      <c r="AY106" s="11">
        <v>0</v>
      </c>
      <c r="AZ106" s="9"/>
      <c r="BA106" s="12" t="s">
        <v>4877</v>
      </c>
      <c r="BB106" s="12">
        <v>0</v>
      </c>
      <c r="BC106" s="9" t="s">
        <v>4878</v>
      </c>
      <c r="BD106" s="12">
        <v>6.5616797900262469</v>
      </c>
      <c r="BE106" s="12">
        <v>0</v>
      </c>
      <c r="BF106" s="12">
        <v>25833.385000103335</v>
      </c>
      <c r="BI106">
        <f>BD106/BF106</f>
        <v>2.5399999999999999E-4</v>
      </c>
      <c r="BJ106">
        <f>BI106*10000</f>
        <v>2.54</v>
      </c>
    </row>
    <row r="107" spans="1:62" x14ac:dyDescent="0.15">
      <c r="A107" s="7" t="s">
        <v>5274</v>
      </c>
      <c r="C107" s="7" t="s">
        <v>5275</v>
      </c>
      <c r="D107" s="8" t="s">
        <v>4881</v>
      </c>
      <c r="E107" s="9" t="s">
        <v>4882</v>
      </c>
      <c r="L107" s="10">
        <v>3603906.03</v>
      </c>
      <c r="M107" s="10">
        <v>712092.95200000005</v>
      </c>
      <c r="N107" s="11">
        <v>15</v>
      </c>
      <c r="O107" s="11" t="s">
        <v>4871</v>
      </c>
      <c r="P107" s="13" t="s">
        <v>5276</v>
      </c>
      <c r="S107" s="9" t="s">
        <v>4881</v>
      </c>
      <c r="T107" s="12" t="s">
        <v>4902</v>
      </c>
      <c r="U107" s="12" t="s">
        <v>4902</v>
      </c>
      <c r="V107" s="12" t="s">
        <v>4902</v>
      </c>
      <c r="W107" s="12">
        <v>0</v>
      </c>
      <c r="X107" s="12">
        <v>0</v>
      </c>
      <c r="Y107" s="12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9">
        <v>1</v>
      </c>
      <c r="AI107" s="11">
        <v>1</v>
      </c>
      <c r="AJ107" s="11">
        <v>1</v>
      </c>
      <c r="AK107" s="11">
        <v>0</v>
      </c>
      <c r="AL107" s="11">
        <v>1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</v>
      </c>
      <c r="AT107" s="11">
        <v>0</v>
      </c>
      <c r="AU107" s="11">
        <v>0</v>
      </c>
      <c r="AV107" s="11">
        <v>0</v>
      </c>
      <c r="AW107" s="11">
        <v>0</v>
      </c>
      <c r="AX107" s="9" t="s">
        <v>4878</v>
      </c>
      <c r="AY107" s="11">
        <v>0</v>
      </c>
      <c r="AZ107" s="9"/>
      <c r="BA107" s="12" t="s">
        <v>4877</v>
      </c>
      <c r="BB107" s="12">
        <v>0</v>
      </c>
      <c r="BC107" s="9" t="s">
        <v>4878</v>
      </c>
      <c r="BD107" s="12">
        <v>6.5616797900262469</v>
      </c>
      <c r="BE107" s="12">
        <v>0</v>
      </c>
      <c r="BF107" s="12">
        <v>25833.385000103335</v>
      </c>
      <c r="BI107">
        <f>BD107/BF107</f>
        <v>2.5399999999999999E-4</v>
      </c>
      <c r="BJ107">
        <f>BI107*10000</f>
        <v>2.54</v>
      </c>
    </row>
    <row r="108" spans="1:62" x14ac:dyDescent="0.15">
      <c r="A108" s="7" t="s">
        <v>5277</v>
      </c>
      <c r="C108" s="7" t="s">
        <v>5278</v>
      </c>
      <c r="D108" s="8" t="s">
        <v>4881</v>
      </c>
      <c r="E108" s="9" t="s">
        <v>4882</v>
      </c>
      <c r="L108" s="10">
        <v>3622914.0019999999</v>
      </c>
      <c r="M108" s="10">
        <v>725807.04599999997</v>
      </c>
      <c r="N108" s="11">
        <v>15</v>
      </c>
      <c r="O108" s="11" t="s">
        <v>4871</v>
      </c>
      <c r="P108" s="13" t="s">
        <v>5279</v>
      </c>
      <c r="S108" s="9" t="s">
        <v>4881</v>
      </c>
      <c r="T108" s="12" t="s">
        <v>4902</v>
      </c>
      <c r="U108" s="12" t="s">
        <v>4902</v>
      </c>
      <c r="V108" s="12" t="s">
        <v>4902</v>
      </c>
      <c r="W108" s="12">
        <v>0</v>
      </c>
      <c r="X108" s="12">
        <v>0</v>
      </c>
      <c r="Y108" s="12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9">
        <v>1</v>
      </c>
      <c r="AI108" s="11">
        <v>1</v>
      </c>
      <c r="AJ108" s="11">
        <v>1</v>
      </c>
      <c r="AK108" s="11">
        <v>0</v>
      </c>
      <c r="AL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0</v>
      </c>
      <c r="AT108" s="11">
        <v>1</v>
      </c>
      <c r="AU108" s="11">
        <v>0</v>
      </c>
      <c r="AV108" s="11">
        <v>0</v>
      </c>
      <c r="AW108" s="11">
        <v>0</v>
      </c>
      <c r="AX108" s="9" t="s">
        <v>4878</v>
      </c>
      <c r="AY108" s="11">
        <v>0</v>
      </c>
      <c r="AZ108" s="9"/>
      <c r="BA108" s="12" t="s">
        <v>4877</v>
      </c>
      <c r="BB108" s="12">
        <v>0</v>
      </c>
      <c r="BC108" s="9" t="s">
        <v>4878</v>
      </c>
      <c r="BD108" s="12">
        <v>0</v>
      </c>
      <c r="BE108" s="12">
        <v>0</v>
      </c>
      <c r="BF108" s="12">
        <v>0</v>
      </c>
      <c r="BI108" s="12">
        <v>0</v>
      </c>
      <c r="BJ108" s="12">
        <v>0</v>
      </c>
    </row>
    <row r="109" spans="1:62" x14ac:dyDescent="0.15">
      <c r="A109" s="7" t="s">
        <v>5280</v>
      </c>
      <c r="C109" s="7" t="s">
        <v>5281</v>
      </c>
      <c r="D109" s="8" t="s">
        <v>4881</v>
      </c>
      <c r="E109" s="9" t="s">
        <v>4882</v>
      </c>
      <c r="L109" s="10">
        <v>3625678.0180000002</v>
      </c>
      <c r="M109" s="10">
        <v>715423.96900000004</v>
      </c>
      <c r="N109" s="11">
        <v>15</v>
      </c>
      <c r="O109" s="11" t="s">
        <v>4871</v>
      </c>
      <c r="P109" s="13" t="s">
        <v>5282</v>
      </c>
      <c r="S109" s="9" t="s">
        <v>4881</v>
      </c>
      <c r="T109" s="12" t="s">
        <v>5283</v>
      </c>
      <c r="U109" s="12" t="s">
        <v>4897</v>
      </c>
      <c r="V109" s="12" t="s">
        <v>5016</v>
      </c>
      <c r="W109" s="12">
        <v>0</v>
      </c>
      <c r="X109" s="12">
        <v>0</v>
      </c>
      <c r="Y109" s="12">
        <v>0</v>
      </c>
      <c r="Z109" s="11">
        <f>IF(FIND("H",T109),1,0)</f>
        <v>1</v>
      </c>
      <c r="AA109" s="11">
        <v>1</v>
      </c>
      <c r="AB109" s="11">
        <f>IF(FIND("F",T109),1,0)</f>
        <v>1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9">
        <v>3</v>
      </c>
      <c r="AI109" s="11">
        <v>3</v>
      </c>
      <c r="AJ109" s="11">
        <v>1</v>
      </c>
      <c r="AK109" s="11">
        <v>1</v>
      </c>
      <c r="AL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1</v>
      </c>
      <c r="AS109" s="11">
        <v>0</v>
      </c>
      <c r="AT109" s="11">
        <v>0</v>
      </c>
      <c r="AU109" s="11">
        <v>0</v>
      </c>
      <c r="AV109" s="11">
        <v>0</v>
      </c>
      <c r="AW109" s="11">
        <v>0</v>
      </c>
      <c r="AX109" s="9" t="s">
        <v>4878</v>
      </c>
      <c r="AY109" s="11">
        <v>0</v>
      </c>
      <c r="AZ109" s="9"/>
      <c r="BA109" s="12" t="s">
        <v>4877</v>
      </c>
      <c r="BB109" s="12">
        <v>0</v>
      </c>
      <c r="BC109" s="9" t="s">
        <v>4878</v>
      </c>
      <c r="BD109" s="12">
        <v>8.2020997375328086</v>
      </c>
      <c r="BE109" s="12">
        <v>0</v>
      </c>
      <c r="BF109" s="12">
        <v>41424.381814066539</v>
      </c>
      <c r="BI109">
        <f>BD109/BF109</f>
        <v>1.9800174144657024E-4</v>
      </c>
      <c r="BJ109">
        <f>BI109*10000</f>
        <v>1.9800174144657023</v>
      </c>
    </row>
    <row r="110" spans="1:62" x14ac:dyDescent="0.15">
      <c r="A110" s="7" t="s">
        <v>5284</v>
      </c>
      <c r="C110" s="7" t="s">
        <v>5285</v>
      </c>
      <c r="D110" s="8" t="s">
        <v>4881</v>
      </c>
      <c r="E110" s="9" t="s">
        <v>4882</v>
      </c>
      <c r="L110" s="10">
        <v>3588521.9649999999</v>
      </c>
      <c r="M110" s="10">
        <v>702784.98800000001</v>
      </c>
      <c r="N110" s="11">
        <v>15</v>
      </c>
      <c r="O110" s="11" t="s">
        <v>4871</v>
      </c>
      <c r="P110" s="13" t="s">
        <v>5286</v>
      </c>
      <c r="S110" s="9" t="s">
        <v>4881</v>
      </c>
      <c r="T110" s="12" t="s">
        <v>4797</v>
      </c>
      <c r="U110" s="12" t="s">
        <v>5018</v>
      </c>
      <c r="V110" s="12" t="s">
        <v>5019</v>
      </c>
      <c r="W110" s="12">
        <v>0</v>
      </c>
      <c r="X110" s="12">
        <v>0</v>
      </c>
      <c r="Y110" s="12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f>IF(FIND("D",T110),1,0)</f>
        <v>1</v>
      </c>
      <c r="AE110" s="11">
        <f>IF(FIND("C",T110),1,0)</f>
        <v>1</v>
      </c>
      <c r="AF110" s="11">
        <v>0</v>
      </c>
      <c r="AG110" s="11">
        <v>0</v>
      </c>
      <c r="AH110" s="9">
        <v>4</v>
      </c>
      <c r="AI110" s="11">
        <v>4</v>
      </c>
      <c r="AJ110" s="11">
        <v>1</v>
      </c>
      <c r="AK110" s="11">
        <v>1</v>
      </c>
      <c r="AL110" s="11">
        <v>1</v>
      </c>
      <c r="AN110" s="11">
        <v>0</v>
      </c>
      <c r="AO110" s="11">
        <v>0</v>
      </c>
      <c r="AP110" s="11">
        <v>0</v>
      </c>
      <c r="AQ110" s="11">
        <v>1</v>
      </c>
      <c r="AR110" s="11">
        <v>1</v>
      </c>
      <c r="AS110" s="11">
        <v>0</v>
      </c>
      <c r="AT110" s="11">
        <v>1</v>
      </c>
      <c r="AU110" s="11">
        <v>0</v>
      </c>
      <c r="AV110" s="11">
        <v>0</v>
      </c>
      <c r="AW110" s="11">
        <v>0</v>
      </c>
      <c r="AX110" s="9" t="s">
        <v>4878</v>
      </c>
      <c r="AY110" s="11">
        <v>0</v>
      </c>
      <c r="AZ110" s="9"/>
      <c r="BA110" s="12" t="s">
        <v>4877</v>
      </c>
      <c r="BB110" s="9" t="s">
        <v>4909</v>
      </c>
      <c r="BC110" s="9" t="s">
        <v>4878</v>
      </c>
      <c r="BD110" s="12">
        <v>25</v>
      </c>
      <c r="BE110" s="12">
        <v>0</v>
      </c>
      <c r="BF110" s="12">
        <v>0</v>
      </c>
      <c r="BI110" s="12">
        <v>0</v>
      </c>
      <c r="BJ110" s="12">
        <v>0</v>
      </c>
    </row>
    <row r="111" spans="1:62" x14ac:dyDescent="0.15">
      <c r="A111" s="7" t="s">
        <v>5287</v>
      </c>
      <c r="C111" s="7" t="s">
        <v>5288</v>
      </c>
      <c r="D111" s="8" t="s">
        <v>4881</v>
      </c>
      <c r="E111" s="9" t="s">
        <v>4882</v>
      </c>
      <c r="L111" s="10">
        <v>3588521.9649999999</v>
      </c>
      <c r="M111" s="10">
        <v>702784.98800000001</v>
      </c>
      <c r="N111" s="11">
        <v>15</v>
      </c>
      <c r="O111" s="11" t="s">
        <v>4871</v>
      </c>
      <c r="P111" s="13" t="s">
        <v>5289</v>
      </c>
      <c r="S111" s="9" t="s">
        <v>4881</v>
      </c>
      <c r="T111" s="12" t="s">
        <v>4797</v>
      </c>
      <c r="U111" s="12" t="s">
        <v>5018</v>
      </c>
      <c r="V111" s="12" t="s">
        <v>5019</v>
      </c>
      <c r="W111" s="12">
        <v>0</v>
      </c>
      <c r="X111" s="12">
        <v>0</v>
      </c>
      <c r="Y111" s="12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f>IF(FIND("D",T111),1,0)</f>
        <v>1</v>
      </c>
      <c r="AE111" s="11">
        <f>IF(FIND("C",T111),1,0)</f>
        <v>1</v>
      </c>
      <c r="AF111" s="11">
        <v>0</v>
      </c>
      <c r="AG111" s="11">
        <v>0</v>
      </c>
      <c r="AH111" s="9">
        <v>1</v>
      </c>
      <c r="AI111" s="11">
        <v>1</v>
      </c>
      <c r="AJ111" s="11">
        <v>1</v>
      </c>
      <c r="AK111" s="11">
        <v>0</v>
      </c>
      <c r="AL111" s="11">
        <v>1</v>
      </c>
      <c r="AN111" s="11">
        <v>0</v>
      </c>
      <c r="AO111" s="11">
        <v>0</v>
      </c>
      <c r="AP111" s="11">
        <v>0</v>
      </c>
      <c r="AQ111" s="11">
        <v>1</v>
      </c>
      <c r="AR111" s="11">
        <v>0</v>
      </c>
      <c r="AS111" s="11">
        <v>0</v>
      </c>
      <c r="AT111" s="11">
        <v>0</v>
      </c>
      <c r="AU111" s="11">
        <v>0</v>
      </c>
      <c r="AV111" s="11">
        <v>0</v>
      </c>
      <c r="AW111" s="11">
        <v>0</v>
      </c>
      <c r="AX111" s="9" t="s">
        <v>4878</v>
      </c>
      <c r="AY111" s="11">
        <v>0</v>
      </c>
      <c r="AZ111" s="9"/>
      <c r="BA111" s="12" t="s">
        <v>4877</v>
      </c>
      <c r="BB111" s="12">
        <v>0</v>
      </c>
      <c r="BC111" s="9" t="s">
        <v>4878</v>
      </c>
      <c r="BD111" s="12">
        <v>6.5616797900262469</v>
      </c>
      <c r="BE111" s="12">
        <v>0</v>
      </c>
      <c r="BF111" s="12">
        <v>12916.692500051668</v>
      </c>
      <c r="BI111">
        <f>BD111/BF111</f>
        <v>5.0799999999999999E-4</v>
      </c>
      <c r="BJ111">
        <f>BI111*10000</f>
        <v>5.08</v>
      </c>
    </row>
    <row r="112" spans="1:62" x14ac:dyDescent="0.15">
      <c r="A112" s="7" t="s">
        <v>5290</v>
      </c>
      <c r="C112" s="7" t="s">
        <v>5291</v>
      </c>
      <c r="D112" s="7" t="s">
        <v>5292</v>
      </c>
      <c r="E112" s="9" t="s">
        <v>5293</v>
      </c>
      <c r="L112" s="10">
        <v>3943300</v>
      </c>
      <c r="M112" s="10">
        <v>767520</v>
      </c>
      <c r="N112" s="11">
        <v>15</v>
      </c>
      <c r="P112" s="7" t="s">
        <v>5294</v>
      </c>
      <c r="Q112" s="9" t="s">
        <v>5295</v>
      </c>
      <c r="R112" s="9" t="s">
        <v>5295</v>
      </c>
      <c r="S112" s="9" t="s">
        <v>5292</v>
      </c>
      <c r="T112" s="9" t="s">
        <v>8484</v>
      </c>
      <c r="U112" s="12" t="s">
        <v>5019</v>
      </c>
      <c r="V112" s="12" t="s">
        <v>5020</v>
      </c>
      <c r="W112" s="12">
        <v>0</v>
      </c>
      <c r="X112" s="12">
        <v>0</v>
      </c>
      <c r="Y112" s="12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1</v>
      </c>
      <c r="AF112" s="11">
        <v>1</v>
      </c>
      <c r="AG112" s="11">
        <v>0</v>
      </c>
      <c r="AH112" s="9">
        <v>0</v>
      </c>
      <c r="AI112" s="11">
        <v>0</v>
      </c>
      <c r="AJ112" s="11">
        <v>0</v>
      </c>
      <c r="AK112" s="11">
        <v>0</v>
      </c>
      <c r="AL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0</v>
      </c>
      <c r="AT112" s="11">
        <v>0</v>
      </c>
      <c r="AU112" s="11">
        <v>0</v>
      </c>
      <c r="AV112" s="11">
        <v>0</v>
      </c>
      <c r="AW112" s="11">
        <v>0</v>
      </c>
      <c r="AX112" s="11">
        <v>0</v>
      </c>
      <c r="AY112" s="11">
        <v>0</v>
      </c>
      <c r="AZ112" s="12" t="s">
        <v>4843</v>
      </c>
      <c r="BA112" s="12" t="s">
        <v>4911</v>
      </c>
      <c r="BB112" s="12">
        <v>0</v>
      </c>
      <c r="BC112" s="9" t="s">
        <v>4878</v>
      </c>
      <c r="BD112" s="12">
        <v>0</v>
      </c>
      <c r="BE112" s="12">
        <v>0</v>
      </c>
      <c r="BF112" s="12">
        <v>0</v>
      </c>
      <c r="BI112" s="12">
        <v>0</v>
      </c>
      <c r="BJ112" s="12">
        <v>0</v>
      </c>
    </row>
    <row r="113" spans="1:62" x14ac:dyDescent="0.15">
      <c r="A113" s="7" t="s">
        <v>5296</v>
      </c>
      <c r="C113" s="7" t="s">
        <v>5297</v>
      </c>
      <c r="D113" s="7" t="s">
        <v>5292</v>
      </c>
      <c r="E113" s="9" t="s">
        <v>5293</v>
      </c>
      <c r="L113" s="10">
        <v>3935704</v>
      </c>
      <c r="M113" s="10">
        <v>761620</v>
      </c>
      <c r="N113" s="11">
        <v>15</v>
      </c>
      <c r="P113" s="7" t="s">
        <v>4855</v>
      </c>
      <c r="Q113" s="9" t="s">
        <v>5295</v>
      </c>
      <c r="R113" s="9" t="s">
        <v>5295</v>
      </c>
      <c r="S113" s="9" t="s">
        <v>5292</v>
      </c>
      <c r="T113" s="9" t="s">
        <v>4875</v>
      </c>
      <c r="U113" s="12" t="s">
        <v>5020</v>
      </c>
      <c r="V113" s="12" t="s">
        <v>5021</v>
      </c>
      <c r="W113" s="12">
        <v>0</v>
      </c>
      <c r="X113" s="12">
        <v>0</v>
      </c>
      <c r="Y113" s="12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1</v>
      </c>
      <c r="AG113" s="11">
        <v>1</v>
      </c>
      <c r="AH113" s="9">
        <v>0</v>
      </c>
      <c r="AI113" s="11">
        <v>0</v>
      </c>
      <c r="AJ113" s="11">
        <v>0</v>
      </c>
      <c r="AK113" s="11">
        <v>0</v>
      </c>
      <c r="AL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  <c r="AT113" s="11">
        <v>0</v>
      </c>
      <c r="AU113" s="11">
        <v>0</v>
      </c>
      <c r="AV113" s="11">
        <v>0</v>
      </c>
      <c r="AW113" s="11">
        <v>0</v>
      </c>
      <c r="AX113" s="11">
        <v>0</v>
      </c>
      <c r="AY113" s="11">
        <v>1</v>
      </c>
      <c r="AZ113" s="12" t="s">
        <v>4843</v>
      </c>
      <c r="BA113" s="12" t="s">
        <v>4911</v>
      </c>
      <c r="BB113" s="12">
        <v>0</v>
      </c>
      <c r="BC113" s="9" t="s">
        <v>4878</v>
      </c>
      <c r="BD113" s="12">
        <v>0</v>
      </c>
      <c r="BE113" s="12">
        <v>0</v>
      </c>
      <c r="BF113" s="12">
        <v>0</v>
      </c>
      <c r="BI113" s="12">
        <v>0</v>
      </c>
      <c r="BJ113" s="12">
        <v>0</v>
      </c>
    </row>
    <row r="114" spans="1:62" x14ac:dyDescent="0.15">
      <c r="A114" s="7" t="s">
        <v>5298</v>
      </c>
      <c r="C114" s="7" t="s">
        <v>5299</v>
      </c>
      <c r="D114" s="7" t="s">
        <v>5292</v>
      </c>
      <c r="E114" s="9" t="s">
        <v>5293</v>
      </c>
      <c r="L114" s="10">
        <v>3933300</v>
      </c>
      <c r="M114" s="10">
        <v>759953</v>
      </c>
      <c r="N114" s="11">
        <v>15</v>
      </c>
      <c r="P114" s="7" t="s">
        <v>5294</v>
      </c>
      <c r="Q114" s="9" t="s">
        <v>5294</v>
      </c>
      <c r="R114" s="9" t="s">
        <v>5294</v>
      </c>
      <c r="S114" s="9" t="s">
        <v>5292</v>
      </c>
      <c r="T114" s="9" t="s">
        <v>4784</v>
      </c>
      <c r="U114" s="12" t="s">
        <v>5017</v>
      </c>
      <c r="V114" s="12" t="s">
        <v>5021</v>
      </c>
      <c r="W114" s="12">
        <v>0</v>
      </c>
      <c r="X114" s="12">
        <v>0</v>
      </c>
      <c r="Y114" s="12">
        <v>0</v>
      </c>
      <c r="Z114" s="11">
        <v>0</v>
      </c>
      <c r="AA114" s="11">
        <v>0</v>
      </c>
      <c r="AB114" s="11">
        <v>0</v>
      </c>
      <c r="AC114" s="11">
        <v>1</v>
      </c>
      <c r="AD114" s="11">
        <v>0</v>
      </c>
      <c r="AE114" s="11">
        <v>0</v>
      </c>
      <c r="AF114" s="11">
        <v>0</v>
      </c>
      <c r="AG114" s="11">
        <v>1</v>
      </c>
      <c r="AH114" s="9" t="s">
        <v>4878</v>
      </c>
      <c r="AI114" s="11">
        <v>0</v>
      </c>
      <c r="AJ114" s="11">
        <v>0</v>
      </c>
      <c r="AK114" s="11">
        <v>0</v>
      </c>
      <c r="AL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>
        <v>0</v>
      </c>
      <c r="AU114" s="11">
        <v>0</v>
      </c>
      <c r="AV114" s="11">
        <v>0</v>
      </c>
      <c r="AW114" s="11">
        <v>0</v>
      </c>
      <c r="AX114" s="11">
        <v>0</v>
      </c>
      <c r="AY114" s="11">
        <v>0</v>
      </c>
      <c r="BA114" s="12" t="s">
        <v>4877</v>
      </c>
      <c r="BB114" s="12">
        <v>0</v>
      </c>
      <c r="BC114" s="9" t="s">
        <v>4878</v>
      </c>
      <c r="BD114" s="12">
        <v>0</v>
      </c>
      <c r="BE114" s="12">
        <v>0</v>
      </c>
      <c r="BF114" s="12">
        <v>0</v>
      </c>
      <c r="BI114" s="12">
        <v>0</v>
      </c>
      <c r="BJ114" s="12">
        <v>0</v>
      </c>
    </row>
    <row r="115" spans="1:62" x14ac:dyDescent="0.15">
      <c r="A115" s="7" t="s">
        <v>5300</v>
      </c>
      <c r="C115" s="7" t="s">
        <v>5301</v>
      </c>
      <c r="D115" s="7" t="s">
        <v>5292</v>
      </c>
      <c r="E115" s="9" t="s">
        <v>5293</v>
      </c>
      <c r="L115" s="10">
        <v>3936520</v>
      </c>
      <c r="M115" s="10">
        <v>763764</v>
      </c>
      <c r="N115" s="11">
        <v>15</v>
      </c>
      <c r="P115" s="7" t="s">
        <v>5294</v>
      </c>
      <c r="Q115" s="9" t="s">
        <v>5294</v>
      </c>
      <c r="R115" s="9" t="s">
        <v>5294</v>
      </c>
      <c r="S115" s="9" t="s">
        <v>5292</v>
      </c>
      <c r="T115" s="9" t="s">
        <v>8484</v>
      </c>
      <c r="U115" s="12" t="s">
        <v>5019</v>
      </c>
      <c r="V115" s="12" t="s">
        <v>5020</v>
      </c>
      <c r="W115" s="12">
        <v>0</v>
      </c>
      <c r="X115" s="12">
        <v>0</v>
      </c>
      <c r="Y115" s="12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1</v>
      </c>
      <c r="AF115" s="11">
        <v>1</v>
      </c>
      <c r="AG115" s="11">
        <v>0</v>
      </c>
      <c r="AH115" s="9" t="s">
        <v>4878</v>
      </c>
      <c r="AI115" s="11">
        <v>0</v>
      </c>
      <c r="AJ115" s="11">
        <v>0</v>
      </c>
      <c r="AK115" s="11">
        <v>0</v>
      </c>
      <c r="AL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0</v>
      </c>
      <c r="AT115" s="11">
        <v>0</v>
      </c>
      <c r="AU115" s="11">
        <v>0</v>
      </c>
      <c r="AV115" s="11">
        <v>0</v>
      </c>
      <c r="AW115" s="11">
        <v>0</v>
      </c>
      <c r="AX115" s="11">
        <v>0</v>
      </c>
      <c r="AY115" s="11">
        <v>0</v>
      </c>
      <c r="BA115" s="12" t="s">
        <v>4877</v>
      </c>
      <c r="BB115" s="12">
        <v>0</v>
      </c>
      <c r="BC115" s="9" t="s">
        <v>4878</v>
      </c>
      <c r="BD115" s="12">
        <v>0</v>
      </c>
      <c r="BE115" s="12">
        <v>0</v>
      </c>
      <c r="BF115" s="12">
        <v>0</v>
      </c>
      <c r="BI115" s="12">
        <v>0</v>
      </c>
      <c r="BJ115" s="12">
        <v>0</v>
      </c>
    </row>
    <row r="116" spans="1:62" x14ac:dyDescent="0.15">
      <c r="A116" s="7" t="s">
        <v>5302</v>
      </c>
      <c r="C116" s="7" t="s">
        <v>5303</v>
      </c>
      <c r="D116" s="7" t="s">
        <v>5292</v>
      </c>
      <c r="E116" s="9" t="s">
        <v>5293</v>
      </c>
      <c r="L116" s="10">
        <v>3943700</v>
      </c>
      <c r="M116" s="10">
        <v>773800</v>
      </c>
      <c r="N116" s="11">
        <v>15</v>
      </c>
      <c r="P116" s="7" t="s">
        <v>5304</v>
      </c>
      <c r="Q116" s="9" t="s">
        <v>4873</v>
      </c>
      <c r="R116" s="9" t="s">
        <v>4877</v>
      </c>
      <c r="S116" s="9" t="s">
        <v>5292</v>
      </c>
      <c r="T116" s="9" t="s">
        <v>4875</v>
      </c>
      <c r="U116" s="12" t="s">
        <v>5020</v>
      </c>
      <c r="V116" s="12" t="s">
        <v>5021</v>
      </c>
      <c r="W116" s="12">
        <v>0</v>
      </c>
      <c r="X116" s="12">
        <v>0</v>
      </c>
      <c r="Y116" s="12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1</v>
      </c>
      <c r="AG116" s="11">
        <v>1</v>
      </c>
      <c r="AH116" s="9" t="s">
        <v>8248</v>
      </c>
      <c r="AI116" s="11">
        <v>2</v>
      </c>
      <c r="AJ116" s="11">
        <v>1</v>
      </c>
      <c r="AK116" s="11">
        <v>1</v>
      </c>
      <c r="AL116" s="11">
        <v>1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1">
        <v>0</v>
      </c>
      <c r="AT116" s="11">
        <v>0</v>
      </c>
      <c r="AU116" s="11">
        <v>0</v>
      </c>
      <c r="AV116" s="11">
        <v>0</v>
      </c>
      <c r="AW116" s="11">
        <v>0</v>
      </c>
      <c r="AX116" s="11">
        <v>0</v>
      </c>
      <c r="AY116" s="11">
        <v>1</v>
      </c>
      <c r="BA116" s="12" t="s">
        <v>4877</v>
      </c>
      <c r="BB116" s="12">
        <v>0</v>
      </c>
      <c r="BC116" s="9" t="s">
        <v>4878</v>
      </c>
      <c r="BD116" s="12">
        <v>5</v>
      </c>
      <c r="BE116" s="12">
        <v>0</v>
      </c>
      <c r="BF116" s="12">
        <v>0</v>
      </c>
      <c r="BI116" s="12">
        <v>0</v>
      </c>
      <c r="BJ116" s="12">
        <v>0</v>
      </c>
    </row>
    <row r="117" spans="1:62" x14ac:dyDescent="0.15">
      <c r="A117" s="7" t="s">
        <v>5305</v>
      </c>
      <c r="C117" s="7" t="s">
        <v>5306</v>
      </c>
      <c r="D117" s="7" t="s">
        <v>5292</v>
      </c>
      <c r="E117" s="9" t="s">
        <v>5293</v>
      </c>
      <c r="L117" s="10">
        <v>3948420</v>
      </c>
      <c r="M117" s="10">
        <v>773649</v>
      </c>
      <c r="N117" s="11">
        <v>15</v>
      </c>
      <c r="P117" s="7" t="s">
        <v>5307</v>
      </c>
      <c r="Q117" s="9" t="s">
        <v>4873</v>
      </c>
      <c r="R117" s="9" t="s">
        <v>4877</v>
      </c>
      <c r="S117" s="9" t="s">
        <v>5292</v>
      </c>
      <c r="T117" s="9" t="s">
        <v>4902</v>
      </c>
      <c r="U117" s="12" t="s">
        <v>4902</v>
      </c>
      <c r="V117" s="12" t="s">
        <v>4902</v>
      </c>
      <c r="W117" s="12">
        <v>0</v>
      </c>
      <c r="X117" s="12">
        <v>0</v>
      </c>
      <c r="Y117" s="12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9" t="s">
        <v>4909</v>
      </c>
      <c r="AI117" s="11">
        <v>1</v>
      </c>
      <c r="AJ117" s="11">
        <v>1</v>
      </c>
      <c r="AK117" s="11">
        <v>0</v>
      </c>
      <c r="AL117" s="11">
        <v>1</v>
      </c>
      <c r="AN117" s="11">
        <v>0</v>
      </c>
      <c r="AO117" s="11">
        <v>0</v>
      </c>
      <c r="AP117" s="11">
        <v>0</v>
      </c>
      <c r="AQ117" s="11">
        <v>1</v>
      </c>
      <c r="AR117" s="11">
        <v>0</v>
      </c>
      <c r="AS117" s="11">
        <v>0</v>
      </c>
      <c r="AT117" s="11">
        <v>0</v>
      </c>
      <c r="AU117" s="11">
        <v>0</v>
      </c>
      <c r="AV117" s="11">
        <v>0</v>
      </c>
      <c r="AW117" s="11">
        <v>0</v>
      </c>
      <c r="AX117" s="11">
        <v>0</v>
      </c>
      <c r="AY117" s="11">
        <v>0</v>
      </c>
      <c r="BA117" s="12" t="s">
        <v>4877</v>
      </c>
      <c r="BB117" s="12">
        <v>0</v>
      </c>
      <c r="BC117" s="9" t="s">
        <v>4878</v>
      </c>
      <c r="BD117" s="12">
        <v>0</v>
      </c>
      <c r="BE117" s="12">
        <v>0</v>
      </c>
      <c r="BF117" s="12">
        <v>0</v>
      </c>
      <c r="BI117" s="12">
        <v>0</v>
      </c>
      <c r="BJ117" s="12">
        <v>0</v>
      </c>
    </row>
    <row r="118" spans="1:62" x14ac:dyDescent="0.15">
      <c r="A118" s="7" t="s">
        <v>5308</v>
      </c>
      <c r="C118" s="7" t="s">
        <v>5309</v>
      </c>
      <c r="D118" s="7" t="s">
        <v>5292</v>
      </c>
      <c r="E118" s="9" t="s">
        <v>5293</v>
      </c>
      <c r="L118" s="10">
        <v>3940020</v>
      </c>
      <c r="M118" s="10">
        <v>773403</v>
      </c>
      <c r="N118" s="11">
        <v>15</v>
      </c>
      <c r="P118" s="7" t="s">
        <v>5310</v>
      </c>
      <c r="Q118" s="9" t="s">
        <v>5311</v>
      </c>
      <c r="R118" s="9" t="s">
        <v>4877</v>
      </c>
      <c r="S118" s="9" t="s">
        <v>5292</v>
      </c>
      <c r="T118" s="9" t="s">
        <v>4784</v>
      </c>
      <c r="U118" s="12" t="s">
        <v>5017</v>
      </c>
      <c r="V118" s="12" t="s">
        <v>5021</v>
      </c>
      <c r="W118" s="12">
        <v>0</v>
      </c>
      <c r="X118" s="12">
        <v>0</v>
      </c>
      <c r="Y118" s="12">
        <v>0</v>
      </c>
      <c r="Z118" s="11">
        <v>0</v>
      </c>
      <c r="AA118" s="11">
        <v>0</v>
      </c>
      <c r="AB118" s="11">
        <v>0</v>
      </c>
      <c r="AC118" s="11">
        <v>1</v>
      </c>
      <c r="AD118" s="11">
        <v>0</v>
      </c>
      <c r="AE118" s="11">
        <v>0</v>
      </c>
      <c r="AF118" s="11">
        <v>0</v>
      </c>
      <c r="AG118" s="11">
        <v>1</v>
      </c>
      <c r="AH118" s="9" t="s">
        <v>4909</v>
      </c>
      <c r="AI118" s="11">
        <v>1</v>
      </c>
      <c r="AJ118" s="11">
        <v>1</v>
      </c>
      <c r="AK118" s="11">
        <v>0</v>
      </c>
      <c r="AL118" s="11">
        <v>1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  <c r="AT118" s="11">
        <v>0</v>
      </c>
      <c r="AU118" s="11">
        <v>0</v>
      </c>
      <c r="AV118" s="11">
        <v>0</v>
      </c>
      <c r="AW118" s="11">
        <v>0</v>
      </c>
      <c r="AX118" s="11">
        <v>0</v>
      </c>
      <c r="AY118" s="11">
        <v>0</v>
      </c>
      <c r="BA118" s="12" t="s">
        <v>4877</v>
      </c>
      <c r="BB118" s="12">
        <v>0</v>
      </c>
      <c r="BC118" s="9" t="s">
        <v>4878</v>
      </c>
      <c r="BD118" s="12">
        <v>0</v>
      </c>
      <c r="BE118" s="12">
        <v>0</v>
      </c>
      <c r="BF118" s="12">
        <v>0</v>
      </c>
      <c r="BI118" s="12">
        <v>0</v>
      </c>
      <c r="BJ118" s="12">
        <v>0</v>
      </c>
    </row>
    <row r="119" spans="1:62" x14ac:dyDescent="0.15">
      <c r="A119" s="7" t="s">
        <v>5312</v>
      </c>
      <c r="B119" s="7" t="s">
        <v>5313</v>
      </c>
      <c r="C119" s="7" t="s">
        <v>5314</v>
      </c>
      <c r="D119" s="7" t="s">
        <v>5292</v>
      </c>
      <c r="E119" s="9" t="s">
        <v>5295</v>
      </c>
      <c r="L119" s="10">
        <v>3906400</v>
      </c>
      <c r="M119" s="10">
        <v>722250</v>
      </c>
      <c r="N119" s="11">
        <v>15</v>
      </c>
      <c r="P119" s="7" t="s">
        <v>5315</v>
      </c>
      <c r="Q119" s="9" t="s">
        <v>5295</v>
      </c>
      <c r="R119" s="9" t="s">
        <v>5295</v>
      </c>
      <c r="S119" s="9" t="s">
        <v>5292</v>
      </c>
      <c r="T119" s="9" t="s">
        <v>4875</v>
      </c>
      <c r="U119" s="12" t="s">
        <v>5020</v>
      </c>
      <c r="V119" s="12" t="s">
        <v>5021</v>
      </c>
      <c r="W119" s="12">
        <v>0</v>
      </c>
      <c r="X119" s="12">
        <v>0</v>
      </c>
      <c r="Y119" s="12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1</v>
      </c>
      <c r="AG119" s="11">
        <v>1</v>
      </c>
      <c r="AH119" s="9">
        <v>4</v>
      </c>
      <c r="AI119" s="11">
        <v>4</v>
      </c>
      <c r="AJ119" s="11">
        <v>1</v>
      </c>
      <c r="AK119" s="11">
        <v>0</v>
      </c>
      <c r="AL119" s="11">
        <v>1</v>
      </c>
      <c r="AN119" s="11">
        <v>0</v>
      </c>
      <c r="AO119" s="11">
        <v>1</v>
      </c>
      <c r="AP119" s="11">
        <v>0</v>
      </c>
      <c r="AQ119" s="11">
        <v>1</v>
      </c>
      <c r="AR119" s="11">
        <v>0</v>
      </c>
      <c r="AS119" s="11">
        <v>0</v>
      </c>
      <c r="AT119" s="11">
        <v>0</v>
      </c>
      <c r="AU119" s="11">
        <v>0</v>
      </c>
      <c r="AV119" s="11">
        <v>0</v>
      </c>
      <c r="AW119" s="11">
        <v>1</v>
      </c>
      <c r="AX119" s="11">
        <v>0</v>
      </c>
      <c r="AY119" s="11">
        <v>0</v>
      </c>
      <c r="AZ119" s="12" t="s">
        <v>4843</v>
      </c>
      <c r="BA119" s="12" t="s">
        <v>4911</v>
      </c>
      <c r="BB119" s="12">
        <v>1</v>
      </c>
      <c r="BC119" s="9" t="s">
        <v>4878</v>
      </c>
      <c r="BD119" s="12">
        <v>23</v>
      </c>
      <c r="BE119" s="12">
        <v>600</v>
      </c>
      <c r="BF119" s="12">
        <v>0</v>
      </c>
      <c r="BI119" s="12">
        <v>0</v>
      </c>
      <c r="BJ119" s="12">
        <v>0</v>
      </c>
    </row>
    <row r="120" spans="1:62" x14ac:dyDescent="0.15">
      <c r="A120" s="7" t="s">
        <v>5316</v>
      </c>
      <c r="C120" s="7" t="s">
        <v>5317</v>
      </c>
      <c r="D120" s="7" t="s">
        <v>5292</v>
      </c>
      <c r="E120" s="9" t="s">
        <v>5295</v>
      </c>
      <c r="L120" s="10">
        <v>3904500</v>
      </c>
      <c r="M120" s="10">
        <v>710900</v>
      </c>
      <c r="N120" s="11">
        <v>15</v>
      </c>
      <c r="P120" s="7" t="s">
        <v>5310</v>
      </c>
      <c r="Q120" s="9" t="s">
        <v>5311</v>
      </c>
      <c r="R120" s="9" t="s">
        <v>5318</v>
      </c>
      <c r="S120" s="9" t="s">
        <v>5292</v>
      </c>
      <c r="T120" s="9" t="s">
        <v>4797</v>
      </c>
      <c r="U120" s="12" t="s">
        <v>5018</v>
      </c>
      <c r="V120" s="12" t="s">
        <v>5019</v>
      </c>
      <c r="W120" s="12">
        <v>0</v>
      </c>
      <c r="X120" s="12">
        <v>0</v>
      </c>
      <c r="Y120" s="12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1</v>
      </c>
      <c r="AE120" s="11">
        <v>1</v>
      </c>
      <c r="AF120" s="11">
        <v>0</v>
      </c>
      <c r="AG120" s="11">
        <v>0</v>
      </c>
      <c r="AH120" s="9">
        <v>1</v>
      </c>
      <c r="AI120" s="11">
        <v>1</v>
      </c>
      <c r="AJ120" s="11">
        <v>1</v>
      </c>
      <c r="AK120" s="11">
        <v>0</v>
      </c>
      <c r="AL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1</v>
      </c>
      <c r="AS120" s="11">
        <v>0</v>
      </c>
      <c r="AT120" s="11">
        <v>0</v>
      </c>
      <c r="AU120" s="11">
        <v>0</v>
      </c>
      <c r="AV120" s="11">
        <v>0</v>
      </c>
      <c r="AW120" s="11">
        <v>0</v>
      </c>
      <c r="AX120" s="11">
        <v>0</v>
      </c>
      <c r="AY120" s="11">
        <v>0</v>
      </c>
      <c r="BA120" s="12" t="s">
        <v>4877</v>
      </c>
      <c r="BB120" s="12">
        <v>0</v>
      </c>
      <c r="BC120" s="9" t="s">
        <v>4878</v>
      </c>
      <c r="BD120" s="12">
        <v>4</v>
      </c>
      <c r="BE120" s="12">
        <v>0</v>
      </c>
      <c r="BF120" s="12">
        <f>VLOOKUP(A120,'[1]Conical Mounds'!A$1:O$65536,15,FALSE)</f>
        <v>2827.4333882308138</v>
      </c>
      <c r="BI120">
        <f>BD120/BF120</f>
        <v>1.4147106052612921E-3</v>
      </c>
      <c r="BJ120">
        <f>BI120*10000</f>
        <v>14.147106052612921</v>
      </c>
    </row>
    <row r="121" spans="1:62" x14ac:dyDescent="0.15">
      <c r="A121" s="7" t="s">
        <v>5319</v>
      </c>
      <c r="C121" s="7" t="s">
        <v>5320</v>
      </c>
      <c r="D121" s="7" t="s">
        <v>5292</v>
      </c>
      <c r="E121" s="9" t="s">
        <v>5295</v>
      </c>
      <c r="L121" s="10">
        <v>3910400</v>
      </c>
      <c r="M121" s="10">
        <v>719500</v>
      </c>
      <c r="N121" s="11">
        <v>15</v>
      </c>
      <c r="P121" s="7" t="s">
        <v>5321</v>
      </c>
      <c r="Q121" s="9" t="s">
        <v>5322</v>
      </c>
      <c r="R121" s="9" t="s">
        <v>5318</v>
      </c>
      <c r="S121" s="9" t="s">
        <v>5292</v>
      </c>
      <c r="T121" s="9" t="s">
        <v>4797</v>
      </c>
      <c r="U121" s="12" t="s">
        <v>5018</v>
      </c>
      <c r="V121" s="12" t="s">
        <v>5019</v>
      </c>
      <c r="W121" s="12">
        <v>0</v>
      </c>
      <c r="X121" s="12">
        <v>0</v>
      </c>
      <c r="Y121" s="12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1</v>
      </c>
      <c r="AE121" s="11">
        <v>1</v>
      </c>
      <c r="AF121" s="11">
        <v>0</v>
      </c>
      <c r="AG121" s="11">
        <v>0</v>
      </c>
      <c r="AH121" s="9">
        <v>6</v>
      </c>
      <c r="AI121" s="11">
        <v>6</v>
      </c>
      <c r="AJ121" s="11">
        <v>1</v>
      </c>
      <c r="AK121" s="11">
        <v>1</v>
      </c>
      <c r="AL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1</v>
      </c>
      <c r="AS121" s="11">
        <v>0</v>
      </c>
      <c r="AT121" s="11">
        <v>1</v>
      </c>
      <c r="AU121" s="11">
        <v>0</v>
      </c>
      <c r="AV121" s="11">
        <v>0</v>
      </c>
      <c r="AW121" s="11">
        <v>0</v>
      </c>
      <c r="AX121" s="11">
        <v>0</v>
      </c>
      <c r="AY121" s="11">
        <v>0</v>
      </c>
      <c r="BA121" s="12" t="s">
        <v>4877</v>
      </c>
      <c r="BB121" s="12">
        <v>0</v>
      </c>
      <c r="BC121" s="9" t="s">
        <v>4878</v>
      </c>
      <c r="BD121" s="12">
        <v>10</v>
      </c>
      <c r="BE121" s="12">
        <v>0</v>
      </c>
      <c r="BF121" s="12">
        <f>VLOOKUP(A121,'[1]Conical Mounds'!A$1:O$65536,15,FALSE)</f>
        <v>7853.981633974483</v>
      </c>
      <c r="BI121">
        <f>BD121/BF121</f>
        <v>1.2732395447351628E-3</v>
      </c>
      <c r="BJ121">
        <f>BI121*10000</f>
        <v>12.732395447351628</v>
      </c>
    </row>
    <row r="122" spans="1:62" x14ac:dyDescent="0.15">
      <c r="A122" s="7" t="s">
        <v>5323</v>
      </c>
      <c r="C122" s="7" t="s">
        <v>5324</v>
      </c>
      <c r="D122" s="7" t="s">
        <v>5292</v>
      </c>
      <c r="E122" s="9" t="s">
        <v>5295</v>
      </c>
      <c r="L122" s="10">
        <v>3924520</v>
      </c>
      <c r="M122" s="10">
        <v>724518</v>
      </c>
      <c r="N122" s="11">
        <v>15</v>
      </c>
      <c r="P122" s="7" t="s">
        <v>5325</v>
      </c>
      <c r="Q122" s="9" t="s">
        <v>5295</v>
      </c>
      <c r="R122" s="9" t="s">
        <v>5295</v>
      </c>
      <c r="S122" s="9" t="s">
        <v>5292</v>
      </c>
      <c r="T122" s="9" t="s">
        <v>8484</v>
      </c>
      <c r="U122" s="12" t="s">
        <v>5019</v>
      </c>
      <c r="V122" s="12" t="s">
        <v>5020</v>
      </c>
      <c r="W122" s="12">
        <v>0</v>
      </c>
      <c r="X122" s="12">
        <v>0</v>
      </c>
      <c r="Y122" s="12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1</v>
      </c>
      <c r="AF122" s="11">
        <v>1</v>
      </c>
      <c r="AG122" s="11">
        <v>0</v>
      </c>
      <c r="AH122" s="9">
        <v>14</v>
      </c>
      <c r="AI122" s="11">
        <v>14</v>
      </c>
      <c r="AJ122" s="11">
        <v>1</v>
      </c>
      <c r="AK122" s="11">
        <v>0</v>
      </c>
      <c r="AL122" s="11">
        <v>1</v>
      </c>
      <c r="AN122" s="11">
        <v>0</v>
      </c>
      <c r="AO122" s="11">
        <v>1</v>
      </c>
      <c r="AP122" s="11">
        <v>0</v>
      </c>
      <c r="AQ122" s="11">
        <v>1</v>
      </c>
      <c r="AR122" s="11">
        <v>0</v>
      </c>
      <c r="AS122" s="11">
        <v>0</v>
      </c>
      <c r="AT122" s="11">
        <v>0</v>
      </c>
      <c r="AU122" s="11">
        <v>0</v>
      </c>
      <c r="AV122" s="11">
        <v>0</v>
      </c>
      <c r="AW122" s="11">
        <v>0</v>
      </c>
      <c r="AX122" s="11">
        <v>0</v>
      </c>
      <c r="AY122" s="11">
        <v>0</v>
      </c>
      <c r="AZ122" s="12" t="s">
        <v>4843</v>
      </c>
      <c r="BA122" s="12" t="s">
        <v>4911</v>
      </c>
      <c r="BB122" s="12">
        <v>1</v>
      </c>
      <c r="BC122" s="9" t="s">
        <v>4878</v>
      </c>
      <c r="BD122" s="12">
        <v>10</v>
      </c>
      <c r="BE122" s="12">
        <v>250</v>
      </c>
      <c r="BF122" s="12">
        <v>0</v>
      </c>
      <c r="BI122" s="12">
        <v>0</v>
      </c>
      <c r="BJ122" s="12">
        <v>0</v>
      </c>
    </row>
    <row r="123" spans="1:62" x14ac:dyDescent="0.15">
      <c r="A123" s="7" t="s">
        <v>5326</v>
      </c>
      <c r="B123" s="7" t="s">
        <v>5327</v>
      </c>
      <c r="C123" s="7" t="s">
        <v>5328</v>
      </c>
      <c r="D123" s="7" t="s">
        <v>5292</v>
      </c>
      <c r="E123" s="9" t="s">
        <v>5295</v>
      </c>
      <c r="L123" s="10">
        <v>3909500</v>
      </c>
      <c r="M123" s="10">
        <v>719950</v>
      </c>
      <c r="N123" s="11">
        <v>15</v>
      </c>
      <c r="P123" s="7" t="s">
        <v>1288</v>
      </c>
      <c r="Q123" s="9" t="s">
        <v>5295</v>
      </c>
      <c r="R123" s="9" t="s">
        <v>5295</v>
      </c>
      <c r="S123" s="9" t="s">
        <v>5292</v>
      </c>
      <c r="T123" s="9" t="s">
        <v>8484</v>
      </c>
      <c r="U123" s="12" t="s">
        <v>5019</v>
      </c>
      <c r="V123" s="12" t="s">
        <v>5020</v>
      </c>
      <c r="W123" s="12">
        <v>0</v>
      </c>
      <c r="X123" s="12">
        <v>0</v>
      </c>
      <c r="Y123" s="12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1</v>
      </c>
      <c r="AF123" s="11">
        <v>1</v>
      </c>
      <c r="AG123" s="11">
        <v>0</v>
      </c>
      <c r="AH123" s="9">
        <v>9</v>
      </c>
      <c r="AI123" s="11">
        <v>9</v>
      </c>
      <c r="AJ123" s="11">
        <v>1</v>
      </c>
      <c r="AK123" s="11">
        <v>1</v>
      </c>
      <c r="AL123" s="11">
        <v>1</v>
      </c>
      <c r="AN123" s="11">
        <v>0</v>
      </c>
      <c r="AO123" s="11">
        <v>0</v>
      </c>
      <c r="AP123" s="11">
        <v>0</v>
      </c>
      <c r="AQ123" s="11">
        <v>1</v>
      </c>
      <c r="AR123" s="11">
        <v>0</v>
      </c>
      <c r="AS123" s="11">
        <v>0</v>
      </c>
      <c r="AT123" s="11">
        <v>0</v>
      </c>
      <c r="AU123" s="11">
        <v>0</v>
      </c>
      <c r="AV123" s="11">
        <v>0</v>
      </c>
      <c r="AW123" s="11">
        <v>1</v>
      </c>
      <c r="AX123" s="11">
        <v>0</v>
      </c>
      <c r="AY123" s="11">
        <v>0</v>
      </c>
      <c r="AZ123" s="12" t="s">
        <v>4843</v>
      </c>
      <c r="BA123" s="12" t="s">
        <v>4911</v>
      </c>
      <c r="BB123" s="12">
        <v>1</v>
      </c>
      <c r="BC123" s="9" t="s">
        <v>4878</v>
      </c>
      <c r="BD123" s="12">
        <v>8</v>
      </c>
      <c r="BE123" s="12">
        <v>300</v>
      </c>
      <c r="BF123" s="12">
        <v>0</v>
      </c>
      <c r="BI123" s="12">
        <v>0</v>
      </c>
      <c r="BJ123" s="12">
        <v>0</v>
      </c>
    </row>
    <row r="124" spans="1:62" x14ac:dyDescent="0.15">
      <c r="A124" s="7" t="s">
        <v>1289</v>
      </c>
      <c r="B124" s="7" t="s">
        <v>1290</v>
      </c>
      <c r="C124" s="7" t="s">
        <v>1039</v>
      </c>
      <c r="D124" s="7" t="s">
        <v>5292</v>
      </c>
      <c r="E124" s="9" t="s">
        <v>5295</v>
      </c>
      <c r="L124" s="10">
        <v>3918540</v>
      </c>
      <c r="M124" s="10">
        <v>723256</v>
      </c>
      <c r="N124" s="11">
        <v>15</v>
      </c>
      <c r="P124" s="7" t="s">
        <v>1040</v>
      </c>
      <c r="Q124" s="9" t="s">
        <v>5311</v>
      </c>
      <c r="S124" s="9" t="s">
        <v>5292</v>
      </c>
      <c r="T124" s="9" t="s">
        <v>4902</v>
      </c>
      <c r="U124" s="12" t="s">
        <v>4902</v>
      </c>
      <c r="V124" s="12" t="s">
        <v>4902</v>
      </c>
      <c r="W124" s="12">
        <v>0</v>
      </c>
      <c r="X124" s="12">
        <v>0</v>
      </c>
      <c r="Y124" s="12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9" t="s">
        <v>4878</v>
      </c>
      <c r="AI124" s="11">
        <v>0</v>
      </c>
      <c r="AJ124" s="11">
        <v>1</v>
      </c>
      <c r="AK124" s="11">
        <v>1</v>
      </c>
      <c r="AL124" s="11">
        <v>0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11">
        <v>0</v>
      </c>
      <c r="AT124" s="11">
        <v>0</v>
      </c>
      <c r="AU124" s="11">
        <v>0</v>
      </c>
      <c r="AV124" s="11">
        <v>0</v>
      </c>
      <c r="AW124" s="11">
        <v>0</v>
      </c>
      <c r="AX124" s="11">
        <v>0</v>
      </c>
      <c r="AY124" s="11">
        <v>0</v>
      </c>
      <c r="BA124" s="12" t="s">
        <v>4877</v>
      </c>
      <c r="BB124" s="12">
        <v>0</v>
      </c>
      <c r="BC124" s="9" t="s">
        <v>4878</v>
      </c>
      <c r="BD124" s="12">
        <v>0</v>
      </c>
      <c r="BE124" s="12">
        <v>0</v>
      </c>
      <c r="BF124" s="12">
        <v>0</v>
      </c>
      <c r="BI124" s="12">
        <v>0</v>
      </c>
      <c r="BJ124" s="12">
        <v>0</v>
      </c>
    </row>
    <row r="125" spans="1:62" x14ac:dyDescent="0.15">
      <c r="A125" s="7" t="s">
        <v>1041</v>
      </c>
      <c r="B125" s="7" t="s">
        <v>1042</v>
      </c>
      <c r="C125" s="7" t="s">
        <v>1043</v>
      </c>
      <c r="D125" s="7" t="s">
        <v>5292</v>
      </c>
      <c r="E125" s="9" t="s">
        <v>5295</v>
      </c>
      <c r="L125" s="10">
        <v>3921670</v>
      </c>
      <c r="M125" s="10">
        <v>722850</v>
      </c>
      <c r="N125" s="11">
        <v>15</v>
      </c>
      <c r="P125" s="7" t="s">
        <v>1044</v>
      </c>
      <c r="Q125" s="9" t="s">
        <v>5295</v>
      </c>
      <c r="R125" s="9" t="s">
        <v>5295</v>
      </c>
      <c r="S125" s="9" t="s">
        <v>5292</v>
      </c>
      <c r="T125" s="9" t="s">
        <v>4875</v>
      </c>
      <c r="U125" s="12" t="s">
        <v>5020</v>
      </c>
      <c r="V125" s="12" t="s">
        <v>5021</v>
      </c>
      <c r="W125" s="12">
        <v>0</v>
      </c>
      <c r="X125" s="12">
        <v>0</v>
      </c>
      <c r="Y125" s="12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1</v>
      </c>
      <c r="AG125" s="11">
        <v>1</v>
      </c>
      <c r="AH125" s="9">
        <v>1</v>
      </c>
      <c r="AI125" s="11">
        <v>1</v>
      </c>
      <c r="AJ125" s="11">
        <v>0</v>
      </c>
      <c r="AK125" s="11">
        <v>0</v>
      </c>
      <c r="AL125" s="11">
        <v>1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0</v>
      </c>
      <c r="AW125" s="11">
        <v>1</v>
      </c>
      <c r="AX125" s="11">
        <v>0</v>
      </c>
      <c r="AY125" s="11">
        <v>0</v>
      </c>
      <c r="AZ125" s="12" t="s">
        <v>4843</v>
      </c>
      <c r="BA125" s="12" t="s">
        <v>4911</v>
      </c>
      <c r="BB125" s="12">
        <v>1</v>
      </c>
      <c r="BC125" s="9" t="s">
        <v>4878</v>
      </c>
      <c r="BD125" s="12">
        <v>0</v>
      </c>
      <c r="BE125" s="12">
        <v>200</v>
      </c>
      <c r="BF125" s="12">
        <v>0</v>
      </c>
      <c r="BI125" s="12">
        <v>0</v>
      </c>
      <c r="BJ125" s="12">
        <v>0</v>
      </c>
    </row>
    <row r="126" spans="1:62" x14ac:dyDescent="0.15">
      <c r="A126" s="7" t="s">
        <v>1045</v>
      </c>
      <c r="C126" s="7" t="s">
        <v>1046</v>
      </c>
      <c r="D126" s="7" t="s">
        <v>5292</v>
      </c>
      <c r="E126" s="9" t="s">
        <v>5295</v>
      </c>
      <c r="L126" s="10">
        <v>3920400</v>
      </c>
      <c r="M126" s="10">
        <v>724150</v>
      </c>
      <c r="N126" s="11">
        <v>15</v>
      </c>
      <c r="P126" s="7" t="s">
        <v>1047</v>
      </c>
      <c r="Q126" s="9" t="s">
        <v>5322</v>
      </c>
      <c r="R126" s="9" t="s">
        <v>5318</v>
      </c>
      <c r="S126" s="9" t="s">
        <v>5292</v>
      </c>
      <c r="T126" s="9" t="s">
        <v>8484</v>
      </c>
      <c r="U126" s="12" t="s">
        <v>5019</v>
      </c>
      <c r="V126" s="12" t="s">
        <v>5020</v>
      </c>
      <c r="W126" s="12">
        <v>0</v>
      </c>
      <c r="X126" s="12">
        <v>0</v>
      </c>
      <c r="Y126" s="12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1</v>
      </c>
      <c r="AF126" s="11">
        <v>1</v>
      </c>
      <c r="AG126" s="11">
        <v>0</v>
      </c>
      <c r="AH126" s="9" t="s">
        <v>1048</v>
      </c>
      <c r="AI126" s="11">
        <v>40</v>
      </c>
      <c r="AJ126" s="11">
        <v>1</v>
      </c>
      <c r="AK126" s="11">
        <v>1</v>
      </c>
      <c r="AL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1</v>
      </c>
      <c r="AS126" s="11">
        <v>0</v>
      </c>
      <c r="AT126" s="11">
        <v>1</v>
      </c>
      <c r="AU126" s="11">
        <v>0</v>
      </c>
      <c r="AV126" s="11">
        <v>0</v>
      </c>
      <c r="AW126" s="11">
        <v>0</v>
      </c>
      <c r="AX126" s="11">
        <v>0</v>
      </c>
      <c r="AY126" s="11">
        <v>0</v>
      </c>
      <c r="BA126" s="12" t="s">
        <v>4877</v>
      </c>
      <c r="BB126" s="12">
        <v>0</v>
      </c>
      <c r="BC126" s="9" t="s">
        <v>4878</v>
      </c>
      <c r="BD126" s="12">
        <v>10</v>
      </c>
      <c r="BE126" s="12">
        <v>0</v>
      </c>
      <c r="BF126" s="12">
        <f>VLOOKUP(A126,'[1]Conical Mounds'!A$1:O$65536,15,FALSE)</f>
        <v>2827.4333882308138</v>
      </c>
      <c r="BI126">
        <f>BD126/BF126</f>
        <v>3.5367765131532297E-3</v>
      </c>
      <c r="BJ126">
        <f>BI126*10000</f>
        <v>35.367765131532295</v>
      </c>
    </row>
    <row r="127" spans="1:62" x14ac:dyDescent="0.15">
      <c r="A127" s="7" t="s">
        <v>1049</v>
      </c>
      <c r="C127" s="7" t="s">
        <v>1050</v>
      </c>
      <c r="D127" s="7" t="s">
        <v>5292</v>
      </c>
      <c r="E127" s="9" t="s">
        <v>5295</v>
      </c>
      <c r="L127" s="10">
        <v>3907350</v>
      </c>
      <c r="M127" s="10">
        <v>724440</v>
      </c>
      <c r="N127" s="11">
        <v>15</v>
      </c>
      <c r="P127" s="7" t="s">
        <v>1047</v>
      </c>
      <c r="Q127" s="9" t="s">
        <v>5322</v>
      </c>
      <c r="R127" s="9" t="s">
        <v>5318</v>
      </c>
      <c r="S127" s="9" t="s">
        <v>5292</v>
      </c>
      <c r="T127" s="9" t="s">
        <v>4797</v>
      </c>
      <c r="U127" s="12" t="s">
        <v>5018</v>
      </c>
      <c r="V127" s="12" t="s">
        <v>5019</v>
      </c>
      <c r="W127" s="12">
        <v>0</v>
      </c>
      <c r="X127" s="12">
        <v>0</v>
      </c>
      <c r="Y127" s="12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1</v>
      </c>
      <c r="AE127" s="11">
        <v>1</v>
      </c>
      <c r="AF127" s="11">
        <v>0</v>
      </c>
      <c r="AG127" s="11">
        <v>0</v>
      </c>
      <c r="AH127" s="9">
        <v>5</v>
      </c>
      <c r="AI127" s="11">
        <v>5</v>
      </c>
      <c r="AJ127" s="11">
        <v>1</v>
      </c>
      <c r="AK127" s="11">
        <v>1</v>
      </c>
      <c r="AL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1</v>
      </c>
      <c r="AS127" s="11">
        <v>0</v>
      </c>
      <c r="AT127" s="11">
        <v>1</v>
      </c>
      <c r="AU127" s="11">
        <v>0</v>
      </c>
      <c r="AV127" s="11">
        <v>0</v>
      </c>
      <c r="AW127" s="11">
        <v>0</v>
      </c>
      <c r="AX127" s="11">
        <v>0</v>
      </c>
      <c r="AY127" s="11">
        <v>0</v>
      </c>
      <c r="BA127" s="12" t="s">
        <v>4877</v>
      </c>
      <c r="BB127" s="12">
        <v>0</v>
      </c>
      <c r="BC127" s="9" t="s">
        <v>4878</v>
      </c>
      <c r="BD127" s="12">
        <v>5</v>
      </c>
      <c r="BE127" s="12">
        <v>0</v>
      </c>
      <c r="BF127" s="12">
        <f>VLOOKUP(A127,'[1]Conical Mounds'!A$1:O$65536,15,FALSE)</f>
        <v>5026.5482457436692</v>
      </c>
      <c r="BI127">
        <f>BD127/BF127</f>
        <v>9.9471839432434587E-4</v>
      </c>
      <c r="BJ127">
        <f>BI127*10000</f>
        <v>9.9471839432434592</v>
      </c>
    </row>
    <row r="128" spans="1:62" x14ac:dyDescent="0.15">
      <c r="A128" s="7" t="s">
        <v>1051</v>
      </c>
      <c r="C128" s="7" t="s">
        <v>1052</v>
      </c>
      <c r="D128" s="7" t="s">
        <v>5292</v>
      </c>
      <c r="E128" s="9" t="s">
        <v>5295</v>
      </c>
      <c r="L128" s="10">
        <v>3908400</v>
      </c>
      <c r="M128" s="10">
        <v>725230</v>
      </c>
      <c r="N128" s="11">
        <v>15</v>
      </c>
      <c r="P128" s="7" t="s">
        <v>1053</v>
      </c>
      <c r="Q128" s="9" t="s">
        <v>5322</v>
      </c>
      <c r="R128" s="9" t="s">
        <v>5318</v>
      </c>
      <c r="S128" s="9" t="s">
        <v>5292</v>
      </c>
      <c r="T128" s="9" t="s">
        <v>4797</v>
      </c>
      <c r="U128" s="12" t="s">
        <v>5018</v>
      </c>
      <c r="V128" s="12" t="s">
        <v>5019</v>
      </c>
      <c r="W128" s="12">
        <v>0</v>
      </c>
      <c r="X128" s="12">
        <v>0</v>
      </c>
      <c r="Y128" s="12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1</v>
      </c>
      <c r="AE128" s="11">
        <v>1</v>
      </c>
      <c r="AF128" s="11">
        <v>0</v>
      </c>
      <c r="AG128" s="11">
        <v>0</v>
      </c>
      <c r="AH128" s="9">
        <v>4</v>
      </c>
      <c r="AI128" s="11">
        <v>4</v>
      </c>
      <c r="AJ128" s="11">
        <v>1</v>
      </c>
      <c r="AK128" s="11">
        <v>1</v>
      </c>
      <c r="AL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1</v>
      </c>
      <c r="AS128" s="11">
        <v>0</v>
      </c>
      <c r="AT128" s="11">
        <v>1</v>
      </c>
      <c r="AU128" s="11">
        <v>0</v>
      </c>
      <c r="AV128" s="11">
        <v>0</v>
      </c>
      <c r="AW128" s="11">
        <v>0</v>
      </c>
      <c r="AX128" s="11">
        <v>0</v>
      </c>
      <c r="AY128" s="11">
        <v>0</v>
      </c>
      <c r="BA128" s="12" t="s">
        <v>4877</v>
      </c>
      <c r="BB128" s="12">
        <v>0</v>
      </c>
      <c r="BC128" s="9" t="s">
        <v>4878</v>
      </c>
      <c r="BD128" s="12">
        <v>3</v>
      </c>
      <c r="BE128" s="12">
        <v>0</v>
      </c>
      <c r="BF128" s="12">
        <f>VLOOKUP(A128,'[1]Conical Mounds'!A$1:O$65536,15,FALSE)</f>
        <v>2827.4333882308138</v>
      </c>
      <c r="BI128">
        <f>BD128/BF128</f>
        <v>1.061032953945969E-3</v>
      </c>
      <c r="BJ128">
        <f>BI128*10000</f>
        <v>10.610329539459691</v>
      </c>
    </row>
    <row r="129" spans="1:62" x14ac:dyDescent="0.15">
      <c r="A129" s="7" t="s">
        <v>1054</v>
      </c>
      <c r="B129" s="7" t="s">
        <v>1055</v>
      </c>
      <c r="C129" s="7" t="s">
        <v>1056</v>
      </c>
      <c r="D129" s="7" t="s">
        <v>5292</v>
      </c>
      <c r="E129" s="9" t="s">
        <v>5295</v>
      </c>
      <c r="L129" s="10">
        <v>3913500</v>
      </c>
      <c r="M129" s="10">
        <v>723480</v>
      </c>
      <c r="N129" s="11">
        <v>15</v>
      </c>
      <c r="P129" s="7" t="s">
        <v>1057</v>
      </c>
      <c r="Q129" s="9" t="s">
        <v>5295</v>
      </c>
      <c r="R129" s="9" t="s">
        <v>5295</v>
      </c>
      <c r="S129" s="9" t="s">
        <v>5292</v>
      </c>
      <c r="T129" s="9" t="s">
        <v>4875</v>
      </c>
      <c r="U129" s="12" t="s">
        <v>5020</v>
      </c>
      <c r="V129" s="12" t="s">
        <v>5021</v>
      </c>
      <c r="W129" s="12">
        <v>0</v>
      </c>
      <c r="X129" s="12">
        <v>0</v>
      </c>
      <c r="Y129" s="12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1</v>
      </c>
      <c r="AG129" s="11">
        <v>1</v>
      </c>
      <c r="AH129" s="9">
        <v>3</v>
      </c>
      <c r="AI129" s="11">
        <v>3</v>
      </c>
      <c r="AJ129" s="11">
        <v>1</v>
      </c>
      <c r="AK129" s="11">
        <v>1</v>
      </c>
      <c r="AL129" s="11">
        <v>1</v>
      </c>
      <c r="AN129" s="11">
        <v>0</v>
      </c>
      <c r="AO129" s="11">
        <v>0</v>
      </c>
      <c r="AP129" s="11">
        <v>0</v>
      </c>
      <c r="AQ129" s="11">
        <v>1</v>
      </c>
      <c r="AR129" s="11">
        <v>0</v>
      </c>
      <c r="AS129" s="11">
        <v>0</v>
      </c>
      <c r="AT129" s="11">
        <v>0</v>
      </c>
      <c r="AU129" s="11">
        <v>0</v>
      </c>
      <c r="AV129" s="11">
        <v>0</v>
      </c>
      <c r="AW129" s="11">
        <v>1</v>
      </c>
      <c r="AX129" s="11">
        <v>0</v>
      </c>
      <c r="AY129" s="11">
        <v>0</v>
      </c>
      <c r="AZ129" s="12" t="s">
        <v>4843</v>
      </c>
      <c r="BA129" s="12" t="s">
        <v>4911</v>
      </c>
      <c r="BB129" s="12">
        <v>1</v>
      </c>
      <c r="BC129" s="9" t="s">
        <v>4878</v>
      </c>
      <c r="BD129" s="12">
        <v>12</v>
      </c>
      <c r="BE129" s="12">
        <v>200</v>
      </c>
      <c r="BF129" s="12">
        <v>0</v>
      </c>
      <c r="BI129" s="12">
        <v>0</v>
      </c>
      <c r="BJ129" s="12">
        <v>0</v>
      </c>
    </row>
    <row r="130" spans="1:62" x14ac:dyDescent="0.15">
      <c r="A130" s="7" t="s">
        <v>1058</v>
      </c>
      <c r="C130" s="7" t="s">
        <v>1059</v>
      </c>
      <c r="D130" s="7" t="s">
        <v>5292</v>
      </c>
      <c r="E130" s="9" t="s">
        <v>5295</v>
      </c>
      <c r="L130" s="10">
        <v>3906950</v>
      </c>
      <c r="M130" s="10">
        <v>720220</v>
      </c>
      <c r="N130" s="11">
        <v>15</v>
      </c>
      <c r="P130" s="7" t="s">
        <v>1060</v>
      </c>
      <c r="Q130" s="9" t="s">
        <v>1061</v>
      </c>
      <c r="R130" s="9" t="s">
        <v>1061</v>
      </c>
      <c r="S130" s="9" t="s">
        <v>5292</v>
      </c>
      <c r="T130" s="9" t="s">
        <v>4797</v>
      </c>
      <c r="U130" s="12" t="s">
        <v>5018</v>
      </c>
      <c r="V130" s="12" t="s">
        <v>5019</v>
      </c>
      <c r="W130" s="12">
        <v>0</v>
      </c>
      <c r="X130" s="12">
        <v>0</v>
      </c>
      <c r="Y130" s="12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1</v>
      </c>
      <c r="AE130" s="11">
        <v>1</v>
      </c>
      <c r="AF130" s="11">
        <v>0</v>
      </c>
      <c r="AG130" s="11">
        <v>0</v>
      </c>
      <c r="AH130" s="9">
        <v>5</v>
      </c>
      <c r="AI130" s="11">
        <v>5</v>
      </c>
      <c r="AJ130" s="11">
        <v>1</v>
      </c>
      <c r="AK130" s="11">
        <v>0</v>
      </c>
      <c r="AL130" s="11">
        <v>1</v>
      </c>
      <c r="AN130" s="11">
        <v>0</v>
      </c>
      <c r="AO130" s="11">
        <v>0</v>
      </c>
      <c r="AP130" s="11">
        <v>0</v>
      </c>
      <c r="AQ130" s="11">
        <v>1</v>
      </c>
      <c r="AR130" s="11">
        <v>0</v>
      </c>
      <c r="AS130" s="11">
        <v>0</v>
      </c>
      <c r="AT130" s="11">
        <v>1</v>
      </c>
      <c r="AU130" s="11">
        <v>0</v>
      </c>
      <c r="AV130" s="11">
        <v>0</v>
      </c>
      <c r="AW130" s="11">
        <v>1</v>
      </c>
      <c r="AX130" s="11">
        <v>0</v>
      </c>
      <c r="AY130" s="11">
        <v>0</v>
      </c>
      <c r="AZ130" s="12" t="s">
        <v>4843</v>
      </c>
      <c r="BA130" s="12" t="s">
        <v>4911</v>
      </c>
      <c r="BB130" s="12">
        <v>1</v>
      </c>
      <c r="BC130" s="9" t="s">
        <v>4878</v>
      </c>
      <c r="BD130" s="12">
        <v>15</v>
      </c>
      <c r="BE130" s="12">
        <v>150</v>
      </c>
      <c r="BF130" s="12">
        <v>0</v>
      </c>
      <c r="BI130" s="12">
        <v>0</v>
      </c>
      <c r="BJ130" s="12">
        <v>0</v>
      </c>
    </row>
    <row r="131" spans="1:62" x14ac:dyDescent="0.15">
      <c r="A131" s="7" t="s">
        <v>1062</v>
      </c>
      <c r="C131" s="7" t="s">
        <v>1063</v>
      </c>
      <c r="D131" s="7" t="s">
        <v>5292</v>
      </c>
      <c r="E131" s="9" t="s">
        <v>5295</v>
      </c>
      <c r="L131" s="10">
        <v>3911040</v>
      </c>
      <c r="M131" s="10">
        <v>719500</v>
      </c>
      <c r="N131" s="11">
        <v>15</v>
      </c>
      <c r="P131" s="7" t="s">
        <v>1064</v>
      </c>
      <c r="Q131" s="9" t="s">
        <v>5311</v>
      </c>
      <c r="R131" s="9" t="s">
        <v>5318</v>
      </c>
      <c r="S131" s="9" t="s">
        <v>5292</v>
      </c>
      <c r="T131" s="9" t="s">
        <v>4797</v>
      </c>
      <c r="U131" s="12" t="s">
        <v>5018</v>
      </c>
      <c r="V131" s="12" t="s">
        <v>5019</v>
      </c>
      <c r="W131" s="12">
        <v>0</v>
      </c>
      <c r="X131" s="12">
        <v>0</v>
      </c>
      <c r="Y131" s="12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1</v>
      </c>
      <c r="AE131" s="11">
        <v>1</v>
      </c>
      <c r="AF131" s="11">
        <v>0</v>
      </c>
      <c r="AG131" s="11">
        <v>0</v>
      </c>
      <c r="AH131" s="9">
        <v>8</v>
      </c>
      <c r="AI131" s="11">
        <v>8</v>
      </c>
      <c r="AJ131" s="11">
        <v>1</v>
      </c>
      <c r="AK131" s="11">
        <v>1</v>
      </c>
      <c r="AL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1</v>
      </c>
      <c r="AS131" s="11">
        <v>0</v>
      </c>
      <c r="AT131" s="11">
        <v>1</v>
      </c>
      <c r="AU131" s="11">
        <v>0</v>
      </c>
      <c r="AV131" s="11">
        <v>0</v>
      </c>
      <c r="AW131" s="11">
        <v>0</v>
      </c>
      <c r="AX131" s="11">
        <v>0</v>
      </c>
      <c r="AY131" s="11">
        <v>0</v>
      </c>
      <c r="BA131" s="12" t="s">
        <v>4877</v>
      </c>
      <c r="BB131" s="12">
        <v>0</v>
      </c>
      <c r="BC131" s="9" t="s">
        <v>4878</v>
      </c>
      <c r="BD131" s="12">
        <v>9</v>
      </c>
      <c r="BE131" s="12">
        <v>0</v>
      </c>
      <c r="BF131" s="12">
        <f>VLOOKUP(A131,'[1]Conical Mounds'!A$1:O$65536,15,FALSE)</f>
        <v>6361.7251235193307</v>
      </c>
      <c r="BI131">
        <f>BD131/BF131</f>
        <v>1.4147106052612921E-3</v>
      </c>
      <c r="BJ131">
        <f>BI131*10000</f>
        <v>14.147106052612921</v>
      </c>
    </row>
    <row r="132" spans="1:62" x14ac:dyDescent="0.15">
      <c r="A132" s="7" t="s">
        <v>1065</v>
      </c>
      <c r="B132" s="7" t="s">
        <v>1066</v>
      </c>
      <c r="C132" s="7" t="s">
        <v>1067</v>
      </c>
      <c r="D132" s="7" t="s">
        <v>5292</v>
      </c>
      <c r="E132" s="9" t="s">
        <v>5295</v>
      </c>
      <c r="L132" s="10">
        <v>3913000</v>
      </c>
      <c r="M132" s="10">
        <v>725000</v>
      </c>
      <c r="N132" s="11">
        <v>15</v>
      </c>
      <c r="P132" s="7" t="s">
        <v>1068</v>
      </c>
      <c r="Q132" s="9" t="s">
        <v>5295</v>
      </c>
      <c r="R132" s="9" t="s">
        <v>5295</v>
      </c>
      <c r="S132" s="9" t="s">
        <v>5292</v>
      </c>
      <c r="T132" s="9" t="s">
        <v>4875</v>
      </c>
      <c r="U132" s="12" t="s">
        <v>5020</v>
      </c>
      <c r="V132" s="12" t="s">
        <v>5021</v>
      </c>
      <c r="W132" s="12">
        <v>0</v>
      </c>
      <c r="X132" s="12">
        <v>0</v>
      </c>
      <c r="Y132" s="12">
        <v>0</v>
      </c>
      <c r="Z132" s="11">
        <v>0</v>
      </c>
      <c r="AA132" s="11">
        <v>0</v>
      </c>
      <c r="AB132" s="11">
        <v>0</v>
      </c>
      <c r="AC132" s="11">
        <v>0</v>
      </c>
      <c r="AD132" s="11">
        <v>0</v>
      </c>
      <c r="AE132" s="11">
        <v>0</v>
      </c>
      <c r="AF132" s="11">
        <v>1</v>
      </c>
      <c r="AG132" s="11">
        <v>1</v>
      </c>
      <c r="AH132" s="9">
        <v>5</v>
      </c>
      <c r="AI132" s="11">
        <v>5</v>
      </c>
      <c r="AJ132" s="11">
        <v>1</v>
      </c>
      <c r="AK132" s="11">
        <v>1</v>
      </c>
      <c r="AL132" s="11">
        <v>1</v>
      </c>
      <c r="AN132" s="11">
        <v>0</v>
      </c>
      <c r="AO132" s="11">
        <v>1</v>
      </c>
      <c r="AP132" s="11">
        <v>0</v>
      </c>
      <c r="AQ132" s="11">
        <v>1</v>
      </c>
      <c r="AR132" s="11">
        <v>0</v>
      </c>
      <c r="AS132" s="11">
        <v>0</v>
      </c>
      <c r="AT132" s="11">
        <v>0</v>
      </c>
      <c r="AU132" s="11">
        <v>0</v>
      </c>
      <c r="AV132" s="11">
        <v>0</v>
      </c>
      <c r="AW132" s="11">
        <v>1</v>
      </c>
      <c r="AX132" s="11">
        <v>0</v>
      </c>
      <c r="AY132" s="11">
        <v>0</v>
      </c>
      <c r="AZ132" s="12" t="s">
        <v>4843</v>
      </c>
      <c r="BA132" s="12" t="s">
        <v>4911</v>
      </c>
      <c r="BB132" s="12">
        <v>1</v>
      </c>
      <c r="BC132" s="9" t="s">
        <v>4878</v>
      </c>
      <c r="BD132" s="12">
        <v>9</v>
      </c>
      <c r="BE132" s="12">
        <v>250</v>
      </c>
      <c r="BF132" s="12">
        <v>0</v>
      </c>
      <c r="BI132" s="12">
        <v>0</v>
      </c>
      <c r="BJ132" s="12">
        <v>0</v>
      </c>
    </row>
    <row r="133" spans="1:62" x14ac:dyDescent="0.15">
      <c r="A133" s="7" t="s">
        <v>1069</v>
      </c>
      <c r="C133" s="7" t="s">
        <v>1070</v>
      </c>
      <c r="D133" s="7" t="s">
        <v>5292</v>
      </c>
      <c r="E133" s="9" t="s">
        <v>5295</v>
      </c>
      <c r="L133" s="10">
        <v>3927280</v>
      </c>
      <c r="M133" s="10">
        <v>729657</v>
      </c>
      <c r="N133" s="11">
        <v>15</v>
      </c>
      <c r="P133" s="7" t="s">
        <v>1047</v>
      </c>
      <c r="Q133" s="9" t="s">
        <v>5322</v>
      </c>
      <c r="R133" s="9" t="s">
        <v>5318</v>
      </c>
      <c r="S133" s="9" t="s">
        <v>5292</v>
      </c>
      <c r="T133" s="9" t="s">
        <v>4902</v>
      </c>
      <c r="U133" s="12" t="s">
        <v>4902</v>
      </c>
      <c r="V133" s="12" t="s">
        <v>4902</v>
      </c>
      <c r="W133" s="12">
        <v>0</v>
      </c>
      <c r="X133" s="12">
        <v>0</v>
      </c>
      <c r="Y133" s="12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9" t="s">
        <v>8248</v>
      </c>
      <c r="AI133" s="11">
        <v>2</v>
      </c>
      <c r="AJ133" s="11">
        <v>1</v>
      </c>
      <c r="AK133" s="11">
        <v>1</v>
      </c>
      <c r="AL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1</v>
      </c>
      <c r="AS133" s="11">
        <v>0</v>
      </c>
      <c r="AT133" s="11">
        <v>0</v>
      </c>
      <c r="AU133" s="11">
        <v>0</v>
      </c>
      <c r="AV133" s="11">
        <v>0</v>
      </c>
      <c r="AW133" s="11">
        <v>0</v>
      </c>
      <c r="AX133" s="11">
        <v>0</v>
      </c>
      <c r="AY133" s="11">
        <v>0</v>
      </c>
      <c r="BA133" s="12" t="s">
        <v>4877</v>
      </c>
      <c r="BB133" s="12">
        <v>0</v>
      </c>
      <c r="BC133" s="9" t="s">
        <v>4878</v>
      </c>
      <c r="BD133" s="12">
        <v>0</v>
      </c>
      <c r="BE133" s="12">
        <v>0</v>
      </c>
      <c r="BF133" s="12">
        <v>0</v>
      </c>
      <c r="BI133" s="12">
        <v>0</v>
      </c>
      <c r="BJ133" s="12">
        <v>0</v>
      </c>
    </row>
    <row r="134" spans="1:62" x14ac:dyDescent="0.15">
      <c r="A134" s="7" t="s">
        <v>1071</v>
      </c>
      <c r="B134" s="7" t="s">
        <v>1072</v>
      </c>
      <c r="C134" s="7" t="s">
        <v>1073</v>
      </c>
      <c r="D134" s="7" t="s">
        <v>5292</v>
      </c>
      <c r="E134" s="9" t="s">
        <v>5295</v>
      </c>
      <c r="L134" s="10">
        <v>3918000</v>
      </c>
      <c r="M134" s="10">
        <v>737150</v>
      </c>
      <c r="N134" s="11">
        <v>15</v>
      </c>
      <c r="P134" s="7" t="s">
        <v>1068</v>
      </c>
      <c r="Q134" s="9" t="s">
        <v>5295</v>
      </c>
      <c r="R134" s="9" t="s">
        <v>5295</v>
      </c>
      <c r="S134" s="9" t="s">
        <v>5292</v>
      </c>
      <c r="T134" s="9" t="s">
        <v>8484</v>
      </c>
      <c r="U134" s="12" t="s">
        <v>5019</v>
      </c>
      <c r="V134" s="12" t="s">
        <v>5020</v>
      </c>
      <c r="W134" s="12">
        <v>0</v>
      </c>
      <c r="X134" s="12">
        <v>0</v>
      </c>
      <c r="Y134" s="12">
        <v>0</v>
      </c>
      <c r="Z134" s="11">
        <v>0</v>
      </c>
      <c r="AA134" s="11">
        <v>0</v>
      </c>
      <c r="AB134" s="11">
        <v>0</v>
      </c>
      <c r="AC134" s="11">
        <v>0</v>
      </c>
      <c r="AD134" s="11">
        <v>0</v>
      </c>
      <c r="AE134" s="11">
        <v>1</v>
      </c>
      <c r="AF134" s="11">
        <v>1</v>
      </c>
      <c r="AG134" s="11">
        <v>0</v>
      </c>
      <c r="AH134" s="9" t="s">
        <v>8248</v>
      </c>
      <c r="AI134" s="11">
        <v>2</v>
      </c>
      <c r="AJ134" s="11">
        <v>1</v>
      </c>
      <c r="AK134" s="11">
        <v>1</v>
      </c>
      <c r="AL134" s="11">
        <v>1</v>
      </c>
      <c r="AN134" s="11">
        <v>0</v>
      </c>
      <c r="AO134" s="11">
        <v>0</v>
      </c>
      <c r="AP134" s="11">
        <v>0</v>
      </c>
      <c r="AQ134" s="11">
        <v>1</v>
      </c>
      <c r="AR134" s="11">
        <v>0</v>
      </c>
      <c r="AS134" s="11">
        <v>0</v>
      </c>
      <c r="AT134" s="11">
        <v>0</v>
      </c>
      <c r="AU134" s="11">
        <v>0</v>
      </c>
      <c r="AV134" s="11">
        <v>0</v>
      </c>
      <c r="AW134" s="11">
        <v>1</v>
      </c>
      <c r="AX134" s="11">
        <v>0</v>
      </c>
      <c r="AY134" s="11">
        <v>0</v>
      </c>
      <c r="AZ134" s="12" t="s">
        <v>4843</v>
      </c>
      <c r="BA134" s="12" t="s">
        <v>4911</v>
      </c>
      <c r="BB134" s="12">
        <v>1</v>
      </c>
      <c r="BC134" s="9" t="s">
        <v>4878</v>
      </c>
      <c r="BD134" s="12">
        <v>0</v>
      </c>
      <c r="BE134" s="12">
        <v>0</v>
      </c>
      <c r="BF134" s="12">
        <v>0</v>
      </c>
      <c r="BI134" s="12">
        <v>0</v>
      </c>
      <c r="BJ134" s="12">
        <v>0</v>
      </c>
    </row>
    <row r="135" spans="1:62" x14ac:dyDescent="0.15">
      <c r="A135" s="7" t="s">
        <v>1074</v>
      </c>
      <c r="C135" s="7" t="s">
        <v>1075</v>
      </c>
      <c r="D135" s="7" t="s">
        <v>5292</v>
      </c>
      <c r="E135" s="9" t="s">
        <v>5295</v>
      </c>
      <c r="L135" s="10">
        <v>3914900</v>
      </c>
      <c r="M135" s="10">
        <v>736700</v>
      </c>
      <c r="N135" s="11">
        <v>15</v>
      </c>
      <c r="P135" s="7" t="s">
        <v>1076</v>
      </c>
      <c r="Q135" s="9" t="s">
        <v>5311</v>
      </c>
      <c r="R135" s="9" t="s">
        <v>5318</v>
      </c>
      <c r="S135" s="9" t="s">
        <v>5292</v>
      </c>
      <c r="T135" s="9" t="s">
        <v>4797</v>
      </c>
      <c r="U135" s="12" t="s">
        <v>5018</v>
      </c>
      <c r="V135" s="12" t="s">
        <v>5019</v>
      </c>
      <c r="W135" s="12">
        <v>0</v>
      </c>
      <c r="X135" s="12">
        <v>0</v>
      </c>
      <c r="Y135" s="12">
        <v>0</v>
      </c>
      <c r="Z135" s="11">
        <v>0</v>
      </c>
      <c r="AA135" s="11">
        <v>0</v>
      </c>
      <c r="AB135" s="11">
        <v>0</v>
      </c>
      <c r="AC135" s="11">
        <v>0</v>
      </c>
      <c r="AD135" s="11">
        <v>1</v>
      </c>
      <c r="AE135" s="11">
        <v>1</v>
      </c>
      <c r="AF135" s="11">
        <v>0</v>
      </c>
      <c r="AG135" s="11">
        <v>0</v>
      </c>
      <c r="AH135" s="9" t="s">
        <v>8248</v>
      </c>
      <c r="AI135" s="11">
        <v>2</v>
      </c>
      <c r="AJ135" s="11">
        <v>1</v>
      </c>
      <c r="AK135" s="11">
        <v>1</v>
      </c>
      <c r="AL135" s="11">
        <v>0</v>
      </c>
      <c r="AN135" s="11">
        <v>0</v>
      </c>
      <c r="AO135" s="11">
        <v>0</v>
      </c>
      <c r="AP135" s="11">
        <v>0</v>
      </c>
      <c r="AQ135" s="11">
        <v>0</v>
      </c>
      <c r="AR135" s="11">
        <v>1</v>
      </c>
      <c r="AS135" s="11">
        <v>0</v>
      </c>
      <c r="AT135" s="11">
        <v>0</v>
      </c>
      <c r="AU135" s="11">
        <v>0</v>
      </c>
      <c r="AV135" s="11">
        <v>0</v>
      </c>
      <c r="AW135" s="11">
        <v>0</v>
      </c>
      <c r="AX135" s="11">
        <v>0</v>
      </c>
      <c r="AY135" s="11">
        <v>0</v>
      </c>
      <c r="BA135" s="12" t="s">
        <v>4877</v>
      </c>
      <c r="BB135" s="12">
        <v>0</v>
      </c>
      <c r="BC135" s="9" t="s">
        <v>4878</v>
      </c>
      <c r="BD135" s="12">
        <v>2</v>
      </c>
      <c r="BE135" s="12">
        <v>0</v>
      </c>
      <c r="BF135" s="12">
        <f>VLOOKUP(A135,'[1]Conical Mounds'!A$1:O$65536,15,FALSE)</f>
        <v>1963.4954084936207</v>
      </c>
      <c r="BI135">
        <f>BD135/BF135</f>
        <v>1.0185916357881302E-3</v>
      </c>
      <c r="BJ135">
        <f>BI135*10000</f>
        <v>10.185916357881302</v>
      </c>
    </row>
    <row r="136" spans="1:62" x14ac:dyDescent="0.15">
      <c r="A136" s="7" t="s">
        <v>1077</v>
      </c>
      <c r="C136" s="7" t="s">
        <v>1078</v>
      </c>
      <c r="D136" s="7" t="s">
        <v>5292</v>
      </c>
      <c r="E136" s="9" t="s">
        <v>5295</v>
      </c>
      <c r="L136" s="10">
        <v>3900827</v>
      </c>
      <c r="M136" s="10">
        <v>734435</v>
      </c>
      <c r="N136" s="11">
        <v>15</v>
      </c>
      <c r="P136" s="7" t="s">
        <v>1079</v>
      </c>
      <c r="Q136" s="9" t="s">
        <v>5322</v>
      </c>
      <c r="R136" s="9" t="s">
        <v>5318</v>
      </c>
      <c r="S136" s="9" t="s">
        <v>5292</v>
      </c>
      <c r="T136" s="9" t="s">
        <v>4902</v>
      </c>
      <c r="U136" s="12" t="s">
        <v>4902</v>
      </c>
      <c r="V136" s="12" t="s">
        <v>4902</v>
      </c>
      <c r="W136" s="12">
        <v>0</v>
      </c>
      <c r="X136" s="12">
        <v>0</v>
      </c>
      <c r="Y136" s="12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9" t="s">
        <v>4909</v>
      </c>
      <c r="AI136" s="11">
        <v>1</v>
      </c>
      <c r="AJ136" s="11">
        <v>1</v>
      </c>
      <c r="AK136" s="11">
        <v>0</v>
      </c>
      <c r="AL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1</v>
      </c>
      <c r="AS136" s="11">
        <v>0</v>
      </c>
      <c r="AT136" s="11">
        <v>0</v>
      </c>
      <c r="AU136" s="11">
        <v>0</v>
      </c>
      <c r="AV136" s="11">
        <v>0</v>
      </c>
      <c r="AW136" s="11">
        <v>0</v>
      </c>
      <c r="AX136" s="11">
        <v>0</v>
      </c>
      <c r="AY136" s="11">
        <v>0</v>
      </c>
      <c r="BA136" s="12" t="s">
        <v>4877</v>
      </c>
      <c r="BB136" s="12">
        <v>0</v>
      </c>
      <c r="BC136" s="9" t="s">
        <v>4878</v>
      </c>
      <c r="BD136" s="12">
        <v>0</v>
      </c>
      <c r="BE136" s="12">
        <v>0</v>
      </c>
      <c r="BF136" s="12">
        <v>0</v>
      </c>
      <c r="BI136" s="12">
        <v>0</v>
      </c>
      <c r="BJ136" s="12">
        <v>0</v>
      </c>
    </row>
    <row r="137" spans="1:62" x14ac:dyDescent="0.15">
      <c r="A137" s="7" t="s">
        <v>1080</v>
      </c>
      <c r="C137" s="7" t="s">
        <v>1081</v>
      </c>
      <c r="D137" s="7" t="s">
        <v>5292</v>
      </c>
      <c r="E137" s="9" t="s">
        <v>5295</v>
      </c>
      <c r="L137" s="10">
        <v>3900911</v>
      </c>
      <c r="M137" s="10">
        <v>744054</v>
      </c>
      <c r="N137" s="11">
        <v>15</v>
      </c>
      <c r="P137" s="7" t="s">
        <v>1082</v>
      </c>
      <c r="Q137" s="9" t="s">
        <v>5322</v>
      </c>
      <c r="R137" s="9" t="s">
        <v>5318</v>
      </c>
      <c r="S137" s="9" t="s">
        <v>5292</v>
      </c>
      <c r="T137" s="9" t="s">
        <v>4902</v>
      </c>
      <c r="U137" s="12" t="s">
        <v>4902</v>
      </c>
      <c r="V137" s="12" t="s">
        <v>4902</v>
      </c>
      <c r="W137" s="12">
        <v>0</v>
      </c>
      <c r="X137" s="12">
        <v>0</v>
      </c>
      <c r="Y137" s="12">
        <v>0</v>
      </c>
      <c r="Z137" s="11">
        <v>0</v>
      </c>
      <c r="AA137" s="11">
        <v>0</v>
      </c>
      <c r="AB137" s="11">
        <v>0</v>
      </c>
      <c r="AC137" s="11">
        <v>0</v>
      </c>
      <c r="AD137" s="11">
        <v>0</v>
      </c>
      <c r="AE137" s="11">
        <v>0</v>
      </c>
      <c r="AF137" s="11">
        <v>0</v>
      </c>
      <c r="AG137" s="11">
        <v>0</v>
      </c>
      <c r="AH137" s="9" t="s">
        <v>1083</v>
      </c>
      <c r="AI137" s="11">
        <v>2</v>
      </c>
      <c r="AJ137" s="11">
        <v>1</v>
      </c>
      <c r="AK137" s="11">
        <v>1</v>
      </c>
      <c r="AL137" s="11">
        <v>0</v>
      </c>
      <c r="AN137" s="11">
        <v>0</v>
      </c>
      <c r="AO137" s="11">
        <v>0</v>
      </c>
      <c r="AP137" s="11">
        <v>0</v>
      </c>
      <c r="AQ137" s="11">
        <v>0</v>
      </c>
      <c r="AR137" s="11">
        <v>1</v>
      </c>
      <c r="AS137" s="11">
        <v>0</v>
      </c>
      <c r="AT137" s="11">
        <v>0</v>
      </c>
      <c r="AU137" s="11">
        <v>0</v>
      </c>
      <c r="AV137" s="11">
        <v>0</v>
      </c>
      <c r="AW137" s="11">
        <v>0</v>
      </c>
      <c r="AX137" s="11">
        <v>0</v>
      </c>
      <c r="AY137" s="11">
        <v>0</v>
      </c>
      <c r="BA137" s="12" t="s">
        <v>4877</v>
      </c>
      <c r="BB137" s="12">
        <v>0</v>
      </c>
      <c r="BC137" s="9" t="s">
        <v>4878</v>
      </c>
      <c r="BD137" s="12">
        <v>0</v>
      </c>
      <c r="BE137" s="12">
        <v>0</v>
      </c>
      <c r="BF137" s="12">
        <v>0</v>
      </c>
      <c r="BI137" s="12">
        <v>0</v>
      </c>
      <c r="BJ137" s="12">
        <v>0</v>
      </c>
    </row>
    <row r="138" spans="1:62" x14ac:dyDescent="0.15">
      <c r="A138" s="7" t="s">
        <v>1084</v>
      </c>
      <c r="B138" t="s">
        <v>1085</v>
      </c>
      <c r="C138" s="7" t="s">
        <v>1086</v>
      </c>
      <c r="D138" s="7" t="s">
        <v>5292</v>
      </c>
      <c r="E138" s="9" t="s">
        <v>5295</v>
      </c>
      <c r="L138" s="10">
        <v>3944100</v>
      </c>
      <c r="M138" s="10">
        <v>714360</v>
      </c>
      <c r="N138" s="11">
        <v>15</v>
      </c>
      <c r="P138" s="7" t="s">
        <v>1087</v>
      </c>
      <c r="Q138" s="9" t="s">
        <v>5295</v>
      </c>
      <c r="R138" s="9" t="s">
        <v>5295</v>
      </c>
      <c r="S138" s="9" t="s">
        <v>5292</v>
      </c>
      <c r="T138" s="9" t="s">
        <v>4875</v>
      </c>
      <c r="U138" s="12" t="s">
        <v>5020</v>
      </c>
      <c r="V138" s="12" t="s">
        <v>5021</v>
      </c>
      <c r="W138" s="12">
        <v>0</v>
      </c>
      <c r="X138" s="12">
        <v>0</v>
      </c>
      <c r="Y138" s="12">
        <v>0</v>
      </c>
      <c r="Z138" s="11">
        <v>0</v>
      </c>
      <c r="AA138" s="11">
        <v>0</v>
      </c>
      <c r="AB138" s="11">
        <v>0</v>
      </c>
      <c r="AC138" s="11">
        <v>0</v>
      </c>
      <c r="AD138" s="11">
        <v>0</v>
      </c>
      <c r="AE138" s="11">
        <v>0</v>
      </c>
      <c r="AF138" s="11">
        <v>1</v>
      </c>
      <c r="AG138" s="11">
        <v>1</v>
      </c>
      <c r="AH138" s="9">
        <v>3</v>
      </c>
      <c r="AI138" s="11">
        <v>3</v>
      </c>
      <c r="AJ138" s="11">
        <v>1</v>
      </c>
      <c r="AK138" s="11">
        <v>1</v>
      </c>
      <c r="AL138" s="11">
        <v>1</v>
      </c>
      <c r="AN138" s="11">
        <v>0</v>
      </c>
      <c r="AO138" s="11">
        <v>0</v>
      </c>
      <c r="AP138" s="11">
        <v>0</v>
      </c>
      <c r="AQ138" s="11">
        <v>0</v>
      </c>
      <c r="AR138" s="11">
        <v>0</v>
      </c>
      <c r="AS138" s="11">
        <v>0</v>
      </c>
      <c r="AT138" s="11">
        <v>1</v>
      </c>
      <c r="AU138" s="11">
        <v>0</v>
      </c>
      <c r="AV138" s="11">
        <v>0</v>
      </c>
      <c r="AW138" s="11">
        <v>0</v>
      </c>
      <c r="AX138" s="11">
        <v>0</v>
      </c>
      <c r="AY138" s="11">
        <v>0</v>
      </c>
      <c r="AZ138" s="12" t="s">
        <v>4843</v>
      </c>
      <c r="BA138" s="12" t="s">
        <v>4911</v>
      </c>
      <c r="BB138" s="12">
        <v>1</v>
      </c>
      <c r="BC138" s="9" t="s">
        <v>4878</v>
      </c>
      <c r="BD138" s="12">
        <v>5</v>
      </c>
      <c r="BE138" s="12">
        <v>300</v>
      </c>
      <c r="BF138" s="12">
        <v>0</v>
      </c>
      <c r="BI138" s="12">
        <v>0</v>
      </c>
      <c r="BJ138" s="12">
        <v>0</v>
      </c>
    </row>
    <row r="139" spans="1:62" x14ac:dyDescent="0.15">
      <c r="A139" s="7" t="s">
        <v>1088</v>
      </c>
      <c r="C139" s="7" t="s">
        <v>1089</v>
      </c>
      <c r="D139" s="7" t="s">
        <v>5292</v>
      </c>
      <c r="E139" s="9" t="s">
        <v>5295</v>
      </c>
      <c r="L139" s="10">
        <v>3924190</v>
      </c>
      <c r="M139" s="10">
        <v>734640</v>
      </c>
      <c r="N139" s="11">
        <v>15</v>
      </c>
      <c r="P139" s="7" t="s">
        <v>1079</v>
      </c>
      <c r="Q139" s="9" t="s">
        <v>5322</v>
      </c>
      <c r="R139" s="9" t="s">
        <v>5318</v>
      </c>
      <c r="S139" s="9" t="s">
        <v>5292</v>
      </c>
      <c r="T139" s="9" t="s">
        <v>4797</v>
      </c>
      <c r="U139" s="12" t="s">
        <v>5018</v>
      </c>
      <c r="V139" s="12" t="s">
        <v>5019</v>
      </c>
      <c r="W139" s="12">
        <v>0</v>
      </c>
      <c r="X139" s="12">
        <v>0</v>
      </c>
      <c r="Y139" s="12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1</v>
      </c>
      <c r="AE139" s="11">
        <v>1</v>
      </c>
      <c r="AF139" s="11">
        <v>0</v>
      </c>
      <c r="AG139" s="11">
        <v>0</v>
      </c>
      <c r="AH139" s="9">
        <v>1</v>
      </c>
      <c r="AI139" s="11">
        <v>1</v>
      </c>
      <c r="AJ139" s="11">
        <v>1</v>
      </c>
      <c r="AK139" s="11">
        <v>0</v>
      </c>
      <c r="AL139" s="11">
        <v>0</v>
      </c>
      <c r="AN139" s="11">
        <v>0</v>
      </c>
      <c r="AO139" s="11">
        <v>0</v>
      </c>
      <c r="AP139" s="11">
        <v>0</v>
      </c>
      <c r="AQ139" s="11">
        <v>0</v>
      </c>
      <c r="AR139" s="11">
        <v>1</v>
      </c>
      <c r="AS139" s="11">
        <v>0</v>
      </c>
      <c r="AT139" s="11">
        <v>0</v>
      </c>
      <c r="AU139" s="11">
        <v>0</v>
      </c>
      <c r="AV139" s="11">
        <v>0</v>
      </c>
      <c r="AW139" s="11">
        <v>0</v>
      </c>
      <c r="AX139" s="11">
        <v>0</v>
      </c>
      <c r="AY139" s="11">
        <v>0</v>
      </c>
      <c r="BA139" s="12" t="s">
        <v>4877</v>
      </c>
      <c r="BB139" s="12">
        <v>0</v>
      </c>
      <c r="BC139" s="9" t="s">
        <v>4878</v>
      </c>
      <c r="BD139" s="12">
        <v>4</v>
      </c>
      <c r="BE139" s="12">
        <v>0</v>
      </c>
      <c r="BF139" s="12">
        <f>VLOOKUP(A139,'[1]Conical Mounds'!A$1:O$65536,15,FALSE)</f>
        <v>2827.4333882308138</v>
      </c>
      <c r="BI139">
        <f>BD139/BF139</f>
        <v>1.4147106052612921E-3</v>
      </c>
      <c r="BJ139">
        <f>BI139*10000</f>
        <v>14.147106052612921</v>
      </c>
    </row>
    <row r="140" spans="1:62" x14ac:dyDescent="0.15">
      <c r="A140" s="7" t="s">
        <v>1090</v>
      </c>
      <c r="C140" s="7" t="s">
        <v>1091</v>
      </c>
      <c r="D140" s="7" t="s">
        <v>5292</v>
      </c>
      <c r="E140" s="9" t="s">
        <v>5295</v>
      </c>
      <c r="L140" s="10">
        <v>3924830</v>
      </c>
      <c r="M140" s="10">
        <v>734650</v>
      </c>
      <c r="N140" s="11">
        <v>15</v>
      </c>
      <c r="P140" s="7" t="s">
        <v>1092</v>
      </c>
      <c r="Q140" s="9" t="s">
        <v>5311</v>
      </c>
      <c r="R140" s="9" t="s">
        <v>5318</v>
      </c>
      <c r="S140" s="9" t="s">
        <v>5292</v>
      </c>
      <c r="T140" s="9" t="s">
        <v>4797</v>
      </c>
      <c r="U140" s="12" t="s">
        <v>5018</v>
      </c>
      <c r="V140" s="12" t="s">
        <v>5019</v>
      </c>
      <c r="W140" s="12">
        <v>0</v>
      </c>
      <c r="X140" s="12">
        <v>0</v>
      </c>
      <c r="Y140" s="12">
        <v>0</v>
      </c>
      <c r="Z140" s="11">
        <v>0</v>
      </c>
      <c r="AA140" s="11">
        <v>0</v>
      </c>
      <c r="AB140" s="11">
        <v>0</v>
      </c>
      <c r="AC140" s="11">
        <v>0</v>
      </c>
      <c r="AD140" s="11">
        <v>1</v>
      </c>
      <c r="AE140" s="11">
        <v>1</v>
      </c>
      <c r="AF140" s="11">
        <v>0</v>
      </c>
      <c r="AG140" s="11">
        <v>0</v>
      </c>
      <c r="AH140" s="9">
        <v>1</v>
      </c>
      <c r="AI140" s="11">
        <v>1</v>
      </c>
      <c r="AJ140" s="11">
        <v>1</v>
      </c>
      <c r="AK140" s="11">
        <v>0</v>
      </c>
      <c r="AL140" s="11">
        <v>0</v>
      </c>
      <c r="AN140" s="11">
        <v>0</v>
      </c>
      <c r="AO140" s="11">
        <v>0</v>
      </c>
      <c r="AP140" s="11">
        <v>0</v>
      </c>
      <c r="AQ140" s="11">
        <v>0</v>
      </c>
      <c r="AR140" s="11">
        <v>1</v>
      </c>
      <c r="AS140" s="11">
        <v>0</v>
      </c>
      <c r="AT140" s="11">
        <v>0</v>
      </c>
      <c r="AU140" s="11">
        <v>0</v>
      </c>
      <c r="AV140" s="11">
        <v>0</v>
      </c>
      <c r="AW140" s="11">
        <v>0</v>
      </c>
      <c r="AX140" s="11">
        <v>0</v>
      </c>
      <c r="AY140" s="11">
        <v>0</v>
      </c>
      <c r="BA140" s="12" t="s">
        <v>4877</v>
      </c>
      <c r="BB140" s="12">
        <v>0</v>
      </c>
      <c r="BC140" s="9" t="s">
        <v>4878</v>
      </c>
      <c r="BD140" s="12">
        <v>5</v>
      </c>
      <c r="BE140" s="12">
        <v>0</v>
      </c>
      <c r="BF140" s="12">
        <f>VLOOKUP(A140,'[1]Conical Mounds'!A$1:O$65536,15,FALSE)</f>
        <v>2827.4333882308138</v>
      </c>
      <c r="BI140">
        <f>BD140/BF140</f>
        <v>1.7683882565766149E-3</v>
      </c>
      <c r="BJ140">
        <f>BI140*10000</f>
        <v>17.683882565766147</v>
      </c>
    </row>
    <row r="141" spans="1:62" x14ac:dyDescent="0.15">
      <c r="A141" s="7" t="s">
        <v>1093</v>
      </c>
      <c r="C141" s="7" t="s">
        <v>1094</v>
      </c>
      <c r="D141" s="7" t="s">
        <v>5292</v>
      </c>
      <c r="E141" s="9" t="s">
        <v>5295</v>
      </c>
      <c r="L141" s="10">
        <v>3911480</v>
      </c>
      <c r="M141" s="10">
        <v>730800</v>
      </c>
      <c r="N141" s="11">
        <v>15</v>
      </c>
      <c r="P141" s="7" t="s">
        <v>1087</v>
      </c>
      <c r="Q141" s="9" t="s">
        <v>1061</v>
      </c>
      <c r="R141" s="9" t="s">
        <v>1061</v>
      </c>
      <c r="S141" s="9" t="s">
        <v>5292</v>
      </c>
      <c r="T141" s="9" t="s">
        <v>4797</v>
      </c>
      <c r="U141" s="12" t="s">
        <v>5018</v>
      </c>
      <c r="V141" s="12" t="s">
        <v>5019</v>
      </c>
      <c r="W141" s="12">
        <v>0</v>
      </c>
      <c r="X141" s="12">
        <v>0</v>
      </c>
      <c r="Y141" s="12">
        <v>0</v>
      </c>
      <c r="Z141" s="11">
        <v>0</v>
      </c>
      <c r="AA141" s="11">
        <v>0</v>
      </c>
      <c r="AB141" s="11">
        <v>0</v>
      </c>
      <c r="AC141" s="11">
        <v>0</v>
      </c>
      <c r="AD141" s="11">
        <v>1</v>
      </c>
      <c r="AE141" s="11">
        <v>1</v>
      </c>
      <c r="AF141" s="11">
        <v>0</v>
      </c>
      <c r="AG141" s="11">
        <v>0</v>
      </c>
      <c r="AH141" s="9">
        <v>2</v>
      </c>
      <c r="AI141" s="11">
        <v>2</v>
      </c>
      <c r="AJ141" s="11">
        <v>1</v>
      </c>
      <c r="AK141" s="11">
        <v>1</v>
      </c>
      <c r="AL141" s="11">
        <v>1</v>
      </c>
      <c r="AN141" s="11">
        <v>0</v>
      </c>
      <c r="AO141" s="11">
        <v>0</v>
      </c>
      <c r="AP141" s="11">
        <v>0</v>
      </c>
      <c r="AQ141" s="11">
        <v>0</v>
      </c>
      <c r="AR141" s="11">
        <v>0</v>
      </c>
      <c r="AS141" s="11">
        <v>0</v>
      </c>
      <c r="AT141" s="11">
        <v>1</v>
      </c>
      <c r="AU141" s="11">
        <v>0</v>
      </c>
      <c r="AV141" s="11">
        <v>0</v>
      </c>
      <c r="AW141" s="11">
        <v>0</v>
      </c>
      <c r="AX141" s="11">
        <v>0</v>
      </c>
      <c r="AY141" s="11">
        <v>0</v>
      </c>
      <c r="BA141" s="12" t="s">
        <v>4877</v>
      </c>
      <c r="BB141" s="12">
        <v>1</v>
      </c>
      <c r="BC141" s="9" t="s">
        <v>4878</v>
      </c>
      <c r="BD141" s="12">
        <v>7</v>
      </c>
      <c r="BE141" s="12">
        <v>200</v>
      </c>
      <c r="BF141" s="12">
        <v>0</v>
      </c>
      <c r="BI141" s="12">
        <v>0</v>
      </c>
      <c r="BJ141" s="12">
        <v>0</v>
      </c>
    </row>
    <row r="142" spans="1:62" x14ac:dyDescent="0.15">
      <c r="A142" s="7" t="s">
        <v>1095</v>
      </c>
      <c r="B142" s="7" t="s">
        <v>1096</v>
      </c>
      <c r="C142" s="7" t="s">
        <v>1097</v>
      </c>
      <c r="D142" s="7" t="s">
        <v>5292</v>
      </c>
      <c r="E142" s="9" t="s">
        <v>5295</v>
      </c>
      <c r="L142" s="10">
        <v>3913622</v>
      </c>
      <c r="M142" s="10">
        <v>732356</v>
      </c>
      <c r="N142" s="11">
        <v>15</v>
      </c>
      <c r="P142" s="7" t="s">
        <v>1098</v>
      </c>
      <c r="Q142" s="9" t="s">
        <v>5295</v>
      </c>
      <c r="R142" s="9" t="s">
        <v>5295</v>
      </c>
      <c r="S142" s="9" t="s">
        <v>5292</v>
      </c>
      <c r="T142" s="9" t="s">
        <v>8484</v>
      </c>
      <c r="U142" s="12" t="s">
        <v>5019</v>
      </c>
      <c r="V142" s="12" t="s">
        <v>5020</v>
      </c>
      <c r="W142" s="12">
        <v>0</v>
      </c>
      <c r="X142" s="12">
        <v>0</v>
      </c>
      <c r="Y142" s="12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1</v>
      </c>
      <c r="AF142" s="11">
        <v>1</v>
      </c>
      <c r="AG142" s="11">
        <v>0</v>
      </c>
      <c r="AH142" s="9">
        <v>1</v>
      </c>
      <c r="AI142" s="11">
        <v>1</v>
      </c>
      <c r="AJ142" s="11">
        <v>1</v>
      </c>
      <c r="AK142" s="11">
        <v>0</v>
      </c>
      <c r="AL142" s="11">
        <v>1</v>
      </c>
      <c r="AN142" s="11">
        <v>0</v>
      </c>
      <c r="AO142" s="11">
        <v>0</v>
      </c>
      <c r="AP142" s="11">
        <v>0</v>
      </c>
      <c r="AQ142" s="11">
        <v>0</v>
      </c>
      <c r="AR142" s="11">
        <v>0</v>
      </c>
      <c r="AS142" s="11">
        <v>0</v>
      </c>
      <c r="AT142" s="11">
        <v>0</v>
      </c>
      <c r="AU142" s="11">
        <v>0</v>
      </c>
      <c r="AV142" s="11">
        <v>0</v>
      </c>
      <c r="AW142" s="11">
        <v>1</v>
      </c>
      <c r="AX142" s="11">
        <v>0</v>
      </c>
      <c r="AY142" s="11">
        <v>0</v>
      </c>
      <c r="AZ142" s="12" t="s">
        <v>4843</v>
      </c>
      <c r="BA142" s="12" t="s">
        <v>4911</v>
      </c>
      <c r="BB142" s="12">
        <v>1</v>
      </c>
      <c r="BC142" s="9" t="s">
        <v>4878</v>
      </c>
      <c r="BD142" s="12">
        <v>3</v>
      </c>
      <c r="BE142" s="12">
        <v>175</v>
      </c>
      <c r="BF142" s="12">
        <v>0</v>
      </c>
      <c r="BI142" s="12">
        <v>0</v>
      </c>
      <c r="BJ142" s="12">
        <v>0</v>
      </c>
    </row>
    <row r="143" spans="1:62" x14ac:dyDescent="0.15">
      <c r="A143" s="7" t="s">
        <v>1099</v>
      </c>
      <c r="C143" s="7" t="s">
        <v>1100</v>
      </c>
      <c r="D143" s="7" t="s">
        <v>5292</v>
      </c>
      <c r="E143" s="9" t="s">
        <v>5295</v>
      </c>
      <c r="L143" s="10">
        <v>3916540</v>
      </c>
      <c r="M143" s="10">
        <v>736740</v>
      </c>
      <c r="N143" s="11">
        <v>15</v>
      </c>
      <c r="P143" s="7" t="s">
        <v>1101</v>
      </c>
      <c r="Q143" s="9" t="s">
        <v>5311</v>
      </c>
      <c r="R143" s="9" t="s">
        <v>5318</v>
      </c>
      <c r="S143" s="9" t="s">
        <v>5292</v>
      </c>
      <c r="T143" s="9" t="s">
        <v>4797</v>
      </c>
      <c r="U143" s="12" t="s">
        <v>5018</v>
      </c>
      <c r="V143" s="12" t="s">
        <v>5019</v>
      </c>
      <c r="W143" s="12">
        <v>0</v>
      </c>
      <c r="X143" s="12">
        <v>0</v>
      </c>
      <c r="Y143" s="12">
        <v>0</v>
      </c>
      <c r="Z143" s="11">
        <v>0</v>
      </c>
      <c r="AA143" s="11">
        <v>0</v>
      </c>
      <c r="AB143" s="11">
        <v>0</v>
      </c>
      <c r="AC143" s="11">
        <v>0</v>
      </c>
      <c r="AD143" s="11">
        <v>1</v>
      </c>
      <c r="AE143" s="11">
        <v>1</v>
      </c>
      <c r="AF143" s="11">
        <v>0</v>
      </c>
      <c r="AG143" s="11">
        <v>0</v>
      </c>
      <c r="AH143" s="9">
        <v>2</v>
      </c>
      <c r="AI143" s="11">
        <v>2</v>
      </c>
      <c r="AJ143" s="11">
        <v>1</v>
      </c>
      <c r="AK143" s="11">
        <v>1</v>
      </c>
      <c r="AL143" s="11">
        <v>0</v>
      </c>
      <c r="AN143" s="11">
        <v>0</v>
      </c>
      <c r="AO143" s="11">
        <v>0</v>
      </c>
      <c r="AP143" s="11">
        <v>0</v>
      </c>
      <c r="AQ143" s="11">
        <v>0</v>
      </c>
      <c r="AR143" s="11">
        <v>1</v>
      </c>
      <c r="AS143" s="11">
        <v>0</v>
      </c>
      <c r="AT143" s="11">
        <v>1</v>
      </c>
      <c r="AU143" s="11">
        <v>0</v>
      </c>
      <c r="AV143" s="11">
        <v>0</v>
      </c>
      <c r="AW143" s="11">
        <v>0</v>
      </c>
      <c r="AX143" s="11">
        <v>0</v>
      </c>
      <c r="AY143" s="11">
        <v>0</v>
      </c>
      <c r="BA143" s="12" t="s">
        <v>4877</v>
      </c>
      <c r="BB143" s="12">
        <v>0</v>
      </c>
      <c r="BC143" s="9" t="s">
        <v>4878</v>
      </c>
      <c r="BD143" s="12">
        <v>4</v>
      </c>
      <c r="BE143" s="12">
        <v>0</v>
      </c>
      <c r="BF143" s="12">
        <f>VLOOKUP(A143,'[1]Conical Mounds'!A$1:O$65536,15,FALSE)</f>
        <v>1256.6370614359173</v>
      </c>
      <c r="BI143">
        <f>BD143/BF143</f>
        <v>3.1830988618379067E-3</v>
      </c>
      <c r="BJ143">
        <f>BI143*10000</f>
        <v>31.830988618379067</v>
      </c>
    </row>
    <row r="144" spans="1:62" x14ac:dyDescent="0.15">
      <c r="A144" s="7" t="s">
        <v>1102</v>
      </c>
      <c r="C144" s="7" t="s">
        <v>1103</v>
      </c>
      <c r="D144" s="7" t="s">
        <v>5292</v>
      </c>
      <c r="E144" s="9" t="s">
        <v>5293</v>
      </c>
      <c r="L144" s="10">
        <v>3931860</v>
      </c>
      <c r="M144" s="10">
        <v>761300</v>
      </c>
      <c r="N144" s="11">
        <v>15</v>
      </c>
      <c r="P144" s="7" t="s">
        <v>1087</v>
      </c>
      <c r="Q144" s="9" t="s">
        <v>1061</v>
      </c>
      <c r="R144" s="9" t="s">
        <v>1061</v>
      </c>
      <c r="S144" s="9" t="s">
        <v>5292</v>
      </c>
      <c r="T144" s="9" t="s">
        <v>8484</v>
      </c>
      <c r="U144" s="12" t="s">
        <v>5019</v>
      </c>
      <c r="V144" s="12" t="s">
        <v>5020</v>
      </c>
      <c r="W144" s="12">
        <v>0</v>
      </c>
      <c r="X144" s="12">
        <v>0</v>
      </c>
      <c r="Y144" s="12">
        <v>0</v>
      </c>
      <c r="Z144" s="11">
        <v>0</v>
      </c>
      <c r="AA144" s="11">
        <v>0</v>
      </c>
      <c r="AB144" s="11">
        <v>0</v>
      </c>
      <c r="AC144" s="11">
        <v>0</v>
      </c>
      <c r="AD144" s="11">
        <v>0</v>
      </c>
      <c r="AE144" s="11">
        <v>1</v>
      </c>
      <c r="AF144" s="11">
        <v>1</v>
      </c>
      <c r="AG144" s="11">
        <v>0</v>
      </c>
      <c r="AH144" s="9">
        <v>2</v>
      </c>
      <c r="AI144" s="11">
        <v>2</v>
      </c>
      <c r="AJ144" s="11">
        <v>1</v>
      </c>
      <c r="AK144" s="11">
        <v>1</v>
      </c>
      <c r="AL144" s="11">
        <v>1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11">
        <v>0</v>
      </c>
      <c r="AT144" s="11">
        <v>1</v>
      </c>
      <c r="AU144" s="11">
        <v>0</v>
      </c>
      <c r="AV144" s="11">
        <v>0</v>
      </c>
      <c r="AW144" s="11">
        <v>0</v>
      </c>
      <c r="AX144" s="11">
        <v>0</v>
      </c>
      <c r="AY144" s="11">
        <v>0</v>
      </c>
      <c r="BA144" s="12" t="s">
        <v>4877</v>
      </c>
      <c r="BB144" s="12">
        <v>0</v>
      </c>
      <c r="BC144" s="9" t="s">
        <v>4878</v>
      </c>
      <c r="BD144" s="12">
        <v>8</v>
      </c>
      <c r="BE144" s="12">
        <v>0</v>
      </c>
      <c r="BF144" s="12">
        <v>0</v>
      </c>
      <c r="BI144" s="12">
        <v>0</v>
      </c>
      <c r="BJ144" s="12">
        <v>0</v>
      </c>
    </row>
    <row r="145" spans="1:62" x14ac:dyDescent="0.15">
      <c r="A145" s="7" t="s">
        <v>1104</v>
      </c>
      <c r="C145" s="7" t="s">
        <v>1105</v>
      </c>
      <c r="D145" s="7" t="s">
        <v>5292</v>
      </c>
      <c r="E145" s="9" t="s">
        <v>5293</v>
      </c>
      <c r="L145" s="10">
        <v>3910900</v>
      </c>
      <c r="M145" s="10">
        <v>758280</v>
      </c>
      <c r="N145" s="11">
        <v>15</v>
      </c>
      <c r="P145" s="7" t="s">
        <v>1106</v>
      </c>
      <c r="Q145" s="9" t="s">
        <v>1061</v>
      </c>
      <c r="R145" s="9" t="s">
        <v>1061</v>
      </c>
      <c r="S145" s="9" t="s">
        <v>5292</v>
      </c>
      <c r="T145" s="9" t="s">
        <v>8484</v>
      </c>
      <c r="U145" s="12" t="s">
        <v>5019</v>
      </c>
      <c r="V145" s="12" t="s">
        <v>5020</v>
      </c>
      <c r="W145" s="12">
        <v>0</v>
      </c>
      <c r="X145" s="12">
        <v>0</v>
      </c>
      <c r="Y145" s="12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1</v>
      </c>
      <c r="AF145" s="11">
        <v>1</v>
      </c>
      <c r="AG145" s="11">
        <v>0</v>
      </c>
      <c r="AH145" s="9" t="s">
        <v>8248</v>
      </c>
      <c r="AI145" s="11">
        <v>2</v>
      </c>
      <c r="AJ145" s="11">
        <v>1</v>
      </c>
      <c r="AK145" s="11">
        <v>1</v>
      </c>
      <c r="AL145" s="11">
        <v>1</v>
      </c>
      <c r="AN145" s="11">
        <v>0</v>
      </c>
      <c r="AO145" s="11">
        <v>0</v>
      </c>
      <c r="AP145" s="11">
        <v>0</v>
      </c>
      <c r="AQ145" s="11">
        <v>1</v>
      </c>
      <c r="AR145" s="11">
        <v>0</v>
      </c>
      <c r="AS145" s="11">
        <v>0</v>
      </c>
      <c r="AT145" s="11">
        <v>0</v>
      </c>
      <c r="AU145" s="11">
        <v>0</v>
      </c>
      <c r="AV145" s="11">
        <v>0</v>
      </c>
      <c r="AW145" s="11">
        <v>0</v>
      </c>
      <c r="AX145" s="11">
        <v>0</v>
      </c>
      <c r="AY145" s="11">
        <v>0</v>
      </c>
      <c r="BA145" s="12" t="s">
        <v>4877</v>
      </c>
      <c r="BB145" s="12">
        <v>0</v>
      </c>
      <c r="BC145" s="9" t="s">
        <v>4878</v>
      </c>
      <c r="BD145" s="12">
        <v>10</v>
      </c>
      <c r="BE145" s="12">
        <v>0</v>
      </c>
      <c r="BF145" s="12">
        <v>0</v>
      </c>
      <c r="BI145" s="12">
        <v>0</v>
      </c>
      <c r="BJ145" s="12">
        <v>0</v>
      </c>
    </row>
    <row r="146" spans="1:62" x14ac:dyDescent="0.15">
      <c r="A146" s="7" t="s">
        <v>1107</v>
      </c>
      <c r="C146" s="7" t="s">
        <v>1108</v>
      </c>
      <c r="D146" s="7" t="s">
        <v>5292</v>
      </c>
      <c r="E146" s="9" t="s">
        <v>5293</v>
      </c>
      <c r="L146" s="10">
        <v>3915750</v>
      </c>
      <c r="M146" s="10">
        <v>752551</v>
      </c>
      <c r="N146" s="11">
        <v>15</v>
      </c>
      <c r="P146" s="7" t="s">
        <v>1109</v>
      </c>
      <c r="Q146" s="9" t="s">
        <v>5311</v>
      </c>
      <c r="S146" s="9" t="s">
        <v>5292</v>
      </c>
      <c r="T146" s="9" t="s">
        <v>8342</v>
      </c>
      <c r="U146" s="12" t="s">
        <v>5019</v>
      </c>
      <c r="V146" s="12" t="s">
        <v>5021</v>
      </c>
      <c r="W146" s="12">
        <v>0</v>
      </c>
      <c r="X146" s="12">
        <v>0</v>
      </c>
      <c r="Y146" s="12">
        <v>0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1</v>
      </c>
      <c r="AF146" s="11">
        <v>0</v>
      </c>
      <c r="AG146" s="11">
        <v>1</v>
      </c>
      <c r="AH146" s="9" t="s">
        <v>4909</v>
      </c>
      <c r="AI146" s="11">
        <v>1</v>
      </c>
      <c r="AJ146" s="11">
        <v>1</v>
      </c>
      <c r="AK146" s="11">
        <v>0</v>
      </c>
      <c r="AL146" s="11">
        <v>1</v>
      </c>
      <c r="AN146" s="11">
        <v>0</v>
      </c>
      <c r="AO146" s="11">
        <v>0</v>
      </c>
      <c r="AP146" s="11">
        <v>0</v>
      </c>
      <c r="AQ146" s="11">
        <v>1</v>
      </c>
      <c r="AR146" s="11">
        <v>0</v>
      </c>
      <c r="AS146" s="11">
        <v>0</v>
      </c>
      <c r="AT146" s="11">
        <v>0</v>
      </c>
      <c r="AU146" s="11">
        <v>0</v>
      </c>
      <c r="AV146" s="11">
        <v>0</v>
      </c>
      <c r="AW146" s="11">
        <v>0</v>
      </c>
      <c r="AX146" s="11">
        <v>0</v>
      </c>
      <c r="AY146" s="11">
        <v>0</v>
      </c>
      <c r="BA146" s="12" t="s">
        <v>4877</v>
      </c>
      <c r="BB146" s="12">
        <v>0</v>
      </c>
      <c r="BC146" s="9" t="s">
        <v>4878</v>
      </c>
      <c r="BD146" s="12">
        <v>0</v>
      </c>
      <c r="BE146" s="12">
        <v>0</v>
      </c>
      <c r="BF146" s="12">
        <v>0</v>
      </c>
      <c r="BI146" s="12">
        <v>0</v>
      </c>
      <c r="BJ146" s="12">
        <v>0</v>
      </c>
    </row>
    <row r="147" spans="1:62" x14ac:dyDescent="0.15">
      <c r="A147" s="7" t="s">
        <v>1110</v>
      </c>
      <c r="C147" s="7" t="s">
        <v>1111</v>
      </c>
      <c r="D147" s="7" t="s">
        <v>5292</v>
      </c>
      <c r="E147" s="9" t="s">
        <v>5293</v>
      </c>
      <c r="L147" s="10">
        <v>3919090</v>
      </c>
      <c r="M147" s="10">
        <v>753177</v>
      </c>
      <c r="N147" s="11">
        <v>15</v>
      </c>
      <c r="P147" s="7" t="s">
        <v>1053</v>
      </c>
      <c r="Q147" s="9" t="s">
        <v>1112</v>
      </c>
      <c r="S147" s="9" t="s">
        <v>5292</v>
      </c>
      <c r="T147" s="9" t="s">
        <v>4902</v>
      </c>
      <c r="U147" s="12" t="s">
        <v>4902</v>
      </c>
      <c r="V147" s="12" t="s">
        <v>4902</v>
      </c>
      <c r="W147" s="12">
        <v>0</v>
      </c>
      <c r="X147" s="12">
        <v>0</v>
      </c>
      <c r="Y147" s="12">
        <v>0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v>0</v>
      </c>
      <c r="AH147" s="9" t="s">
        <v>8248</v>
      </c>
      <c r="AI147" s="11">
        <v>2</v>
      </c>
      <c r="AJ147" s="11">
        <v>1</v>
      </c>
      <c r="AK147" s="11">
        <v>1</v>
      </c>
      <c r="AL147" s="11">
        <v>0</v>
      </c>
      <c r="AN147" s="11">
        <v>0</v>
      </c>
      <c r="AO147" s="11">
        <v>0</v>
      </c>
      <c r="AP147" s="11">
        <v>0</v>
      </c>
      <c r="AQ147" s="11">
        <v>0</v>
      </c>
      <c r="AR147" s="11">
        <v>0</v>
      </c>
      <c r="AS147" s="11">
        <v>0</v>
      </c>
      <c r="AT147" s="11">
        <v>1</v>
      </c>
      <c r="AU147" s="11">
        <v>0</v>
      </c>
      <c r="AV147" s="11">
        <v>0</v>
      </c>
      <c r="AW147" s="11">
        <v>0</v>
      </c>
      <c r="AX147" s="11">
        <v>0</v>
      </c>
      <c r="AY147" s="11">
        <v>0</v>
      </c>
      <c r="BA147" s="12" t="s">
        <v>4877</v>
      </c>
      <c r="BB147" s="12">
        <v>0</v>
      </c>
      <c r="BC147" s="9" t="s">
        <v>4878</v>
      </c>
      <c r="BD147" s="12">
        <v>0</v>
      </c>
      <c r="BE147" s="12">
        <v>0</v>
      </c>
      <c r="BF147" s="12">
        <v>0</v>
      </c>
      <c r="BI147" s="12">
        <v>0</v>
      </c>
      <c r="BJ147" s="12">
        <v>0</v>
      </c>
    </row>
    <row r="148" spans="1:62" x14ac:dyDescent="0.15">
      <c r="A148" s="7" t="s">
        <v>1113</v>
      </c>
      <c r="C148" s="7" t="s">
        <v>1114</v>
      </c>
      <c r="D148" s="7" t="s">
        <v>5292</v>
      </c>
      <c r="E148" s="9" t="s">
        <v>5293</v>
      </c>
      <c r="L148" s="10">
        <v>3914790</v>
      </c>
      <c r="M148" s="10">
        <v>757105</v>
      </c>
      <c r="N148" s="11">
        <v>15</v>
      </c>
      <c r="P148" s="7" t="s">
        <v>1053</v>
      </c>
      <c r="Q148" s="9" t="s">
        <v>1112</v>
      </c>
      <c r="S148" s="9" t="s">
        <v>5292</v>
      </c>
      <c r="T148" s="9" t="s">
        <v>4902</v>
      </c>
      <c r="U148" s="12" t="s">
        <v>4902</v>
      </c>
      <c r="V148" s="12" t="s">
        <v>4902</v>
      </c>
      <c r="W148" s="12">
        <v>0</v>
      </c>
      <c r="X148" s="12">
        <v>0</v>
      </c>
      <c r="Y148" s="12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9" t="s">
        <v>8248</v>
      </c>
      <c r="AI148" s="11">
        <v>2</v>
      </c>
      <c r="AJ148" s="11">
        <v>1</v>
      </c>
      <c r="AK148" s="11">
        <v>1</v>
      </c>
      <c r="AL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1</v>
      </c>
      <c r="AU148" s="11">
        <v>0</v>
      </c>
      <c r="AV148" s="11">
        <v>0</v>
      </c>
      <c r="AW148" s="11">
        <v>0</v>
      </c>
      <c r="AX148" s="11">
        <v>0</v>
      </c>
      <c r="AY148" s="11">
        <v>0</v>
      </c>
      <c r="BA148" s="12" t="s">
        <v>4877</v>
      </c>
      <c r="BB148" s="12">
        <v>0</v>
      </c>
      <c r="BC148" s="9" t="s">
        <v>4878</v>
      </c>
      <c r="BD148" s="12">
        <v>0</v>
      </c>
      <c r="BE148" s="12">
        <v>0</v>
      </c>
      <c r="BF148" s="12">
        <v>0</v>
      </c>
      <c r="BI148" s="12">
        <v>0</v>
      </c>
      <c r="BJ148" s="12">
        <v>0</v>
      </c>
    </row>
    <row r="149" spans="1:62" x14ac:dyDescent="0.15">
      <c r="A149" s="7" t="s">
        <v>1115</v>
      </c>
      <c r="C149" s="7" t="s">
        <v>1116</v>
      </c>
      <c r="D149" s="7" t="s">
        <v>5292</v>
      </c>
      <c r="E149" s="9" t="s">
        <v>5295</v>
      </c>
      <c r="L149" s="10">
        <v>3883280</v>
      </c>
      <c r="M149" s="10">
        <v>711650</v>
      </c>
      <c r="N149" s="11">
        <v>15</v>
      </c>
      <c r="P149" s="7" t="s">
        <v>1117</v>
      </c>
      <c r="Q149" s="9" t="s">
        <v>5311</v>
      </c>
      <c r="R149" s="9" t="s">
        <v>5318</v>
      </c>
      <c r="S149" s="9" t="s">
        <v>5292</v>
      </c>
      <c r="T149" s="9" t="s">
        <v>4884</v>
      </c>
      <c r="U149" s="12" t="s">
        <v>5016</v>
      </c>
      <c r="V149" s="12" t="s">
        <v>5017</v>
      </c>
      <c r="W149" s="12">
        <v>0</v>
      </c>
      <c r="X149" s="12">
        <v>0</v>
      </c>
      <c r="Y149" s="12">
        <v>0</v>
      </c>
      <c r="Z149" s="11">
        <v>0</v>
      </c>
      <c r="AA149" s="11">
        <v>0</v>
      </c>
      <c r="AB149" s="11">
        <v>1</v>
      </c>
      <c r="AC149" s="11">
        <v>1</v>
      </c>
      <c r="AD149" s="11">
        <v>0</v>
      </c>
      <c r="AE149" s="11">
        <v>0</v>
      </c>
      <c r="AF149" s="11">
        <v>0</v>
      </c>
      <c r="AG149" s="11">
        <v>0</v>
      </c>
      <c r="AH149" s="9">
        <v>1</v>
      </c>
      <c r="AI149" s="11">
        <v>1</v>
      </c>
      <c r="AJ149" s="11">
        <v>1</v>
      </c>
      <c r="AK149" s="11">
        <v>0</v>
      </c>
      <c r="AL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1</v>
      </c>
      <c r="AS149" s="11">
        <v>0</v>
      </c>
      <c r="AT149" s="11">
        <v>0</v>
      </c>
      <c r="AU149" s="11">
        <v>0</v>
      </c>
      <c r="AV149" s="11">
        <v>0</v>
      </c>
      <c r="AW149" s="11">
        <v>0</v>
      </c>
      <c r="AX149" s="11">
        <v>0</v>
      </c>
      <c r="AY149" s="11">
        <v>0</v>
      </c>
      <c r="BA149" s="12" t="s">
        <v>4877</v>
      </c>
      <c r="BB149" s="12">
        <v>0</v>
      </c>
      <c r="BC149" s="9" t="s">
        <v>4878</v>
      </c>
      <c r="BD149" s="12">
        <v>15</v>
      </c>
      <c r="BE149" s="12">
        <v>0</v>
      </c>
      <c r="BF149" s="12">
        <f>VLOOKUP(A149,'[1]Conical Mounds'!A$1:O$65536,15,FALSE)</f>
        <v>7853.981633974483</v>
      </c>
      <c r="BI149">
        <f>BD149/BF149</f>
        <v>1.9098593171027441E-3</v>
      </c>
      <c r="BJ149">
        <f>BI149*10000</f>
        <v>19.098593171027442</v>
      </c>
    </row>
    <row r="150" spans="1:62" x14ac:dyDescent="0.15">
      <c r="A150" s="7" t="s">
        <v>1118</v>
      </c>
      <c r="C150" s="7" t="s">
        <v>5378</v>
      </c>
      <c r="D150" s="7" t="s">
        <v>5292</v>
      </c>
      <c r="E150" s="9" t="s">
        <v>5295</v>
      </c>
      <c r="L150" s="10">
        <v>3882311</v>
      </c>
      <c r="M150" s="10">
        <v>711888</v>
      </c>
      <c r="N150" s="11">
        <v>15</v>
      </c>
      <c r="P150" s="7" t="s">
        <v>1079</v>
      </c>
      <c r="Q150" s="9" t="s">
        <v>5322</v>
      </c>
      <c r="R150" s="9" t="s">
        <v>5318</v>
      </c>
      <c r="S150" s="9" t="s">
        <v>5292</v>
      </c>
      <c r="T150" s="9" t="s">
        <v>5361</v>
      </c>
      <c r="U150" s="12" t="s">
        <v>5018</v>
      </c>
      <c r="V150" s="12" t="s">
        <v>5020</v>
      </c>
      <c r="W150" s="12">
        <v>0</v>
      </c>
      <c r="X150" s="12">
        <v>0</v>
      </c>
      <c r="Y150" s="12">
        <v>0</v>
      </c>
      <c r="Z150" s="11">
        <v>0</v>
      </c>
      <c r="AA150" s="11">
        <v>0</v>
      </c>
      <c r="AB150" s="11">
        <v>0</v>
      </c>
      <c r="AC150" s="11">
        <v>0</v>
      </c>
      <c r="AD150" s="11">
        <v>1</v>
      </c>
      <c r="AE150" s="11">
        <v>0</v>
      </c>
      <c r="AF150" s="11">
        <v>1</v>
      </c>
      <c r="AG150" s="11">
        <v>0</v>
      </c>
      <c r="AH150" s="9" t="s">
        <v>4909</v>
      </c>
      <c r="AI150" s="11">
        <v>1</v>
      </c>
      <c r="AJ150" s="11">
        <v>1</v>
      </c>
      <c r="AK150" s="11">
        <v>0</v>
      </c>
      <c r="AL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1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0</v>
      </c>
      <c r="AY150" s="11">
        <v>0</v>
      </c>
      <c r="BA150" s="12" t="s">
        <v>4877</v>
      </c>
      <c r="BB150" s="12">
        <v>0</v>
      </c>
      <c r="BC150" s="9" t="s">
        <v>4878</v>
      </c>
      <c r="BD150" s="12">
        <v>0</v>
      </c>
      <c r="BE150" s="12">
        <v>0</v>
      </c>
      <c r="BF150" s="12">
        <v>0</v>
      </c>
      <c r="BI150" s="12">
        <v>0</v>
      </c>
      <c r="BJ150" s="12">
        <v>0</v>
      </c>
    </row>
    <row r="151" spans="1:62" x14ac:dyDescent="0.15">
      <c r="A151" s="7" t="s">
        <v>1119</v>
      </c>
      <c r="C151" s="7" t="s">
        <v>1120</v>
      </c>
      <c r="D151" s="7" t="s">
        <v>5292</v>
      </c>
      <c r="E151" s="9" t="s">
        <v>5295</v>
      </c>
      <c r="L151" s="10">
        <v>3877380</v>
      </c>
      <c r="M151" s="10">
        <v>711858</v>
      </c>
      <c r="N151" s="11">
        <v>15</v>
      </c>
      <c r="P151" s="7" t="s">
        <v>5310</v>
      </c>
      <c r="Q151" s="9" t="s">
        <v>5311</v>
      </c>
      <c r="S151" s="9" t="s">
        <v>5292</v>
      </c>
      <c r="T151" s="9" t="s">
        <v>5361</v>
      </c>
      <c r="U151" s="12" t="s">
        <v>5018</v>
      </c>
      <c r="V151" s="12" t="s">
        <v>5020</v>
      </c>
      <c r="W151" s="12">
        <v>0</v>
      </c>
      <c r="X151" s="12">
        <v>0</v>
      </c>
      <c r="Y151" s="12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1</v>
      </c>
      <c r="AE151" s="11">
        <v>0</v>
      </c>
      <c r="AF151" s="11">
        <v>1</v>
      </c>
      <c r="AG151" s="11">
        <v>0</v>
      </c>
      <c r="AH151" s="9" t="s">
        <v>4909</v>
      </c>
      <c r="AI151" s="11">
        <v>1</v>
      </c>
      <c r="AJ151" s="11">
        <v>1</v>
      </c>
      <c r="AK151" s="11">
        <v>0</v>
      </c>
      <c r="AL151" s="11">
        <v>0</v>
      </c>
      <c r="AN151" s="11">
        <v>0</v>
      </c>
      <c r="AO151" s="11">
        <v>0</v>
      </c>
      <c r="AP151" s="11">
        <v>0</v>
      </c>
      <c r="AQ151" s="11">
        <v>0</v>
      </c>
      <c r="AR151" s="11">
        <v>0</v>
      </c>
      <c r="AS151" s="11">
        <v>0</v>
      </c>
      <c r="AT151" s="11">
        <v>1</v>
      </c>
      <c r="AU151" s="11">
        <v>0</v>
      </c>
      <c r="AV151" s="11">
        <v>0</v>
      </c>
      <c r="AW151" s="11">
        <v>0</v>
      </c>
      <c r="AX151" s="11">
        <v>0</v>
      </c>
      <c r="AY151" s="11">
        <v>0</v>
      </c>
      <c r="BA151" s="12" t="s">
        <v>4877</v>
      </c>
      <c r="BB151" s="12">
        <v>0</v>
      </c>
      <c r="BC151" s="9" t="s">
        <v>4878</v>
      </c>
      <c r="BD151" s="12">
        <v>0</v>
      </c>
      <c r="BE151" s="12">
        <v>0</v>
      </c>
      <c r="BF151" s="12">
        <v>0</v>
      </c>
      <c r="BI151" s="12">
        <v>0</v>
      </c>
      <c r="BJ151" s="12">
        <v>0</v>
      </c>
    </row>
    <row r="152" spans="1:62" x14ac:dyDescent="0.15">
      <c r="A152" s="7" t="s">
        <v>1121</v>
      </c>
      <c r="C152" s="7" t="s">
        <v>1122</v>
      </c>
      <c r="D152" s="7" t="s">
        <v>5292</v>
      </c>
      <c r="E152" s="9" t="s">
        <v>5295</v>
      </c>
      <c r="L152" s="10">
        <v>3887390</v>
      </c>
      <c r="M152" s="10">
        <v>722345</v>
      </c>
      <c r="N152" s="11">
        <v>15</v>
      </c>
      <c r="P152" s="7" t="s">
        <v>1087</v>
      </c>
      <c r="Q152" s="9" t="s">
        <v>5311</v>
      </c>
      <c r="S152" s="9" t="s">
        <v>5292</v>
      </c>
      <c r="T152" s="9" t="s">
        <v>4780</v>
      </c>
      <c r="U152" s="12" t="s">
        <v>5016</v>
      </c>
      <c r="V152" s="12" t="s">
        <v>5019</v>
      </c>
      <c r="W152" s="12">
        <v>0</v>
      </c>
      <c r="X152" s="12">
        <v>0</v>
      </c>
      <c r="Y152" s="12">
        <v>0</v>
      </c>
      <c r="Z152" s="11">
        <v>0</v>
      </c>
      <c r="AA152" s="11">
        <v>0</v>
      </c>
      <c r="AB152" s="11">
        <v>1</v>
      </c>
      <c r="AC152" s="11">
        <v>0</v>
      </c>
      <c r="AD152" s="11">
        <v>0</v>
      </c>
      <c r="AE152" s="11">
        <v>1</v>
      </c>
      <c r="AF152" s="11">
        <v>0</v>
      </c>
      <c r="AG152" s="11">
        <v>0</v>
      </c>
      <c r="AH152" s="9" t="s">
        <v>8248</v>
      </c>
      <c r="AI152" s="11">
        <v>2</v>
      </c>
      <c r="AJ152" s="11">
        <v>1</v>
      </c>
      <c r="AK152" s="11">
        <v>1</v>
      </c>
      <c r="AL152" s="11">
        <v>0</v>
      </c>
      <c r="AN152" s="11">
        <v>0</v>
      </c>
      <c r="AO152" s="11">
        <v>0</v>
      </c>
      <c r="AP152" s="11">
        <v>0</v>
      </c>
      <c r="AQ152" s="11">
        <v>0</v>
      </c>
      <c r="AR152" s="11">
        <v>0</v>
      </c>
      <c r="AS152" s="11">
        <v>0</v>
      </c>
      <c r="AT152" s="11">
        <v>1</v>
      </c>
      <c r="AU152" s="11">
        <v>0</v>
      </c>
      <c r="AV152" s="11">
        <v>0</v>
      </c>
      <c r="AW152" s="11">
        <v>0</v>
      </c>
      <c r="AX152" s="11">
        <v>0</v>
      </c>
      <c r="AY152" s="11">
        <v>0</v>
      </c>
      <c r="BA152" s="12" t="s">
        <v>4877</v>
      </c>
      <c r="BB152" s="12">
        <v>0</v>
      </c>
      <c r="BC152" s="9" t="s">
        <v>4878</v>
      </c>
      <c r="BD152" s="12">
        <v>0</v>
      </c>
      <c r="BE152" s="12">
        <v>0</v>
      </c>
      <c r="BF152" s="12">
        <v>0</v>
      </c>
      <c r="BI152" s="12">
        <v>0</v>
      </c>
      <c r="BJ152" s="12">
        <v>0</v>
      </c>
    </row>
    <row r="153" spans="1:62" x14ac:dyDescent="0.15">
      <c r="A153" s="7" t="s">
        <v>1123</v>
      </c>
      <c r="C153" s="7" t="s">
        <v>1124</v>
      </c>
      <c r="D153" s="7" t="s">
        <v>5292</v>
      </c>
      <c r="E153" s="9" t="s">
        <v>5295</v>
      </c>
      <c r="L153" s="10">
        <v>3875990</v>
      </c>
      <c r="M153" s="10">
        <v>706769</v>
      </c>
      <c r="N153" s="11">
        <v>15</v>
      </c>
      <c r="P153" s="7" t="s">
        <v>1087</v>
      </c>
      <c r="Q153" s="9" t="s">
        <v>5311</v>
      </c>
      <c r="S153" s="9" t="s">
        <v>1125</v>
      </c>
      <c r="T153" s="9" t="s">
        <v>4891</v>
      </c>
      <c r="U153" s="12" t="s">
        <v>5017</v>
      </c>
      <c r="V153" s="12" t="s">
        <v>5018</v>
      </c>
      <c r="W153" s="12">
        <v>0</v>
      </c>
      <c r="X153" s="12">
        <v>0</v>
      </c>
      <c r="Y153" s="12">
        <v>0</v>
      </c>
      <c r="Z153" s="11">
        <v>0</v>
      </c>
      <c r="AA153" s="11">
        <v>0</v>
      </c>
      <c r="AB153" s="11">
        <v>0</v>
      </c>
      <c r="AC153" s="11">
        <v>1</v>
      </c>
      <c r="AD153" s="11">
        <v>1</v>
      </c>
      <c r="AE153" s="11">
        <v>0</v>
      </c>
      <c r="AF153" s="11">
        <v>0</v>
      </c>
      <c r="AG153" s="11">
        <v>0</v>
      </c>
      <c r="AH153" s="9" t="s">
        <v>8248</v>
      </c>
      <c r="AI153" s="11">
        <v>2</v>
      </c>
      <c r="AJ153" s="11">
        <v>1</v>
      </c>
      <c r="AK153" s="11">
        <v>1</v>
      </c>
      <c r="AL153" s="11">
        <v>0</v>
      </c>
      <c r="AN153" s="11">
        <v>0</v>
      </c>
      <c r="AO153" s="11">
        <v>0</v>
      </c>
      <c r="AP153" s="11">
        <v>0</v>
      </c>
      <c r="AQ153" s="11">
        <v>0</v>
      </c>
      <c r="AR153" s="11">
        <v>0</v>
      </c>
      <c r="AS153" s="11">
        <v>0</v>
      </c>
      <c r="AT153" s="11">
        <v>1</v>
      </c>
      <c r="AU153" s="11">
        <v>0</v>
      </c>
      <c r="AV153" s="11">
        <v>0</v>
      </c>
      <c r="AW153" s="11">
        <v>0</v>
      </c>
      <c r="AX153" s="11">
        <v>0</v>
      </c>
      <c r="AY153" s="11">
        <v>0</v>
      </c>
      <c r="BA153" s="12" t="s">
        <v>4877</v>
      </c>
      <c r="BB153" s="12">
        <v>0</v>
      </c>
      <c r="BC153" s="9" t="s">
        <v>4878</v>
      </c>
      <c r="BD153" s="12">
        <v>0</v>
      </c>
      <c r="BE153" s="12">
        <v>0</v>
      </c>
      <c r="BF153" s="12">
        <v>0</v>
      </c>
      <c r="BI153" s="12">
        <v>0</v>
      </c>
      <c r="BJ153" s="12">
        <v>0</v>
      </c>
    </row>
    <row r="154" spans="1:62" x14ac:dyDescent="0.15">
      <c r="A154" s="7" t="s">
        <v>1126</v>
      </c>
      <c r="C154" s="7" t="s">
        <v>1127</v>
      </c>
      <c r="D154" s="7" t="s">
        <v>5292</v>
      </c>
      <c r="E154" s="9" t="s">
        <v>5295</v>
      </c>
      <c r="L154" s="10">
        <v>3891230</v>
      </c>
      <c r="M154" s="10">
        <v>712120</v>
      </c>
      <c r="N154" s="11">
        <v>15</v>
      </c>
      <c r="P154" s="7" t="s">
        <v>1128</v>
      </c>
      <c r="Q154" s="9" t="s">
        <v>5322</v>
      </c>
      <c r="R154" s="9" t="s">
        <v>5318</v>
      </c>
      <c r="S154" s="9" t="s">
        <v>5292</v>
      </c>
      <c r="T154" s="9" t="s">
        <v>4884</v>
      </c>
      <c r="U154" s="12" t="s">
        <v>5016</v>
      </c>
      <c r="V154" s="12" t="s">
        <v>5017</v>
      </c>
      <c r="W154" s="12">
        <v>0</v>
      </c>
      <c r="X154" s="12">
        <v>0</v>
      </c>
      <c r="Y154" s="12">
        <v>0</v>
      </c>
      <c r="Z154" s="11">
        <v>0</v>
      </c>
      <c r="AA154" s="11">
        <v>0</v>
      </c>
      <c r="AB154" s="11">
        <v>1</v>
      </c>
      <c r="AC154" s="11">
        <v>1</v>
      </c>
      <c r="AD154" s="11">
        <v>0</v>
      </c>
      <c r="AE154" s="11">
        <v>0</v>
      </c>
      <c r="AF154" s="11">
        <v>0</v>
      </c>
      <c r="AG154" s="11">
        <v>0</v>
      </c>
      <c r="AH154" s="9">
        <v>1</v>
      </c>
      <c r="AI154" s="11">
        <v>1</v>
      </c>
      <c r="AJ154" s="11">
        <v>0</v>
      </c>
      <c r="AK154" s="11">
        <v>0</v>
      </c>
      <c r="AL154" s="11">
        <v>0</v>
      </c>
      <c r="AN154" s="11">
        <v>0</v>
      </c>
      <c r="AO154" s="11">
        <v>0</v>
      </c>
      <c r="AP154" s="11">
        <v>0</v>
      </c>
      <c r="AQ154" s="11">
        <v>0</v>
      </c>
      <c r="AR154" s="11">
        <v>1</v>
      </c>
      <c r="AS154" s="11">
        <v>0</v>
      </c>
      <c r="AT154" s="11">
        <v>0</v>
      </c>
      <c r="AU154" s="11">
        <v>0</v>
      </c>
      <c r="AV154" s="11">
        <v>0</v>
      </c>
      <c r="AW154" s="11">
        <v>0</v>
      </c>
      <c r="AX154" s="11">
        <v>0</v>
      </c>
      <c r="AY154" s="11">
        <v>0</v>
      </c>
      <c r="BA154" s="12" t="s">
        <v>4877</v>
      </c>
      <c r="BB154" s="12">
        <v>0</v>
      </c>
      <c r="BC154" s="9" t="s">
        <v>4878</v>
      </c>
      <c r="BD154" s="12">
        <v>5</v>
      </c>
      <c r="BE154" s="12">
        <v>0</v>
      </c>
      <c r="BF154" s="12">
        <f>VLOOKUP(A154,'[1]Conical Mounds'!A$1:O$65536,15,FALSE)</f>
        <v>1256.6370614359173</v>
      </c>
      <c r="BI154">
        <f>BD154/BF154</f>
        <v>3.9788735772973835E-3</v>
      </c>
      <c r="BJ154">
        <f>BI154*10000</f>
        <v>39.788735772973837</v>
      </c>
    </row>
    <row r="155" spans="1:62" x14ac:dyDescent="0.15">
      <c r="A155" s="7" t="s">
        <v>1129</v>
      </c>
      <c r="C155" s="7" t="s">
        <v>1130</v>
      </c>
      <c r="D155" s="7" t="s">
        <v>5292</v>
      </c>
      <c r="E155" s="9" t="s">
        <v>5295</v>
      </c>
      <c r="L155" s="10">
        <v>3886430</v>
      </c>
      <c r="M155" s="10">
        <v>726598</v>
      </c>
      <c r="N155" s="11">
        <v>15</v>
      </c>
      <c r="P155" s="7" t="s">
        <v>1087</v>
      </c>
      <c r="Q155" s="9" t="s">
        <v>5311</v>
      </c>
      <c r="S155" s="9" t="s">
        <v>5292</v>
      </c>
      <c r="T155" s="9" t="s">
        <v>8484</v>
      </c>
      <c r="U155" s="12" t="s">
        <v>5019</v>
      </c>
      <c r="V155" s="12" t="s">
        <v>5020</v>
      </c>
      <c r="W155" s="12">
        <v>0</v>
      </c>
      <c r="X155" s="12">
        <v>0</v>
      </c>
      <c r="Y155" s="12">
        <v>0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1</v>
      </c>
      <c r="AF155" s="11">
        <v>1</v>
      </c>
      <c r="AG155" s="11">
        <v>0</v>
      </c>
      <c r="AH155" s="9" t="s">
        <v>1131</v>
      </c>
      <c r="AI155" s="11">
        <v>2</v>
      </c>
      <c r="AJ155" s="11">
        <v>1</v>
      </c>
      <c r="AK155" s="11">
        <v>1</v>
      </c>
      <c r="AL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1">
        <v>0</v>
      </c>
      <c r="AT155" s="11">
        <v>1</v>
      </c>
      <c r="AU155" s="11">
        <v>0</v>
      </c>
      <c r="AV155" s="11">
        <v>0</v>
      </c>
      <c r="AW155" s="11">
        <v>0</v>
      </c>
      <c r="AX155" s="11">
        <v>0</v>
      </c>
      <c r="AY155" s="11">
        <v>0</v>
      </c>
      <c r="BA155" s="12" t="s">
        <v>4877</v>
      </c>
      <c r="BB155" s="12">
        <v>0</v>
      </c>
      <c r="BC155" s="9" t="s">
        <v>4878</v>
      </c>
      <c r="BD155" s="12">
        <v>0</v>
      </c>
      <c r="BE155" s="12">
        <v>0</v>
      </c>
      <c r="BF155" s="12">
        <v>0</v>
      </c>
      <c r="BI155" s="12">
        <v>0</v>
      </c>
      <c r="BJ155" s="12">
        <v>0</v>
      </c>
    </row>
    <row r="156" spans="1:62" x14ac:dyDescent="0.15">
      <c r="A156" s="7" t="s">
        <v>1132</v>
      </c>
      <c r="C156" s="7" t="s">
        <v>1133</v>
      </c>
      <c r="D156" s="7" t="s">
        <v>5292</v>
      </c>
      <c r="E156" s="9" t="s">
        <v>5295</v>
      </c>
      <c r="L156" s="10">
        <v>3880450</v>
      </c>
      <c r="M156" s="10">
        <v>708240</v>
      </c>
      <c r="N156" s="11">
        <v>15</v>
      </c>
      <c r="P156" s="7" t="s">
        <v>1134</v>
      </c>
      <c r="Q156" s="9" t="s">
        <v>5295</v>
      </c>
      <c r="R156" s="9" t="s">
        <v>5295</v>
      </c>
      <c r="S156" s="9" t="s">
        <v>5292</v>
      </c>
      <c r="T156" s="9" t="s">
        <v>4875</v>
      </c>
      <c r="U156" s="12" t="s">
        <v>5020</v>
      </c>
      <c r="V156" s="12" t="s">
        <v>5021</v>
      </c>
      <c r="W156" s="12">
        <v>0</v>
      </c>
      <c r="X156" s="12">
        <v>0</v>
      </c>
      <c r="Y156" s="12">
        <v>0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11">
        <v>1</v>
      </c>
      <c r="AG156" s="11">
        <v>1</v>
      </c>
      <c r="AH156" s="9">
        <v>0</v>
      </c>
      <c r="AI156" s="11">
        <v>0</v>
      </c>
      <c r="AJ156" s="11">
        <v>0</v>
      </c>
      <c r="AK156" s="11">
        <v>0</v>
      </c>
      <c r="AL156" s="11">
        <v>0</v>
      </c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11">
        <v>0</v>
      </c>
      <c r="AT156" s="11">
        <v>0</v>
      </c>
      <c r="AU156" s="11">
        <v>0</v>
      </c>
      <c r="AV156" s="11">
        <v>0</v>
      </c>
      <c r="AW156" s="11">
        <v>0</v>
      </c>
      <c r="AX156" s="11">
        <v>0</v>
      </c>
      <c r="AY156" s="11">
        <v>0</v>
      </c>
      <c r="AZ156" s="12" t="s">
        <v>4843</v>
      </c>
      <c r="BA156" s="12" t="s">
        <v>4911</v>
      </c>
      <c r="BB156" s="12">
        <v>0</v>
      </c>
      <c r="BC156" s="9" t="s">
        <v>4878</v>
      </c>
      <c r="BD156" s="12">
        <v>0</v>
      </c>
      <c r="BE156" s="12">
        <v>0</v>
      </c>
      <c r="BF156" s="12">
        <v>0</v>
      </c>
      <c r="BI156" s="12">
        <v>0</v>
      </c>
      <c r="BJ156" s="12">
        <v>0</v>
      </c>
    </row>
    <row r="157" spans="1:62" x14ac:dyDescent="0.15">
      <c r="A157" s="7" t="s">
        <v>1135</v>
      </c>
      <c r="B157" s="7" t="s">
        <v>1136</v>
      </c>
      <c r="C157" s="7" t="s">
        <v>1137</v>
      </c>
      <c r="D157" s="7" t="s">
        <v>5292</v>
      </c>
      <c r="E157" s="9" t="s">
        <v>5295</v>
      </c>
      <c r="L157" s="10">
        <v>3901650</v>
      </c>
      <c r="M157" s="10">
        <v>717460</v>
      </c>
      <c r="N157" s="11">
        <v>15</v>
      </c>
      <c r="P157" s="7" t="s">
        <v>1138</v>
      </c>
      <c r="Q157" s="9" t="s">
        <v>5295</v>
      </c>
      <c r="R157" s="9" t="s">
        <v>5295</v>
      </c>
      <c r="S157" s="9" t="s">
        <v>5292</v>
      </c>
      <c r="T157" s="9" t="s">
        <v>4875</v>
      </c>
      <c r="U157" s="12" t="s">
        <v>5020</v>
      </c>
      <c r="V157" s="12" t="s">
        <v>5021</v>
      </c>
      <c r="W157" s="12">
        <v>0</v>
      </c>
      <c r="X157" s="12">
        <v>0</v>
      </c>
      <c r="Y157" s="12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1</v>
      </c>
      <c r="AG157" s="11">
        <v>1</v>
      </c>
      <c r="AH157" s="9">
        <v>0</v>
      </c>
      <c r="AI157" s="11">
        <v>0</v>
      </c>
      <c r="AJ157" s="11">
        <v>0</v>
      </c>
      <c r="AK157" s="11">
        <v>0</v>
      </c>
      <c r="AL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>
        <v>0</v>
      </c>
      <c r="AU157" s="11">
        <v>0</v>
      </c>
      <c r="AV157" s="11">
        <v>0</v>
      </c>
      <c r="AW157" s="11">
        <v>1</v>
      </c>
      <c r="AX157" s="11">
        <v>0</v>
      </c>
      <c r="AY157" s="11">
        <v>0</v>
      </c>
      <c r="AZ157" s="12" t="s">
        <v>4843</v>
      </c>
      <c r="BA157" s="12" t="s">
        <v>4911</v>
      </c>
      <c r="BB157" s="12">
        <v>0</v>
      </c>
      <c r="BC157" s="9" t="s">
        <v>4878</v>
      </c>
      <c r="BD157" s="12">
        <v>0</v>
      </c>
      <c r="BE157" s="12">
        <v>0</v>
      </c>
      <c r="BF157" s="12">
        <v>0</v>
      </c>
      <c r="BI157" s="12">
        <v>0</v>
      </c>
      <c r="BJ157" s="12">
        <v>0</v>
      </c>
    </row>
    <row r="158" spans="1:62" x14ac:dyDescent="0.15">
      <c r="A158" s="7" t="s">
        <v>1139</v>
      </c>
      <c r="B158" s="7" t="s">
        <v>1140</v>
      </c>
      <c r="C158" s="7" t="s">
        <v>1141</v>
      </c>
      <c r="D158" s="7" t="s">
        <v>5292</v>
      </c>
      <c r="E158" s="9" t="s">
        <v>5295</v>
      </c>
      <c r="L158" s="10">
        <v>3888750</v>
      </c>
      <c r="M158" s="10">
        <v>710000</v>
      </c>
      <c r="N158" s="11">
        <v>15</v>
      </c>
      <c r="P158" s="7" t="s">
        <v>1142</v>
      </c>
      <c r="Q158" s="9" t="s">
        <v>5295</v>
      </c>
      <c r="R158" s="9" t="s">
        <v>5295</v>
      </c>
      <c r="S158" s="9" t="s">
        <v>5292</v>
      </c>
      <c r="T158" s="9" t="s">
        <v>4875</v>
      </c>
      <c r="U158" s="12" t="s">
        <v>5020</v>
      </c>
      <c r="V158" s="12" t="s">
        <v>5021</v>
      </c>
      <c r="W158" s="12">
        <v>0</v>
      </c>
      <c r="X158" s="12">
        <v>0</v>
      </c>
      <c r="Y158" s="12">
        <v>0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v>1</v>
      </c>
      <c r="AG158" s="11">
        <v>1</v>
      </c>
      <c r="AH158" s="9">
        <v>4</v>
      </c>
      <c r="AI158" s="11">
        <v>4</v>
      </c>
      <c r="AJ158" s="11">
        <v>1</v>
      </c>
      <c r="AK158" s="11">
        <v>1</v>
      </c>
      <c r="AL158" s="11">
        <v>1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11">
        <v>0</v>
      </c>
      <c r="AT158" s="11">
        <v>1</v>
      </c>
      <c r="AU158" s="11">
        <v>0</v>
      </c>
      <c r="AV158" s="11">
        <v>0</v>
      </c>
      <c r="AW158" s="11">
        <v>1</v>
      </c>
      <c r="AX158" s="11">
        <v>0</v>
      </c>
      <c r="AY158" s="11">
        <v>0</v>
      </c>
      <c r="AZ158" s="12" t="s">
        <v>4843</v>
      </c>
      <c r="BA158" s="12" t="s">
        <v>4911</v>
      </c>
      <c r="BB158" s="12">
        <v>1</v>
      </c>
      <c r="BC158" s="9" t="s">
        <v>4878</v>
      </c>
      <c r="BD158" s="12">
        <v>0</v>
      </c>
      <c r="BE158" s="12">
        <v>350</v>
      </c>
      <c r="BF158" s="12">
        <v>0</v>
      </c>
      <c r="BI158" s="12">
        <v>0</v>
      </c>
      <c r="BJ158" s="12">
        <v>0</v>
      </c>
    </row>
    <row r="159" spans="1:62" x14ac:dyDescent="0.15">
      <c r="A159" s="7" t="s">
        <v>1143</v>
      </c>
      <c r="C159" s="7" t="s">
        <v>1144</v>
      </c>
      <c r="D159" s="7" t="s">
        <v>5292</v>
      </c>
      <c r="E159" s="9" t="s">
        <v>5295</v>
      </c>
      <c r="L159" s="10">
        <v>3900660</v>
      </c>
      <c r="M159" s="10">
        <v>712820</v>
      </c>
      <c r="N159" s="11">
        <v>15</v>
      </c>
      <c r="P159" s="7" t="s">
        <v>1145</v>
      </c>
      <c r="Q159" s="9" t="s">
        <v>1061</v>
      </c>
      <c r="R159" s="9" t="s">
        <v>1061</v>
      </c>
      <c r="S159" s="9" t="s">
        <v>5292</v>
      </c>
      <c r="T159" s="9" t="s">
        <v>8484</v>
      </c>
      <c r="U159" s="12" t="s">
        <v>5019</v>
      </c>
      <c r="V159" s="12" t="s">
        <v>5020</v>
      </c>
      <c r="W159" s="12">
        <v>0</v>
      </c>
      <c r="X159" s="12">
        <v>0</v>
      </c>
      <c r="Y159" s="12">
        <v>0</v>
      </c>
      <c r="Z159" s="11">
        <v>0</v>
      </c>
      <c r="AA159" s="11">
        <v>0</v>
      </c>
      <c r="AB159" s="11">
        <v>0</v>
      </c>
      <c r="AC159" s="11">
        <v>0</v>
      </c>
      <c r="AD159" s="11">
        <v>0</v>
      </c>
      <c r="AE159" s="11">
        <v>1</v>
      </c>
      <c r="AF159" s="11">
        <v>1</v>
      </c>
      <c r="AG159" s="11">
        <v>0</v>
      </c>
      <c r="AH159" s="9">
        <v>3</v>
      </c>
      <c r="AI159" s="11">
        <v>3</v>
      </c>
      <c r="AJ159" s="11">
        <v>1</v>
      </c>
      <c r="AK159" s="11">
        <v>1</v>
      </c>
      <c r="AL159" s="11">
        <v>1</v>
      </c>
      <c r="AN159" s="11">
        <v>0</v>
      </c>
      <c r="AO159" s="11">
        <v>0</v>
      </c>
      <c r="AP159" s="11">
        <v>0</v>
      </c>
      <c r="AQ159" s="11">
        <v>1</v>
      </c>
      <c r="AR159" s="11">
        <v>0</v>
      </c>
      <c r="AS159" s="11">
        <v>0</v>
      </c>
      <c r="AT159" s="11">
        <v>1</v>
      </c>
      <c r="AU159" s="11">
        <v>0</v>
      </c>
      <c r="AV159" s="11">
        <v>0</v>
      </c>
      <c r="AW159" s="11">
        <v>0</v>
      </c>
      <c r="AX159" s="11">
        <v>0</v>
      </c>
      <c r="AY159" s="11">
        <v>0</v>
      </c>
      <c r="BA159" s="12" t="s">
        <v>4877</v>
      </c>
      <c r="BB159" s="12">
        <v>0</v>
      </c>
      <c r="BC159" s="9" t="s">
        <v>4878</v>
      </c>
      <c r="BD159" s="12">
        <v>5</v>
      </c>
      <c r="BE159" s="12">
        <v>0</v>
      </c>
      <c r="BF159" s="12">
        <v>0</v>
      </c>
      <c r="BI159" s="12">
        <v>0</v>
      </c>
      <c r="BJ159" s="12">
        <v>0</v>
      </c>
    </row>
    <row r="160" spans="1:62" x14ac:dyDescent="0.15">
      <c r="A160" s="7" t="s">
        <v>903</v>
      </c>
      <c r="C160" s="7" t="s">
        <v>904</v>
      </c>
      <c r="D160" s="7" t="s">
        <v>5292</v>
      </c>
      <c r="E160" s="9" t="s">
        <v>5295</v>
      </c>
      <c r="L160" s="10">
        <v>3898930</v>
      </c>
      <c r="M160" s="10">
        <v>714520</v>
      </c>
      <c r="N160" s="11">
        <v>15</v>
      </c>
      <c r="P160" s="7" t="s">
        <v>1047</v>
      </c>
      <c r="Q160" s="9" t="s">
        <v>5322</v>
      </c>
      <c r="R160" s="9" t="s">
        <v>5318</v>
      </c>
      <c r="S160" s="9" t="s">
        <v>5292</v>
      </c>
      <c r="T160" s="9" t="s">
        <v>4797</v>
      </c>
      <c r="U160" s="12" t="s">
        <v>5018</v>
      </c>
      <c r="V160" s="12" t="s">
        <v>5019</v>
      </c>
      <c r="W160" s="12">
        <v>0</v>
      </c>
      <c r="X160" s="12">
        <v>0</v>
      </c>
      <c r="Y160" s="12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1</v>
      </c>
      <c r="AE160" s="11">
        <v>1</v>
      </c>
      <c r="AF160" s="11">
        <v>0</v>
      </c>
      <c r="AG160" s="11">
        <v>0</v>
      </c>
      <c r="AH160" s="9">
        <v>7</v>
      </c>
      <c r="AI160" s="11">
        <v>7</v>
      </c>
      <c r="AJ160" s="11">
        <v>1</v>
      </c>
      <c r="AK160" s="11">
        <v>1</v>
      </c>
      <c r="AL160" s="11">
        <v>0</v>
      </c>
      <c r="AN160" s="11">
        <v>0</v>
      </c>
      <c r="AO160" s="11">
        <v>0</v>
      </c>
      <c r="AP160" s="11">
        <v>0</v>
      </c>
      <c r="AQ160" s="11">
        <v>0</v>
      </c>
      <c r="AR160" s="11">
        <v>1</v>
      </c>
      <c r="AS160" s="11">
        <v>0</v>
      </c>
      <c r="AT160" s="11">
        <v>1</v>
      </c>
      <c r="AU160" s="11">
        <v>0</v>
      </c>
      <c r="AV160" s="11">
        <v>0</v>
      </c>
      <c r="AW160" s="11">
        <v>0</v>
      </c>
      <c r="AX160" s="11">
        <v>0</v>
      </c>
      <c r="AY160" s="11">
        <v>0</v>
      </c>
      <c r="BA160" s="12" t="s">
        <v>4877</v>
      </c>
      <c r="BB160" s="12">
        <v>0</v>
      </c>
      <c r="BC160" s="9" t="s">
        <v>4878</v>
      </c>
      <c r="BD160" s="12">
        <v>4</v>
      </c>
      <c r="BE160" s="12">
        <v>0</v>
      </c>
      <c r="BF160" s="12">
        <f>VLOOKUP(A160,'[1]Conical Mounds'!A$1:O$65536,15,FALSE)</f>
        <v>5026.5482457436692</v>
      </c>
      <c r="BI160">
        <f>BD160/BF160</f>
        <v>7.9577471545947667E-4</v>
      </c>
      <c r="BJ160">
        <f>BI160*10000</f>
        <v>7.9577471545947667</v>
      </c>
    </row>
    <row r="161" spans="1:62" x14ac:dyDescent="0.15">
      <c r="A161" s="7" t="s">
        <v>905</v>
      </c>
      <c r="C161" s="7" t="s">
        <v>906</v>
      </c>
      <c r="D161" s="7" t="s">
        <v>5292</v>
      </c>
      <c r="E161" s="9" t="s">
        <v>5295</v>
      </c>
      <c r="L161" s="10">
        <v>3894330</v>
      </c>
      <c r="M161" s="10">
        <v>720150</v>
      </c>
      <c r="N161" s="11">
        <v>15</v>
      </c>
      <c r="P161" s="7" t="s">
        <v>1053</v>
      </c>
      <c r="Q161" s="9" t="s">
        <v>5322</v>
      </c>
      <c r="R161" s="9" t="s">
        <v>5318</v>
      </c>
      <c r="S161" s="9" t="s">
        <v>5292</v>
      </c>
      <c r="T161" s="9" t="s">
        <v>4797</v>
      </c>
      <c r="U161" s="12" t="s">
        <v>5018</v>
      </c>
      <c r="V161" s="12" t="s">
        <v>5019</v>
      </c>
      <c r="W161" s="12">
        <v>0</v>
      </c>
      <c r="X161" s="12">
        <v>0</v>
      </c>
      <c r="Y161" s="12">
        <v>0</v>
      </c>
      <c r="Z161" s="11">
        <v>0</v>
      </c>
      <c r="AA161" s="11">
        <v>0</v>
      </c>
      <c r="AB161" s="11">
        <v>0</v>
      </c>
      <c r="AC161" s="11">
        <v>0</v>
      </c>
      <c r="AD161" s="11">
        <v>1</v>
      </c>
      <c r="AE161" s="11">
        <v>1</v>
      </c>
      <c r="AF161" s="11">
        <v>0</v>
      </c>
      <c r="AG161" s="11">
        <v>0</v>
      </c>
      <c r="AH161" s="9" t="s">
        <v>907</v>
      </c>
      <c r="AI161" s="11">
        <v>10</v>
      </c>
      <c r="AJ161" s="11">
        <v>1</v>
      </c>
      <c r="AK161" s="11">
        <v>1</v>
      </c>
      <c r="AL161" s="11">
        <v>0</v>
      </c>
      <c r="AN161" s="11">
        <v>0</v>
      </c>
      <c r="AO161" s="11">
        <v>0</v>
      </c>
      <c r="AP161" s="11">
        <v>0</v>
      </c>
      <c r="AQ161" s="11">
        <v>0</v>
      </c>
      <c r="AR161" s="11">
        <v>1</v>
      </c>
      <c r="AS161" s="11">
        <v>0</v>
      </c>
      <c r="AT161" s="11">
        <v>1</v>
      </c>
      <c r="AU161" s="11">
        <v>0</v>
      </c>
      <c r="AV161" s="11">
        <v>0</v>
      </c>
      <c r="AW161" s="11">
        <v>0</v>
      </c>
      <c r="AX161" s="11">
        <v>0</v>
      </c>
      <c r="AY161" s="11">
        <v>0</v>
      </c>
      <c r="BA161" s="12" t="s">
        <v>4877</v>
      </c>
      <c r="BB161" s="12">
        <v>0</v>
      </c>
      <c r="BC161" s="9" t="s">
        <v>4878</v>
      </c>
      <c r="BD161" s="12">
        <v>4</v>
      </c>
      <c r="BE161" s="12">
        <v>0</v>
      </c>
      <c r="BF161" s="12">
        <f>VLOOKUP(A161,'[1]Conical Mounds'!A$1:O$65536,15,FALSE)</f>
        <v>706.85834705770344</v>
      </c>
      <c r="BI161">
        <f>BD161/BF161</f>
        <v>5.6588424210451682E-3</v>
      </c>
      <c r="BJ161">
        <f>BI161*10000</f>
        <v>56.588424210451684</v>
      </c>
    </row>
    <row r="162" spans="1:62" x14ac:dyDescent="0.15">
      <c r="A162" s="7" t="s">
        <v>908</v>
      </c>
      <c r="C162" s="7" t="s">
        <v>909</v>
      </c>
      <c r="D162" s="7" t="s">
        <v>5292</v>
      </c>
      <c r="E162" s="9" t="s">
        <v>5295</v>
      </c>
      <c r="L162" s="10">
        <v>3895560</v>
      </c>
      <c r="M162" s="10">
        <v>721339</v>
      </c>
      <c r="N162" s="11">
        <v>15</v>
      </c>
      <c r="P162" s="7" t="s">
        <v>910</v>
      </c>
      <c r="Q162" s="9" t="s">
        <v>1112</v>
      </c>
      <c r="S162" s="9" t="s">
        <v>5292</v>
      </c>
      <c r="T162" s="9" t="s">
        <v>4902</v>
      </c>
      <c r="U162" s="12" t="s">
        <v>4902</v>
      </c>
      <c r="V162" s="12" t="s">
        <v>4902</v>
      </c>
      <c r="W162" s="12">
        <v>0</v>
      </c>
      <c r="X162" s="12">
        <v>0</v>
      </c>
      <c r="Y162" s="12">
        <v>0</v>
      </c>
      <c r="Z162" s="11">
        <v>0</v>
      </c>
      <c r="AA162" s="11">
        <v>0</v>
      </c>
      <c r="AB162" s="11">
        <v>0</v>
      </c>
      <c r="AC162" s="11">
        <v>0</v>
      </c>
      <c r="AD162" s="11">
        <v>0</v>
      </c>
      <c r="AE162" s="11">
        <v>0</v>
      </c>
      <c r="AF162" s="11">
        <v>0</v>
      </c>
      <c r="AG162" s="11">
        <v>0</v>
      </c>
      <c r="AH162" s="9" t="s">
        <v>4909</v>
      </c>
      <c r="AI162" s="11">
        <v>1</v>
      </c>
      <c r="AJ162" s="11">
        <v>1</v>
      </c>
      <c r="AK162" s="11">
        <v>0</v>
      </c>
      <c r="AL162" s="11">
        <v>0</v>
      </c>
      <c r="AN162" s="11">
        <v>0</v>
      </c>
      <c r="AO162" s="11">
        <v>0</v>
      </c>
      <c r="AP162" s="11">
        <v>0</v>
      </c>
      <c r="AQ162" s="11">
        <v>0</v>
      </c>
      <c r="AR162" s="11">
        <v>0</v>
      </c>
      <c r="AS162" s="11">
        <v>0</v>
      </c>
      <c r="AT162" s="11">
        <v>1</v>
      </c>
      <c r="AU162" s="11">
        <v>0</v>
      </c>
      <c r="AV162" s="11">
        <v>0</v>
      </c>
      <c r="AW162" s="11">
        <v>0</v>
      </c>
      <c r="AX162" s="11">
        <v>0</v>
      </c>
      <c r="AY162" s="11">
        <v>0</v>
      </c>
      <c r="BA162" s="12" t="s">
        <v>4877</v>
      </c>
      <c r="BB162" s="12">
        <v>0</v>
      </c>
      <c r="BC162" s="9" t="s">
        <v>4878</v>
      </c>
      <c r="BD162" s="12">
        <v>0</v>
      </c>
      <c r="BE162" s="12">
        <v>0</v>
      </c>
      <c r="BF162" s="12">
        <v>0</v>
      </c>
      <c r="BI162" s="12">
        <v>0</v>
      </c>
      <c r="BJ162" s="12">
        <v>0</v>
      </c>
    </row>
    <row r="163" spans="1:62" x14ac:dyDescent="0.15">
      <c r="A163" s="7" t="s">
        <v>911</v>
      </c>
      <c r="C163" s="7" t="s">
        <v>912</v>
      </c>
      <c r="D163" s="7" t="s">
        <v>5292</v>
      </c>
      <c r="E163" s="9" t="s">
        <v>5295</v>
      </c>
      <c r="L163" s="10">
        <v>3851260</v>
      </c>
      <c r="M163" s="10">
        <v>717650</v>
      </c>
      <c r="N163" s="11">
        <v>15</v>
      </c>
      <c r="P163" s="7" t="s">
        <v>910</v>
      </c>
      <c r="Q163" s="9" t="s">
        <v>5322</v>
      </c>
      <c r="R163" s="9" t="s">
        <v>5318</v>
      </c>
      <c r="S163" s="9" t="s">
        <v>5292</v>
      </c>
      <c r="T163" s="9" t="s">
        <v>4884</v>
      </c>
      <c r="U163" s="12" t="s">
        <v>5016</v>
      </c>
      <c r="V163" s="12" t="s">
        <v>5017</v>
      </c>
      <c r="W163" s="12">
        <v>0</v>
      </c>
      <c r="X163" s="12">
        <v>0</v>
      </c>
      <c r="Y163" s="12">
        <v>0</v>
      </c>
      <c r="Z163" s="11">
        <v>0</v>
      </c>
      <c r="AA163" s="11">
        <v>0</v>
      </c>
      <c r="AB163" s="11">
        <v>1</v>
      </c>
      <c r="AC163" s="11">
        <v>1</v>
      </c>
      <c r="AD163" s="11">
        <v>0</v>
      </c>
      <c r="AE163" s="11">
        <v>0</v>
      </c>
      <c r="AF163" s="11">
        <v>0</v>
      </c>
      <c r="AG163" s="11">
        <v>0</v>
      </c>
      <c r="AH163" s="9">
        <v>1</v>
      </c>
      <c r="AI163" s="11">
        <v>1</v>
      </c>
      <c r="AJ163" s="11">
        <v>1</v>
      </c>
      <c r="AK163" s="11">
        <v>0</v>
      </c>
      <c r="AL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1</v>
      </c>
      <c r="AS163" s="11">
        <v>0</v>
      </c>
      <c r="AT163" s="11">
        <v>0</v>
      </c>
      <c r="AU163" s="11">
        <v>0</v>
      </c>
      <c r="AV163" s="11">
        <v>0</v>
      </c>
      <c r="AW163" s="11">
        <v>0</v>
      </c>
      <c r="AX163" s="11">
        <v>0</v>
      </c>
      <c r="AY163" s="11">
        <v>0</v>
      </c>
      <c r="BA163" s="12" t="s">
        <v>4877</v>
      </c>
      <c r="BB163" s="12">
        <v>0</v>
      </c>
      <c r="BC163" s="9" t="s">
        <v>4878</v>
      </c>
      <c r="BD163" s="12">
        <v>0</v>
      </c>
      <c r="BE163" s="12">
        <v>0</v>
      </c>
      <c r="BF163" s="12">
        <v>0</v>
      </c>
      <c r="BI163" s="12">
        <v>0</v>
      </c>
      <c r="BJ163" s="12">
        <v>0</v>
      </c>
    </row>
    <row r="164" spans="1:62" x14ac:dyDescent="0.15">
      <c r="A164" s="7" t="s">
        <v>913</v>
      </c>
      <c r="C164" s="7" t="s">
        <v>914</v>
      </c>
      <c r="D164" s="7" t="s">
        <v>5292</v>
      </c>
      <c r="E164" s="9" t="s">
        <v>5293</v>
      </c>
      <c r="L164" s="10">
        <v>3887020</v>
      </c>
      <c r="M164" s="10">
        <v>745304</v>
      </c>
      <c r="N164" s="11">
        <v>15</v>
      </c>
      <c r="P164" s="7" t="s">
        <v>910</v>
      </c>
      <c r="Q164" s="9" t="s">
        <v>1112</v>
      </c>
      <c r="S164" s="9" t="s">
        <v>5292</v>
      </c>
      <c r="T164" s="9" t="s">
        <v>8484</v>
      </c>
      <c r="U164" s="12" t="s">
        <v>5019</v>
      </c>
      <c r="V164" s="12" t="s">
        <v>5020</v>
      </c>
      <c r="W164" s="12">
        <v>0</v>
      </c>
      <c r="X164" s="12">
        <v>0</v>
      </c>
      <c r="Y164" s="12">
        <v>0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1</v>
      </c>
      <c r="AF164" s="11">
        <v>1</v>
      </c>
      <c r="AG164" s="11">
        <v>0</v>
      </c>
      <c r="AH164" s="9" t="s">
        <v>8248</v>
      </c>
      <c r="AI164" s="11">
        <v>2</v>
      </c>
      <c r="AJ164" s="11">
        <v>1</v>
      </c>
      <c r="AK164" s="11">
        <v>0</v>
      </c>
      <c r="AL164" s="11">
        <v>0</v>
      </c>
      <c r="AN164" s="11">
        <v>0</v>
      </c>
      <c r="AO164" s="11">
        <v>0</v>
      </c>
      <c r="AP164" s="11">
        <v>0</v>
      </c>
      <c r="AQ164" s="11">
        <v>0</v>
      </c>
      <c r="AR164" s="11">
        <v>0</v>
      </c>
      <c r="AS164" s="11">
        <v>0</v>
      </c>
      <c r="AT164" s="11">
        <v>1</v>
      </c>
      <c r="AU164" s="11">
        <v>0</v>
      </c>
      <c r="AV164" s="11">
        <v>0</v>
      </c>
      <c r="AW164" s="11">
        <v>0</v>
      </c>
      <c r="AX164" s="11">
        <v>0</v>
      </c>
      <c r="AY164" s="11">
        <v>0</v>
      </c>
      <c r="BA164" s="12" t="s">
        <v>4877</v>
      </c>
      <c r="BB164" s="12">
        <v>0</v>
      </c>
      <c r="BC164" s="9" t="s">
        <v>4878</v>
      </c>
      <c r="BD164" s="12">
        <v>0</v>
      </c>
      <c r="BE164" s="12">
        <v>0</v>
      </c>
      <c r="BF164" s="12">
        <v>0</v>
      </c>
      <c r="BI164" s="12">
        <v>0</v>
      </c>
      <c r="BJ164" s="12">
        <v>0</v>
      </c>
    </row>
    <row r="165" spans="1:62" x14ac:dyDescent="0.15">
      <c r="A165" s="7" t="s">
        <v>915</v>
      </c>
      <c r="C165" s="7" t="s">
        <v>916</v>
      </c>
      <c r="D165" s="7" t="s">
        <v>5292</v>
      </c>
      <c r="E165" s="9" t="s">
        <v>5293</v>
      </c>
      <c r="L165" s="10">
        <v>3878800</v>
      </c>
      <c r="M165" s="10">
        <v>741000</v>
      </c>
      <c r="N165" s="11">
        <v>15</v>
      </c>
      <c r="P165" s="7" t="s">
        <v>917</v>
      </c>
      <c r="Q165" s="9" t="s">
        <v>1061</v>
      </c>
      <c r="R165" s="9" t="s">
        <v>1061</v>
      </c>
      <c r="S165" s="9" t="s">
        <v>5292</v>
      </c>
      <c r="T165" s="9" t="s">
        <v>8484</v>
      </c>
      <c r="U165" s="12" t="s">
        <v>5019</v>
      </c>
      <c r="V165" s="12" t="s">
        <v>5020</v>
      </c>
      <c r="W165" s="12">
        <v>0</v>
      </c>
      <c r="X165" s="12">
        <v>0</v>
      </c>
      <c r="Y165" s="12">
        <v>0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1</v>
      </c>
      <c r="AF165" s="11">
        <v>1</v>
      </c>
      <c r="AG165" s="11">
        <v>0</v>
      </c>
      <c r="AH165" s="9">
        <v>3</v>
      </c>
      <c r="AI165" s="11">
        <v>3</v>
      </c>
      <c r="AJ165" s="11">
        <v>1</v>
      </c>
      <c r="AK165" s="11">
        <v>1</v>
      </c>
      <c r="AL165" s="11">
        <v>1</v>
      </c>
      <c r="AN165" s="11">
        <v>0</v>
      </c>
      <c r="AO165" s="11">
        <v>0</v>
      </c>
      <c r="AP165" s="11">
        <v>0</v>
      </c>
      <c r="AQ165" s="11">
        <v>1</v>
      </c>
      <c r="AR165" s="11">
        <v>0</v>
      </c>
      <c r="AS165" s="11">
        <v>0</v>
      </c>
      <c r="AT165" s="11">
        <v>1</v>
      </c>
      <c r="AU165" s="11">
        <v>0</v>
      </c>
      <c r="AV165" s="11">
        <v>0</v>
      </c>
      <c r="AW165" s="11">
        <v>0</v>
      </c>
      <c r="AX165" s="11">
        <v>0</v>
      </c>
      <c r="AY165" s="11">
        <v>0</v>
      </c>
      <c r="BA165" s="12" t="s">
        <v>4877</v>
      </c>
      <c r="BB165" s="12">
        <v>1</v>
      </c>
      <c r="BC165" s="9" t="s">
        <v>4878</v>
      </c>
      <c r="BD165" s="12">
        <v>15</v>
      </c>
      <c r="BE165" s="12">
        <v>0</v>
      </c>
      <c r="BF165" s="12">
        <v>0</v>
      </c>
      <c r="BI165" s="12">
        <v>0</v>
      </c>
      <c r="BJ165" s="12">
        <v>0</v>
      </c>
    </row>
    <row r="166" spans="1:62" x14ac:dyDescent="0.15">
      <c r="A166" s="7" t="s">
        <v>918</v>
      </c>
      <c r="C166" s="7" t="s">
        <v>919</v>
      </c>
      <c r="D166" s="7" t="s">
        <v>5292</v>
      </c>
      <c r="E166" s="9" t="s">
        <v>5293</v>
      </c>
      <c r="L166" s="10">
        <v>3877520</v>
      </c>
      <c r="M166" s="10">
        <v>735360</v>
      </c>
      <c r="N166" s="11">
        <v>15</v>
      </c>
      <c r="P166" s="7" t="s">
        <v>920</v>
      </c>
      <c r="Q166" s="9" t="s">
        <v>1061</v>
      </c>
      <c r="R166" s="9" t="s">
        <v>1061</v>
      </c>
      <c r="S166" s="9" t="s">
        <v>5292</v>
      </c>
      <c r="T166" s="9" t="s">
        <v>4891</v>
      </c>
      <c r="U166" s="12" t="s">
        <v>5017</v>
      </c>
      <c r="V166" s="12" t="s">
        <v>5018</v>
      </c>
      <c r="W166" s="12">
        <v>0</v>
      </c>
      <c r="X166" s="12">
        <v>0</v>
      </c>
      <c r="Y166" s="12">
        <v>0</v>
      </c>
      <c r="Z166" s="11">
        <v>0</v>
      </c>
      <c r="AA166" s="11">
        <v>0</v>
      </c>
      <c r="AB166" s="11">
        <v>0</v>
      </c>
      <c r="AC166" s="11">
        <v>1</v>
      </c>
      <c r="AD166" s="11">
        <v>1</v>
      </c>
      <c r="AE166" s="11">
        <v>0</v>
      </c>
      <c r="AF166" s="11">
        <v>0</v>
      </c>
      <c r="AG166" s="11">
        <v>0</v>
      </c>
      <c r="AH166" s="9">
        <v>2</v>
      </c>
      <c r="AI166" s="11">
        <v>2</v>
      </c>
      <c r="AJ166" s="11">
        <v>1</v>
      </c>
      <c r="AK166" s="11">
        <v>1</v>
      </c>
      <c r="AL166" s="11">
        <v>1</v>
      </c>
      <c r="AN166" s="11">
        <v>0</v>
      </c>
      <c r="AO166" s="11">
        <v>1</v>
      </c>
      <c r="AP166" s="11">
        <v>0</v>
      </c>
      <c r="AQ166" s="11">
        <v>1</v>
      </c>
      <c r="AR166" s="11">
        <v>0</v>
      </c>
      <c r="AS166" s="11">
        <v>0</v>
      </c>
      <c r="AT166" s="11">
        <v>0</v>
      </c>
      <c r="AU166" s="11">
        <v>0</v>
      </c>
      <c r="AV166" s="11">
        <v>0</v>
      </c>
      <c r="AW166" s="11">
        <v>0</v>
      </c>
      <c r="AX166" s="11">
        <v>0</v>
      </c>
      <c r="AY166" s="11">
        <v>0</v>
      </c>
      <c r="BA166" s="12" t="s">
        <v>4877</v>
      </c>
      <c r="BB166" s="12">
        <v>0</v>
      </c>
      <c r="BC166" s="9" t="s">
        <v>4878</v>
      </c>
      <c r="BD166" s="12">
        <v>0</v>
      </c>
      <c r="BE166" s="12">
        <v>0</v>
      </c>
      <c r="BF166" s="12">
        <v>0</v>
      </c>
      <c r="BI166" s="12">
        <v>0</v>
      </c>
      <c r="BJ166" s="12">
        <v>0</v>
      </c>
    </row>
    <row r="167" spans="1:62" x14ac:dyDescent="0.15">
      <c r="A167" s="7" t="s">
        <v>921</v>
      </c>
      <c r="C167" s="7" t="s">
        <v>922</v>
      </c>
      <c r="D167" s="7" t="s">
        <v>5292</v>
      </c>
      <c r="E167" s="9" t="s">
        <v>5293</v>
      </c>
      <c r="L167" s="10">
        <v>3878950</v>
      </c>
      <c r="M167" s="10">
        <v>733867</v>
      </c>
      <c r="N167" s="11">
        <v>15</v>
      </c>
      <c r="P167" s="7" t="s">
        <v>923</v>
      </c>
      <c r="Q167" s="9" t="s">
        <v>5311</v>
      </c>
      <c r="S167" s="9" t="s">
        <v>5292</v>
      </c>
      <c r="T167" s="9" t="s">
        <v>4891</v>
      </c>
      <c r="U167" s="12" t="s">
        <v>5017</v>
      </c>
      <c r="V167" s="12" t="s">
        <v>5018</v>
      </c>
      <c r="W167" s="12">
        <v>0</v>
      </c>
      <c r="X167" s="12">
        <v>0</v>
      </c>
      <c r="Y167" s="12">
        <v>0</v>
      </c>
      <c r="Z167" s="11">
        <v>0</v>
      </c>
      <c r="AA167" s="11">
        <v>0</v>
      </c>
      <c r="AB167" s="11">
        <v>0</v>
      </c>
      <c r="AC167" s="11">
        <v>1</v>
      </c>
      <c r="AD167" s="11">
        <v>1</v>
      </c>
      <c r="AE167" s="11">
        <v>0</v>
      </c>
      <c r="AF167" s="11">
        <v>0</v>
      </c>
      <c r="AG167" s="11">
        <v>0</v>
      </c>
      <c r="AH167" s="9" t="s">
        <v>8248</v>
      </c>
      <c r="AI167" s="11">
        <v>2</v>
      </c>
      <c r="AJ167" s="11">
        <v>1</v>
      </c>
      <c r="AK167" s="11">
        <v>1</v>
      </c>
      <c r="AL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1">
        <v>0</v>
      </c>
      <c r="AT167" s="11">
        <v>1</v>
      </c>
      <c r="AU167" s="11">
        <v>0</v>
      </c>
      <c r="AV167" s="11">
        <v>0</v>
      </c>
      <c r="AW167" s="11">
        <v>0</v>
      </c>
      <c r="AX167" s="11">
        <v>0</v>
      </c>
      <c r="AY167" s="11">
        <v>0</v>
      </c>
      <c r="BA167" s="12" t="s">
        <v>4877</v>
      </c>
      <c r="BB167" s="12">
        <v>0</v>
      </c>
      <c r="BC167" s="9" t="s">
        <v>4878</v>
      </c>
      <c r="BD167" s="12">
        <v>0</v>
      </c>
      <c r="BE167" s="12">
        <v>0</v>
      </c>
      <c r="BF167" s="12">
        <v>0</v>
      </c>
      <c r="BI167" s="12">
        <v>0</v>
      </c>
      <c r="BJ167" s="12">
        <v>0</v>
      </c>
    </row>
    <row r="168" spans="1:62" x14ac:dyDescent="0.15">
      <c r="A168" s="7" t="s">
        <v>924</v>
      </c>
      <c r="C168" s="7" t="s">
        <v>925</v>
      </c>
      <c r="D168" s="7" t="s">
        <v>5292</v>
      </c>
      <c r="E168" s="9" t="s">
        <v>5293</v>
      </c>
      <c r="L168" s="10">
        <v>3876440</v>
      </c>
      <c r="M168" s="10">
        <v>729450</v>
      </c>
      <c r="N168" s="11">
        <v>15</v>
      </c>
      <c r="P168" s="7" t="s">
        <v>926</v>
      </c>
      <c r="Q168" s="9" t="s">
        <v>5295</v>
      </c>
      <c r="R168" s="9" t="s">
        <v>5295</v>
      </c>
      <c r="S168" s="9" t="s">
        <v>5292</v>
      </c>
      <c r="T168" s="9" t="s">
        <v>8484</v>
      </c>
      <c r="U168" s="12" t="s">
        <v>5019</v>
      </c>
      <c r="V168" s="12" t="s">
        <v>5020</v>
      </c>
      <c r="W168" s="12">
        <v>0</v>
      </c>
      <c r="X168" s="12">
        <v>0</v>
      </c>
      <c r="Y168" s="12">
        <v>0</v>
      </c>
      <c r="Z168" s="11">
        <v>0</v>
      </c>
      <c r="AA168" s="11">
        <v>0</v>
      </c>
      <c r="AB168" s="11">
        <v>0</v>
      </c>
      <c r="AC168" s="11">
        <v>0</v>
      </c>
      <c r="AD168" s="11">
        <v>0</v>
      </c>
      <c r="AE168" s="11">
        <v>1</v>
      </c>
      <c r="AF168" s="11">
        <v>1</v>
      </c>
      <c r="AG168" s="11">
        <v>0</v>
      </c>
      <c r="AH168" s="9">
        <v>5</v>
      </c>
      <c r="AI168" s="11">
        <v>5</v>
      </c>
      <c r="AJ168" s="11">
        <v>0</v>
      </c>
      <c r="AK168" s="11">
        <v>0</v>
      </c>
      <c r="AL168" s="11">
        <v>1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11">
        <v>0</v>
      </c>
      <c r="AT168" s="11">
        <v>1</v>
      </c>
      <c r="AU168" s="11">
        <v>0</v>
      </c>
      <c r="AV168" s="11">
        <v>0</v>
      </c>
      <c r="AW168" s="11">
        <v>1</v>
      </c>
      <c r="AX168" s="11">
        <v>0</v>
      </c>
      <c r="AY168" s="11">
        <v>0</v>
      </c>
      <c r="AZ168" s="12" t="s">
        <v>4843</v>
      </c>
      <c r="BA168" s="12" t="s">
        <v>4911</v>
      </c>
      <c r="BB168" s="12">
        <v>1</v>
      </c>
      <c r="BC168" s="9" t="s">
        <v>4878</v>
      </c>
      <c r="BD168" s="12">
        <v>4</v>
      </c>
      <c r="BE168" s="12">
        <v>175</v>
      </c>
      <c r="BF168" s="12">
        <v>0</v>
      </c>
      <c r="BI168" s="12">
        <v>0</v>
      </c>
      <c r="BJ168" s="12">
        <v>0</v>
      </c>
    </row>
    <row r="169" spans="1:62" x14ac:dyDescent="0.15">
      <c r="A169" s="7" t="s">
        <v>927</v>
      </c>
      <c r="C169" s="7" t="s">
        <v>928</v>
      </c>
      <c r="D169" s="7" t="s">
        <v>5292</v>
      </c>
      <c r="E169" s="9" t="s">
        <v>5293</v>
      </c>
      <c r="L169" s="10">
        <v>3881800</v>
      </c>
      <c r="M169" s="10">
        <v>749500</v>
      </c>
      <c r="N169" s="11">
        <v>15</v>
      </c>
      <c r="P169" s="7" t="s">
        <v>929</v>
      </c>
      <c r="Q169" s="9" t="s">
        <v>1061</v>
      </c>
      <c r="R169" s="9" t="s">
        <v>1061</v>
      </c>
      <c r="S169" s="9" t="s">
        <v>5292</v>
      </c>
      <c r="T169" s="9" t="s">
        <v>4875</v>
      </c>
      <c r="U169" s="12" t="s">
        <v>5020</v>
      </c>
      <c r="V169" s="12" t="s">
        <v>5021</v>
      </c>
      <c r="W169" s="12">
        <v>0</v>
      </c>
      <c r="X169" s="12">
        <v>0</v>
      </c>
      <c r="Y169" s="12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1</v>
      </c>
      <c r="AG169" s="11">
        <v>1</v>
      </c>
      <c r="AH169" s="9">
        <v>2</v>
      </c>
      <c r="AI169" s="11">
        <v>2</v>
      </c>
      <c r="AJ169" s="11">
        <v>1</v>
      </c>
      <c r="AK169" s="11">
        <v>1</v>
      </c>
      <c r="AL169" s="11">
        <v>1</v>
      </c>
      <c r="AN169" s="11">
        <v>0</v>
      </c>
      <c r="AO169" s="11">
        <v>0</v>
      </c>
      <c r="AP169" s="11">
        <v>0</v>
      </c>
      <c r="AQ169" s="11">
        <v>1</v>
      </c>
      <c r="AR169" s="11">
        <v>0</v>
      </c>
      <c r="AS169" s="11">
        <v>0</v>
      </c>
      <c r="AT169" s="11">
        <v>1</v>
      </c>
      <c r="AU169" s="11">
        <v>0</v>
      </c>
      <c r="AV169" s="11">
        <v>0</v>
      </c>
      <c r="AW169" s="11">
        <v>1</v>
      </c>
      <c r="AX169" s="11">
        <v>0</v>
      </c>
      <c r="AY169" s="11">
        <v>0</v>
      </c>
      <c r="AZ169" s="12" t="s">
        <v>4843</v>
      </c>
      <c r="BA169" s="12" t="s">
        <v>4911</v>
      </c>
      <c r="BB169" s="12">
        <v>1</v>
      </c>
      <c r="BC169" s="9" t="s">
        <v>4878</v>
      </c>
      <c r="BD169" s="12">
        <v>10</v>
      </c>
      <c r="BE169" s="12">
        <v>200</v>
      </c>
      <c r="BF169" s="12">
        <v>0</v>
      </c>
      <c r="BI169" s="12">
        <v>0</v>
      </c>
      <c r="BJ169" s="12">
        <v>0</v>
      </c>
    </row>
    <row r="170" spans="1:62" x14ac:dyDescent="0.15">
      <c r="A170" s="7" t="s">
        <v>930</v>
      </c>
      <c r="C170" s="7" t="s">
        <v>931</v>
      </c>
      <c r="D170" s="7" t="s">
        <v>5292</v>
      </c>
      <c r="E170" s="9" t="s">
        <v>5293</v>
      </c>
      <c r="L170" s="10">
        <v>3885300</v>
      </c>
      <c r="M170" s="10">
        <v>751720</v>
      </c>
      <c r="N170" s="11">
        <v>15</v>
      </c>
      <c r="P170" s="7" t="s">
        <v>932</v>
      </c>
      <c r="Q170" s="9" t="s">
        <v>1061</v>
      </c>
      <c r="R170" s="9" t="s">
        <v>1061</v>
      </c>
      <c r="S170" s="9" t="s">
        <v>5292</v>
      </c>
      <c r="T170" s="9" t="s">
        <v>4875</v>
      </c>
      <c r="U170" s="12" t="s">
        <v>5020</v>
      </c>
      <c r="V170" s="12" t="s">
        <v>5021</v>
      </c>
      <c r="W170" s="12">
        <v>0</v>
      </c>
      <c r="X170" s="12">
        <v>0</v>
      </c>
      <c r="Y170" s="12">
        <v>0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11">
        <v>1</v>
      </c>
      <c r="AG170" s="11">
        <v>1</v>
      </c>
      <c r="AH170" s="9">
        <v>2</v>
      </c>
      <c r="AI170" s="11">
        <v>2</v>
      </c>
      <c r="AJ170" s="11">
        <v>1</v>
      </c>
      <c r="AK170" s="11">
        <v>1</v>
      </c>
      <c r="AL170" s="11">
        <v>1</v>
      </c>
      <c r="AN170" s="11">
        <v>0</v>
      </c>
      <c r="AO170" s="11">
        <v>0</v>
      </c>
      <c r="AP170" s="11">
        <v>0</v>
      </c>
      <c r="AQ170" s="11">
        <v>1</v>
      </c>
      <c r="AR170" s="11">
        <v>0</v>
      </c>
      <c r="AS170" s="11">
        <v>0</v>
      </c>
      <c r="AT170" s="11">
        <v>0</v>
      </c>
      <c r="AU170" s="11">
        <v>0</v>
      </c>
      <c r="AV170" s="11">
        <v>0</v>
      </c>
      <c r="AW170" s="11">
        <v>0</v>
      </c>
      <c r="AX170" s="11">
        <v>0</v>
      </c>
      <c r="AY170" s="11">
        <v>0</v>
      </c>
      <c r="BA170" s="12" t="s">
        <v>4877</v>
      </c>
      <c r="BB170" s="12">
        <v>1</v>
      </c>
      <c r="BC170" s="9" t="s">
        <v>4878</v>
      </c>
      <c r="BD170" s="12">
        <v>10</v>
      </c>
      <c r="BE170" s="12">
        <v>220</v>
      </c>
      <c r="BF170" s="12">
        <v>0</v>
      </c>
      <c r="BI170" s="12">
        <v>0</v>
      </c>
      <c r="BJ170" s="12">
        <v>0</v>
      </c>
    </row>
    <row r="171" spans="1:62" x14ac:dyDescent="0.15">
      <c r="A171" s="7" t="s">
        <v>933</v>
      </c>
      <c r="C171" s="7" t="s">
        <v>934</v>
      </c>
      <c r="D171" s="7" t="s">
        <v>5292</v>
      </c>
      <c r="E171" s="9" t="s">
        <v>5293</v>
      </c>
      <c r="L171" s="10">
        <v>3883840</v>
      </c>
      <c r="M171" s="10">
        <v>761568</v>
      </c>
      <c r="N171" s="11">
        <v>15</v>
      </c>
      <c r="P171" s="7" t="s">
        <v>6980</v>
      </c>
      <c r="Q171" s="9" t="s">
        <v>5311</v>
      </c>
      <c r="R171" s="9" t="s">
        <v>4877</v>
      </c>
      <c r="S171" s="9" t="s">
        <v>5292</v>
      </c>
      <c r="T171" s="9" t="s">
        <v>4875</v>
      </c>
      <c r="U171" s="12" t="s">
        <v>5020</v>
      </c>
      <c r="V171" s="12" t="s">
        <v>5021</v>
      </c>
      <c r="W171" s="12">
        <v>0</v>
      </c>
      <c r="X171" s="12">
        <v>0</v>
      </c>
      <c r="Y171" s="12">
        <v>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11">
        <v>1</v>
      </c>
      <c r="AG171" s="11">
        <v>1</v>
      </c>
      <c r="AH171" s="9">
        <v>2</v>
      </c>
      <c r="AI171" s="11">
        <v>2</v>
      </c>
      <c r="AJ171" s="11">
        <v>1</v>
      </c>
      <c r="AK171" s="11">
        <v>1</v>
      </c>
      <c r="AL171" s="11">
        <v>1</v>
      </c>
      <c r="AN171" s="11">
        <v>0</v>
      </c>
      <c r="AO171" s="11">
        <v>0</v>
      </c>
      <c r="AP171" s="11">
        <v>0</v>
      </c>
      <c r="AQ171" s="11">
        <v>1</v>
      </c>
      <c r="AR171" s="11">
        <v>0</v>
      </c>
      <c r="AS171" s="11">
        <v>0</v>
      </c>
      <c r="AT171" s="11">
        <v>1</v>
      </c>
      <c r="AU171" s="11">
        <v>0</v>
      </c>
      <c r="AV171" s="11">
        <v>0</v>
      </c>
      <c r="AW171" s="11">
        <v>0</v>
      </c>
      <c r="AX171" s="11">
        <v>0</v>
      </c>
      <c r="AY171" s="11">
        <v>0</v>
      </c>
      <c r="BA171" s="12" t="s">
        <v>4877</v>
      </c>
      <c r="BB171" s="12">
        <v>1</v>
      </c>
      <c r="BC171" s="9" t="s">
        <v>4878</v>
      </c>
      <c r="BD171" s="12">
        <v>10</v>
      </c>
      <c r="BE171" s="12">
        <v>300</v>
      </c>
      <c r="BF171" s="12">
        <v>0</v>
      </c>
      <c r="BI171" s="12">
        <v>0</v>
      </c>
      <c r="BJ171" s="12">
        <v>0</v>
      </c>
    </row>
    <row r="172" spans="1:62" x14ac:dyDescent="0.15">
      <c r="A172" s="7" t="s">
        <v>6981</v>
      </c>
      <c r="C172" s="7" t="s">
        <v>6982</v>
      </c>
      <c r="D172" s="7" t="s">
        <v>5292</v>
      </c>
      <c r="E172" s="9" t="s">
        <v>5293</v>
      </c>
      <c r="L172" s="10">
        <v>3898106</v>
      </c>
      <c r="M172" s="10">
        <v>761665</v>
      </c>
      <c r="N172" s="11">
        <v>15</v>
      </c>
      <c r="P172" s="7" t="s">
        <v>1087</v>
      </c>
      <c r="Q172" s="9" t="s">
        <v>5311</v>
      </c>
      <c r="S172" s="9" t="s">
        <v>5292</v>
      </c>
      <c r="T172" s="9" t="s">
        <v>4875</v>
      </c>
      <c r="U172" s="12" t="s">
        <v>5020</v>
      </c>
      <c r="V172" s="12" t="s">
        <v>5021</v>
      </c>
      <c r="W172" s="12">
        <v>0</v>
      </c>
      <c r="X172" s="12">
        <v>0</v>
      </c>
      <c r="Y172" s="12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1</v>
      </c>
      <c r="AG172" s="11">
        <v>1</v>
      </c>
      <c r="AH172" s="9" t="s">
        <v>8248</v>
      </c>
      <c r="AI172" s="11">
        <v>2</v>
      </c>
      <c r="AJ172" s="11">
        <v>1</v>
      </c>
      <c r="AK172" s="11">
        <v>1</v>
      </c>
      <c r="AL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0</v>
      </c>
      <c r="AS172" s="11">
        <v>0</v>
      </c>
      <c r="AT172" s="11">
        <v>1</v>
      </c>
      <c r="AU172" s="11">
        <v>0</v>
      </c>
      <c r="AV172" s="11">
        <v>0</v>
      </c>
      <c r="AW172" s="11">
        <v>0</v>
      </c>
      <c r="AX172" s="11">
        <v>0</v>
      </c>
      <c r="AY172" s="11">
        <v>0</v>
      </c>
      <c r="BA172" s="12" t="s">
        <v>4877</v>
      </c>
      <c r="BB172" s="12">
        <v>0</v>
      </c>
      <c r="BC172" s="9" t="s">
        <v>4878</v>
      </c>
      <c r="BD172" s="12">
        <v>0</v>
      </c>
      <c r="BE172" s="12">
        <v>0</v>
      </c>
      <c r="BF172" s="12">
        <v>0</v>
      </c>
      <c r="BI172" s="12">
        <v>0</v>
      </c>
      <c r="BJ172" s="12">
        <v>0</v>
      </c>
    </row>
    <row r="173" spans="1:62" x14ac:dyDescent="0.15">
      <c r="A173" s="7" t="s">
        <v>6983</v>
      </c>
      <c r="C173" s="7" t="s">
        <v>6984</v>
      </c>
      <c r="D173" s="7" t="s">
        <v>5292</v>
      </c>
      <c r="E173" s="9" t="s">
        <v>5293</v>
      </c>
      <c r="L173" s="10">
        <v>3861600</v>
      </c>
      <c r="M173" s="10">
        <v>702850</v>
      </c>
      <c r="N173" s="11">
        <v>15</v>
      </c>
      <c r="P173" s="7" t="s">
        <v>6985</v>
      </c>
      <c r="Q173" s="9" t="s">
        <v>4873</v>
      </c>
      <c r="R173" s="9" t="s">
        <v>5318</v>
      </c>
      <c r="S173" s="9" t="s">
        <v>5292</v>
      </c>
      <c r="T173" s="9" t="s">
        <v>4797</v>
      </c>
      <c r="U173" s="12" t="s">
        <v>5018</v>
      </c>
      <c r="V173" s="12" t="s">
        <v>5019</v>
      </c>
      <c r="W173" s="12">
        <v>0</v>
      </c>
      <c r="X173" s="12">
        <v>0</v>
      </c>
      <c r="Y173" s="12">
        <v>0</v>
      </c>
      <c r="Z173" s="11">
        <v>0</v>
      </c>
      <c r="AA173" s="11">
        <v>0</v>
      </c>
      <c r="AB173" s="11">
        <v>0</v>
      </c>
      <c r="AC173" s="11">
        <v>0</v>
      </c>
      <c r="AD173" s="11">
        <v>1</v>
      </c>
      <c r="AE173" s="11">
        <v>1</v>
      </c>
      <c r="AF173" s="11">
        <v>0</v>
      </c>
      <c r="AG173" s="11">
        <v>0</v>
      </c>
      <c r="AH173" s="9">
        <v>2</v>
      </c>
      <c r="AI173" s="11">
        <v>2</v>
      </c>
      <c r="AJ173" s="11">
        <v>1</v>
      </c>
      <c r="AK173" s="11">
        <v>1</v>
      </c>
      <c r="AL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1</v>
      </c>
      <c r="AS173" s="11">
        <v>0</v>
      </c>
      <c r="AT173" s="11">
        <v>1</v>
      </c>
      <c r="AU173" s="11">
        <v>0</v>
      </c>
      <c r="AV173" s="11">
        <v>0</v>
      </c>
      <c r="AW173" s="11">
        <v>0</v>
      </c>
      <c r="AX173" s="11">
        <v>0</v>
      </c>
      <c r="AY173" s="11">
        <v>0</v>
      </c>
      <c r="BA173" s="12" t="s">
        <v>4877</v>
      </c>
      <c r="BB173" s="12">
        <v>0</v>
      </c>
      <c r="BC173" s="9" t="s">
        <v>4878</v>
      </c>
      <c r="BD173" s="12">
        <v>10</v>
      </c>
      <c r="BE173" s="12">
        <v>0</v>
      </c>
      <c r="BF173" s="12">
        <f>VLOOKUP(A173,'[1]Conical Mounds'!A$1:O$65536,15,FALSE)</f>
        <v>18000</v>
      </c>
      <c r="BI173">
        <f>BD173/BF173</f>
        <v>5.5555555555555556E-4</v>
      </c>
      <c r="BJ173">
        <f>BI173*10000</f>
        <v>5.5555555555555554</v>
      </c>
    </row>
    <row r="174" spans="1:62" x14ac:dyDescent="0.15">
      <c r="A174" s="7" t="s">
        <v>6986</v>
      </c>
      <c r="C174" s="7" t="s">
        <v>6987</v>
      </c>
      <c r="D174" s="7" t="s">
        <v>5292</v>
      </c>
      <c r="E174" s="9" t="s">
        <v>6988</v>
      </c>
      <c r="L174" s="10">
        <v>3854800</v>
      </c>
      <c r="M174" s="10">
        <v>728018</v>
      </c>
      <c r="N174" s="11">
        <v>15</v>
      </c>
      <c r="P174" s="7" t="s">
        <v>5310</v>
      </c>
      <c r="Q174" s="9" t="s">
        <v>5311</v>
      </c>
      <c r="S174" s="9" t="s">
        <v>5292</v>
      </c>
      <c r="T174" s="9" t="s">
        <v>4875</v>
      </c>
      <c r="U174" s="12" t="s">
        <v>5020</v>
      </c>
      <c r="V174" s="12" t="s">
        <v>5021</v>
      </c>
      <c r="W174" s="12">
        <v>0</v>
      </c>
      <c r="X174" s="12">
        <v>0</v>
      </c>
      <c r="Y174" s="12">
        <v>0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11">
        <v>0</v>
      </c>
      <c r="AG174" s="11">
        <v>0</v>
      </c>
      <c r="AH174" s="9" t="s">
        <v>4909</v>
      </c>
      <c r="AI174" s="11">
        <v>1</v>
      </c>
      <c r="AJ174" s="11">
        <v>1</v>
      </c>
      <c r="AK174" s="11">
        <v>0</v>
      </c>
      <c r="AL174" s="11">
        <v>0</v>
      </c>
      <c r="AN174" s="11">
        <v>0</v>
      </c>
      <c r="AO174" s="11">
        <v>0</v>
      </c>
      <c r="AP174" s="11">
        <v>0</v>
      </c>
      <c r="AQ174" s="11">
        <v>0</v>
      </c>
      <c r="AR174" s="11">
        <v>0</v>
      </c>
      <c r="AS174" s="11">
        <v>0</v>
      </c>
      <c r="AT174" s="11">
        <v>1</v>
      </c>
      <c r="AU174" s="11">
        <v>0</v>
      </c>
      <c r="AV174" s="11">
        <v>0</v>
      </c>
      <c r="AW174" s="11">
        <v>0</v>
      </c>
      <c r="AX174" s="11">
        <v>0</v>
      </c>
      <c r="AY174" s="11">
        <v>0</v>
      </c>
      <c r="BA174" s="12" t="s">
        <v>4877</v>
      </c>
      <c r="BB174" s="12">
        <v>0</v>
      </c>
      <c r="BC174" s="9" t="s">
        <v>4878</v>
      </c>
      <c r="BD174" s="12">
        <v>0</v>
      </c>
      <c r="BE174" s="12">
        <v>0</v>
      </c>
      <c r="BF174" s="12">
        <v>0</v>
      </c>
      <c r="BI174" s="12">
        <v>0</v>
      </c>
      <c r="BJ174" s="12">
        <v>0</v>
      </c>
    </row>
    <row r="175" spans="1:62" x14ac:dyDescent="0.15">
      <c r="A175" s="7" t="s">
        <v>6989</v>
      </c>
      <c r="B175" s="7" t="s">
        <v>6990</v>
      </c>
      <c r="C175" s="7" t="s">
        <v>6991</v>
      </c>
      <c r="D175" s="7" t="s">
        <v>5292</v>
      </c>
      <c r="E175" s="9" t="s">
        <v>6988</v>
      </c>
      <c r="L175" s="10">
        <v>3848280</v>
      </c>
      <c r="M175" s="10">
        <v>718452</v>
      </c>
      <c r="N175" s="11">
        <v>15</v>
      </c>
      <c r="O175" s="11" t="s">
        <v>6992</v>
      </c>
      <c r="P175" s="7" t="s">
        <v>6993</v>
      </c>
      <c r="Q175" s="9" t="s">
        <v>6994</v>
      </c>
      <c r="S175" s="9" t="s">
        <v>6995</v>
      </c>
      <c r="T175" s="9" t="s">
        <v>5361</v>
      </c>
      <c r="U175" s="12" t="s">
        <v>5018</v>
      </c>
      <c r="V175" s="12" t="s">
        <v>5020</v>
      </c>
      <c r="W175" s="12">
        <v>0</v>
      </c>
      <c r="X175" s="12">
        <v>0</v>
      </c>
      <c r="Y175" s="12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1</v>
      </c>
      <c r="AE175" s="11">
        <v>0</v>
      </c>
      <c r="AF175" s="11">
        <v>1</v>
      </c>
      <c r="AG175" s="11">
        <v>0</v>
      </c>
      <c r="AH175" s="9" t="s">
        <v>4909</v>
      </c>
      <c r="AI175" s="11">
        <v>1</v>
      </c>
      <c r="AJ175" s="11">
        <v>1</v>
      </c>
      <c r="AK175" s="11">
        <v>0</v>
      </c>
      <c r="AL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1">
        <v>0</v>
      </c>
      <c r="AT175" s="11">
        <v>1</v>
      </c>
      <c r="AU175" s="11">
        <v>0</v>
      </c>
      <c r="AV175" s="11">
        <v>0</v>
      </c>
      <c r="AW175" s="11">
        <v>0</v>
      </c>
      <c r="AX175" s="11">
        <v>0</v>
      </c>
      <c r="AY175" s="11">
        <v>0</v>
      </c>
      <c r="BA175" s="12" t="s">
        <v>4877</v>
      </c>
      <c r="BB175" s="12">
        <v>0</v>
      </c>
      <c r="BC175" s="9" t="s">
        <v>4878</v>
      </c>
      <c r="BD175" s="12">
        <v>0</v>
      </c>
      <c r="BE175" s="12">
        <v>0</v>
      </c>
      <c r="BF175" s="12">
        <v>0</v>
      </c>
      <c r="BI175" s="12">
        <v>0</v>
      </c>
      <c r="BJ175" s="12">
        <v>0</v>
      </c>
    </row>
    <row r="176" spans="1:62" x14ac:dyDescent="0.15">
      <c r="A176" s="7" t="s">
        <v>6996</v>
      </c>
      <c r="B176" s="7" t="s">
        <v>6997</v>
      </c>
      <c r="C176" s="7" t="s">
        <v>6998</v>
      </c>
      <c r="D176" s="7" t="s">
        <v>5292</v>
      </c>
      <c r="E176" s="9" t="s">
        <v>6988</v>
      </c>
      <c r="L176" s="10">
        <v>3854080</v>
      </c>
      <c r="M176" s="10">
        <v>725340</v>
      </c>
      <c r="N176" s="11">
        <v>15</v>
      </c>
      <c r="O176" s="11" t="s">
        <v>6992</v>
      </c>
      <c r="P176" s="7" t="s">
        <v>858</v>
      </c>
      <c r="Q176" s="9" t="s">
        <v>1061</v>
      </c>
      <c r="R176" s="9" t="s">
        <v>1061</v>
      </c>
      <c r="S176" s="9" t="s">
        <v>6995</v>
      </c>
      <c r="T176" s="9" t="s">
        <v>4797</v>
      </c>
      <c r="U176" s="12" t="s">
        <v>5018</v>
      </c>
      <c r="V176" s="12" t="s">
        <v>5019</v>
      </c>
      <c r="W176" s="12">
        <v>0</v>
      </c>
      <c r="X176" s="12">
        <v>0</v>
      </c>
      <c r="Y176" s="12">
        <v>0</v>
      </c>
      <c r="Z176" s="11">
        <v>0</v>
      </c>
      <c r="AA176" s="11">
        <v>0</v>
      </c>
      <c r="AB176" s="11">
        <v>0</v>
      </c>
      <c r="AC176" s="11">
        <v>0</v>
      </c>
      <c r="AD176" s="11">
        <v>1</v>
      </c>
      <c r="AE176" s="11">
        <v>1</v>
      </c>
      <c r="AF176" s="11">
        <v>0</v>
      </c>
      <c r="AG176" s="11">
        <v>0</v>
      </c>
      <c r="AH176" s="9" t="s">
        <v>1131</v>
      </c>
      <c r="AI176" s="11">
        <v>3</v>
      </c>
      <c r="AJ176" s="11">
        <v>1</v>
      </c>
      <c r="AK176" s="11">
        <v>1</v>
      </c>
      <c r="AL176" s="11">
        <v>1</v>
      </c>
      <c r="AN176" s="11">
        <v>0</v>
      </c>
      <c r="AO176" s="11">
        <v>0</v>
      </c>
      <c r="AP176" s="11">
        <v>0</v>
      </c>
      <c r="AQ176" s="11">
        <v>0</v>
      </c>
      <c r="AR176" s="11">
        <v>0</v>
      </c>
      <c r="AS176" s="11">
        <v>0</v>
      </c>
      <c r="AT176" s="11">
        <v>1</v>
      </c>
      <c r="AU176" s="11">
        <v>0</v>
      </c>
      <c r="AV176" s="11">
        <v>0</v>
      </c>
      <c r="AW176" s="11">
        <v>0</v>
      </c>
      <c r="AX176" s="11">
        <v>0</v>
      </c>
      <c r="AY176" s="11">
        <v>0</v>
      </c>
      <c r="BA176" s="12" t="s">
        <v>4877</v>
      </c>
      <c r="BB176" s="12">
        <v>0</v>
      </c>
      <c r="BC176" s="9" t="s">
        <v>4878</v>
      </c>
      <c r="BD176" s="12">
        <v>9</v>
      </c>
      <c r="BE176" s="12">
        <v>0</v>
      </c>
      <c r="BF176" s="12">
        <v>0</v>
      </c>
      <c r="BI176" s="12">
        <v>0</v>
      </c>
      <c r="BJ176" s="12">
        <v>0</v>
      </c>
    </row>
    <row r="177" spans="1:62" x14ac:dyDescent="0.15">
      <c r="A177" s="7" t="s">
        <v>859</v>
      </c>
      <c r="C177" s="7" t="s">
        <v>860</v>
      </c>
      <c r="D177" s="7" t="s">
        <v>5292</v>
      </c>
      <c r="E177" s="9" t="s">
        <v>6988</v>
      </c>
      <c r="L177" s="10">
        <v>3867210</v>
      </c>
      <c r="M177" s="10">
        <v>721550</v>
      </c>
      <c r="N177" s="11">
        <v>15</v>
      </c>
      <c r="P177" s="7" t="s">
        <v>1064</v>
      </c>
      <c r="Q177" s="9" t="s">
        <v>5311</v>
      </c>
      <c r="R177" s="9" t="s">
        <v>5318</v>
      </c>
      <c r="S177" s="9" t="s">
        <v>5292</v>
      </c>
      <c r="T177" s="9" t="s">
        <v>4797</v>
      </c>
      <c r="U177" s="12" t="s">
        <v>5018</v>
      </c>
      <c r="V177" s="12" t="s">
        <v>5019</v>
      </c>
      <c r="W177" s="12">
        <v>0</v>
      </c>
      <c r="X177" s="12">
        <v>0</v>
      </c>
      <c r="Y177" s="12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1</v>
      </c>
      <c r="AE177" s="11">
        <v>1</v>
      </c>
      <c r="AF177" s="11">
        <v>0</v>
      </c>
      <c r="AG177" s="11">
        <v>0</v>
      </c>
      <c r="AH177" s="9">
        <v>2</v>
      </c>
      <c r="AI177" s="11">
        <v>2</v>
      </c>
      <c r="AJ177" s="11">
        <v>1</v>
      </c>
      <c r="AK177" s="11">
        <v>1</v>
      </c>
      <c r="AL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1</v>
      </c>
      <c r="AS177" s="11">
        <v>0</v>
      </c>
      <c r="AT177" s="11">
        <v>1</v>
      </c>
      <c r="AU177" s="11">
        <v>0</v>
      </c>
      <c r="AV177" s="11">
        <v>0</v>
      </c>
      <c r="AW177" s="11">
        <v>0</v>
      </c>
      <c r="AX177" s="11">
        <v>0</v>
      </c>
      <c r="AY177" s="11">
        <v>0</v>
      </c>
      <c r="BA177" s="12" t="s">
        <v>4877</v>
      </c>
      <c r="BB177" s="12">
        <v>0</v>
      </c>
      <c r="BC177" s="9" t="s">
        <v>4878</v>
      </c>
      <c r="BD177" s="12">
        <v>6</v>
      </c>
      <c r="BE177" s="12">
        <v>0</v>
      </c>
      <c r="BF177" s="12">
        <f>VLOOKUP(A177,'[1]Conical Mounds'!A$1:O$65536,15,FALSE)</f>
        <v>2827.4333882308138</v>
      </c>
      <c r="BI177">
        <f>BD177/BF177</f>
        <v>2.1220659078919381E-3</v>
      </c>
      <c r="BJ177">
        <f>BI177*10000</f>
        <v>21.220659078919383</v>
      </c>
    </row>
    <row r="178" spans="1:62" x14ac:dyDescent="0.15">
      <c r="A178" s="7" t="s">
        <v>861</v>
      </c>
      <c r="B178" s="7" t="s">
        <v>862</v>
      </c>
      <c r="C178" s="7" t="s">
        <v>863</v>
      </c>
      <c r="D178" s="7" t="s">
        <v>5292</v>
      </c>
      <c r="E178" s="9" t="s">
        <v>6988</v>
      </c>
      <c r="L178" s="10">
        <v>3859712</v>
      </c>
      <c r="M178" s="10">
        <v>711584</v>
      </c>
      <c r="N178" s="11">
        <v>15</v>
      </c>
      <c r="O178" s="11" t="s">
        <v>6992</v>
      </c>
      <c r="P178" s="7" t="s">
        <v>864</v>
      </c>
      <c r="Q178" s="9" t="s">
        <v>6994</v>
      </c>
      <c r="S178" s="9" t="s">
        <v>6995</v>
      </c>
      <c r="T178" s="9" t="s">
        <v>4797</v>
      </c>
      <c r="U178" s="12" t="s">
        <v>5018</v>
      </c>
      <c r="V178" s="12" t="s">
        <v>5019</v>
      </c>
      <c r="W178" s="12">
        <v>0</v>
      </c>
      <c r="X178" s="12">
        <v>0</v>
      </c>
      <c r="Y178" s="12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1</v>
      </c>
      <c r="AE178" s="11">
        <v>1</v>
      </c>
      <c r="AF178" s="11">
        <v>0</v>
      </c>
      <c r="AG178" s="11">
        <v>0</v>
      </c>
      <c r="AH178" s="9" t="s">
        <v>4878</v>
      </c>
      <c r="AI178" s="11">
        <v>0</v>
      </c>
      <c r="AJ178" s="11">
        <v>0</v>
      </c>
      <c r="AK178" s="11">
        <v>0</v>
      </c>
      <c r="AL178" s="11">
        <v>0</v>
      </c>
      <c r="AN178" s="11">
        <v>0</v>
      </c>
      <c r="AO178" s="11">
        <v>0</v>
      </c>
      <c r="AP178" s="11">
        <v>0</v>
      </c>
      <c r="AQ178" s="11">
        <v>0</v>
      </c>
      <c r="AR178" s="11">
        <v>0</v>
      </c>
      <c r="AS178" s="11">
        <v>0</v>
      </c>
      <c r="AT178" s="11">
        <v>0</v>
      </c>
      <c r="AU178" s="11">
        <v>0</v>
      </c>
      <c r="AV178" s="11">
        <v>0</v>
      </c>
      <c r="AW178" s="11">
        <v>0</v>
      </c>
      <c r="AX178" s="11">
        <v>0</v>
      </c>
      <c r="AY178" s="11">
        <v>0</v>
      </c>
      <c r="BA178" s="12" t="s">
        <v>4877</v>
      </c>
      <c r="BB178" s="12">
        <v>0</v>
      </c>
      <c r="BC178" s="9" t="s">
        <v>4878</v>
      </c>
      <c r="BD178" s="12">
        <v>0</v>
      </c>
      <c r="BE178" s="12">
        <v>0</v>
      </c>
      <c r="BF178" s="12">
        <v>0</v>
      </c>
      <c r="BI178" s="12">
        <v>0</v>
      </c>
      <c r="BJ178" s="12">
        <v>0</v>
      </c>
    </row>
    <row r="179" spans="1:62" x14ac:dyDescent="0.15">
      <c r="A179" s="7" t="s">
        <v>865</v>
      </c>
      <c r="C179" s="7" t="s">
        <v>866</v>
      </c>
      <c r="D179" s="7" t="s">
        <v>5292</v>
      </c>
      <c r="E179" s="9" t="s">
        <v>5293</v>
      </c>
      <c r="L179" s="10">
        <v>3871500</v>
      </c>
      <c r="M179" s="10">
        <v>724350</v>
      </c>
      <c r="N179" s="11">
        <v>15</v>
      </c>
      <c r="P179" s="7" t="s">
        <v>867</v>
      </c>
      <c r="Q179" s="9" t="s">
        <v>1061</v>
      </c>
      <c r="R179" s="9" t="s">
        <v>1061</v>
      </c>
      <c r="S179" s="9" t="s">
        <v>5292</v>
      </c>
      <c r="T179" s="9" t="s">
        <v>8484</v>
      </c>
      <c r="U179" s="12" t="s">
        <v>5019</v>
      </c>
      <c r="V179" s="12" t="s">
        <v>5020</v>
      </c>
      <c r="W179" s="12">
        <v>0</v>
      </c>
      <c r="X179" s="12">
        <v>0</v>
      </c>
      <c r="Y179" s="12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  <c r="AE179" s="11">
        <v>1</v>
      </c>
      <c r="AF179" s="11">
        <v>1</v>
      </c>
      <c r="AG179" s="11">
        <v>0</v>
      </c>
      <c r="AH179" s="9">
        <v>2</v>
      </c>
      <c r="AI179" s="11">
        <v>2</v>
      </c>
      <c r="AJ179" s="11">
        <v>1</v>
      </c>
      <c r="AK179" s="11">
        <v>1</v>
      </c>
      <c r="AL179" s="11">
        <v>1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11">
        <v>0</v>
      </c>
      <c r="AT179" s="11">
        <v>1</v>
      </c>
      <c r="AU179" s="11">
        <v>0</v>
      </c>
      <c r="AV179" s="11">
        <v>0</v>
      </c>
      <c r="AW179" s="11">
        <v>0</v>
      </c>
      <c r="AX179" s="11">
        <v>0</v>
      </c>
      <c r="AY179" s="11">
        <v>0</v>
      </c>
      <c r="BA179" s="12" t="s">
        <v>4877</v>
      </c>
      <c r="BB179" s="12">
        <v>0</v>
      </c>
      <c r="BC179" s="9" t="s">
        <v>4878</v>
      </c>
      <c r="BD179" s="12">
        <v>12</v>
      </c>
      <c r="BE179" s="12">
        <v>0</v>
      </c>
      <c r="BF179" s="12">
        <v>0</v>
      </c>
      <c r="BI179" s="12">
        <v>0</v>
      </c>
      <c r="BJ179" s="12">
        <v>0</v>
      </c>
    </row>
    <row r="180" spans="1:62" x14ac:dyDescent="0.15">
      <c r="A180" s="7" t="s">
        <v>868</v>
      </c>
      <c r="B180" s="7" t="s">
        <v>869</v>
      </c>
      <c r="C180" s="7" t="s">
        <v>870</v>
      </c>
      <c r="D180" s="7" t="s">
        <v>5292</v>
      </c>
      <c r="E180" s="9" t="s">
        <v>6988</v>
      </c>
      <c r="L180" s="10">
        <v>3848880</v>
      </c>
      <c r="M180" s="10">
        <v>723216</v>
      </c>
      <c r="N180" s="11">
        <v>15</v>
      </c>
      <c r="O180" s="11" t="s">
        <v>6992</v>
      </c>
      <c r="P180" s="7" t="s">
        <v>871</v>
      </c>
      <c r="Q180" s="9" t="s">
        <v>5311</v>
      </c>
      <c r="R180" s="9" t="s">
        <v>5318</v>
      </c>
      <c r="S180" s="9" t="s">
        <v>6995</v>
      </c>
      <c r="T180" s="9" t="s">
        <v>8342</v>
      </c>
      <c r="U180" s="12" t="s">
        <v>5019</v>
      </c>
      <c r="V180" s="12" t="s">
        <v>5021</v>
      </c>
      <c r="W180" s="12">
        <v>0</v>
      </c>
      <c r="X180" s="12">
        <v>0</v>
      </c>
      <c r="Y180" s="12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1</v>
      </c>
      <c r="AF180" s="11">
        <v>1</v>
      </c>
      <c r="AG180" s="11">
        <v>1</v>
      </c>
      <c r="AH180" s="9">
        <v>1</v>
      </c>
      <c r="AI180" s="11">
        <v>1</v>
      </c>
      <c r="AJ180" s="11">
        <v>1</v>
      </c>
      <c r="AK180" s="11">
        <v>0</v>
      </c>
      <c r="AL180" s="11">
        <v>0</v>
      </c>
      <c r="AN180" s="11">
        <v>0</v>
      </c>
      <c r="AO180" s="11">
        <v>0</v>
      </c>
      <c r="AP180" s="11">
        <v>0</v>
      </c>
      <c r="AQ180" s="11">
        <v>0</v>
      </c>
      <c r="AR180" s="11">
        <v>1</v>
      </c>
      <c r="AS180" s="11">
        <v>0</v>
      </c>
      <c r="AT180" s="11">
        <v>0</v>
      </c>
      <c r="AU180" s="11">
        <v>0</v>
      </c>
      <c r="AV180" s="11">
        <v>0</v>
      </c>
      <c r="AW180" s="11">
        <v>1</v>
      </c>
      <c r="AX180" s="11">
        <v>0</v>
      </c>
      <c r="AY180" s="11">
        <v>0</v>
      </c>
      <c r="BA180" s="12" t="s">
        <v>4877</v>
      </c>
      <c r="BB180" s="12">
        <v>0</v>
      </c>
      <c r="BC180" s="9" t="s">
        <v>4878</v>
      </c>
      <c r="BD180" s="12">
        <v>12</v>
      </c>
      <c r="BE180" s="12">
        <v>0</v>
      </c>
      <c r="BF180" s="12">
        <v>0</v>
      </c>
      <c r="BI180" s="12">
        <v>0</v>
      </c>
      <c r="BJ180" s="12">
        <v>0</v>
      </c>
    </row>
    <row r="181" spans="1:62" x14ac:dyDescent="0.15">
      <c r="A181" s="7" t="s">
        <v>872</v>
      </c>
      <c r="B181" s="7" t="s">
        <v>873</v>
      </c>
      <c r="C181" s="7" t="s">
        <v>874</v>
      </c>
      <c r="D181" s="7" t="s">
        <v>5292</v>
      </c>
      <c r="E181" s="9" t="s">
        <v>6988</v>
      </c>
      <c r="L181" s="10">
        <v>3848624</v>
      </c>
      <c r="M181" s="10">
        <v>713036</v>
      </c>
      <c r="N181" s="11">
        <v>15</v>
      </c>
      <c r="O181" s="11" t="s">
        <v>4871</v>
      </c>
      <c r="P181" s="7" t="s">
        <v>875</v>
      </c>
      <c r="Q181" s="9" t="s">
        <v>1061</v>
      </c>
      <c r="R181" s="9" t="s">
        <v>1061</v>
      </c>
      <c r="S181" s="9" t="s">
        <v>6995</v>
      </c>
      <c r="T181" s="9" t="s">
        <v>4797</v>
      </c>
      <c r="U181" s="12" t="s">
        <v>5018</v>
      </c>
      <c r="V181" s="12" t="s">
        <v>5019</v>
      </c>
      <c r="W181" s="12">
        <v>0</v>
      </c>
      <c r="X181" s="12">
        <v>0</v>
      </c>
      <c r="Y181" s="12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1</v>
      </c>
      <c r="AE181" s="11">
        <v>1</v>
      </c>
      <c r="AF181" s="11">
        <v>0</v>
      </c>
      <c r="AG181" s="11">
        <v>0</v>
      </c>
      <c r="AH181" s="9">
        <v>1</v>
      </c>
      <c r="AI181" s="11">
        <v>1</v>
      </c>
      <c r="AJ181" s="11">
        <v>1</v>
      </c>
      <c r="AK181" s="11">
        <v>0</v>
      </c>
      <c r="AL181" s="11">
        <v>1</v>
      </c>
      <c r="AN181" s="11">
        <v>0</v>
      </c>
      <c r="AO181" s="11">
        <v>0</v>
      </c>
      <c r="AP181" s="11">
        <v>0</v>
      </c>
      <c r="AQ181" s="11">
        <v>1</v>
      </c>
      <c r="AR181" s="11">
        <v>0</v>
      </c>
      <c r="AS181" s="11">
        <v>0</v>
      </c>
      <c r="AT181" s="11">
        <v>0</v>
      </c>
      <c r="AU181" s="11">
        <v>0</v>
      </c>
      <c r="AV181" s="11">
        <v>0</v>
      </c>
      <c r="AW181" s="11">
        <v>0</v>
      </c>
      <c r="AX181" s="11">
        <v>0</v>
      </c>
      <c r="AY181" s="11">
        <v>0</v>
      </c>
      <c r="BA181" s="12" t="s">
        <v>4877</v>
      </c>
      <c r="BB181" s="12">
        <v>0</v>
      </c>
      <c r="BC181" s="9" t="s">
        <v>4878</v>
      </c>
      <c r="BD181" s="12">
        <v>14</v>
      </c>
      <c r="BE181" s="12">
        <v>0</v>
      </c>
      <c r="BF181" s="12">
        <v>0</v>
      </c>
      <c r="BI181" s="12">
        <v>0</v>
      </c>
      <c r="BJ181" s="12">
        <v>0</v>
      </c>
    </row>
    <row r="182" spans="1:62" x14ac:dyDescent="0.15">
      <c r="A182" s="7" t="s">
        <v>876</v>
      </c>
      <c r="C182" s="7" t="s">
        <v>877</v>
      </c>
      <c r="D182" s="7" t="s">
        <v>5292</v>
      </c>
      <c r="E182" s="9" t="s">
        <v>6988</v>
      </c>
      <c r="L182" s="10">
        <v>3872280</v>
      </c>
      <c r="M182" s="10">
        <v>718090</v>
      </c>
      <c r="N182" s="11">
        <v>15</v>
      </c>
      <c r="P182" s="7" t="s">
        <v>923</v>
      </c>
      <c r="Q182" s="9" t="s">
        <v>5311</v>
      </c>
      <c r="R182" s="9" t="s">
        <v>5318</v>
      </c>
      <c r="S182" s="9" t="s">
        <v>5292</v>
      </c>
      <c r="T182" s="9" t="s">
        <v>8484</v>
      </c>
      <c r="U182" s="12" t="s">
        <v>5019</v>
      </c>
      <c r="V182" s="12" t="s">
        <v>5020</v>
      </c>
      <c r="W182" s="12">
        <v>0</v>
      </c>
      <c r="X182" s="12">
        <v>0</v>
      </c>
      <c r="Y182" s="12">
        <v>0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1</v>
      </c>
      <c r="AF182" s="11">
        <v>1</v>
      </c>
      <c r="AG182" s="11">
        <v>0</v>
      </c>
      <c r="AH182" s="9">
        <v>3</v>
      </c>
      <c r="AI182" s="11">
        <v>3</v>
      </c>
      <c r="AJ182" s="11">
        <v>1</v>
      </c>
      <c r="AK182" s="11">
        <v>1</v>
      </c>
      <c r="AL182" s="11">
        <v>0</v>
      </c>
      <c r="AN182" s="11">
        <v>0</v>
      </c>
      <c r="AO182" s="11">
        <v>0</v>
      </c>
      <c r="AP182" s="11">
        <v>0</v>
      </c>
      <c r="AQ182" s="11">
        <v>0</v>
      </c>
      <c r="AR182" s="11">
        <v>1</v>
      </c>
      <c r="AS182" s="11">
        <v>0</v>
      </c>
      <c r="AT182" s="11">
        <v>1</v>
      </c>
      <c r="AU182" s="11">
        <v>0</v>
      </c>
      <c r="AV182" s="11">
        <v>0</v>
      </c>
      <c r="AW182" s="11">
        <v>0</v>
      </c>
      <c r="AX182" s="11">
        <v>0</v>
      </c>
      <c r="AY182" s="11">
        <v>0</v>
      </c>
      <c r="BA182" s="12" t="s">
        <v>4877</v>
      </c>
      <c r="BB182" s="12">
        <v>0</v>
      </c>
      <c r="BC182" s="9" t="s">
        <v>4878</v>
      </c>
      <c r="BD182" s="12">
        <v>11</v>
      </c>
      <c r="BE182" s="12">
        <v>0</v>
      </c>
      <c r="BF182" s="12">
        <f>VLOOKUP(A182,'[1]Conical Mounds'!A$1:O$65536,15,FALSE)</f>
        <v>9503.317777109125</v>
      </c>
      <c r="BI182">
        <f>BD182/BF182</f>
        <v>1.1574904952137842E-3</v>
      </c>
      <c r="BJ182">
        <f>BI182*10000</f>
        <v>11.574904952137842</v>
      </c>
    </row>
    <row r="183" spans="1:62" x14ac:dyDescent="0.15">
      <c r="A183" s="7" t="s">
        <v>878</v>
      </c>
      <c r="C183" s="7" t="s">
        <v>879</v>
      </c>
      <c r="D183" s="7" t="s">
        <v>5292</v>
      </c>
      <c r="E183" s="9" t="s">
        <v>6988</v>
      </c>
      <c r="L183" s="10">
        <v>3870420</v>
      </c>
      <c r="M183" s="10">
        <v>711815</v>
      </c>
      <c r="N183" s="11">
        <v>15</v>
      </c>
      <c r="P183" s="7" t="s">
        <v>880</v>
      </c>
      <c r="Q183" s="9" t="s">
        <v>1112</v>
      </c>
      <c r="S183" s="9" t="s">
        <v>5292</v>
      </c>
      <c r="T183" s="9" t="s">
        <v>4797</v>
      </c>
      <c r="U183" s="12" t="s">
        <v>5018</v>
      </c>
      <c r="V183" s="12" t="s">
        <v>5019</v>
      </c>
      <c r="W183" s="12">
        <v>0</v>
      </c>
      <c r="X183" s="12">
        <v>0</v>
      </c>
      <c r="Y183" s="12">
        <v>0</v>
      </c>
      <c r="Z183" s="11">
        <v>0</v>
      </c>
      <c r="AA183" s="11">
        <v>0</v>
      </c>
      <c r="AB183" s="11">
        <v>0</v>
      </c>
      <c r="AC183" s="11">
        <v>0</v>
      </c>
      <c r="AD183" s="11">
        <v>1</v>
      </c>
      <c r="AE183" s="11">
        <v>1</v>
      </c>
      <c r="AF183" s="11">
        <v>0</v>
      </c>
      <c r="AG183" s="11">
        <v>0</v>
      </c>
      <c r="AH183" s="9" t="s">
        <v>4909</v>
      </c>
      <c r="AI183" s="11">
        <v>1</v>
      </c>
      <c r="AJ183" s="11">
        <v>1</v>
      </c>
      <c r="AK183" s="11">
        <v>0</v>
      </c>
      <c r="AL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0</v>
      </c>
      <c r="AS183" s="11">
        <v>0</v>
      </c>
      <c r="AT183" s="11">
        <v>1</v>
      </c>
      <c r="AU183" s="11">
        <v>0</v>
      </c>
      <c r="AV183" s="11">
        <v>0</v>
      </c>
      <c r="AW183" s="11">
        <v>0</v>
      </c>
      <c r="AX183" s="11">
        <v>0</v>
      </c>
      <c r="AY183" s="11">
        <v>0</v>
      </c>
      <c r="BA183" s="12" t="s">
        <v>4877</v>
      </c>
      <c r="BB183" s="12">
        <v>0</v>
      </c>
      <c r="BC183" s="9" t="s">
        <v>4878</v>
      </c>
      <c r="BD183" s="12">
        <v>0</v>
      </c>
      <c r="BE183" s="12">
        <v>0</v>
      </c>
      <c r="BF183" s="12">
        <v>0</v>
      </c>
      <c r="BI183" s="12">
        <v>0</v>
      </c>
      <c r="BJ183" s="12">
        <v>0</v>
      </c>
    </row>
    <row r="184" spans="1:62" x14ac:dyDescent="0.15">
      <c r="A184" s="7" t="s">
        <v>881</v>
      </c>
      <c r="C184" s="7" t="s">
        <v>882</v>
      </c>
      <c r="D184" s="7" t="s">
        <v>5292</v>
      </c>
      <c r="E184" s="9" t="s">
        <v>6988</v>
      </c>
      <c r="L184" s="10">
        <v>3854570</v>
      </c>
      <c r="M184" s="10">
        <v>720657</v>
      </c>
      <c r="N184" s="11">
        <v>15</v>
      </c>
      <c r="P184" s="7" t="s">
        <v>5310</v>
      </c>
      <c r="Q184" s="9" t="s">
        <v>5311</v>
      </c>
      <c r="S184" s="9" t="s">
        <v>5292</v>
      </c>
      <c r="T184" s="9" t="s">
        <v>4797</v>
      </c>
      <c r="U184" s="12" t="s">
        <v>5018</v>
      </c>
      <c r="V184" s="12" t="s">
        <v>5019</v>
      </c>
      <c r="W184" s="12">
        <v>0</v>
      </c>
      <c r="X184" s="12">
        <v>0</v>
      </c>
      <c r="Y184" s="12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1</v>
      </c>
      <c r="AE184" s="11">
        <v>1</v>
      </c>
      <c r="AF184" s="11">
        <v>0</v>
      </c>
      <c r="AG184" s="11">
        <v>0</v>
      </c>
      <c r="AH184" s="9" t="s">
        <v>4909</v>
      </c>
      <c r="AI184" s="11">
        <v>1</v>
      </c>
      <c r="AJ184" s="11">
        <v>1</v>
      </c>
      <c r="AK184" s="11">
        <v>0</v>
      </c>
      <c r="AL184" s="11">
        <v>0</v>
      </c>
      <c r="AN184" s="11">
        <v>0</v>
      </c>
      <c r="AO184" s="11">
        <v>0</v>
      </c>
      <c r="AP184" s="11">
        <v>0</v>
      </c>
      <c r="AQ184" s="11">
        <v>0</v>
      </c>
      <c r="AR184" s="11">
        <v>0</v>
      </c>
      <c r="AS184" s="11">
        <v>0</v>
      </c>
      <c r="AT184" s="11">
        <v>1</v>
      </c>
      <c r="AU184" s="11">
        <v>0</v>
      </c>
      <c r="AV184" s="11">
        <v>0</v>
      </c>
      <c r="AW184" s="11">
        <v>0</v>
      </c>
      <c r="AX184" s="11">
        <v>0</v>
      </c>
      <c r="AY184" s="11">
        <v>0</v>
      </c>
      <c r="BA184" s="12" t="s">
        <v>4877</v>
      </c>
      <c r="BB184" s="12">
        <v>0</v>
      </c>
      <c r="BC184" s="9" t="s">
        <v>4878</v>
      </c>
      <c r="BD184" s="12">
        <v>0</v>
      </c>
      <c r="BE184" s="12">
        <v>0</v>
      </c>
      <c r="BF184" s="12">
        <v>0</v>
      </c>
      <c r="BI184" s="12">
        <v>0</v>
      </c>
      <c r="BJ184" s="12">
        <v>0</v>
      </c>
    </row>
    <row r="185" spans="1:62" x14ac:dyDescent="0.15">
      <c r="A185" s="7" t="s">
        <v>883</v>
      </c>
      <c r="C185" s="7" t="s">
        <v>884</v>
      </c>
      <c r="D185" s="7" t="s">
        <v>5292</v>
      </c>
      <c r="E185" s="9" t="s">
        <v>6988</v>
      </c>
      <c r="L185" s="10">
        <v>3872111</v>
      </c>
      <c r="M185" s="10">
        <v>713834</v>
      </c>
      <c r="N185" s="11">
        <v>15</v>
      </c>
      <c r="P185" s="7" t="s">
        <v>880</v>
      </c>
      <c r="Q185" s="9" t="s">
        <v>1112</v>
      </c>
      <c r="S185" s="9" t="s">
        <v>5292</v>
      </c>
      <c r="T185" s="9" t="s">
        <v>4902</v>
      </c>
      <c r="U185" s="12" t="s">
        <v>4902</v>
      </c>
      <c r="V185" s="12" t="s">
        <v>4902</v>
      </c>
      <c r="W185" s="12">
        <v>0</v>
      </c>
      <c r="X185" s="12">
        <v>0</v>
      </c>
      <c r="Y185" s="12">
        <v>0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0</v>
      </c>
      <c r="AH185" s="9" t="s">
        <v>4909</v>
      </c>
      <c r="AI185" s="11">
        <v>1</v>
      </c>
      <c r="AJ185" s="11">
        <v>1</v>
      </c>
      <c r="AK185" s="11">
        <v>0</v>
      </c>
      <c r="AL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1">
        <v>0</v>
      </c>
      <c r="AT185" s="11">
        <v>1</v>
      </c>
      <c r="AU185" s="11">
        <v>0</v>
      </c>
      <c r="AV185" s="11">
        <v>0</v>
      </c>
      <c r="AW185" s="11">
        <v>0</v>
      </c>
      <c r="AX185" s="11">
        <v>0</v>
      </c>
      <c r="AY185" s="11">
        <v>0</v>
      </c>
      <c r="BA185" s="12" t="s">
        <v>4877</v>
      </c>
      <c r="BB185" s="12">
        <v>0</v>
      </c>
      <c r="BC185" s="9" t="s">
        <v>4878</v>
      </c>
      <c r="BD185" s="12">
        <v>0</v>
      </c>
      <c r="BE185" s="12">
        <v>0</v>
      </c>
      <c r="BF185" s="12">
        <v>0</v>
      </c>
      <c r="BI185" s="12">
        <v>0</v>
      </c>
      <c r="BJ185" s="12">
        <v>0</v>
      </c>
    </row>
    <row r="186" spans="1:62" x14ac:dyDescent="0.15">
      <c r="A186" s="7" t="s">
        <v>885</v>
      </c>
      <c r="C186" s="7" t="s">
        <v>886</v>
      </c>
      <c r="D186" s="7" t="s">
        <v>5292</v>
      </c>
      <c r="E186" s="9" t="s">
        <v>6988</v>
      </c>
      <c r="L186" s="10">
        <v>3872820</v>
      </c>
      <c r="M186" s="10">
        <v>712000</v>
      </c>
      <c r="N186" s="11">
        <v>15</v>
      </c>
      <c r="P186" s="7" t="s">
        <v>926</v>
      </c>
      <c r="Q186" s="9" t="s">
        <v>5295</v>
      </c>
      <c r="R186" s="9" t="s">
        <v>5295</v>
      </c>
      <c r="S186" s="9" t="s">
        <v>5292</v>
      </c>
      <c r="T186" s="9" t="s">
        <v>4875</v>
      </c>
      <c r="U186" s="12" t="s">
        <v>5020</v>
      </c>
      <c r="V186" s="12" t="s">
        <v>5021</v>
      </c>
      <c r="W186" s="12">
        <v>0</v>
      </c>
      <c r="X186" s="12">
        <v>0</v>
      </c>
      <c r="Y186" s="12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1</v>
      </c>
      <c r="AG186" s="11">
        <v>1</v>
      </c>
      <c r="AH186" s="9">
        <v>1</v>
      </c>
      <c r="AI186" s="11">
        <v>1</v>
      </c>
      <c r="AJ186" s="11">
        <v>0</v>
      </c>
      <c r="AK186" s="11">
        <v>0</v>
      </c>
      <c r="AL186" s="11">
        <v>1</v>
      </c>
      <c r="AN186" s="11">
        <v>0</v>
      </c>
      <c r="AO186" s="11">
        <v>1</v>
      </c>
      <c r="AP186" s="11">
        <v>0</v>
      </c>
      <c r="AQ186" s="11">
        <v>0</v>
      </c>
      <c r="AR186" s="11">
        <v>0</v>
      </c>
      <c r="AS186" s="11">
        <v>0</v>
      </c>
      <c r="AT186" s="11">
        <v>0</v>
      </c>
      <c r="AU186" s="11">
        <v>0</v>
      </c>
      <c r="AV186" s="11">
        <v>0</v>
      </c>
      <c r="AW186" s="11">
        <v>1</v>
      </c>
      <c r="AX186" s="11">
        <v>0</v>
      </c>
      <c r="AY186" s="11">
        <v>0</v>
      </c>
      <c r="AZ186" s="12" t="s">
        <v>4843</v>
      </c>
      <c r="BA186" s="12" t="s">
        <v>4911</v>
      </c>
      <c r="BB186" s="12">
        <v>1</v>
      </c>
      <c r="BC186" s="9" t="s">
        <v>4878</v>
      </c>
      <c r="BD186" s="12">
        <v>9</v>
      </c>
      <c r="BE186" s="12">
        <v>275</v>
      </c>
      <c r="BF186" s="12">
        <v>0</v>
      </c>
      <c r="BI186" s="12">
        <v>0</v>
      </c>
      <c r="BJ186" s="12">
        <v>0</v>
      </c>
    </row>
    <row r="187" spans="1:62" x14ac:dyDescent="0.15">
      <c r="A187" s="7" t="s">
        <v>887</v>
      </c>
      <c r="B187" s="7" t="s">
        <v>888</v>
      </c>
      <c r="C187" s="7" t="s">
        <v>889</v>
      </c>
      <c r="D187" s="7" t="s">
        <v>5292</v>
      </c>
      <c r="E187" s="9" t="s">
        <v>6988</v>
      </c>
      <c r="L187" s="10">
        <v>3859730</v>
      </c>
      <c r="M187" s="10">
        <v>722513</v>
      </c>
      <c r="N187" s="11">
        <v>15</v>
      </c>
      <c r="O187" s="11" t="s">
        <v>4871</v>
      </c>
      <c r="P187" s="7" t="s">
        <v>890</v>
      </c>
      <c r="Q187" s="9" t="s">
        <v>5311</v>
      </c>
      <c r="S187" s="9" t="s">
        <v>6995</v>
      </c>
      <c r="T187" s="9" t="s">
        <v>4875</v>
      </c>
      <c r="U187" s="12" t="s">
        <v>5020</v>
      </c>
      <c r="V187" s="12" t="s">
        <v>5021</v>
      </c>
      <c r="W187" s="12">
        <v>0</v>
      </c>
      <c r="X187" s="12">
        <v>0</v>
      </c>
      <c r="Y187" s="12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1</v>
      </c>
      <c r="AG187" s="11">
        <v>1</v>
      </c>
      <c r="AH187" s="9" t="s">
        <v>1083</v>
      </c>
      <c r="AI187" s="11">
        <v>2</v>
      </c>
      <c r="AJ187" s="11">
        <v>1</v>
      </c>
      <c r="AK187" s="11">
        <v>1</v>
      </c>
      <c r="AL187" s="11">
        <v>1</v>
      </c>
      <c r="AN187" s="11">
        <v>0</v>
      </c>
      <c r="AO187" s="11">
        <v>0</v>
      </c>
      <c r="AP187" s="11">
        <v>0</v>
      </c>
      <c r="AQ187" s="11">
        <v>1</v>
      </c>
      <c r="AR187" s="11">
        <v>0</v>
      </c>
      <c r="AS187" s="11">
        <v>0</v>
      </c>
      <c r="AT187" s="11">
        <v>0</v>
      </c>
      <c r="AU187" s="11">
        <v>0</v>
      </c>
      <c r="AV187" s="11">
        <v>0</v>
      </c>
      <c r="AW187" s="11">
        <v>0</v>
      </c>
      <c r="AX187" s="11">
        <v>0</v>
      </c>
      <c r="AY187" s="11">
        <v>0</v>
      </c>
      <c r="BA187" s="12" t="s">
        <v>4877</v>
      </c>
      <c r="BB187" s="12">
        <v>0</v>
      </c>
      <c r="BC187" s="9" t="s">
        <v>4878</v>
      </c>
      <c r="BD187" s="12">
        <v>23</v>
      </c>
      <c r="BE187" s="12">
        <v>0</v>
      </c>
      <c r="BF187" s="12">
        <v>0</v>
      </c>
      <c r="BI187" s="12">
        <v>0</v>
      </c>
      <c r="BJ187" s="12">
        <v>0</v>
      </c>
    </row>
    <row r="188" spans="1:62" x14ac:dyDescent="0.15">
      <c r="A188" s="7" t="s">
        <v>891</v>
      </c>
      <c r="B188" s="7" t="s">
        <v>892</v>
      </c>
      <c r="C188" s="7" t="s">
        <v>893</v>
      </c>
      <c r="D188" s="7" t="s">
        <v>5292</v>
      </c>
      <c r="E188" s="9" t="s">
        <v>6988</v>
      </c>
      <c r="L188" s="10">
        <v>3854800</v>
      </c>
      <c r="M188" s="10">
        <v>725840</v>
      </c>
      <c r="N188" s="11">
        <v>15</v>
      </c>
      <c r="O188" s="11" t="s">
        <v>6992</v>
      </c>
      <c r="P188" s="7" t="s">
        <v>894</v>
      </c>
      <c r="Q188" s="9" t="s">
        <v>1061</v>
      </c>
      <c r="R188" s="9" t="s">
        <v>1061</v>
      </c>
      <c r="S188" s="9" t="s">
        <v>6995</v>
      </c>
      <c r="T188" s="9" t="s">
        <v>895</v>
      </c>
      <c r="U188" s="12" t="s">
        <v>5020</v>
      </c>
      <c r="V188" s="12" t="s">
        <v>5021</v>
      </c>
      <c r="W188" s="12">
        <v>0</v>
      </c>
      <c r="X188" s="12">
        <v>0</v>
      </c>
      <c r="Y188" s="12">
        <v>0</v>
      </c>
      <c r="Z188" s="11">
        <v>0</v>
      </c>
      <c r="AA188" s="11">
        <v>0</v>
      </c>
      <c r="AB188" s="11">
        <v>0</v>
      </c>
      <c r="AC188" s="11">
        <v>1</v>
      </c>
      <c r="AD188" s="11">
        <v>0</v>
      </c>
      <c r="AE188" s="11">
        <v>0</v>
      </c>
      <c r="AF188" s="11">
        <v>1</v>
      </c>
      <c r="AG188" s="11">
        <v>1</v>
      </c>
      <c r="AH188" s="9">
        <v>2</v>
      </c>
      <c r="AI188" s="11">
        <v>2</v>
      </c>
      <c r="AJ188" s="11">
        <v>1</v>
      </c>
      <c r="AK188" s="11">
        <v>1</v>
      </c>
      <c r="AL188" s="11">
        <v>1</v>
      </c>
      <c r="AN188" s="11">
        <v>0</v>
      </c>
      <c r="AO188" s="11">
        <v>0</v>
      </c>
      <c r="AP188" s="11">
        <v>0</v>
      </c>
      <c r="AQ188" s="11">
        <v>1</v>
      </c>
      <c r="AR188" s="11">
        <v>0</v>
      </c>
      <c r="AS188" s="11">
        <v>0</v>
      </c>
      <c r="AT188" s="11">
        <v>1</v>
      </c>
      <c r="AU188" s="11">
        <v>0</v>
      </c>
      <c r="AV188" s="11">
        <v>0</v>
      </c>
      <c r="AW188" s="11">
        <v>1</v>
      </c>
      <c r="AX188" s="11">
        <v>0</v>
      </c>
      <c r="AY188" s="11">
        <v>0</v>
      </c>
      <c r="BA188" s="12" t="s">
        <v>4877</v>
      </c>
      <c r="BB188" s="12">
        <v>0</v>
      </c>
      <c r="BC188" s="9" t="s">
        <v>4878</v>
      </c>
      <c r="BD188" s="12">
        <v>16</v>
      </c>
      <c r="BE188" s="12">
        <v>0</v>
      </c>
      <c r="BF188" s="12">
        <v>0</v>
      </c>
      <c r="BI188" s="12">
        <v>0</v>
      </c>
      <c r="BJ188" s="12">
        <v>0</v>
      </c>
    </row>
    <row r="189" spans="1:62" x14ac:dyDescent="0.15">
      <c r="A189" s="7" t="s">
        <v>896</v>
      </c>
      <c r="B189" s="7" t="s">
        <v>897</v>
      </c>
      <c r="C189" s="7" t="s">
        <v>898</v>
      </c>
      <c r="D189" s="7" t="s">
        <v>5292</v>
      </c>
      <c r="E189" s="9" t="s">
        <v>6988</v>
      </c>
      <c r="L189" s="10">
        <v>3858990</v>
      </c>
      <c r="M189" s="10">
        <v>725132</v>
      </c>
      <c r="N189" s="11">
        <v>15</v>
      </c>
      <c r="O189" s="11" t="s">
        <v>6992</v>
      </c>
      <c r="P189" s="7" t="s">
        <v>899</v>
      </c>
      <c r="Q189" s="9" t="s">
        <v>5311</v>
      </c>
      <c r="S189" s="9" t="s">
        <v>6995</v>
      </c>
      <c r="T189" s="9" t="s">
        <v>8484</v>
      </c>
      <c r="U189" s="12" t="s">
        <v>5019</v>
      </c>
      <c r="V189" s="12" t="s">
        <v>5020</v>
      </c>
      <c r="W189" s="12">
        <v>0</v>
      </c>
      <c r="X189" s="12">
        <v>0</v>
      </c>
      <c r="Y189" s="12">
        <v>0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1</v>
      </c>
      <c r="AF189" s="11">
        <v>1</v>
      </c>
      <c r="AG189" s="11">
        <v>0</v>
      </c>
      <c r="AH189" s="9" t="s">
        <v>4909</v>
      </c>
      <c r="AI189" s="11">
        <v>1</v>
      </c>
      <c r="AJ189" s="11">
        <v>1</v>
      </c>
      <c r="AK189" s="11">
        <v>0</v>
      </c>
      <c r="AL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1">
        <v>0</v>
      </c>
      <c r="AT189" s="11">
        <v>1</v>
      </c>
      <c r="AU189" s="11">
        <v>0</v>
      </c>
      <c r="AV189" s="11">
        <v>0</v>
      </c>
      <c r="AW189" s="11">
        <v>0</v>
      </c>
      <c r="AX189" s="11">
        <v>0</v>
      </c>
      <c r="AY189" s="11">
        <v>0</v>
      </c>
      <c r="BA189" s="12" t="s">
        <v>4877</v>
      </c>
      <c r="BB189" s="12">
        <v>0</v>
      </c>
      <c r="BC189" s="9" t="s">
        <v>4878</v>
      </c>
      <c r="BD189" s="12">
        <v>0</v>
      </c>
      <c r="BE189" s="12">
        <v>0</v>
      </c>
      <c r="BF189" s="12">
        <v>0</v>
      </c>
      <c r="BI189" s="12">
        <v>0</v>
      </c>
      <c r="BJ189" s="12">
        <v>0</v>
      </c>
    </row>
    <row r="190" spans="1:62" x14ac:dyDescent="0.15">
      <c r="A190" s="7" t="s">
        <v>900</v>
      </c>
      <c r="B190" s="7" t="s">
        <v>901</v>
      </c>
      <c r="C190" s="7" t="s">
        <v>902</v>
      </c>
      <c r="D190" s="7" t="s">
        <v>5292</v>
      </c>
      <c r="E190" s="9" t="s">
        <v>6988</v>
      </c>
      <c r="L190" s="10">
        <v>3855190</v>
      </c>
      <c r="M190" s="10">
        <v>723393</v>
      </c>
      <c r="N190" s="11">
        <v>15</v>
      </c>
      <c r="O190" s="11" t="s">
        <v>6992</v>
      </c>
      <c r="P190" s="7" t="s">
        <v>693</v>
      </c>
      <c r="Q190" s="9" t="s">
        <v>5311</v>
      </c>
      <c r="S190" s="9" t="s">
        <v>6995</v>
      </c>
      <c r="T190" s="9" t="s">
        <v>4875</v>
      </c>
      <c r="U190" s="12" t="s">
        <v>5020</v>
      </c>
      <c r="V190" s="12" t="s">
        <v>5021</v>
      </c>
      <c r="W190" s="12">
        <v>0</v>
      </c>
      <c r="X190" s="12">
        <v>0</v>
      </c>
      <c r="Y190" s="12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1</v>
      </c>
      <c r="AG190" s="11">
        <v>1</v>
      </c>
      <c r="AH190" s="9" t="s">
        <v>4909</v>
      </c>
      <c r="AI190" s="11">
        <v>1</v>
      </c>
      <c r="AJ190" s="11">
        <v>1</v>
      </c>
      <c r="AK190" s="11">
        <v>0</v>
      </c>
      <c r="AL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0</v>
      </c>
      <c r="AS190" s="11">
        <v>0</v>
      </c>
      <c r="AT190" s="11">
        <v>1</v>
      </c>
      <c r="AU190" s="11">
        <v>0</v>
      </c>
      <c r="AV190" s="11">
        <v>0</v>
      </c>
      <c r="AW190" s="11">
        <v>0</v>
      </c>
      <c r="AX190" s="11">
        <v>0</v>
      </c>
      <c r="AY190" s="11">
        <v>0</v>
      </c>
      <c r="BA190" s="12" t="s">
        <v>4877</v>
      </c>
      <c r="BB190" s="12">
        <v>0</v>
      </c>
      <c r="BC190" s="9" t="s">
        <v>4878</v>
      </c>
      <c r="BD190" s="12">
        <v>3</v>
      </c>
      <c r="BE190" s="12">
        <v>0</v>
      </c>
      <c r="BF190" s="12">
        <v>0</v>
      </c>
      <c r="BI190" s="12">
        <v>0</v>
      </c>
      <c r="BJ190" s="12">
        <v>0</v>
      </c>
    </row>
    <row r="191" spans="1:62" x14ac:dyDescent="0.15">
      <c r="A191" s="7" t="s">
        <v>694</v>
      </c>
      <c r="B191" s="7" t="s">
        <v>695</v>
      </c>
      <c r="C191" s="7" t="s">
        <v>696</v>
      </c>
      <c r="D191" s="7" t="s">
        <v>5292</v>
      </c>
      <c r="E191" s="9" t="s">
        <v>6988</v>
      </c>
      <c r="L191" s="10">
        <v>3861780</v>
      </c>
      <c r="M191" s="10">
        <v>708000</v>
      </c>
      <c r="N191" s="11">
        <v>15</v>
      </c>
      <c r="O191" s="11" t="s">
        <v>4871</v>
      </c>
      <c r="P191" s="7" t="s">
        <v>697</v>
      </c>
      <c r="Q191" s="9" t="s">
        <v>5295</v>
      </c>
      <c r="R191" s="9" t="s">
        <v>5295</v>
      </c>
      <c r="S191" s="9" t="s">
        <v>6995</v>
      </c>
      <c r="T191" s="9" t="s">
        <v>4875</v>
      </c>
      <c r="U191" s="12" t="s">
        <v>5020</v>
      </c>
      <c r="V191" s="12" t="s">
        <v>5021</v>
      </c>
      <c r="W191" s="12">
        <v>0</v>
      </c>
      <c r="X191" s="12">
        <v>0</v>
      </c>
      <c r="Y191" s="12">
        <v>0</v>
      </c>
      <c r="Z191" s="11">
        <v>0</v>
      </c>
      <c r="AA191" s="11">
        <v>0</v>
      </c>
      <c r="AB191" s="11">
        <v>0</v>
      </c>
      <c r="AC191" s="11">
        <v>0</v>
      </c>
      <c r="AD191" s="11">
        <v>0</v>
      </c>
      <c r="AE191" s="11">
        <v>0</v>
      </c>
      <c r="AF191" s="11">
        <v>1</v>
      </c>
      <c r="AG191" s="11">
        <v>1</v>
      </c>
      <c r="AH191" s="9" t="s">
        <v>1083</v>
      </c>
      <c r="AI191" s="11">
        <v>2</v>
      </c>
      <c r="AJ191" s="11">
        <v>1</v>
      </c>
      <c r="AK191" s="11">
        <v>1</v>
      </c>
      <c r="AL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11">
        <v>0</v>
      </c>
      <c r="AT191" s="11">
        <v>1</v>
      </c>
      <c r="AU191" s="11">
        <v>0</v>
      </c>
      <c r="AV191" s="11">
        <v>0</v>
      </c>
      <c r="AW191" s="11">
        <v>1</v>
      </c>
      <c r="AX191" s="11">
        <v>0</v>
      </c>
      <c r="AY191" s="11">
        <v>0</v>
      </c>
      <c r="AZ191" s="12" t="s">
        <v>4843</v>
      </c>
      <c r="BA191" s="12" t="s">
        <v>4911</v>
      </c>
      <c r="BB191" s="12">
        <v>0</v>
      </c>
      <c r="BC191" s="9" t="s">
        <v>4878</v>
      </c>
      <c r="BD191" s="12">
        <v>0</v>
      </c>
      <c r="BE191" s="12">
        <v>0</v>
      </c>
      <c r="BF191" s="12">
        <v>0</v>
      </c>
      <c r="BI191" s="12">
        <v>0</v>
      </c>
      <c r="BJ191" s="12">
        <v>0</v>
      </c>
    </row>
    <row r="192" spans="1:62" x14ac:dyDescent="0.15">
      <c r="A192" s="7" t="s">
        <v>698</v>
      </c>
      <c r="C192" s="7" t="s">
        <v>699</v>
      </c>
      <c r="D192" s="7" t="s">
        <v>5292</v>
      </c>
      <c r="E192" s="9" t="s">
        <v>6988</v>
      </c>
      <c r="L192" s="10">
        <v>3856560</v>
      </c>
      <c r="M192" s="10">
        <v>726001</v>
      </c>
      <c r="N192" s="11">
        <v>15</v>
      </c>
      <c r="P192" s="7" t="s">
        <v>700</v>
      </c>
      <c r="Q192" s="9" t="s">
        <v>6994</v>
      </c>
      <c r="S192" s="9" t="s">
        <v>5292</v>
      </c>
      <c r="T192" s="9" t="s">
        <v>4797</v>
      </c>
      <c r="U192" s="12" t="s">
        <v>5018</v>
      </c>
      <c r="V192" s="12" t="s">
        <v>5019</v>
      </c>
      <c r="W192" s="12">
        <v>0</v>
      </c>
      <c r="X192" s="12">
        <v>0</v>
      </c>
      <c r="Y192" s="12">
        <v>0</v>
      </c>
      <c r="Z192" s="11">
        <v>0</v>
      </c>
      <c r="AA192" s="11">
        <v>0</v>
      </c>
      <c r="AB192" s="11">
        <v>0</v>
      </c>
      <c r="AC192" s="11">
        <v>0</v>
      </c>
      <c r="AD192" s="11">
        <v>1</v>
      </c>
      <c r="AE192" s="11">
        <v>1</v>
      </c>
      <c r="AF192" s="11">
        <v>0</v>
      </c>
      <c r="AG192" s="11">
        <v>0</v>
      </c>
      <c r="AH192" s="9" t="s">
        <v>4878</v>
      </c>
      <c r="AI192" s="11">
        <v>0</v>
      </c>
      <c r="AJ192" s="11">
        <v>0</v>
      </c>
      <c r="AK192" s="11">
        <v>0</v>
      </c>
      <c r="AL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1">
        <v>0</v>
      </c>
      <c r="AT192" s="11">
        <v>0</v>
      </c>
      <c r="AU192" s="11">
        <v>0</v>
      </c>
      <c r="AV192" s="11">
        <v>0</v>
      </c>
      <c r="AW192" s="11">
        <v>0</v>
      </c>
      <c r="AX192" s="11">
        <v>0</v>
      </c>
      <c r="AY192" s="11">
        <v>0</v>
      </c>
      <c r="BA192" s="12" t="s">
        <v>4877</v>
      </c>
      <c r="BB192" s="12">
        <v>0</v>
      </c>
      <c r="BC192" s="9" t="s">
        <v>4878</v>
      </c>
      <c r="BD192" s="12">
        <v>0</v>
      </c>
      <c r="BE192" s="12">
        <v>0</v>
      </c>
      <c r="BF192" s="12">
        <v>0</v>
      </c>
      <c r="BI192" s="12">
        <v>0</v>
      </c>
      <c r="BJ192" s="12">
        <v>0</v>
      </c>
    </row>
    <row r="193" spans="1:62" x14ac:dyDescent="0.15">
      <c r="A193" s="7" t="s">
        <v>701</v>
      </c>
      <c r="B193" s="7" t="s">
        <v>702</v>
      </c>
      <c r="C193" s="7" t="s">
        <v>703</v>
      </c>
      <c r="D193" s="7" t="s">
        <v>5292</v>
      </c>
      <c r="E193" s="9" t="s">
        <v>6988</v>
      </c>
      <c r="L193" s="10">
        <v>3850040</v>
      </c>
      <c r="M193" s="10">
        <v>718056</v>
      </c>
      <c r="N193" s="11">
        <v>15</v>
      </c>
      <c r="O193" s="11" t="s">
        <v>6992</v>
      </c>
      <c r="P193" s="7" t="s">
        <v>704</v>
      </c>
      <c r="Q193" s="9" t="s">
        <v>6994</v>
      </c>
      <c r="S193" s="9" t="s">
        <v>6995</v>
      </c>
      <c r="T193" s="9" t="s">
        <v>8484</v>
      </c>
      <c r="U193" s="12" t="s">
        <v>5019</v>
      </c>
      <c r="V193" s="12" t="s">
        <v>5020</v>
      </c>
      <c r="W193" s="12">
        <v>0</v>
      </c>
      <c r="X193" s="12">
        <v>0</v>
      </c>
      <c r="Y193" s="12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1</v>
      </c>
      <c r="AF193" s="11">
        <v>1</v>
      </c>
      <c r="AG193" s="11">
        <v>0</v>
      </c>
      <c r="AH193" s="9" t="s">
        <v>4878</v>
      </c>
      <c r="AI193" s="11">
        <v>0</v>
      </c>
      <c r="AJ193" s="11">
        <v>0</v>
      </c>
      <c r="AK193" s="11">
        <v>0</v>
      </c>
      <c r="AL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0</v>
      </c>
      <c r="AT193" s="11">
        <v>0</v>
      </c>
      <c r="AU193" s="11">
        <v>0</v>
      </c>
      <c r="AV193" s="11">
        <v>0</v>
      </c>
      <c r="AW193" s="11">
        <v>0</v>
      </c>
      <c r="AX193" s="11">
        <v>0</v>
      </c>
      <c r="AY193" s="11">
        <v>0</v>
      </c>
      <c r="BA193" s="12" t="s">
        <v>4877</v>
      </c>
      <c r="BB193" s="12">
        <v>0</v>
      </c>
      <c r="BC193" s="9" t="s">
        <v>4878</v>
      </c>
      <c r="BD193" s="12">
        <v>0</v>
      </c>
      <c r="BE193" s="12">
        <v>0</v>
      </c>
      <c r="BF193" s="12">
        <v>0</v>
      </c>
      <c r="BI193" s="12">
        <v>0</v>
      </c>
      <c r="BJ193" s="12">
        <v>0</v>
      </c>
    </row>
    <row r="194" spans="1:62" x14ac:dyDescent="0.15">
      <c r="A194" s="7" t="s">
        <v>705</v>
      </c>
      <c r="B194" s="7" t="s">
        <v>706</v>
      </c>
      <c r="C194" s="7" t="s">
        <v>707</v>
      </c>
      <c r="D194" s="7" t="s">
        <v>5292</v>
      </c>
      <c r="E194" s="9" t="s">
        <v>6988</v>
      </c>
      <c r="L194" s="10">
        <v>3864600</v>
      </c>
      <c r="M194" s="10">
        <v>732400</v>
      </c>
      <c r="N194" s="11">
        <v>15</v>
      </c>
      <c r="O194" s="11" t="s">
        <v>6992</v>
      </c>
      <c r="P194" s="7" t="s">
        <v>708</v>
      </c>
      <c r="Q194" s="9" t="s">
        <v>1061</v>
      </c>
      <c r="R194" s="9" t="s">
        <v>1061</v>
      </c>
      <c r="S194" s="9" t="s">
        <v>6995</v>
      </c>
      <c r="T194" s="9" t="s">
        <v>4797</v>
      </c>
      <c r="U194" s="12" t="s">
        <v>5018</v>
      </c>
      <c r="V194" s="12" t="s">
        <v>5019</v>
      </c>
      <c r="W194" s="12">
        <v>0</v>
      </c>
      <c r="X194" s="12">
        <v>0</v>
      </c>
      <c r="Y194" s="12">
        <v>0</v>
      </c>
      <c r="Z194" s="11">
        <v>0</v>
      </c>
      <c r="AA194" s="11">
        <v>0</v>
      </c>
      <c r="AB194" s="11">
        <v>0</v>
      </c>
      <c r="AC194" s="11">
        <v>0</v>
      </c>
      <c r="AD194" s="11">
        <v>1</v>
      </c>
      <c r="AE194" s="11">
        <v>1</v>
      </c>
      <c r="AF194" s="11">
        <v>0</v>
      </c>
      <c r="AG194" s="11">
        <v>0</v>
      </c>
      <c r="AH194" s="9">
        <v>2</v>
      </c>
      <c r="AI194" s="11">
        <v>2</v>
      </c>
      <c r="AJ194" s="11">
        <v>1</v>
      </c>
      <c r="AK194" s="11">
        <v>1</v>
      </c>
      <c r="AL194" s="11">
        <v>1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11">
        <v>0</v>
      </c>
      <c r="AT194" s="11">
        <v>1</v>
      </c>
      <c r="AU194" s="11">
        <v>0</v>
      </c>
      <c r="AV194" s="11">
        <v>0</v>
      </c>
      <c r="AW194" s="11">
        <v>0</v>
      </c>
      <c r="AX194" s="11">
        <v>0</v>
      </c>
      <c r="AY194" s="11">
        <v>0</v>
      </c>
      <c r="BA194" s="12" t="s">
        <v>4877</v>
      </c>
      <c r="BB194" s="12">
        <v>1</v>
      </c>
      <c r="BC194" s="9" t="s">
        <v>4878</v>
      </c>
      <c r="BD194" s="12">
        <v>9</v>
      </c>
      <c r="BE194" s="12">
        <v>400</v>
      </c>
      <c r="BF194" s="12">
        <v>0</v>
      </c>
      <c r="BI194" s="12">
        <v>0</v>
      </c>
      <c r="BJ194" s="12">
        <v>0</v>
      </c>
    </row>
    <row r="195" spans="1:62" x14ac:dyDescent="0.15">
      <c r="A195" s="7" t="s">
        <v>709</v>
      </c>
      <c r="C195" s="7" t="s">
        <v>710</v>
      </c>
      <c r="D195" s="7" t="s">
        <v>5292</v>
      </c>
      <c r="E195" s="9" t="s">
        <v>6988</v>
      </c>
      <c r="L195" s="10">
        <v>3851300</v>
      </c>
      <c r="M195" s="10">
        <v>740620</v>
      </c>
      <c r="N195" s="11">
        <v>15</v>
      </c>
      <c r="P195" s="7" t="s">
        <v>711</v>
      </c>
      <c r="Q195" s="9" t="s">
        <v>712</v>
      </c>
      <c r="R195" s="9" t="s">
        <v>712</v>
      </c>
      <c r="S195" s="9" t="s">
        <v>5292</v>
      </c>
      <c r="T195" s="9" t="s">
        <v>4875</v>
      </c>
      <c r="U195" s="12" t="s">
        <v>5020</v>
      </c>
      <c r="V195" s="12" t="s">
        <v>5021</v>
      </c>
      <c r="W195" s="12">
        <v>0</v>
      </c>
      <c r="X195" s="12">
        <v>0</v>
      </c>
      <c r="Y195" s="12">
        <v>0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11">
        <v>1</v>
      </c>
      <c r="AG195" s="11">
        <v>1</v>
      </c>
      <c r="AH195" s="9">
        <v>15</v>
      </c>
      <c r="AI195" s="11">
        <v>15</v>
      </c>
      <c r="AJ195" s="11">
        <v>1</v>
      </c>
      <c r="AK195" s="11">
        <v>1</v>
      </c>
      <c r="AL195" s="11">
        <v>1</v>
      </c>
      <c r="AN195" s="11">
        <v>1</v>
      </c>
      <c r="AO195" s="11">
        <v>0</v>
      </c>
      <c r="AP195" s="11">
        <v>0</v>
      </c>
      <c r="AQ195" s="11">
        <v>1</v>
      </c>
      <c r="AR195" s="11">
        <v>0</v>
      </c>
      <c r="AS195" s="11">
        <v>0</v>
      </c>
      <c r="AT195" s="11">
        <v>1</v>
      </c>
      <c r="AU195" s="11">
        <v>0</v>
      </c>
      <c r="AV195" s="11">
        <v>0</v>
      </c>
      <c r="AW195" s="11">
        <v>0</v>
      </c>
      <c r="AX195" s="11">
        <v>0</v>
      </c>
      <c r="AY195" s="11">
        <v>0</v>
      </c>
      <c r="BA195" s="12" t="s">
        <v>4877</v>
      </c>
      <c r="BB195" s="12">
        <v>1</v>
      </c>
      <c r="BC195" s="9" t="s">
        <v>4878</v>
      </c>
      <c r="BD195" s="12">
        <v>20</v>
      </c>
      <c r="BE195" s="12">
        <v>450</v>
      </c>
      <c r="BF195" s="12">
        <v>0</v>
      </c>
      <c r="BI195" s="12">
        <v>0</v>
      </c>
      <c r="BJ195" s="12">
        <v>0</v>
      </c>
    </row>
    <row r="196" spans="1:62" x14ac:dyDescent="0.15">
      <c r="A196" s="7" t="s">
        <v>713</v>
      </c>
      <c r="C196" s="7" t="s">
        <v>714</v>
      </c>
      <c r="D196" s="7" t="s">
        <v>5292</v>
      </c>
      <c r="E196" s="9" t="s">
        <v>6988</v>
      </c>
      <c r="L196" s="10">
        <v>3855772</v>
      </c>
      <c r="M196" s="10">
        <v>739436</v>
      </c>
      <c r="N196" s="11">
        <v>15</v>
      </c>
      <c r="P196" s="7" t="s">
        <v>715</v>
      </c>
      <c r="Q196" s="9" t="s">
        <v>1061</v>
      </c>
      <c r="R196" s="9" t="s">
        <v>1061</v>
      </c>
      <c r="S196" s="9" t="s">
        <v>5292</v>
      </c>
      <c r="T196" s="9" t="s">
        <v>8484</v>
      </c>
      <c r="U196" s="12" t="s">
        <v>5019</v>
      </c>
      <c r="V196" s="12" t="s">
        <v>5020</v>
      </c>
      <c r="W196" s="12">
        <v>0</v>
      </c>
      <c r="X196" s="12">
        <v>0</v>
      </c>
      <c r="Y196" s="12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1</v>
      </c>
      <c r="AF196" s="11">
        <v>1</v>
      </c>
      <c r="AG196" s="11">
        <v>0</v>
      </c>
      <c r="AH196" s="9">
        <v>6</v>
      </c>
      <c r="AI196" s="11">
        <v>6</v>
      </c>
      <c r="AJ196" s="11">
        <v>1</v>
      </c>
      <c r="AK196" s="11">
        <v>1</v>
      </c>
      <c r="AL196" s="11">
        <v>1</v>
      </c>
      <c r="AN196" s="11">
        <v>1</v>
      </c>
      <c r="AO196" s="11">
        <v>0</v>
      </c>
      <c r="AP196" s="11">
        <v>0</v>
      </c>
      <c r="AQ196" s="11">
        <v>1</v>
      </c>
      <c r="AR196" s="11">
        <v>0</v>
      </c>
      <c r="AS196" s="11">
        <v>0</v>
      </c>
      <c r="AT196" s="11">
        <v>1</v>
      </c>
      <c r="AU196" s="11">
        <v>0</v>
      </c>
      <c r="AV196" s="11">
        <v>0</v>
      </c>
      <c r="AW196" s="11">
        <v>0</v>
      </c>
      <c r="AX196" s="11">
        <v>0</v>
      </c>
      <c r="AY196" s="11">
        <v>0</v>
      </c>
      <c r="BA196" s="12" t="s">
        <v>4877</v>
      </c>
      <c r="BB196" s="12">
        <v>0</v>
      </c>
      <c r="BC196" s="9" t="s">
        <v>4878</v>
      </c>
      <c r="BD196" s="12">
        <v>18</v>
      </c>
      <c r="BE196" s="12">
        <v>0</v>
      </c>
      <c r="BF196" s="12">
        <v>0</v>
      </c>
      <c r="BI196" s="12">
        <v>0</v>
      </c>
      <c r="BJ196" s="12">
        <v>0</v>
      </c>
    </row>
    <row r="197" spans="1:62" x14ac:dyDescent="0.15">
      <c r="A197" s="7" t="s">
        <v>716</v>
      </c>
      <c r="C197" s="7" t="s">
        <v>717</v>
      </c>
      <c r="D197" s="7" t="s">
        <v>5292</v>
      </c>
      <c r="E197" s="9" t="s">
        <v>6988</v>
      </c>
      <c r="L197" s="10">
        <v>3849650</v>
      </c>
      <c r="M197" s="10">
        <v>741784</v>
      </c>
      <c r="N197" s="11">
        <v>15</v>
      </c>
      <c r="P197" s="7" t="s">
        <v>718</v>
      </c>
      <c r="Q197" s="9" t="s">
        <v>5294</v>
      </c>
      <c r="S197" s="9" t="s">
        <v>5292</v>
      </c>
      <c r="T197" s="9" t="s">
        <v>8484</v>
      </c>
      <c r="U197" s="12" t="s">
        <v>5019</v>
      </c>
      <c r="V197" s="12" t="s">
        <v>5020</v>
      </c>
      <c r="W197" s="12">
        <v>0</v>
      </c>
      <c r="X197" s="12">
        <v>0</v>
      </c>
      <c r="Y197" s="12">
        <v>0</v>
      </c>
      <c r="Z197" s="11">
        <v>0</v>
      </c>
      <c r="AA197" s="11">
        <v>0</v>
      </c>
      <c r="AB197" s="11">
        <v>0</v>
      </c>
      <c r="AC197" s="11">
        <v>0</v>
      </c>
      <c r="AD197" s="11">
        <v>0</v>
      </c>
      <c r="AE197" s="11">
        <v>1</v>
      </c>
      <c r="AF197" s="11">
        <v>1</v>
      </c>
      <c r="AG197" s="11">
        <v>0</v>
      </c>
      <c r="AH197" s="9" t="s">
        <v>4878</v>
      </c>
      <c r="AI197" s="11">
        <v>0</v>
      </c>
      <c r="AJ197" s="11">
        <v>0</v>
      </c>
      <c r="AK197" s="11">
        <v>0</v>
      </c>
      <c r="AL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0</v>
      </c>
      <c r="AT197" s="11">
        <v>0</v>
      </c>
      <c r="AU197" s="11">
        <v>0</v>
      </c>
      <c r="AV197" s="11">
        <v>0</v>
      </c>
      <c r="AW197" s="11">
        <v>0</v>
      </c>
      <c r="AX197" s="11">
        <v>0</v>
      </c>
      <c r="AY197" s="11">
        <v>0</v>
      </c>
      <c r="BA197" s="12" t="s">
        <v>4877</v>
      </c>
      <c r="BB197" s="12">
        <v>0</v>
      </c>
      <c r="BC197" s="9" t="s">
        <v>4878</v>
      </c>
      <c r="BD197" s="12">
        <v>0</v>
      </c>
      <c r="BE197" s="12">
        <v>0</v>
      </c>
      <c r="BF197" s="12">
        <v>0</v>
      </c>
      <c r="BI197" s="12">
        <v>0</v>
      </c>
      <c r="BJ197" s="12">
        <v>0</v>
      </c>
    </row>
    <row r="198" spans="1:62" x14ac:dyDescent="0.15">
      <c r="A198" s="7" t="s">
        <v>719</v>
      </c>
      <c r="C198" s="7" t="s">
        <v>720</v>
      </c>
      <c r="D198" s="7" t="s">
        <v>5292</v>
      </c>
      <c r="E198" s="9" t="s">
        <v>6988</v>
      </c>
      <c r="L198" s="10">
        <v>3852682</v>
      </c>
      <c r="M198" s="10">
        <v>744014</v>
      </c>
      <c r="N198" s="11">
        <v>15</v>
      </c>
      <c r="P198" s="7" t="s">
        <v>880</v>
      </c>
      <c r="Q198" s="9" t="s">
        <v>1112</v>
      </c>
      <c r="S198" s="9" t="s">
        <v>5292</v>
      </c>
      <c r="T198" s="9" t="s">
        <v>4902</v>
      </c>
      <c r="U198" s="12" t="s">
        <v>4902</v>
      </c>
      <c r="V198" s="12" t="s">
        <v>4902</v>
      </c>
      <c r="W198" s="12">
        <v>0</v>
      </c>
      <c r="X198" s="12">
        <v>0</v>
      </c>
      <c r="Y198" s="12">
        <v>0</v>
      </c>
      <c r="Z198" s="11">
        <v>0</v>
      </c>
      <c r="AA198" s="11">
        <v>0</v>
      </c>
      <c r="AB198" s="11">
        <v>0</v>
      </c>
      <c r="AC198" s="11">
        <v>0</v>
      </c>
      <c r="AD198" s="11">
        <v>0</v>
      </c>
      <c r="AE198" s="11">
        <v>0</v>
      </c>
      <c r="AF198" s="11">
        <v>0</v>
      </c>
      <c r="AG198" s="11">
        <v>0</v>
      </c>
      <c r="AH198" s="9" t="s">
        <v>4909</v>
      </c>
      <c r="AI198" s="11">
        <v>1</v>
      </c>
      <c r="AJ198" s="11">
        <v>1</v>
      </c>
      <c r="AK198" s="11">
        <v>0</v>
      </c>
      <c r="AL198" s="11">
        <v>0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11">
        <v>0</v>
      </c>
      <c r="AT198" s="11">
        <v>1</v>
      </c>
      <c r="AU198" s="11">
        <v>0</v>
      </c>
      <c r="AV198" s="11">
        <v>0</v>
      </c>
      <c r="AW198" s="11">
        <v>0</v>
      </c>
      <c r="AX198" s="11">
        <v>0</v>
      </c>
      <c r="AY198" s="11">
        <v>0</v>
      </c>
      <c r="BA198" s="12" t="s">
        <v>4877</v>
      </c>
      <c r="BB198" s="12">
        <v>0</v>
      </c>
      <c r="BC198" s="9" t="s">
        <v>4878</v>
      </c>
      <c r="BD198" s="12">
        <v>0</v>
      </c>
      <c r="BE198" s="12">
        <v>0</v>
      </c>
      <c r="BF198" s="12">
        <v>0</v>
      </c>
      <c r="BI198" s="12">
        <v>0</v>
      </c>
      <c r="BJ198" s="12">
        <v>0</v>
      </c>
    </row>
    <row r="199" spans="1:62" x14ac:dyDescent="0.15">
      <c r="A199" s="7" t="s">
        <v>721</v>
      </c>
      <c r="C199" s="7" t="s">
        <v>722</v>
      </c>
      <c r="D199" s="7" t="s">
        <v>5292</v>
      </c>
      <c r="E199" s="9" t="s">
        <v>6988</v>
      </c>
      <c r="L199" s="10">
        <v>3849821</v>
      </c>
      <c r="M199" s="10">
        <v>742436</v>
      </c>
      <c r="N199" s="11">
        <v>15</v>
      </c>
      <c r="P199" s="7" t="s">
        <v>5310</v>
      </c>
      <c r="Q199" s="9" t="s">
        <v>5311</v>
      </c>
      <c r="S199" s="9" t="s">
        <v>5292</v>
      </c>
      <c r="T199" s="9" t="s">
        <v>4902</v>
      </c>
      <c r="U199" s="12" t="s">
        <v>4902</v>
      </c>
      <c r="V199" s="12" t="s">
        <v>4902</v>
      </c>
      <c r="W199" s="12">
        <v>0</v>
      </c>
      <c r="X199" s="12">
        <v>0</v>
      </c>
      <c r="Y199" s="12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9" t="s">
        <v>4909</v>
      </c>
      <c r="AI199" s="11">
        <v>1</v>
      </c>
      <c r="AJ199" s="11">
        <v>1</v>
      </c>
      <c r="AK199" s="11">
        <v>0</v>
      </c>
      <c r="AL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0</v>
      </c>
      <c r="AT199" s="11">
        <v>1</v>
      </c>
      <c r="AU199" s="11">
        <v>0</v>
      </c>
      <c r="AV199" s="11">
        <v>0</v>
      </c>
      <c r="AW199" s="11">
        <v>0</v>
      </c>
      <c r="AX199" s="11">
        <v>0</v>
      </c>
      <c r="AY199" s="11">
        <v>0</v>
      </c>
      <c r="BA199" s="12" t="s">
        <v>4877</v>
      </c>
      <c r="BB199" s="12">
        <v>0</v>
      </c>
      <c r="BC199" s="9" t="s">
        <v>4878</v>
      </c>
      <c r="BD199" s="12">
        <v>0</v>
      </c>
      <c r="BE199" s="12">
        <v>0</v>
      </c>
      <c r="BF199" s="12">
        <v>0</v>
      </c>
      <c r="BI199" s="12">
        <v>0</v>
      </c>
      <c r="BJ199" s="12">
        <v>0</v>
      </c>
    </row>
    <row r="200" spans="1:62" x14ac:dyDescent="0.15">
      <c r="A200" s="7" t="s">
        <v>723</v>
      </c>
      <c r="C200" s="7" t="s">
        <v>724</v>
      </c>
      <c r="D200" s="7" t="s">
        <v>5292</v>
      </c>
      <c r="E200" s="9" t="s">
        <v>6988</v>
      </c>
      <c r="L200" s="10">
        <v>3872321</v>
      </c>
      <c r="M200" s="10">
        <v>738817</v>
      </c>
      <c r="N200" s="11">
        <v>15</v>
      </c>
      <c r="P200" s="7" t="s">
        <v>725</v>
      </c>
      <c r="Q200" s="9" t="s">
        <v>1061</v>
      </c>
      <c r="R200" s="9" t="s">
        <v>1061</v>
      </c>
      <c r="S200" s="9" t="s">
        <v>5292</v>
      </c>
      <c r="T200" s="9" t="s">
        <v>4797</v>
      </c>
      <c r="U200" s="12" t="s">
        <v>5018</v>
      </c>
      <c r="V200" s="12" t="s">
        <v>5019</v>
      </c>
      <c r="W200" s="12">
        <v>0</v>
      </c>
      <c r="X200" s="12">
        <v>0</v>
      </c>
      <c r="Y200" s="12">
        <v>0</v>
      </c>
      <c r="Z200" s="11">
        <v>0</v>
      </c>
      <c r="AA200" s="11">
        <v>0</v>
      </c>
      <c r="AB200" s="11">
        <v>0</v>
      </c>
      <c r="AC200" s="11">
        <v>0</v>
      </c>
      <c r="AD200" s="11">
        <v>1</v>
      </c>
      <c r="AE200" s="11">
        <v>1</v>
      </c>
      <c r="AF200" s="11">
        <v>0</v>
      </c>
      <c r="AG200" s="11">
        <v>0</v>
      </c>
      <c r="AH200" s="9">
        <v>2</v>
      </c>
      <c r="AI200" s="11">
        <v>2</v>
      </c>
      <c r="AJ200" s="11">
        <v>1</v>
      </c>
      <c r="AK200" s="11">
        <v>1</v>
      </c>
      <c r="AL200" s="11">
        <v>1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11">
        <v>0</v>
      </c>
      <c r="AT200" s="11">
        <v>1</v>
      </c>
      <c r="AU200" s="11">
        <v>0</v>
      </c>
      <c r="AV200" s="11">
        <v>0</v>
      </c>
      <c r="AW200" s="11">
        <v>0</v>
      </c>
      <c r="AX200" s="11">
        <v>0</v>
      </c>
      <c r="AY200" s="11">
        <v>0</v>
      </c>
      <c r="BA200" s="12" t="s">
        <v>4877</v>
      </c>
      <c r="BB200" s="12">
        <v>0</v>
      </c>
      <c r="BC200" s="9" t="s">
        <v>4878</v>
      </c>
      <c r="BD200" s="12">
        <v>12</v>
      </c>
      <c r="BE200" s="12">
        <v>0</v>
      </c>
      <c r="BF200" s="12">
        <v>0</v>
      </c>
      <c r="BI200" s="12">
        <v>0</v>
      </c>
      <c r="BJ200" s="12">
        <v>0</v>
      </c>
    </row>
    <row r="201" spans="1:62" x14ac:dyDescent="0.15">
      <c r="A201" s="7" t="s">
        <v>726</v>
      </c>
      <c r="C201" s="7" t="s">
        <v>727</v>
      </c>
      <c r="D201" s="7" t="s">
        <v>5292</v>
      </c>
      <c r="E201" s="9" t="s">
        <v>6988</v>
      </c>
      <c r="L201" s="10">
        <v>3870150</v>
      </c>
      <c r="M201" s="10">
        <v>733280</v>
      </c>
      <c r="N201" s="11">
        <v>15</v>
      </c>
      <c r="P201" s="7" t="s">
        <v>728</v>
      </c>
      <c r="Q201" s="9" t="s">
        <v>5311</v>
      </c>
      <c r="R201" s="9" t="s">
        <v>5318</v>
      </c>
      <c r="S201" s="9" t="s">
        <v>5292</v>
      </c>
      <c r="T201" s="9" t="s">
        <v>4797</v>
      </c>
      <c r="U201" s="12" t="s">
        <v>5018</v>
      </c>
      <c r="V201" s="12" t="s">
        <v>5019</v>
      </c>
      <c r="W201" s="12">
        <v>0</v>
      </c>
      <c r="X201" s="12">
        <v>0</v>
      </c>
      <c r="Y201" s="12">
        <v>0</v>
      </c>
      <c r="Z201" s="11">
        <v>0</v>
      </c>
      <c r="AA201" s="11">
        <v>0</v>
      </c>
      <c r="AB201" s="11">
        <v>0</v>
      </c>
      <c r="AC201" s="11">
        <v>0</v>
      </c>
      <c r="AD201" s="11">
        <v>1</v>
      </c>
      <c r="AE201" s="11">
        <v>1</v>
      </c>
      <c r="AF201" s="11">
        <v>0</v>
      </c>
      <c r="AG201" s="11">
        <v>0</v>
      </c>
      <c r="AH201" s="9">
        <v>1</v>
      </c>
      <c r="AI201" s="11">
        <v>1</v>
      </c>
      <c r="AJ201" s="11">
        <v>1</v>
      </c>
      <c r="AK201" s="11">
        <v>0</v>
      </c>
      <c r="AL201" s="11">
        <v>0</v>
      </c>
      <c r="AN201" s="11">
        <v>0</v>
      </c>
      <c r="AO201" s="11">
        <v>0</v>
      </c>
      <c r="AP201" s="11">
        <v>0</v>
      </c>
      <c r="AQ201" s="11">
        <v>0</v>
      </c>
      <c r="AR201" s="11">
        <v>1</v>
      </c>
      <c r="AS201" s="11">
        <v>0</v>
      </c>
      <c r="AT201" s="11">
        <v>0</v>
      </c>
      <c r="AU201" s="11">
        <v>0</v>
      </c>
      <c r="AV201" s="11">
        <v>0</v>
      </c>
      <c r="AW201" s="11">
        <v>0</v>
      </c>
      <c r="AX201" s="11">
        <v>0</v>
      </c>
      <c r="AY201" s="11">
        <v>0</v>
      </c>
      <c r="BA201" s="12" t="s">
        <v>4877</v>
      </c>
      <c r="BB201" s="12">
        <v>0</v>
      </c>
      <c r="BC201" s="9" t="s">
        <v>4878</v>
      </c>
      <c r="BD201" s="12">
        <v>0</v>
      </c>
      <c r="BE201" s="12">
        <v>0</v>
      </c>
      <c r="BF201" s="12">
        <v>0</v>
      </c>
      <c r="BI201" s="12">
        <v>0</v>
      </c>
      <c r="BJ201" s="12">
        <v>0</v>
      </c>
    </row>
    <row r="202" spans="1:62" x14ac:dyDescent="0.15">
      <c r="A202" s="7" t="s">
        <v>729</v>
      </c>
      <c r="C202" s="7" t="s">
        <v>730</v>
      </c>
      <c r="D202" s="7" t="s">
        <v>5292</v>
      </c>
      <c r="E202" s="9" t="s">
        <v>6988</v>
      </c>
      <c r="L202" s="10">
        <v>3872690</v>
      </c>
      <c r="M202" s="10">
        <v>737248</v>
      </c>
      <c r="N202" s="11">
        <v>15</v>
      </c>
      <c r="P202" s="7" t="s">
        <v>731</v>
      </c>
      <c r="Q202" s="9" t="s">
        <v>5311</v>
      </c>
      <c r="S202" s="9" t="s">
        <v>5292</v>
      </c>
      <c r="T202" s="9" t="s">
        <v>8484</v>
      </c>
      <c r="U202" s="12" t="s">
        <v>5019</v>
      </c>
      <c r="V202" s="12" t="s">
        <v>5020</v>
      </c>
      <c r="W202" s="12">
        <v>0</v>
      </c>
      <c r="X202" s="12">
        <v>0</v>
      </c>
      <c r="Y202" s="12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1</v>
      </c>
      <c r="AF202" s="11">
        <v>1</v>
      </c>
      <c r="AG202" s="11">
        <v>0</v>
      </c>
      <c r="AH202" s="9" t="s">
        <v>4909</v>
      </c>
      <c r="AI202" s="11">
        <v>1</v>
      </c>
      <c r="AJ202" s="11">
        <v>1</v>
      </c>
      <c r="AK202" s="11">
        <v>0</v>
      </c>
      <c r="AL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1">
        <v>0</v>
      </c>
      <c r="AT202" s="11">
        <v>1</v>
      </c>
      <c r="AU202" s="11">
        <v>0</v>
      </c>
      <c r="AV202" s="11">
        <v>0</v>
      </c>
      <c r="AW202" s="11">
        <v>0</v>
      </c>
      <c r="AX202" s="11">
        <v>0</v>
      </c>
      <c r="AY202" s="11">
        <v>0</v>
      </c>
      <c r="BA202" s="12" t="s">
        <v>4877</v>
      </c>
      <c r="BB202" s="12">
        <v>0</v>
      </c>
      <c r="BC202" s="9" t="s">
        <v>4878</v>
      </c>
      <c r="BD202" s="12">
        <v>0</v>
      </c>
      <c r="BE202" s="12">
        <v>0</v>
      </c>
      <c r="BF202" s="12">
        <v>0</v>
      </c>
      <c r="BI202" s="12">
        <v>0</v>
      </c>
      <c r="BJ202" s="12">
        <v>0</v>
      </c>
    </row>
    <row r="203" spans="1:62" x14ac:dyDescent="0.15">
      <c r="A203" s="7" t="s">
        <v>732</v>
      </c>
      <c r="C203" s="7" t="s">
        <v>6627</v>
      </c>
      <c r="D203" s="7" t="s">
        <v>5292</v>
      </c>
      <c r="E203" s="9" t="s">
        <v>5293</v>
      </c>
      <c r="L203" s="10">
        <v>3870150</v>
      </c>
      <c r="M203" s="10">
        <v>733280</v>
      </c>
      <c r="N203" s="11">
        <v>15</v>
      </c>
      <c r="P203" s="7" t="s">
        <v>6628</v>
      </c>
      <c r="Q203" s="9" t="s">
        <v>5295</v>
      </c>
      <c r="R203" s="9" t="s">
        <v>5295</v>
      </c>
      <c r="S203" s="9" t="s">
        <v>5292</v>
      </c>
      <c r="T203" s="9" t="s">
        <v>4875</v>
      </c>
      <c r="U203" s="12" t="s">
        <v>5020</v>
      </c>
      <c r="V203" s="12" t="s">
        <v>5021</v>
      </c>
      <c r="W203" s="12">
        <v>0</v>
      </c>
      <c r="X203" s="12">
        <v>0</v>
      </c>
      <c r="Y203" s="12">
        <v>0</v>
      </c>
      <c r="Z203" s="11">
        <v>0</v>
      </c>
      <c r="AA203" s="11">
        <v>0</v>
      </c>
      <c r="AB203" s="11">
        <v>0</v>
      </c>
      <c r="AC203" s="11">
        <v>0</v>
      </c>
      <c r="AD203" s="11">
        <v>0</v>
      </c>
      <c r="AE203" s="11">
        <v>0</v>
      </c>
      <c r="AF203" s="11">
        <v>1</v>
      </c>
      <c r="AG203" s="11">
        <v>1</v>
      </c>
      <c r="AH203" s="9">
        <v>6</v>
      </c>
      <c r="AI203" s="11">
        <v>6</v>
      </c>
      <c r="AJ203" s="11">
        <v>1</v>
      </c>
      <c r="AK203" s="11">
        <v>1</v>
      </c>
      <c r="AL203" s="11">
        <v>1</v>
      </c>
      <c r="AN203" s="11">
        <v>0</v>
      </c>
      <c r="AO203" s="11">
        <v>0</v>
      </c>
      <c r="AP203" s="11">
        <v>0</v>
      </c>
      <c r="AQ203" s="11">
        <v>1</v>
      </c>
      <c r="AR203" s="11">
        <v>0</v>
      </c>
      <c r="AS203" s="11">
        <v>0</v>
      </c>
      <c r="AT203" s="11">
        <v>1</v>
      </c>
      <c r="AU203" s="11">
        <v>0</v>
      </c>
      <c r="AV203" s="11">
        <v>0</v>
      </c>
      <c r="AW203" s="11">
        <v>1</v>
      </c>
      <c r="AX203" s="11">
        <v>0</v>
      </c>
      <c r="AY203" s="11">
        <v>0</v>
      </c>
      <c r="AZ203" s="12" t="s">
        <v>4843</v>
      </c>
      <c r="BA203" s="12" t="s">
        <v>4911</v>
      </c>
      <c r="BB203" s="12">
        <v>1</v>
      </c>
      <c r="BC203" s="9" t="s">
        <v>4878</v>
      </c>
      <c r="BD203" s="12">
        <v>10</v>
      </c>
      <c r="BE203" s="12">
        <v>275</v>
      </c>
      <c r="BF203" s="12">
        <v>0</v>
      </c>
      <c r="BI203" s="12">
        <v>0</v>
      </c>
      <c r="BJ203" s="12">
        <v>0</v>
      </c>
    </row>
    <row r="204" spans="1:62" x14ac:dyDescent="0.15">
      <c r="A204" s="7" t="s">
        <v>6629</v>
      </c>
      <c r="C204" s="7" t="s">
        <v>6630</v>
      </c>
      <c r="D204" s="7" t="s">
        <v>5292</v>
      </c>
      <c r="E204" s="9" t="s">
        <v>5293</v>
      </c>
      <c r="L204" s="10">
        <v>3872190</v>
      </c>
      <c r="M204" s="10">
        <v>729228</v>
      </c>
      <c r="N204" s="11">
        <v>15</v>
      </c>
      <c r="P204" s="7" t="s">
        <v>6631</v>
      </c>
      <c r="Q204" s="9" t="s">
        <v>5311</v>
      </c>
      <c r="S204" s="9" t="s">
        <v>5292</v>
      </c>
      <c r="T204" s="9" t="s">
        <v>8484</v>
      </c>
      <c r="U204" s="12" t="s">
        <v>5019</v>
      </c>
      <c r="V204" s="12" t="s">
        <v>5020</v>
      </c>
      <c r="W204" s="12">
        <v>0</v>
      </c>
      <c r="X204" s="12">
        <v>0</v>
      </c>
      <c r="Y204" s="12">
        <v>0</v>
      </c>
      <c r="Z204" s="11">
        <v>0</v>
      </c>
      <c r="AA204" s="11">
        <v>0</v>
      </c>
      <c r="AB204" s="11">
        <v>0</v>
      </c>
      <c r="AC204" s="11">
        <v>0</v>
      </c>
      <c r="AD204" s="11">
        <v>0</v>
      </c>
      <c r="AE204" s="11">
        <v>1</v>
      </c>
      <c r="AF204" s="11">
        <v>1</v>
      </c>
      <c r="AG204" s="11">
        <v>0</v>
      </c>
      <c r="AH204" s="9" t="s">
        <v>4909</v>
      </c>
      <c r="AI204" s="11">
        <v>1</v>
      </c>
      <c r="AJ204" s="11">
        <v>1</v>
      </c>
      <c r="AK204" s="11">
        <v>0</v>
      </c>
      <c r="AL204" s="11">
        <v>0</v>
      </c>
      <c r="AN204" s="11">
        <v>0</v>
      </c>
      <c r="AO204" s="11">
        <v>0</v>
      </c>
      <c r="AP204" s="11">
        <v>0</v>
      </c>
      <c r="AQ204" s="11">
        <v>1</v>
      </c>
      <c r="AR204" s="11">
        <v>0</v>
      </c>
      <c r="AS204" s="11">
        <v>0</v>
      </c>
      <c r="AT204" s="11">
        <v>1</v>
      </c>
      <c r="AU204" s="11">
        <v>0</v>
      </c>
      <c r="AV204" s="11">
        <v>0</v>
      </c>
      <c r="AW204" s="11">
        <v>0</v>
      </c>
      <c r="AX204" s="11">
        <v>0</v>
      </c>
      <c r="AY204" s="11">
        <v>0</v>
      </c>
      <c r="BA204" s="12" t="s">
        <v>4877</v>
      </c>
      <c r="BB204" s="12">
        <v>0</v>
      </c>
      <c r="BC204" s="9" t="s">
        <v>4878</v>
      </c>
      <c r="BD204" s="12">
        <v>0</v>
      </c>
      <c r="BE204" s="12">
        <v>0</v>
      </c>
      <c r="BF204" s="12">
        <v>0</v>
      </c>
      <c r="BI204" s="12">
        <v>0</v>
      </c>
      <c r="BJ204" s="12">
        <v>0</v>
      </c>
    </row>
    <row r="205" spans="1:62" x14ac:dyDescent="0.15">
      <c r="A205" s="7" t="s">
        <v>6632</v>
      </c>
      <c r="C205" s="7" t="s">
        <v>6633</v>
      </c>
      <c r="D205" s="7" t="s">
        <v>5292</v>
      </c>
      <c r="E205" s="9" t="s">
        <v>5293</v>
      </c>
      <c r="L205" s="10">
        <v>3866850</v>
      </c>
      <c r="M205" s="10">
        <v>738580</v>
      </c>
      <c r="N205" s="11">
        <v>15</v>
      </c>
      <c r="P205" s="7" t="s">
        <v>6634</v>
      </c>
      <c r="Q205" s="9" t="s">
        <v>5295</v>
      </c>
      <c r="R205" s="9" t="s">
        <v>5295</v>
      </c>
      <c r="S205" s="9" t="s">
        <v>5292</v>
      </c>
      <c r="T205" s="9" t="s">
        <v>4875</v>
      </c>
      <c r="U205" s="12" t="s">
        <v>5020</v>
      </c>
      <c r="V205" s="12" t="s">
        <v>5021</v>
      </c>
      <c r="W205" s="12">
        <v>0</v>
      </c>
      <c r="X205" s="12">
        <v>0</v>
      </c>
      <c r="Y205" s="12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1</v>
      </c>
      <c r="AG205" s="11">
        <v>1</v>
      </c>
      <c r="AH205" s="9">
        <v>8</v>
      </c>
      <c r="AI205" s="11">
        <v>8</v>
      </c>
      <c r="AJ205" s="11">
        <v>1</v>
      </c>
      <c r="AK205" s="11">
        <v>1</v>
      </c>
      <c r="AL205" s="11">
        <v>1</v>
      </c>
      <c r="AN205" s="11">
        <v>0</v>
      </c>
      <c r="AO205" s="11">
        <v>0</v>
      </c>
      <c r="AP205" s="11">
        <v>0</v>
      </c>
      <c r="AQ205" s="11">
        <v>0</v>
      </c>
      <c r="AR205" s="11">
        <v>0</v>
      </c>
      <c r="AS205" s="11">
        <v>0</v>
      </c>
      <c r="AT205" s="11">
        <v>1</v>
      </c>
      <c r="AU205" s="11">
        <v>0</v>
      </c>
      <c r="AV205" s="11">
        <v>0</v>
      </c>
      <c r="AW205" s="11">
        <v>0</v>
      </c>
      <c r="AX205" s="11">
        <v>0</v>
      </c>
      <c r="AY205" s="11">
        <v>0</v>
      </c>
      <c r="AZ205" s="12" t="s">
        <v>4843</v>
      </c>
      <c r="BA205" s="12" t="s">
        <v>4911</v>
      </c>
      <c r="BB205" s="12">
        <v>1</v>
      </c>
      <c r="BC205" s="9" t="s">
        <v>4878</v>
      </c>
      <c r="BD205" s="12">
        <v>10</v>
      </c>
      <c r="BE205" s="12">
        <v>300</v>
      </c>
      <c r="BF205" s="12">
        <v>0</v>
      </c>
      <c r="BI205" s="12">
        <v>0</v>
      </c>
      <c r="BJ205" s="12">
        <v>0</v>
      </c>
    </row>
    <row r="206" spans="1:62" x14ac:dyDescent="0.15">
      <c r="A206" s="7" t="s">
        <v>6635</v>
      </c>
      <c r="C206" s="7" t="s">
        <v>6636</v>
      </c>
      <c r="D206" s="7" t="s">
        <v>5292</v>
      </c>
      <c r="E206" s="9" t="s">
        <v>5293</v>
      </c>
      <c r="L206" s="10">
        <v>3864600</v>
      </c>
      <c r="M206" s="10">
        <v>732400</v>
      </c>
      <c r="N206" s="11">
        <v>15</v>
      </c>
      <c r="P206" s="7" t="s">
        <v>6637</v>
      </c>
      <c r="Q206" s="9" t="s">
        <v>5311</v>
      </c>
      <c r="R206" s="9" t="s">
        <v>5318</v>
      </c>
      <c r="S206" s="9" t="s">
        <v>5292</v>
      </c>
      <c r="T206" s="9" t="s">
        <v>4797</v>
      </c>
      <c r="U206" s="12" t="s">
        <v>5018</v>
      </c>
      <c r="V206" s="12" t="s">
        <v>5019</v>
      </c>
      <c r="W206" s="12">
        <v>0</v>
      </c>
      <c r="X206" s="12">
        <v>0</v>
      </c>
      <c r="Y206" s="12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1</v>
      </c>
      <c r="AE206" s="11">
        <v>1</v>
      </c>
      <c r="AF206" s="11">
        <v>0</v>
      </c>
      <c r="AG206" s="11">
        <v>0</v>
      </c>
      <c r="AH206" s="9">
        <v>2</v>
      </c>
      <c r="AI206" s="11">
        <v>2</v>
      </c>
      <c r="AJ206" s="11">
        <v>1</v>
      </c>
      <c r="AK206" s="11">
        <v>1</v>
      </c>
      <c r="AL206" s="11">
        <v>0</v>
      </c>
      <c r="AN206" s="11">
        <v>0</v>
      </c>
      <c r="AO206" s="11">
        <v>0</v>
      </c>
      <c r="AP206" s="11">
        <v>0</v>
      </c>
      <c r="AQ206" s="11">
        <v>0</v>
      </c>
      <c r="AR206" s="11">
        <v>1</v>
      </c>
      <c r="AS206" s="11">
        <v>0</v>
      </c>
      <c r="AT206" s="11">
        <v>1</v>
      </c>
      <c r="AU206" s="11">
        <v>0</v>
      </c>
      <c r="AV206" s="11">
        <v>0</v>
      </c>
      <c r="AW206" s="11">
        <v>0</v>
      </c>
      <c r="AX206" s="11">
        <v>0</v>
      </c>
      <c r="AY206" s="11">
        <v>0</v>
      </c>
      <c r="BA206" s="12" t="s">
        <v>4877</v>
      </c>
      <c r="BB206" s="12">
        <v>0</v>
      </c>
      <c r="BC206" s="9" t="s">
        <v>4878</v>
      </c>
      <c r="BD206" s="12">
        <v>6</v>
      </c>
      <c r="BE206" s="12">
        <v>0</v>
      </c>
      <c r="BF206" s="12">
        <f>VLOOKUP(A206,'[1]Conical Mounds'!A$1:O$65536,15,FALSE)</f>
        <v>2827.4333882308138</v>
      </c>
      <c r="BI206">
        <f>BD206/BF206</f>
        <v>2.1220659078919381E-3</v>
      </c>
      <c r="BJ206">
        <f>BI206*10000</f>
        <v>21.220659078919383</v>
      </c>
    </row>
    <row r="207" spans="1:62" x14ac:dyDescent="0.15">
      <c r="A207" s="7" t="s">
        <v>6638</v>
      </c>
      <c r="C207" s="7" t="s">
        <v>6639</v>
      </c>
      <c r="D207" s="7" t="s">
        <v>5292</v>
      </c>
      <c r="E207" s="9" t="s">
        <v>5293</v>
      </c>
      <c r="L207" s="10">
        <v>3875620</v>
      </c>
      <c r="M207" s="10">
        <v>737480</v>
      </c>
      <c r="N207" s="11">
        <v>15</v>
      </c>
      <c r="P207" s="7" t="s">
        <v>6637</v>
      </c>
      <c r="Q207" s="9" t="s">
        <v>5311</v>
      </c>
      <c r="R207" s="9" t="s">
        <v>5318</v>
      </c>
      <c r="S207" s="9" t="s">
        <v>5292</v>
      </c>
      <c r="T207" s="9" t="s">
        <v>4797</v>
      </c>
      <c r="U207" s="12" t="s">
        <v>5018</v>
      </c>
      <c r="V207" s="12" t="s">
        <v>5019</v>
      </c>
      <c r="W207" s="12">
        <v>0</v>
      </c>
      <c r="X207" s="12">
        <v>0</v>
      </c>
      <c r="Y207" s="12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1</v>
      </c>
      <c r="AE207" s="11">
        <v>1</v>
      </c>
      <c r="AF207" s="11">
        <v>0</v>
      </c>
      <c r="AG207" s="11">
        <v>0</v>
      </c>
      <c r="AH207" s="9">
        <v>3</v>
      </c>
      <c r="AI207" s="11">
        <v>3</v>
      </c>
      <c r="AJ207" s="11">
        <v>1</v>
      </c>
      <c r="AK207" s="11">
        <v>1</v>
      </c>
      <c r="AL207" s="11">
        <v>0</v>
      </c>
      <c r="AN207" s="11">
        <v>0</v>
      </c>
      <c r="AO207" s="11">
        <v>0</v>
      </c>
      <c r="AP207" s="11">
        <v>0</v>
      </c>
      <c r="AQ207" s="11">
        <v>0</v>
      </c>
      <c r="AR207" s="11">
        <v>1</v>
      </c>
      <c r="AS207" s="11">
        <v>0</v>
      </c>
      <c r="AT207" s="11">
        <v>1</v>
      </c>
      <c r="AU207" s="11">
        <v>0</v>
      </c>
      <c r="AV207" s="11">
        <v>0</v>
      </c>
      <c r="AW207" s="11">
        <v>0</v>
      </c>
      <c r="AX207" s="11">
        <v>0</v>
      </c>
      <c r="AY207" s="11">
        <v>0</v>
      </c>
      <c r="BA207" s="12" t="s">
        <v>4877</v>
      </c>
      <c r="BB207" s="12">
        <v>0</v>
      </c>
      <c r="BC207" s="9" t="s">
        <v>4878</v>
      </c>
      <c r="BD207" s="12">
        <v>4</v>
      </c>
      <c r="BE207" s="12">
        <v>0</v>
      </c>
      <c r="BF207" s="12">
        <f>VLOOKUP(A207,'[1]Conical Mounds'!A$1:O$65536,15,FALSE)</f>
        <v>1963.4954084936207</v>
      </c>
      <c r="BI207">
        <f>BD207/BF207</f>
        <v>2.0371832715762603E-3</v>
      </c>
      <c r="BJ207">
        <f>BI207*10000</f>
        <v>20.371832715762604</v>
      </c>
    </row>
    <row r="208" spans="1:62" x14ac:dyDescent="0.15">
      <c r="A208" s="7" t="s">
        <v>6640</v>
      </c>
      <c r="C208" s="7" t="s">
        <v>6641</v>
      </c>
      <c r="D208" s="7" t="s">
        <v>5292</v>
      </c>
      <c r="E208" s="9" t="s">
        <v>5293</v>
      </c>
      <c r="L208" s="10">
        <v>3874859</v>
      </c>
      <c r="M208" s="10">
        <v>754769</v>
      </c>
      <c r="N208" s="11">
        <v>15</v>
      </c>
      <c r="P208" s="7" t="s">
        <v>6642</v>
      </c>
      <c r="Q208" s="9" t="s">
        <v>5311</v>
      </c>
      <c r="R208" s="9" t="s">
        <v>4877</v>
      </c>
      <c r="S208" s="9" t="s">
        <v>5292</v>
      </c>
      <c r="T208" s="9" t="s">
        <v>4875</v>
      </c>
      <c r="U208" s="12" t="s">
        <v>5020</v>
      </c>
      <c r="V208" s="12" t="s">
        <v>5021</v>
      </c>
      <c r="W208" s="12">
        <v>0</v>
      </c>
      <c r="X208" s="12">
        <v>0</v>
      </c>
      <c r="Y208" s="12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1</v>
      </c>
      <c r="AG208" s="11">
        <v>1</v>
      </c>
      <c r="AH208" s="9" t="s">
        <v>8248</v>
      </c>
      <c r="AI208" s="11">
        <v>2</v>
      </c>
      <c r="AJ208" s="11">
        <v>1</v>
      </c>
      <c r="AK208" s="11">
        <v>1</v>
      </c>
      <c r="AL208" s="11">
        <v>1</v>
      </c>
      <c r="AN208" s="11">
        <v>0</v>
      </c>
      <c r="AO208" s="11">
        <v>0</v>
      </c>
      <c r="AP208" s="11">
        <v>0</v>
      </c>
      <c r="AQ208" s="11">
        <v>0</v>
      </c>
      <c r="AR208" s="11">
        <v>0</v>
      </c>
      <c r="AS208" s="11">
        <v>0</v>
      </c>
      <c r="AT208" s="11">
        <v>1</v>
      </c>
      <c r="AU208" s="11">
        <v>0</v>
      </c>
      <c r="AV208" s="11">
        <v>0</v>
      </c>
      <c r="AW208" s="11">
        <v>0</v>
      </c>
      <c r="AX208" s="11">
        <v>0</v>
      </c>
      <c r="AY208" s="11">
        <v>1</v>
      </c>
      <c r="BA208" s="12" t="s">
        <v>4877</v>
      </c>
      <c r="BB208" s="12">
        <v>0</v>
      </c>
      <c r="BC208" s="9" t="s">
        <v>4878</v>
      </c>
      <c r="BD208" s="12">
        <v>0</v>
      </c>
      <c r="BE208" s="12">
        <v>0</v>
      </c>
      <c r="BF208" s="12">
        <v>0</v>
      </c>
      <c r="BI208" s="12">
        <v>0</v>
      </c>
      <c r="BJ208" s="12">
        <v>0</v>
      </c>
    </row>
    <row r="209" spans="1:62" x14ac:dyDescent="0.15">
      <c r="A209" s="7" t="s">
        <v>6643</v>
      </c>
      <c r="C209" s="7" t="s">
        <v>6644</v>
      </c>
      <c r="D209" s="7" t="s">
        <v>5292</v>
      </c>
      <c r="E209" s="9" t="s">
        <v>5293</v>
      </c>
      <c r="L209" s="10">
        <v>3867421</v>
      </c>
      <c r="M209" s="10">
        <v>759796</v>
      </c>
      <c r="N209" s="11">
        <v>15</v>
      </c>
      <c r="P209" s="7" t="s">
        <v>6645</v>
      </c>
      <c r="Q209" s="9" t="s">
        <v>4873</v>
      </c>
      <c r="R209" s="9" t="s">
        <v>4877</v>
      </c>
      <c r="S209" s="9" t="s">
        <v>5292</v>
      </c>
      <c r="T209" s="9" t="s">
        <v>6646</v>
      </c>
      <c r="U209" s="12" t="s">
        <v>5020</v>
      </c>
      <c r="V209" s="12" t="s">
        <v>5021</v>
      </c>
      <c r="W209" s="12">
        <v>0</v>
      </c>
      <c r="X209" s="12">
        <v>0</v>
      </c>
      <c r="Y209" s="12">
        <v>0</v>
      </c>
      <c r="Z209" s="11">
        <v>0</v>
      </c>
      <c r="AA209" s="11">
        <v>0</v>
      </c>
      <c r="AB209" s="11">
        <v>1</v>
      </c>
      <c r="AC209" s="11">
        <v>1</v>
      </c>
      <c r="AD209" s="11">
        <v>0</v>
      </c>
      <c r="AE209" s="11">
        <v>0</v>
      </c>
      <c r="AF209" s="11">
        <v>1</v>
      </c>
      <c r="AG209" s="11">
        <v>1</v>
      </c>
      <c r="AH209" s="9" t="s">
        <v>4909</v>
      </c>
      <c r="AI209" s="11">
        <v>1</v>
      </c>
      <c r="AJ209" s="11">
        <v>1</v>
      </c>
      <c r="AK209" s="11">
        <v>0</v>
      </c>
      <c r="AL209" s="11">
        <v>1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1">
        <v>0</v>
      </c>
      <c r="AT209" s="11">
        <v>0</v>
      </c>
      <c r="AU209" s="11">
        <v>0</v>
      </c>
      <c r="AV209" s="11">
        <v>0</v>
      </c>
      <c r="AW209" s="11">
        <v>0</v>
      </c>
      <c r="AX209" s="11">
        <v>0</v>
      </c>
      <c r="AY209" s="11">
        <v>0</v>
      </c>
      <c r="BA209" s="12" t="s">
        <v>4877</v>
      </c>
      <c r="BB209" s="12">
        <v>0</v>
      </c>
      <c r="BC209" s="9" t="s">
        <v>4878</v>
      </c>
      <c r="BD209" s="12">
        <v>0</v>
      </c>
      <c r="BE209" s="12">
        <v>0</v>
      </c>
      <c r="BF209" s="12">
        <v>0</v>
      </c>
      <c r="BI209" s="12">
        <v>0</v>
      </c>
      <c r="BJ209" s="12">
        <v>0</v>
      </c>
    </row>
    <row r="210" spans="1:62" x14ac:dyDescent="0.15">
      <c r="A210" s="7" t="s">
        <v>6647</v>
      </c>
      <c r="C210" s="7" t="s">
        <v>6648</v>
      </c>
      <c r="D210" s="7" t="s">
        <v>5292</v>
      </c>
      <c r="E210" s="9" t="s">
        <v>5293</v>
      </c>
      <c r="L210" s="10">
        <v>3872116</v>
      </c>
      <c r="M210" s="10">
        <v>753929</v>
      </c>
      <c r="N210" s="11">
        <v>15</v>
      </c>
      <c r="P210" s="7" t="s">
        <v>6645</v>
      </c>
      <c r="Q210" s="9" t="s">
        <v>4873</v>
      </c>
      <c r="R210" s="9" t="s">
        <v>4877</v>
      </c>
      <c r="S210" s="9" t="s">
        <v>5292</v>
      </c>
      <c r="T210" s="9" t="s">
        <v>4875</v>
      </c>
      <c r="U210" s="12" t="s">
        <v>5020</v>
      </c>
      <c r="V210" s="12" t="s">
        <v>5021</v>
      </c>
      <c r="W210" s="12">
        <v>0</v>
      </c>
      <c r="X210" s="12">
        <v>0</v>
      </c>
      <c r="Y210" s="12">
        <v>0</v>
      </c>
      <c r="Z210" s="11">
        <v>0</v>
      </c>
      <c r="AA210" s="11">
        <v>0</v>
      </c>
      <c r="AB210" s="11">
        <v>0</v>
      </c>
      <c r="AC210" s="11">
        <v>0</v>
      </c>
      <c r="AD210" s="11">
        <v>0</v>
      </c>
      <c r="AE210" s="11">
        <v>0</v>
      </c>
      <c r="AF210" s="11">
        <v>1</v>
      </c>
      <c r="AG210" s="11">
        <v>1</v>
      </c>
      <c r="AH210" s="9">
        <v>1</v>
      </c>
      <c r="AI210" s="11">
        <v>1</v>
      </c>
      <c r="AJ210" s="11">
        <v>1</v>
      </c>
      <c r="AK210" s="11">
        <v>0</v>
      </c>
      <c r="AL210" s="11">
        <v>1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11">
        <v>0</v>
      </c>
      <c r="AT210" s="11">
        <v>0</v>
      </c>
      <c r="AU210" s="11">
        <v>0</v>
      </c>
      <c r="AV210" s="11">
        <v>0</v>
      </c>
      <c r="AW210" s="11">
        <v>0</v>
      </c>
      <c r="AX210" s="11">
        <v>0</v>
      </c>
      <c r="AY210" s="11">
        <v>0</v>
      </c>
      <c r="BA210" s="12" t="s">
        <v>4877</v>
      </c>
      <c r="BB210" s="12">
        <v>0</v>
      </c>
      <c r="BC210" s="9" t="s">
        <v>4878</v>
      </c>
      <c r="BD210" s="12">
        <v>3</v>
      </c>
      <c r="BE210" s="12">
        <v>0</v>
      </c>
      <c r="BF210" s="12">
        <v>0</v>
      </c>
      <c r="BI210" s="12">
        <v>0</v>
      </c>
      <c r="BJ210" s="12">
        <v>0</v>
      </c>
    </row>
    <row r="211" spans="1:62" x14ac:dyDescent="0.15">
      <c r="A211" s="7" t="s">
        <v>6649</v>
      </c>
      <c r="C211" s="7" t="s">
        <v>6650</v>
      </c>
      <c r="D211" s="7" t="s">
        <v>5292</v>
      </c>
      <c r="E211" s="9" t="s">
        <v>5293</v>
      </c>
      <c r="L211" s="10">
        <v>3875797</v>
      </c>
      <c r="M211" s="10">
        <v>754578</v>
      </c>
      <c r="N211" s="11">
        <v>15</v>
      </c>
      <c r="P211" s="7" t="s">
        <v>6651</v>
      </c>
      <c r="Q211" s="9" t="s">
        <v>5322</v>
      </c>
      <c r="S211" s="9" t="s">
        <v>5292</v>
      </c>
      <c r="T211" s="9" t="s">
        <v>4902</v>
      </c>
      <c r="U211" s="12" t="s">
        <v>4902</v>
      </c>
      <c r="V211" s="12" t="s">
        <v>4902</v>
      </c>
      <c r="W211" s="12">
        <v>0</v>
      </c>
      <c r="X211" s="12">
        <v>0</v>
      </c>
      <c r="Y211" s="12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9" t="s">
        <v>1083</v>
      </c>
      <c r="AI211" s="11">
        <v>2</v>
      </c>
      <c r="AJ211" s="11">
        <v>1</v>
      </c>
      <c r="AK211" s="11">
        <v>1</v>
      </c>
      <c r="AL211" s="11">
        <v>0</v>
      </c>
      <c r="AN211" s="11">
        <v>0</v>
      </c>
      <c r="AO211" s="11">
        <v>0</v>
      </c>
      <c r="AP211" s="11">
        <v>0</v>
      </c>
      <c r="AQ211" s="11">
        <v>0</v>
      </c>
      <c r="AR211" s="11">
        <v>1</v>
      </c>
      <c r="AS211" s="11">
        <v>0</v>
      </c>
      <c r="AT211" s="11">
        <v>0</v>
      </c>
      <c r="AU211" s="11">
        <v>0</v>
      </c>
      <c r="AV211" s="11">
        <v>0</v>
      </c>
      <c r="AW211" s="11">
        <v>0</v>
      </c>
      <c r="AX211" s="11">
        <v>0</v>
      </c>
      <c r="AY211" s="11">
        <v>0</v>
      </c>
      <c r="BA211" s="12" t="s">
        <v>4877</v>
      </c>
      <c r="BB211" s="12">
        <v>0</v>
      </c>
      <c r="BC211" s="9" t="s">
        <v>4878</v>
      </c>
      <c r="BD211" s="12">
        <v>0</v>
      </c>
      <c r="BE211" s="12">
        <v>0</v>
      </c>
      <c r="BF211" s="12">
        <v>0</v>
      </c>
      <c r="BI211" s="12">
        <v>0</v>
      </c>
      <c r="BJ211" s="12">
        <v>0</v>
      </c>
    </row>
    <row r="212" spans="1:62" x14ac:dyDescent="0.15">
      <c r="A212" s="7" t="s">
        <v>6652</v>
      </c>
      <c r="C212" s="7" t="s">
        <v>6653</v>
      </c>
      <c r="D212" s="7" t="s">
        <v>5292</v>
      </c>
      <c r="E212" s="9" t="s">
        <v>5293</v>
      </c>
      <c r="L212" s="10">
        <v>3867500</v>
      </c>
      <c r="M212" s="10">
        <v>757391</v>
      </c>
      <c r="N212" s="11">
        <v>15</v>
      </c>
      <c r="P212" s="7" t="s">
        <v>718</v>
      </c>
      <c r="Q212" s="9" t="s">
        <v>6654</v>
      </c>
      <c r="S212" s="9" t="s">
        <v>5292</v>
      </c>
      <c r="T212" s="9" t="s">
        <v>6655</v>
      </c>
      <c r="U212" s="12" t="s">
        <v>4898</v>
      </c>
      <c r="V212" s="12" t="s">
        <v>5016</v>
      </c>
      <c r="W212" s="12">
        <v>0</v>
      </c>
      <c r="X212" s="12">
        <v>0</v>
      </c>
      <c r="Y212" s="12">
        <v>0</v>
      </c>
      <c r="Z212" s="11">
        <v>0</v>
      </c>
      <c r="AA212" s="11">
        <v>1</v>
      </c>
      <c r="AB212" s="11">
        <v>1</v>
      </c>
      <c r="AC212" s="11">
        <v>0</v>
      </c>
      <c r="AD212" s="11">
        <v>0</v>
      </c>
      <c r="AE212" s="11">
        <v>0</v>
      </c>
      <c r="AF212" s="11">
        <v>0</v>
      </c>
      <c r="AG212" s="11">
        <v>0</v>
      </c>
      <c r="AH212" s="9" t="s">
        <v>4878</v>
      </c>
      <c r="AI212" s="11">
        <v>0</v>
      </c>
      <c r="AJ212" s="11">
        <v>0</v>
      </c>
      <c r="AK212" s="11">
        <v>0</v>
      </c>
      <c r="AL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11">
        <v>0</v>
      </c>
      <c r="AT212" s="11">
        <v>0</v>
      </c>
      <c r="AU212" s="11">
        <v>0</v>
      </c>
      <c r="AV212" s="11">
        <v>0</v>
      </c>
      <c r="AW212" s="11">
        <v>0</v>
      </c>
      <c r="AX212" s="11">
        <v>0</v>
      </c>
      <c r="AY212" s="11">
        <v>0</v>
      </c>
      <c r="BA212" s="12" t="s">
        <v>4877</v>
      </c>
      <c r="BB212" s="12">
        <v>0</v>
      </c>
      <c r="BC212" s="9" t="s">
        <v>4878</v>
      </c>
      <c r="BD212" s="12">
        <v>0</v>
      </c>
      <c r="BE212" s="12">
        <v>0</v>
      </c>
      <c r="BF212" s="12">
        <v>0</v>
      </c>
      <c r="BI212" s="12">
        <v>0</v>
      </c>
      <c r="BJ212" s="12">
        <v>0</v>
      </c>
    </row>
    <row r="213" spans="1:62" x14ac:dyDescent="0.15">
      <c r="A213" s="7" t="s">
        <v>6656</v>
      </c>
      <c r="C213" s="7" t="s">
        <v>6657</v>
      </c>
      <c r="D213" s="7" t="s">
        <v>5292</v>
      </c>
      <c r="E213" s="9" t="s">
        <v>5293</v>
      </c>
      <c r="L213" s="10">
        <v>3868400</v>
      </c>
      <c r="M213" s="10">
        <v>759719</v>
      </c>
      <c r="N213" s="11">
        <v>15</v>
      </c>
      <c r="P213" s="7" t="s">
        <v>6658</v>
      </c>
      <c r="Q213" s="9" t="s">
        <v>6994</v>
      </c>
      <c r="S213" s="9" t="s">
        <v>5292</v>
      </c>
      <c r="T213" s="9" t="s">
        <v>5361</v>
      </c>
      <c r="U213" s="12" t="s">
        <v>5018</v>
      </c>
      <c r="V213" s="12" t="s">
        <v>5020</v>
      </c>
      <c r="W213" s="12">
        <v>0</v>
      </c>
      <c r="X213" s="12">
        <v>0</v>
      </c>
      <c r="Y213" s="12">
        <v>0</v>
      </c>
      <c r="Z213" s="11">
        <v>0</v>
      </c>
      <c r="AA213" s="11">
        <v>0</v>
      </c>
      <c r="AB213" s="11">
        <v>0</v>
      </c>
      <c r="AC213" s="11">
        <v>0</v>
      </c>
      <c r="AD213" s="11">
        <v>1</v>
      </c>
      <c r="AE213" s="11">
        <v>0</v>
      </c>
      <c r="AF213" s="11">
        <v>1</v>
      </c>
      <c r="AG213" s="11">
        <v>0</v>
      </c>
      <c r="AH213" s="9" t="s">
        <v>4878</v>
      </c>
      <c r="AI213" s="11">
        <v>0</v>
      </c>
      <c r="AJ213" s="11">
        <v>0</v>
      </c>
      <c r="AK213" s="11">
        <v>0</v>
      </c>
      <c r="AL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1">
        <v>0</v>
      </c>
      <c r="AT213" s="11">
        <v>0</v>
      </c>
      <c r="AU213" s="11">
        <v>0</v>
      </c>
      <c r="AV213" s="11">
        <v>0</v>
      </c>
      <c r="AW213" s="11">
        <v>0</v>
      </c>
      <c r="AX213" s="11">
        <v>0</v>
      </c>
      <c r="AY213" s="11">
        <v>1</v>
      </c>
      <c r="BA213" s="12" t="s">
        <v>4877</v>
      </c>
      <c r="BB213" s="12">
        <v>0</v>
      </c>
      <c r="BC213" s="9" t="s">
        <v>4878</v>
      </c>
      <c r="BD213" s="12">
        <v>0</v>
      </c>
      <c r="BE213" s="12">
        <v>0</v>
      </c>
      <c r="BF213" s="12">
        <v>0</v>
      </c>
      <c r="BI213" s="12">
        <v>0</v>
      </c>
      <c r="BJ213" s="12">
        <v>0</v>
      </c>
    </row>
    <row r="214" spans="1:62" x14ac:dyDescent="0.15">
      <c r="A214" s="7" t="s">
        <v>6659</v>
      </c>
      <c r="C214" s="7" t="s">
        <v>8240</v>
      </c>
      <c r="D214" s="7" t="s">
        <v>5292</v>
      </c>
      <c r="E214" s="9" t="s">
        <v>5293</v>
      </c>
      <c r="L214" s="10">
        <v>3863500</v>
      </c>
      <c r="M214" s="10">
        <v>753463</v>
      </c>
      <c r="N214" s="11">
        <v>15</v>
      </c>
      <c r="P214" s="7" t="s">
        <v>5310</v>
      </c>
      <c r="Q214" s="9" t="s">
        <v>5311</v>
      </c>
      <c r="S214" s="9" t="s">
        <v>5292</v>
      </c>
      <c r="T214" s="9" t="s">
        <v>5361</v>
      </c>
      <c r="U214" s="12" t="s">
        <v>5018</v>
      </c>
      <c r="V214" s="12" t="s">
        <v>5020</v>
      </c>
      <c r="W214" s="12">
        <v>0</v>
      </c>
      <c r="X214" s="12">
        <v>0</v>
      </c>
      <c r="Y214" s="12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1</v>
      </c>
      <c r="AE214" s="11">
        <v>0</v>
      </c>
      <c r="AF214" s="11">
        <v>1</v>
      </c>
      <c r="AG214" s="11">
        <v>0</v>
      </c>
      <c r="AH214" s="9" t="s">
        <v>4909</v>
      </c>
      <c r="AI214" s="11">
        <v>1</v>
      </c>
      <c r="AJ214" s="11">
        <v>1</v>
      </c>
      <c r="AK214" s="11">
        <v>0</v>
      </c>
      <c r="AL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1">
        <v>0</v>
      </c>
      <c r="AT214" s="11">
        <v>1</v>
      </c>
      <c r="AU214" s="11">
        <v>0</v>
      </c>
      <c r="AV214" s="11">
        <v>0</v>
      </c>
      <c r="AW214" s="11">
        <v>0</v>
      </c>
      <c r="AX214" s="11">
        <v>0</v>
      </c>
      <c r="AY214" s="11">
        <v>0</v>
      </c>
      <c r="BA214" s="12" t="s">
        <v>4877</v>
      </c>
      <c r="BB214" s="12">
        <v>0</v>
      </c>
      <c r="BC214" s="9" t="s">
        <v>4878</v>
      </c>
      <c r="BD214" s="12">
        <v>0</v>
      </c>
      <c r="BE214" s="12">
        <v>0</v>
      </c>
      <c r="BF214" s="12">
        <v>0</v>
      </c>
      <c r="BI214" s="12">
        <v>0</v>
      </c>
      <c r="BJ214" s="12">
        <v>0</v>
      </c>
    </row>
    <row r="215" spans="1:62" x14ac:dyDescent="0.15">
      <c r="A215" s="7" t="s">
        <v>6660</v>
      </c>
      <c r="C215" s="7" t="s">
        <v>6661</v>
      </c>
      <c r="D215" s="7" t="s">
        <v>5292</v>
      </c>
      <c r="E215" s="9" t="s">
        <v>5293</v>
      </c>
      <c r="L215" s="10">
        <v>3872748</v>
      </c>
      <c r="M215" s="10">
        <v>757787</v>
      </c>
      <c r="N215" s="11">
        <v>15</v>
      </c>
      <c r="P215" s="7" t="s">
        <v>6662</v>
      </c>
      <c r="Q215" s="9" t="s">
        <v>5311</v>
      </c>
      <c r="R215" s="9" t="s">
        <v>4877</v>
      </c>
      <c r="S215" s="9" t="s">
        <v>5292</v>
      </c>
      <c r="T215" s="9" t="s">
        <v>4875</v>
      </c>
      <c r="U215" s="12" t="s">
        <v>5020</v>
      </c>
      <c r="V215" s="12" t="s">
        <v>5021</v>
      </c>
      <c r="W215" s="12">
        <v>0</v>
      </c>
      <c r="X215" s="12">
        <v>0</v>
      </c>
      <c r="Y215" s="12">
        <v>0</v>
      </c>
      <c r="Z215" s="11">
        <v>0</v>
      </c>
      <c r="AA215" s="11">
        <v>0</v>
      </c>
      <c r="AB215" s="11">
        <v>0</v>
      </c>
      <c r="AC215" s="11">
        <v>0</v>
      </c>
      <c r="AD215" s="11">
        <v>0</v>
      </c>
      <c r="AE215" s="11">
        <v>0</v>
      </c>
      <c r="AF215" s="11">
        <v>1</v>
      </c>
      <c r="AG215" s="11">
        <v>1</v>
      </c>
      <c r="AH215" s="9">
        <v>5</v>
      </c>
      <c r="AI215" s="11">
        <v>5</v>
      </c>
      <c r="AJ215" s="11">
        <v>1</v>
      </c>
      <c r="AK215" s="11">
        <v>0</v>
      </c>
      <c r="AL215" s="11">
        <v>1</v>
      </c>
      <c r="AN215" s="11">
        <v>0</v>
      </c>
      <c r="AO215" s="11">
        <v>0</v>
      </c>
      <c r="AP215" s="11">
        <v>0</v>
      </c>
      <c r="AQ215" s="11">
        <v>1</v>
      </c>
      <c r="AR215" s="11">
        <v>0</v>
      </c>
      <c r="AS215" s="11">
        <v>0</v>
      </c>
      <c r="AT215" s="11">
        <v>1</v>
      </c>
      <c r="AU215" s="11">
        <v>0</v>
      </c>
      <c r="AV215" s="11">
        <v>0</v>
      </c>
      <c r="AW215" s="11">
        <v>0</v>
      </c>
      <c r="AX215" s="11">
        <v>0</v>
      </c>
      <c r="AY215" s="11">
        <v>0</v>
      </c>
      <c r="BA215" s="12" t="s">
        <v>4877</v>
      </c>
      <c r="BB215" s="12">
        <v>0</v>
      </c>
      <c r="BC215" s="9" t="s">
        <v>4878</v>
      </c>
      <c r="BD215" s="12">
        <v>6</v>
      </c>
      <c r="BE215" s="12">
        <v>0</v>
      </c>
      <c r="BF215" s="12">
        <v>0</v>
      </c>
      <c r="BI215" s="12">
        <v>0</v>
      </c>
      <c r="BJ215" s="12">
        <v>0</v>
      </c>
    </row>
    <row r="216" spans="1:62" x14ac:dyDescent="0.15">
      <c r="A216" s="7" t="s">
        <v>6663</v>
      </c>
      <c r="C216" s="7" t="s">
        <v>6664</v>
      </c>
      <c r="D216" s="7" t="s">
        <v>5292</v>
      </c>
      <c r="E216" s="9" t="s">
        <v>5293</v>
      </c>
      <c r="L216" s="10">
        <v>3869960</v>
      </c>
      <c r="M216" s="10">
        <v>751930</v>
      </c>
      <c r="N216" s="11">
        <v>15</v>
      </c>
      <c r="P216" s="7" t="s">
        <v>1134</v>
      </c>
      <c r="Q216" s="9" t="s">
        <v>6994</v>
      </c>
      <c r="S216" s="9" t="s">
        <v>5292</v>
      </c>
      <c r="T216" s="9" t="s">
        <v>4875</v>
      </c>
      <c r="U216" s="12" t="s">
        <v>5020</v>
      </c>
      <c r="V216" s="12" t="s">
        <v>5021</v>
      </c>
      <c r="W216" s="12">
        <v>0</v>
      </c>
      <c r="X216" s="12">
        <v>0</v>
      </c>
      <c r="Y216" s="12">
        <v>0</v>
      </c>
      <c r="Z216" s="11">
        <v>0</v>
      </c>
      <c r="AA216" s="11">
        <v>0</v>
      </c>
      <c r="AB216" s="11">
        <v>0</v>
      </c>
      <c r="AC216" s="11">
        <v>0</v>
      </c>
      <c r="AD216" s="11">
        <v>0</v>
      </c>
      <c r="AE216" s="11">
        <v>0</v>
      </c>
      <c r="AF216" s="11">
        <v>1</v>
      </c>
      <c r="AG216" s="11">
        <v>1</v>
      </c>
      <c r="AH216" s="9" t="s">
        <v>4878</v>
      </c>
      <c r="AI216" s="11">
        <v>0</v>
      </c>
      <c r="AJ216" s="11">
        <v>0</v>
      </c>
      <c r="AK216" s="11">
        <v>0</v>
      </c>
      <c r="AL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1">
        <v>0</v>
      </c>
      <c r="AT216" s="11">
        <v>0</v>
      </c>
      <c r="AU216" s="11">
        <v>0</v>
      </c>
      <c r="AV216" s="11">
        <v>0</v>
      </c>
      <c r="AW216" s="11">
        <v>0</v>
      </c>
      <c r="AX216" s="11">
        <v>0</v>
      </c>
      <c r="AY216" s="11">
        <v>0</v>
      </c>
      <c r="BA216" s="12" t="s">
        <v>4877</v>
      </c>
      <c r="BB216" s="12">
        <v>0</v>
      </c>
      <c r="BC216" s="9" t="s">
        <v>4878</v>
      </c>
      <c r="BD216" s="12">
        <v>0</v>
      </c>
      <c r="BE216" s="12">
        <v>0</v>
      </c>
      <c r="BF216" s="12">
        <v>0</v>
      </c>
      <c r="BI216" s="12">
        <v>0</v>
      </c>
      <c r="BJ216" s="12">
        <v>0</v>
      </c>
    </row>
    <row r="217" spans="1:62" x14ac:dyDescent="0.15">
      <c r="A217" s="7" t="s">
        <v>6665</v>
      </c>
      <c r="C217" s="7" t="s">
        <v>6666</v>
      </c>
      <c r="D217" s="7" t="s">
        <v>5292</v>
      </c>
      <c r="E217" s="9" t="s">
        <v>5293</v>
      </c>
      <c r="L217" s="10">
        <v>3866890</v>
      </c>
      <c r="M217" s="10">
        <v>753981</v>
      </c>
      <c r="N217" s="11">
        <v>15</v>
      </c>
      <c r="P217" s="7" t="s">
        <v>5310</v>
      </c>
      <c r="Q217" s="9" t="s">
        <v>5311</v>
      </c>
      <c r="S217" s="9" t="s">
        <v>5292</v>
      </c>
      <c r="T217" s="9" t="s">
        <v>8280</v>
      </c>
      <c r="U217" s="12" t="s">
        <v>5016</v>
      </c>
      <c r="V217" s="12" t="s">
        <v>5021</v>
      </c>
      <c r="W217" s="12">
        <v>0</v>
      </c>
      <c r="X217" s="12">
        <v>0</v>
      </c>
      <c r="Y217" s="12">
        <v>0</v>
      </c>
      <c r="Z217" s="11">
        <v>0</v>
      </c>
      <c r="AA217" s="11">
        <v>0</v>
      </c>
      <c r="AB217" s="11">
        <v>1</v>
      </c>
      <c r="AC217" s="11">
        <v>0</v>
      </c>
      <c r="AD217" s="11">
        <v>0</v>
      </c>
      <c r="AE217" s="11">
        <v>0</v>
      </c>
      <c r="AF217" s="11">
        <v>0</v>
      </c>
      <c r="AG217" s="11">
        <v>1</v>
      </c>
      <c r="AH217" s="9" t="s">
        <v>4909</v>
      </c>
      <c r="AI217" s="11">
        <v>1</v>
      </c>
      <c r="AJ217" s="11">
        <v>1</v>
      </c>
      <c r="AK217" s="11">
        <v>0</v>
      </c>
      <c r="AL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1">
        <v>0</v>
      </c>
      <c r="AT217" s="11">
        <v>1</v>
      </c>
      <c r="AU217" s="11">
        <v>0</v>
      </c>
      <c r="AV217" s="11">
        <v>0</v>
      </c>
      <c r="AW217" s="11">
        <v>0</v>
      </c>
      <c r="AX217" s="11">
        <v>0</v>
      </c>
      <c r="AY217" s="11">
        <v>0</v>
      </c>
      <c r="BA217" s="12" t="s">
        <v>4877</v>
      </c>
      <c r="BB217" s="12">
        <v>0</v>
      </c>
      <c r="BC217" s="9" t="s">
        <v>4878</v>
      </c>
      <c r="BD217" s="12">
        <v>0</v>
      </c>
      <c r="BE217" s="12">
        <v>0</v>
      </c>
      <c r="BF217" s="12">
        <v>0</v>
      </c>
      <c r="BI217" s="12">
        <v>0</v>
      </c>
      <c r="BJ217" s="12">
        <v>0</v>
      </c>
    </row>
    <row r="218" spans="1:62" x14ac:dyDescent="0.15">
      <c r="A218" s="7" t="s">
        <v>6667</v>
      </c>
      <c r="C218" s="7" t="s">
        <v>6668</v>
      </c>
      <c r="D218" s="7" t="s">
        <v>5292</v>
      </c>
      <c r="E218" s="9" t="s">
        <v>5293</v>
      </c>
      <c r="L218" s="10">
        <v>3865550</v>
      </c>
      <c r="M218" s="10">
        <v>755964</v>
      </c>
      <c r="N218" s="11">
        <v>15</v>
      </c>
      <c r="P218" s="7" t="s">
        <v>1082</v>
      </c>
      <c r="Q218" s="9" t="s">
        <v>1112</v>
      </c>
      <c r="S218" s="9" t="s">
        <v>5292</v>
      </c>
      <c r="T218" s="9" t="s">
        <v>8368</v>
      </c>
      <c r="U218" s="12" t="s">
        <v>4898</v>
      </c>
      <c r="V218" s="12" t="s">
        <v>5018</v>
      </c>
      <c r="W218" s="12">
        <v>0</v>
      </c>
      <c r="X218" s="12">
        <v>0</v>
      </c>
      <c r="Y218" s="12">
        <v>0</v>
      </c>
      <c r="Z218" s="11">
        <v>0</v>
      </c>
      <c r="AA218" s="11">
        <v>1</v>
      </c>
      <c r="AB218" s="11">
        <v>0</v>
      </c>
      <c r="AC218" s="11">
        <v>0</v>
      </c>
      <c r="AD218" s="11">
        <v>1</v>
      </c>
      <c r="AE218" s="11">
        <v>0</v>
      </c>
      <c r="AF218" s="11">
        <v>0</v>
      </c>
      <c r="AG218" s="11">
        <v>0</v>
      </c>
      <c r="AH218" s="9" t="s">
        <v>1083</v>
      </c>
      <c r="AI218" s="11">
        <v>2</v>
      </c>
      <c r="AJ218" s="11">
        <v>1</v>
      </c>
      <c r="AK218" s="11">
        <v>1</v>
      </c>
      <c r="AL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11">
        <v>0</v>
      </c>
      <c r="AT218" s="11">
        <v>1</v>
      </c>
      <c r="AU218" s="11">
        <v>0</v>
      </c>
      <c r="AV218" s="11">
        <v>0</v>
      </c>
      <c r="AW218" s="11">
        <v>0</v>
      </c>
      <c r="AX218" s="11">
        <v>0</v>
      </c>
      <c r="AY218" s="11">
        <v>0</v>
      </c>
      <c r="BA218" s="12" t="s">
        <v>4877</v>
      </c>
      <c r="BB218" s="12">
        <v>0</v>
      </c>
      <c r="BC218" s="9" t="s">
        <v>4878</v>
      </c>
      <c r="BD218" s="12">
        <v>0</v>
      </c>
      <c r="BE218" s="12">
        <v>0</v>
      </c>
      <c r="BF218" s="12">
        <v>0</v>
      </c>
      <c r="BI218" s="12">
        <v>0</v>
      </c>
      <c r="BJ218" s="12">
        <v>0</v>
      </c>
    </row>
    <row r="219" spans="1:62" x14ac:dyDescent="0.15">
      <c r="A219" s="7" t="s">
        <v>6669</v>
      </c>
      <c r="C219" s="7" t="s">
        <v>6670</v>
      </c>
      <c r="D219" s="7" t="s">
        <v>5292</v>
      </c>
      <c r="E219" s="9" t="s">
        <v>6988</v>
      </c>
      <c r="L219" s="10">
        <v>3828650</v>
      </c>
      <c r="M219" s="10">
        <v>686800</v>
      </c>
      <c r="N219" s="11">
        <v>15</v>
      </c>
      <c r="P219" s="7" t="s">
        <v>6645</v>
      </c>
      <c r="Q219" s="9" t="s">
        <v>4873</v>
      </c>
      <c r="R219" s="9" t="s">
        <v>5318</v>
      </c>
      <c r="S219" s="9" t="s">
        <v>5292</v>
      </c>
      <c r="T219" s="9" t="s">
        <v>4797</v>
      </c>
      <c r="U219" s="12" t="s">
        <v>5018</v>
      </c>
      <c r="V219" s="12" t="s">
        <v>5019</v>
      </c>
      <c r="W219" s="12">
        <v>0</v>
      </c>
      <c r="X219" s="12">
        <v>0</v>
      </c>
      <c r="Y219" s="12">
        <v>0</v>
      </c>
      <c r="Z219" s="11">
        <v>0</v>
      </c>
      <c r="AA219" s="11">
        <v>0</v>
      </c>
      <c r="AB219" s="11">
        <v>0</v>
      </c>
      <c r="AC219" s="11">
        <v>0</v>
      </c>
      <c r="AD219" s="11">
        <v>1</v>
      </c>
      <c r="AE219" s="11">
        <v>1</v>
      </c>
      <c r="AF219" s="11">
        <v>0</v>
      </c>
      <c r="AG219" s="11">
        <v>0</v>
      </c>
      <c r="AH219" s="9">
        <v>3</v>
      </c>
      <c r="AI219" s="11">
        <v>3</v>
      </c>
      <c r="AJ219" s="11">
        <v>1</v>
      </c>
      <c r="AK219" s="11">
        <v>0</v>
      </c>
      <c r="AL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1</v>
      </c>
      <c r="AS219" s="11">
        <v>0</v>
      </c>
      <c r="AT219" s="11">
        <v>1</v>
      </c>
      <c r="AU219" s="11">
        <v>0</v>
      </c>
      <c r="AV219" s="11">
        <v>0</v>
      </c>
      <c r="AW219" s="11">
        <v>0</v>
      </c>
      <c r="AX219" s="11">
        <v>0</v>
      </c>
      <c r="AY219" s="11">
        <v>0</v>
      </c>
      <c r="BA219" s="12" t="s">
        <v>4877</v>
      </c>
      <c r="BB219" s="12">
        <v>0</v>
      </c>
      <c r="BC219" s="9" t="s">
        <v>4878</v>
      </c>
      <c r="BD219" s="12">
        <v>10</v>
      </c>
      <c r="BE219" s="12">
        <v>0</v>
      </c>
      <c r="BF219" s="12">
        <f>VLOOKUP(A219,'[1]Conical Mounds'!A$1:O$65536,15,FALSE)</f>
        <v>7853.981633974483</v>
      </c>
      <c r="BI219">
        <f>BD219/BF219</f>
        <v>1.2732395447351628E-3</v>
      </c>
      <c r="BJ219">
        <f>BI219*10000</f>
        <v>12.732395447351628</v>
      </c>
    </row>
    <row r="220" spans="1:62" x14ac:dyDescent="0.15">
      <c r="A220" s="7" t="s">
        <v>6671</v>
      </c>
      <c r="B220" s="7" t="s">
        <v>6467</v>
      </c>
      <c r="C220" s="7" t="s">
        <v>8338</v>
      </c>
      <c r="D220" s="7" t="s">
        <v>5292</v>
      </c>
      <c r="E220" s="9" t="s">
        <v>6988</v>
      </c>
      <c r="L220" s="10">
        <v>3833936</v>
      </c>
      <c r="M220" s="10">
        <v>716829</v>
      </c>
      <c r="N220" s="11">
        <v>15</v>
      </c>
      <c r="O220" s="11" t="s">
        <v>6992</v>
      </c>
      <c r="P220" s="7" t="s">
        <v>6468</v>
      </c>
      <c r="Q220" s="9" t="s">
        <v>4873</v>
      </c>
      <c r="S220" s="9" t="s">
        <v>6995</v>
      </c>
      <c r="T220" s="9" t="s">
        <v>8484</v>
      </c>
      <c r="U220" s="12" t="s">
        <v>5019</v>
      </c>
      <c r="V220" s="12" t="s">
        <v>5020</v>
      </c>
      <c r="W220" s="12">
        <v>0</v>
      </c>
      <c r="X220" s="12">
        <v>0</v>
      </c>
      <c r="Y220" s="12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1</v>
      </c>
      <c r="AF220" s="11">
        <v>1</v>
      </c>
      <c r="AG220" s="11">
        <v>0</v>
      </c>
      <c r="AH220" s="9" t="s">
        <v>8248</v>
      </c>
      <c r="AI220" s="11">
        <v>2</v>
      </c>
      <c r="AJ220" s="11">
        <v>1</v>
      </c>
      <c r="AK220" s="11">
        <v>1</v>
      </c>
      <c r="AL220" s="11">
        <v>0</v>
      </c>
      <c r="AN220" s="11">
        <v>0</v>
      </c>
      <c r="AO220" s="11">
        <v>0</v>
      </c>
      <c r="AP220" s="11">
        <v>0</v>
      </c>
      <c r="AQ220" s="11">
        <v>0</v>
      </c>
      <c r="AR220" s="11">
        <v>0</v>
      </c>
      <c r="AS220" s="11">
        <v>0</v>
      </c>
      <c r="AT220" s="11">
        <v>1</v>
      </c>
      <c r="AU220" s="11">
        <v>0</v>
      </c>
      <c r="AV220" s="11">
        <v>0</v>
      </c>
      <c r="AW220" s="11">
        <v>0</v>
      </c>
      <c r="AX220" s="11">
        <v>0</v>
      </c>
      <c r="AY220" s="11">
        <v>0</v>
      </c>
      <c r="BA220" s="12" t="s">
        <v>4877</v>
      </c>
      <c r="BB220" s="12">
        <v>0</v>
      </c>
      <c r="BC220" s="9" t="s">
        <v>4878</v>
      </c>
      <c r="BD220" s="12">
        <v>3</v>
      </c>
      <c r="BE220" s="12">
        <v>0</v>
      </c>
      <c r="BF220" s="12">
        <v>0</v>
      </c>
      <c r="BI220" s="12">
        <v>0</v>
      </c>
      <c r="BJ220" s="12">
        <v>0</v>
      </c>
    </row>
    <row r="221" spans="1:62" x14ac:dyDescent="0.15">
      <c r="A221" s="7" t="s">
        <v>6469</v>
      </c>
      <c r="C221" s="7" t="s">
        <v>6470</v>
      </c>
      <c r="D221" s="7" t="s">
        <v>5292</v>
      </c>
      <c r="E221" s="9" t="s">
        <v>6988</v>
      </c>
      <c r="L221" s="10">
        <v>3834450</v>
      </c>
      <c r="M221" s="10">
        <v>717745</v>
      </c>
      <c r="N221" s="11">
        <v>15</v>
      </c>
      <c r="P221" s="7" t="s">
        <v>1134</v>
      </c>
      <c r="Q221" s="9" t="s">
        <v>6994</v>
      </c>
      <c r="S221" s="9" t="s">
        <v>5292</v>
      </c>
      <c r="T221" s="9" t="s">
        <v>4902</v>
      </c>
      <c r="U221" s="12" t="s">
        <v>4902</v>
      </c>
      <c r="V221" s="12" t="s">
        <v>4902</v>
      </c>
      <c r="W221" s="12">
        <v>0</v>
      </c>
      <c r="X221" s="12">
        <v>0</v>
      </c>
      <c r="Y221" s="12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9" t="s">
        <v>4878</v>
      </c>
      <c r="AI221" s="11">
        <v>0</v>
      </c>
      <c r="AJ221" s="11">
        <v>0</v>
      </c>
      <c r="AK221" s="11">
        <v>0</v>
      </c>
      <c r="AL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1">
        <v>0</v>
      </c>
      <c r="AT221" s="11">
        <v>0</v>
      </c>
      <c r="AU221" s="11">
        <v>0</v>
      </c>
      <c r="AV221" s="11">
        <v>0</v>
      </c>
      <c r="AW221" s="11">
        <v>0</v>
      </c>
      <c r="AX221" s="11">
        <v>0</v>
      </c>
      <c r="AY221" s="11">
        <v>0</v>
      </c>
      <c r="BA221" s="12" t="s">
        <v>4877</v>
      </c>
      <c r="BB221" s="12">
        <v>0</v>
      </c>
      <c r="BC221" s="9" t="s">
        <v>4878</v>
      </c>
      <c r="BD221" s="12">
        <v>0</v>
      </c>
      <c r="BE221" s="12">
        <v>0</v>
      </c>
      <c r="BF221" s="12">
        <v>0</v>
      </c>
      <c r="BI221" s="12">
        <v>0</v>
      </c>
      <c r="BJ221" s="12">
        <v>0</v>
      </c>
    </row>
    <row r="222" spans="1:62" x14ac:dyDescent="0.15">
      <c r="A222" s="7" t="s">
        <v>6471</v>
      </c>
      <c r="C222" s="7" t="s">
        <v>6472</v>
      </c>
      <c r="D222" s="7" t="s">
        <v>5292</v>
      </c>
      <c r="E222" s="9" t="s">
        <v>6988</v>
      </c>
      <c r="L222" s="10">
        <v>3847076</v>
      </c>
      <c r="M222" s="10">
        <v>706883</v>
      </c>
      <c r="N222" s="11">
        <v>15</v>
      </c>
      <c r="P222" s="7" t="s">
        <v>6473</v>
      </c>
      <c r="Q222" s="9" t="s">
        <v>5322</v>
      </c>
      <c r="S222" s="9" t="s">
        <v>5292</v>
      </c>
      <c r="T222" s="9" t="s">
        <v>4902</v>
      </c>
      <c r="U222" s="12" t="s">
        <v>4902</v>
      </c>
      <c r="V222" s="12" t="s">
        <v>4902</v>
      </c>
      <c r="W222" s="12">
        <v>0</v>
      </c>
      <c r="X222" s="12">
        <v>0</v>
      </c>
      <c r="Y222" s="12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0</v>
      </c>
      <c r="AF222" s="11">
        <v>0</v>
      </c>
      <c r="AG222" s="11">
        <v>0</v>
      </c>
      <c r="AH222" s="9" t="s">
        <v>4909</v>
      </c>
      <c r="AI222" s="11">
        <v>1</v>
      </c>
      <c r="AJ222" s="11">
        <v>1</v>
      </c>
      <c r="AK222" s="11">
        <v>0</v>
      </c>
      <c r="AL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1</v>
      </c>
      <c r="AS222" s="11">
        <v>0</v>
      </c>
      <c r="AT222" s="11">
        <v>0</v>
      </c>
      <c r="AU222" s="11">
        <v>0</v>
      </c>
      <c r="AV222" s="11">
        <v>0</v>
      </c>
      <c r="AW222" s="11">
        <v>0</v>
      </c>
      <c r="AX222" s="11">
        <v>0</v>
      </c>
      <c r="AY222" s="11">
        <v>0</v>
      </c>
      <c r="BA222" s="12" t="s">
        <v>4877</v>
      </c>
      <c r="BB222" s="12">
        <v>0</v>
      </c>
      <c r="BC222" s="9" t="s">
        <v>4878</v>
      </c>
      <c r="BD222" s="12">
        <v>0</v>
      </c>
      <c r="BE222" s="12">
        <v>0</v>
      </c>
      <c r="BF222" s="12">
        <v>0</v>
      </c>
      <c r="BI222" s="12">
        <v>0</v>
      </c>
      <c r="BJ222" s="12">
        <v>0</v>
      </c>
    </row>
    <row r="223" spans="1:62" x14ac:dyDescent="0.15">
      <c r="A223" s="7" t="s">
        <v>6474</v>
      </c>
      <c r="C223" s="7" t="s">
        <v>6475</v>
      </c>
      <c r="D223" s="7" t="s">
        <v>5292</v>
      </c>
      <c r="E223" s="9" t="s">
        <v>6988</v>
      </c>
      <c r="L223" s="10">
        <v>3822960</v>
      </c>
      <c r="M223" s="10">
        <v>715513</v>
      </c>
      <c r="N223" s="11">
        <v>15</v>
      </c>
      <c r="P223" s="7" t="s">
        <v>718</v>
      </c>
      <c r="Q223" s="9" t="s">
        <v>5294</v>
      </c>
      <c r="S223" s="9" t="s">
        <v>5292</v>
      </c>
      <c r="T223" s="9" t="s">
        <v>4884</v>
      </c>
      <c r="U223" s="12" t="s">
        <v>5016</v>
      </c>
      <c r="V223" s="12" t="s">
        <v>5017</v>
      </c>
      <c r="W223" s="12">
        <v>0</v>
      </c>
      <c r="X223" s="12">
        <v>0</v>
      </c>
      <c r="Y223" s="12">
        <v>0</v>
      </c>
      <c r="Z223" s="11">
        <v>0</v>
      </c>
      <c r="AA223" s="11">
        <v>0</v>
      </c>
      <c r="AB223" s="11">
        <v>1</v>
      </c>
      <c r="AC223" s="11">
        <v>1</v>
      </c>
      <c r="AD223" s="11">
        <v>0</v>
      </c>
      <c r="AE223" s="11">
        <v>0</v>
      </c>
      <c r="AF223" s="11">
        <v>0</v>
      </c>
      <c r="AG223" s="11">
        <v>0</v>
      </c>
      <c r="AH223" s="9" t="s">
        <v>4878</v>
      </c>
      <c r="AI223" s="11">
        <v>0</v>
      </c>
      <c r="AJ223" s="11">
        <v>0</v>
      </c>
      <c r="AK223" s="11">
        <v>0</v>
      </c>
      <c r="AL223" s="11">
        <v>0</v>
      </c>
      <c r="AN223" s="11">
        <v>0</v>
      </c>
      <c r="AO223" s="11">
        <v>0</v>
      </c>
      <c r="AP223" s="11">
        <v>0</v>
      </c>
      <c r="AQ223" s="11">
        <v>0</v>
      </c>
      <c r="AR223" s="11">
        <v>0</v>
      </c>
      <c r="AS223" s="11">
        <v>0</v>
      </c>
      <c r="AT223" s="11">
        <v>0</v>
      </c>
      <c r="AU223" s="11">
        <v>0</v>
      </c>
      <c r="AV223" s="11">
        <v>0</v>
      </c>
      <c r="AW223" s="11">
        <v>0</v>
      </c>
      <c r="AX223" s="11">
        <v>0</v>
      </c>
      <c r="AY223" s="11">
        <v>0</v>
      </c>
      <c r="BA223" s="12" t="s">
        <v>4877</v>
      </c>
      <c r="BB223" s="12">
        <v>0</v>
      </c>
      <c r="BC223" s="9" t="s">
        <v>4878</v>
      </c>
      <c r="BD223" s="12">
        <v>0</v>
      </c>
      <c r="BE223" s="12">
        <v>0</v>
      </c>
      <c r="BF223" s="12">
        <v>0</v>
      </c>
      <c r="BI223" s="12">
        <v>0</v>
      </c>
      <c r="BJ223" s="12">
        <v>0</v>
      </c>
    </row>
    <row r="224" spans="1:62" x14ac:dyDescent="0.15">
      <c r="A224" s="7" t="s">
        <v>6476</v>
      </c>
      <c r="C224" s="7" t="s">
        <v>6477</v>
      </c>
      <c r="D224" s="7" t="s">
        <v>5292</v>
      </c>
      <c r="E224" s="9" t="s">
        <v>6988</v>
      </c>
      <c r="L224" s="10">
        <v>3821916</v>
      </c>
      <c r="M224" s="10">
        <v>715532</v>
      </c>
      <c r="N224" s="11">
        <v>15</v>
      </c>
      <c r="P224" s="7" t="s">
        <v>1079</v>
      </c>
      <c r="Q224" s="9" t="s">
        <v>5322</v>
      </c>
      <c r="S224" s="9" t="s">
        <v>5292</v>
      </c>
      <c r="T224" s="9" t="s">
        <v>4902</v>
      </c>
      <c r="U224" s="12" t="s">
        <v>4902</v>
      </c>
      <c r="V224" s="12" t="s">
        <v>4902</v>
      </c>
      <c r="W224" s="12">
        <v>0</v>
      </c>
      <c r="X224" s="12">
        <v>0</v>
      </c>
      <c r="Y224" s="12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9" t="s">
        <v>4909</v>
      </c>
      <c r="AI224" s="11">
        <v>1</v>
      </c>
      <c r="AJ224" s="11">
        <v>1</v>
      </c>
      <c r="AK224" s="11">
        <v>0</v>
      </c>
      <c r="AL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1</v>
      </c>
      <c r="AS224" s="11">
        <v>0</v>
      </c>
      <c r="AT224" s="11">
        <v>1</v>
      </c>
      <c r="AU224" s="11">
        <v>0</v>
      </c>
      <c r="AV224" s="11">
        <v>0</v>
      </c>
      <c r="AW224" s="11">
        <v>0</v>
      </c>
      <c r="AX224" s="11">
        <v>0</v>
      </c>
      <c r="AY224" s="11">
        <v>0</v>
      </c>
      <c r="BA224" s="12" t="s">
        <v>4877</v>
      </c>
      <c r="BB224" s="12">
        <v>0</v>
      </c>
      <c r="BC224" s="9" t="s">
        <v>4878</v>
      </c>
      <c r="BD224" s="12">
        <v>0</v>
      </c>
      <c r="BE224" s="12">
        <v>0</v>
      </c>
      <c r="BF224" s="12">
        <v>0</v>
      </c>
      <c r="BI224" s="12">
        <v>0</v>
      </c>
      <c r="BJ224" s="12">
        <v>0</v>
      </c>
    </row>
    <row r="225" spans="1:62" x14ac:dyDescent="0.15">
      <c r="A225" s="7" t="s">
        <v>6478</v>
      </c>
      <c r="C225" s="7" t="s">
        <v>6479</v>
      </c>
      <c r="D225" s="7" t="s">
        <v>5292</v>
      </c>
      <c r="E225" s="9" t="s">
        <v>6988</v>
      </c>
      <c r="L225" s="10">
        <v>3820480</v>
      </c>
      <c r="M225" s="10">
        <v>720022</v>
      </c>
      <c r="N225" s="11">
        <v>15</v>
      </c>
      <c r="P225" s="7" t="s">
        <v>6480</v>
      </c>
      <c r="Q225" s="9" t="s">
        <v>4873</v>
      </c>
      <c r="S225" s="9" t="s">
        <v>6481</v>
      </c>
      <c r="T225" s="9" t="s">
        <v>5017</v>
      </c>
      <c r="U225" s="12" t="s">
        <v>5017</v>
      </c>
      <c r="V225" s="12" t="s">
        <v>5017</v>
      </c>
      <c r="W225" s="12">
        <v>0</v>
      </c>
      <c r="X225" s="12">
        <v>0</v>
      </c>
      <c r="Y225" s="12">
        <v>0</v>
      </c>
      <c r="Z225" s="11">
        <v>0</v>
      </c>
      <c r="AA225" s="11">
        <v>0</v>
      </c>
      <c r="AB225" s="11">
        <v>0</v>
      </c>
      <c r="AC225" s="11">
        <v>1</v>
      </c>
      <c r="AD225" s="11">
        <v>0</v>
      </c>
      <c r="AE225" s="11">
        <v>0</v>
      </c>
      <c r="AF225" s="11">
        <v>0</v>
      </c>
      <c r="AG225" s="11">
        <v>0</v>
      </c>
      <c r="AH225" s="9" t="s">
        <v>8248</v>
      </c>
      <c r="AI225" s="11">
        <v>2</v>
      </c>
      <c r="AJ225" s="11">
        <v>1</v>
      </c>
      <c r="AK225" s="11">
        <v>1</v>
      </c>
      <c r="AL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1</v>
      </c>
      <c r="AS225" s="11">
        <v>0</v>
      </c>
      <c r="AT225" s="11">
        <v>0</v>
      </c>
      <c r="AU225" s="11">
        <v>0</v>
      </c>
      <c r="AV225" s="11">
        <v>0</v>
      </c>
      <c r="AW225" s="11">
        <v>0</v>
      </c>
      <c r="AX225" s="11">
        <v>0</v>
      </c>
      <c r="AY225" s="11">
        <v>0</v>
      </c>
      <c r="BA225" s="12" t="s">
        <v>4877</v>
      </c>
      <c r="BB225" s="12">
        <v>0</v>
      </c>
      <c r="BC225" s="9" t="s">
        <v>4878</v>
      </c>
      <c r="BD225" s="12">
        <v>0</v>
      </c>
      <c r="BE225" s="12">
        <v>0</v>
      </c>
      <c r="BF225" s="12">
        <v>0</v>
      </c>
      <c r="BI225" s="12">
        <v>0</v>
      </c>
      <c r="BJ225" s="12">
        <v>0</v>
      </c>
    </row>
    <row r="226" spans="1:62" x14ac:dyDescent="0.15">
      <c r="A226" s="7" t="s">
        <v>6482</v>
      </c>
      <c r="C226" s="7" t="s">
        <v>6483</v>
      </c>
      <c r="D226" s="7" t="s">
        <v>5292</v>
      </c>
      <c r="E226" s="9" t="s">
        <v>6988</v>
      </c>
      <c r="L226" s="10">
        <v>3835900</v>
      </c>
      <c r="M226" s="10">
        <v>738920</v>
      </c>
      <c r="N226" s="11">
        <v>15</v>
      </c>
      <c r="P226" s="7" t="s">
        <v>6484</v>
      </c>
      <c r="Q226" s="9" t="s">
        <v>1061</v>
      </c>
      <c r="R226" s="9" t="s">
        <v>1061</v>
      </c>
      <c r="S226" s="9" t="s">
        <v>5292</v>
      </c>
      <c r="T226" s="9" t="s">
        <v>4891</v>
      </c>
      <c r="U226" s="12" t="s">
        <v>5017</v>
      </c>
      <c r="V226" s="12" t="s">
        <v>5018</v>
      </c>
      <c r="W226" s="12">
        <v>0</v>
      </c>
      <c r="X226" s="12">
        <v>0</v>
      </c>
      <c r="Y226" s="12">
        <v>0</v>
      </c>
      <c r="Z226" s="11">
        <v>0</v>
      </c>
      <c r="AA226" s="11">
        <v>0</v>
      </c>
      <c r="AB226" s="11">
        <v>0</v>
      </c>
      <c r="AC226" s="11">
        <v>1</v>
      </c>
      <c r="AD226" s="11">
        <v>1</v>
      </c>
      <c r="AE226" s="11">
        <v>0</v>
      </c>
      <c r="AF226" s="11">
        <v>0</v>
      </c>
      <c r="AG226" s="11">
        <v>0</v>
      </c>
      <c r="AH226" s="9">
        <v>4</v>
      </c>
      <c r="AI226" s="11">
        <v>4</v>
      </c>
      <c r="AJ226" s="11">
        <v>1</v>
      </c>
      <c r="AK226" s="11">
        <v>1</v>
      </c>
      <c r="AL226" s="11">
        <v>1</v>
      </c>
      <c r="AN226" s="11">
        <v>0</v>
      </c>
      <c r="AO226" s="11">
        <v>1</v>
      </c>
      <c r="AP226" s="11">
        <v>0</v>
      </c>
      <c r="AQ226" s="11">
        <v>1</v>
      </c>
      <c r="AR226" s="11">
        <v>0</v>
      </c>
      <c r="AS226" s="11">
        <v>0</v>
      </c>
      <c r="AT226" s="11">
        <v>1</v>
      </c>
      <c r="AU226" s="11">
        <v>0</v>
      </c>
      <c r="AV226" s="11">
        <v>0</v>
      </c>
      <c r="AW226" s="11">
        <v>0</v>
      </c>
      <c r="AX226" s="11">
        <v>0</v>
      </c>
      <c r="AY226" s="11">
        <v>0</v>
      </c>
      <c r="BA226" s="12" t="s">
        <v>4877</v>
      </c>
      <c r="BB226" s="12">
        <v>1</v>
      </c>
      <c r="BC226" s="9" t="s">
        <v>4878</v>
      </c>
      <c r="BD226" s="12">
        <v>12</v>
      </c>
      <c r="BE226" s="12">
        <v>300</v>
      </c>
      <c r="BF226" s="12">
        <v>0</v>
      </c>
      <c r="BI226" s="12">
        <v>0</v>
      </c>
      <c r="BJ226" s="12">
        <v>0</v>
      </c>
    </row>
    <row r="227" spans="1:62" x14ac:dyDescent="0.15">
      <c r="A227" s="7" t="s">
        <v>6485</v>
      </c>
      <c r="B227" s="7" t="s">
        <v>6486</v>
      </c>
      <c r="C227" s="7" t="s">
        <v>6487</v>
      </c>
      <c r="D227" s="7" t="s">
        <v>5292</v>
      </c>
      <c r="E227" s="9" t="s">
        <v>6988</v>
      </c>
      <c r="L227" s="10">
        <v>3825601</v>
      </c>
      <c r="M227" s="10">
        <v>731878</v>
      </c>
      <c r="N227" s="11">
        <v>15</v>
      </c>
      <c r="P227" s="7" t="s">
        <v>6488</v>
      </c>
      <c r="Q227" s="9" t="s">
        <v>1061</v>
      </c>
      <c r="R227" s="9" t="s">
        <v>1061</v>
      </c>
      <c r="S227" s="9" t="s">
        <v>6489</v>
      </c>
      <c r="T227" s="9" t="s">
        <v>8484</v>
      </c>
      <c r="U227" s="12" t="s">
        <v>5019</v>
      </c>
      <c r="V227" s="12" t="s">
        <v>5020</v>
      </c>
      <c r="W227" s="12">
        <v>0</v>
      </c>
      <c r="X227" s="12">
        <v>0</v>
      </c>
      <c r="Y227" s="12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1</v>
      </c>
      <c r="AF227" s="11">
        <v>1</v>
      </c>
      <c r="AG227" s="11">
        <v>0</v>
      </c>
      <c r="AH227" s="9" t="s">
        <v>1131</v>
      </c>
      <c r="AI227" s="11">
        <v>3</v>
      </c>
      <c r="AJ227" s="11">
        <v>1</v>
      </c>
      <c r="AK227" s="11">
        <v>1</v>
      </c>
      <c r="AL227" s="11">
        <v>1</v>
      </c>
      <c r="AN227" s="11">
        <v>1</v>
      </c>
      <c r="AO227" s="11">
        <v>0</v>
      </c>
      <c r="AP227" s="11">
        <v>0</v>
      </c>
      <c r="AQ227" s="11">
        <v>1</v>
      </c>
      <c r="AR227" s="11">
        <v>0</v>
      </c>
      <c r="AS227" s="11">
        <v>0</v>
      </c>
      <c r="AT227" s="11">
        <v>1</v>
      </c>
      <c r="AU227" s="11">
        <v>0</v>
      </c>
      <c r="AV227" s="11">
        <v>0</v>
      </c>
      <c r="AW227" s="11">
        <v>0</v>
      </c>
      <c r="AX227" s="11">
        <v>0</v>
      </c>
      <c r="AY227" s="11">
        <v>0</v>
      </c>
      <c r="BA227" s="12" t="s">
        <v>4877</v>
      </c>
      <c r="BB227" s="12">
        <v>1</v>
      </c>
      <c r="BC227" s="9" t="s">
        <v>4878</v>
      </c>
      <c r="BD227" s="12">
        <v>18</v>
      </c>
      <c r="BE227" s="12">
        <v>200</v>
      </c>
      <c r="BF227" s="12">
        <v>0</v>
      </c>
      <c r="BI227" s="12">
        <v>0</v>
      </c>
      <c r="BJ227" s="12">
        <v>0</v>
      </c>
    </row>
    <row r="228" spans="1:62" x14ac:dyDescent="0.15">
      <c r="A228" s="7" t="s">
        <v>6490</v>
      </c>
      <c r="C228" s="7" t="s">
        <v>6491</v>
      </c>
      <c r="D228" s="7" t="s">
        <v>5292</v>
      </c>
      <c r="E228" s="9" t="s">
        <v>6988</v>
      </c>
      <c r="L228" s="10">
        <v>3845370</v>
      </c>
      <c r="M228" s="10">
        <v>749901</v>
      </c>
      <c r="N228" s="11">
        <v>15</v>
      </c>
      <c r="P228" s="7" t="s">
        <v>5310</v>
      </c>
      <c r="Q228" s="9" t="s">
        <v>5311</v>
      </c>
      <c r="S228" s="9" t="s">
        <v>5292</v>
      </c>
      <c r="T228" s="9" t="s">
        <v>4902</v>
      </c>
      <c r="U228" s="12" t="s">
        <v>4902</v>
      </c>
      <c r="V228" s="12" t="s">
        <v>4902</v>
      </c>
      <c r="W228" s="12">
        <v>0</v>
      </c>
      <c r="X228" s="12">
        <v>0</v>
      </c>
      <c r="Y228" s="12">
        <v>0</v>
      </c>
      <c r="Z228" s="11">
        <v>0</v>
      </c>
      <c r="AA228" s="11">
        <v>0</v>
      </c>
      <c r="AB228" s="11">
        <v>0</v>
      </c>
      <c r="AC228" s="11">
        <v>0</v>
      </c>
      <c r="AD228" s="11">
        <v>0</v>
      </c>
      <c r="AE228" s="11">
        <v>0</v>
      </c>
      <c r="AF228" s="11">
        <v>0</v>
      </c>
      <c r="AG228" s="11">
        <v>0</v>
      </c>
      <c r="AH228" s="9" t="s">
        <v>4909</v>
      </c>
      <c r="AI228" s="11">
        <v>1</v>
      </c>
      <c r="AJ228" s="11">
        <v>1</v>
      </c>
      <c r="AK228" s="11">
        <v>0</v>
      </c>
      <c r="AL228" s="11">
        <v>0</v>
      </c>
      <c r="AN228" s="11">
        <v>0</v>
      </c>
      <c r="AO228" s="11">
        <v>0</v>
      </c>
      <c r="AP228" s="11">
        <v>0</v>
      </c>
      <c r="AQ228" s="11">
        <v>0</v>
      </c>
      <c r="AR228" s="11">
        <v>0</v>
      </c>
      <c r="AS228" s="11">
        <v>0</v>
      </c>
      <c r="AT228" s="11">
        <v>1</v>
      </c>
      <c r="AU228" s="11">
        <v>0</v>
      </c>
      <c r="AV228" s="11">
        <v>0</v>
      </c>
      <c r="AW228" s="11">
        <v>0</v>
      </c>
      <c r="AX228" s="11">
        <v>0</v>
      </c>
      <c r="AY228" s="11">
        <v>0</v>
      </c>
      <c r="BA228" s="12" t="s">
        <v>4877</v>
      </c>
      <c r="BB228" s="12">
        <v>0</v>
      </c>
      <c r="BC228" s="9" t="s">
        <v>4878</v>
      </c>
      <c r="BD228" s="12">
        <v>0</v>
      </c>
      <c r="BE228" s="12">
        <v>0</v>
      </c>
      <c r="BF228" s="12">
        <v>0</v>
      </c>
      <c r="BI228" s="12">
        <v>0</v>
      </c>
      <c r="BJ228" s="12">
        <v>0</v>
      </c>
    </row>
    <row r="229" spans="1:62" x14ac:dyDescent="0.15">
      <c r="A229" s="7" t="s">
        <v>6492</v>
      </c>
      <c r="C229" s="7" t="s">
        <v>6493</v>
      </c>
      <c r="D229" s="7" t="s">
        <v>5292</v>
      </c>
      <c r="E229" s="9" t="s">
        <v>6988</v>
      </c>
      <c r="L229" s="10">
        <v>3844028</v>
      </c>
      <c r="M229" s="10">
        <v>750923</v>
      </c>
      <c r="N229" s="11">
        <v>15</v>
      </c>
      <c r="P229" s="7" t="s">
        <v>5310</v>
      </c>
      <c r="Q229" s="9" t="s">
        <v>5311</v>
      </c>
      <c r="S229" s="9" t="s">
        <v>5292</v>
      </c>
      <c r="T229" s="9" t="s">
        <v>4902</v>
      </c>
      <c r="U229" s="12" t="s">
        <v>4902</v>
      </c>
      <c r="V229" s="12" t="s">
        <v>4902</v>
      </c>
      <c r="W229" s="12">
        <v>0</v>
      </c>
      <c r="X229" s="12">
        <v>0</v>
      </c>
      <c r="Y229" s="12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9" t="s">
        <v>4909</v>
      </c>
      <c r="AI229" s="11">
        <v>1</v>
      </c>
      <c r="AJ229" s="11">
        <v>1</v>
      </c>
      <c r="AK229" s="11">
        <v>0</v>
      </c>
      <c r="AL229" s="11">
        <v>0</v>
      </c>
      <c r="AN229" s="11">
        <v>0</v>
      </c>
      <c r="AO229" s="11">
        <v>0</v>
      </c>
      <c r="AP229" s="11">
        <v>0</v>
      </c>
      <c r="AQ229" s="11">
        <v>0</v>
      </c>
      <c r="AR229" s="11">
        <v>0</v>
      </c>
      <c r="AS229" s="11">
        <v>0</v>
      </c>
      <c r="AT229" s="11">
        <v>1</v>
      </c>
      <c r="AU229" s="11">
        <v>0</v>
      </c>
      <c r="AV229" s="11">
        <v>0</v>
      </c>
      <c r="AW229" s="11">
        <v>0</v>
      </c>
      <c r="AX229" s="11">
        <v>0</v>
      </c>
      <c r="AY229" s="11">
        <v>0</v>
      </c>
      <c r="BA229" s="12" t="s">
        <v>4877</v>
      </c>
      <c r="BB229" s="12">
        <v>0</v>
      </c>
      <c r="BC229" s="9" t="s">
        <v>4878</v>
      </c>
      <c r="BD229" s="12">
        <v>0</v>
      </c>
      <c r="BE229" s="12">
        <v>0</v>
      </c>
      <c r="BF229" s="12">
        <v>0</v>
      </c>
      <c r="BI229" s="12">
        <v>0</v>
      </c>
      <c r="BJ229" s="12">
        <v>0</v>
      </c>
    </row>
    <row r="230" spans="1:62" x14ac:dyDescent="0.15">
      <c r="A230" s="7" t="s">
        <v>6494</v>
      </c>
      <c r="B230" s="7" t="s">
        <v>6495</v>
      </c>
      <c r="C230" s="7" t="s">
        <v>6496</v>
      </c>
      <c r="D230" s="7" t="s">
        <v>5292</v>
      </c>
      <c r="E230" s="9" t="s">
        <v>6988</v>
      </c>
      <c r="L230" s="10">
        <v>3827349</v>
      </c>
      <c r="M230" s="10">
        <v>750391</v>
      </c>
      <c r="N230" s="11">
        <v>15</v>
      </c>
      <c r="P230" s="7" t="s">
        <v>6497</v>
      </c>
      <c r="Q230" s="9" t="s">
        <v>4873</v>
      </c>
      <c r="R230" s="9" t="s">
        <v>5318</v>
      </c>
      <c r="S230" s="9" t="s">
        <v>6489</v>
      </c>
      <c r="T230" s="9" t="s">
        <v>4891</v>
      </c>
      <c r="U230" s="12" t="s">
        <v>5017</v>
      </c>
      <c r="V230" s="12" t="s">
        <v>5018</v>
      </c>
      <c r="W230" s="12">
        <v>0</v>
      </c>
      <c r="X230" s="12">
        <v>0</v>
      </c>
      <c r="Y230" s="12">
        <v>0</v>
      </c>
      <c r="Z230" s="11">
        <v>0</v>
      </c>
      <c r="AA230" s="11">
        <v>0</v>
      </c>
      <c r="AB230" s="11">
        <v>0</v>
      </c>
      <c r="AC230" s="11">
        <v>1</v>
      </c>
      <c r="AD230" s="11">
        <v>1</v>
      </c>
      <c r="AE230" s="11">
        <v>0</v>
      </c>
      <c r="AF230" s="11">
        <v>0</v>
      </c>
      <c r="AG230" s="11">
        <v>0</v>
      </c>
      <c r="AH230" s="9">
        <v>1</v>
      </c>
      <c r="AI230" s="11">
        <v>1</v>
      </c>
      <c r="AJ230" s="11">
        <v>1</v>
      </c>
      <c r="AK230" s="11">
        <v>0</v>
      </c>
      <c r="AL230" s="11">
        <v>0</v>
      </c>
      <c r="AN230" s="11">
        <v>0</v>
      </c>
      <c r="AO230" s="11">
        <v>0</v>
      </c>
      <c r="AP230" s="11">
        <v>0</v>
      </c>
      <c r="AQ230" s="11">
        <v>0</v>
      </c>
      <c r="AR230" s="11">
        <v>0</v>
      </c>
      <c r="AS230" s="11">
        <v>0</v>
      </c>
      <c r="AT230" s="11">
        <v>0</v>
      </c>
      <c r="AU230" s="11">
        <v>0</v>
      </c>
      <c r="AV230" s="11">
        <v>0</v>
      </c>
      <c r="AW230" s="11">
        <v>0</v>
      </c>
      <c r="AX230" s="11">
        <v>0</v>
      </c>
      <c r="AY230" s="11">
        <v>0</v>
      </c>
      <c r="BA230" s="12" t="s">
        <v>4877</v>
      </c>
      <c r="BB230" s="12">
        <v>0</v>
      </c>
      <c r="BC230" s="9" t="s">
        <v>4878</v>
      </c>
      <c r="BD230" s="12">
        <v>12</v>
      </c>
      <c r="BE230" s="12">
        <v>0</v>
      </c>
      <c r="BF230" s="12">
        <f>VLOOKUP(A230,'[1]Conical Mounds'!A$1:O$65536,15,FALSE)</f>
        <v>3000</v>
      </c>
      <c r="BI230">
        <f>BD230/BF230</f>
        <v>4.0000000000000001E-3</v>
      </c>
      <c r="BJ230">
        <f>BI230*10000</f>
        <v>40</v>
      </c>
    </row>
    <row r="231" spans="1:62" x14ac:dyDescent="0.15">
      <c r="A231" s="7" t="s">
        <v>6498</v>
      </c>
      <c r="C231" s="7" t="s">
        <v>6499</v>
      </c>
      <c r="D231" s="7" t="s">
        <v>5292</v>
      </c>
      <c r="E231" s="9" t="s">
        <v>6988</v>
      </c>
      <c r="L231" s="10">
        <v>3834164</v>
      </c>
      <c r="M231" s="10">
        <v>737160</v>
      </c>
      <c r="N231" s="11">
        <v>15</v>
      </c>
      <c r="P231" s="7" t="s">
        <v>923</v>
      </c>
      <c r="Q231" s="9" t="s">
        <v>1061</v>
      </c>
      <c r="R231" s="9" t="s">
        <v>1061</v>
      </c>
      <c r="S231" s="9" t="s">
        <v>5292</v>
      </c>
      <c r="T231" s="9" t="s">
        <v>4891</v>
      </c>
      <c r="U231" s="12" t="s">
        <v>5017</v>
      </c>
      <c r="V231" s="12" t="s">
        <v>5018</v>
      </c>
      <c r="W231" s="12">
        <v>0</v>
      </c>
      <c r="X231" s="12">
        <v>0</v>
      </c>
      <c r="Y231" s="12">
        <v>0</v>
      </c>
      <c r="Z231" s="11">
        <v>0</v>
      </c>
      <c r="AA231" s="11">
        <v>0</v>
      </c>
      <c r="AB231" s="11">
        <v>0</v>
      </c>
      <c r="AC231" s="11">
        <v>1</v>
      </c>
      <c r="AD231" s="11">
        <v>1</v>
      </c>
      <c r="AE231" s="11">
        <v>0</v>
      </c>
      <c r="AF231" s="11">
        <v>0</v>
      </c>
      <c r="AG231" s="11">
        <v>0</v>
      </c>
      <c r="AH231" s="9">
        <v>2</v>
      </c>
      <c r="AI231" s="11">
        <v>2</v>
      </c>
      <c r="AJ231" s="11">
        <v>1</v>
      </c>
      <c r="AK231" s="11">
        <v>1</v>
      </c>
      <c r="AL231" s="11">
        <v>1</v>
      </c>
      <c r="AN231" s="11">
        <v>0</v>
      </c>
      <c r="AO231" s="11">
        <v>1</v>
      </c>
      <c r="AP231" s="11">
        <v>0</v>
      </c>
      <c r="AQ231" s="11">
        <v>0</v>
      </c>
      <c r="AR231" s="11">
        <v>0</v>
      </c>
      <c r="AS231" s="11">
        <v>0</v>
      </c>
      <c r="AT231" s="11">
        <v>1</v>
      </c>
      <c r="AU231" s="11">
        <v>0</v>
      </c>
      <c r="AV231" s="11">
        <v>0</v>
      </c>
      <c r="AW231" s="11">
        <v>0</v>
      </c>
      <c r="AX231" s="11">
        <v>0</v>
      </c>
      <c r="AY231" s="11">
        <v>0</v>
      </c>
      <c r="BA231" s="12" t="s">
        <v>4877</v>
      </c>
      <c r="BB231" s="12">
        <v>1</v>
      </c>
      <c r="BC231" s="9" t="s">
        <v>4878</v>
      </c>
      <c r="BD231" s="12">
        <v>12</v>
      </c>
      <c r="BE231" s="12">
        <v>400</v>
      </c>
      <c r="BF231" s="12">
        <v>0</v>
      </c>
      <c r="BI231" s="12">
        <v>0</v>
      </c>
      <c r="BJ231" s="12">
        <v>0</v>
      </c>
    </row>
    <row r="232" spans="1:62" x14ac:dyDescent="0.15">
      <c r="A232" s="7" t="s">
        <v>6500</v>
      </c>
      <c r="C232" s="7" t="s">
        <v>6501</v>
      </c>
      <c r="D232" s="7" t="s">
        <v>5292</v>
      </c>
      <c r="E232" s="9" t="s">
        <v>6988</v>
      </c>
      <c r="L232" s="10">
        <v>3834660</v>
      </c>
      <c r="M232" s="10">
        <v>738770</v>
      </c>
      <c r="N232" s="11">
        <v>15</v>
      </c>
      <c r="P232" s="7" t="s">
        <v>6985</v>
      </c>
      <c r="Q232" s="9" t="s">
        <v>1061</v>
      </c>
      <c r="R232" s="9" t="s">
        <v>1061</v>
      </c>
      <c r="S232" s="9" t="s">
        <v>5292</v>
      </c>
      <c r="T232" s="9" t="s">
        <v>8484</v>
      </c>
      <c r="U232" s="12" t="s">
        <v>5019</v>
      </c>
      <c r="V232" s="12" t="s">
        <v>5020</v>
      </c>
      <c r="W232" s="12">
        <v>0</v>
      </c>
      <c r="X232" s="12">
        <v>0</v>
      </c>
      <c r="Y232" s="12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1</v>
      </c>
      <c r="AF232" s="11">
        <v>1</v>
      </c>
      <c r="AG232" s="11">
        <v>0</v>
      </c>
      <c r="AH232" s="9" t="s">
        <v>1131</v>
      </c>
      <c r="AI232" s="11">
        <v>3</v>
      </c>
      <c r="AJ232" s="11">
        <v>1</v>
      </c>
      <c r="AK232" s="11">
        <v>1</v>
      </c>
      <c r="AL232" s="11">
        <v>1</v>
      </c>
      <c r="AN232" s="11">
        <v>0</v>
      </c>
      <c r="AO232" s="11">
        <v>0</v>
      </c>
      <c r="AP232" s="11">
        <v>0</v>
      </c>
      <c r="AQ232" s="11">
        <v>0</v>
      </c>
      <c r="AR232" s="11">
        <v>0</v>
      </c>
      <c r="AS232" s="11">
        <v>0</v>
      </c>
      <c r="AT232" s="11">
        <v>1</v>
      </c>
      <c r="AU232" s="11">
        <v>0</v>
      </c>
      <c r="AV232" s="11">
        <v>0</v>
      </c>
      <c r="AW232" s="11">
        <v>0</v>
      </c>
      <c r="AX232" s="11">
        <v>0</v>
      </c>
      <c r="AY232" s="11">
        <v>0</v>
      </c>
      <c r="BA232" s="12" t="s">
        <v>4877</v>
      </c>
      <c r="BB232" s="12">
        <v>0</v>
      </c>
      <c r="BC232" s="9" t="s">
        <v>4878</v>
      </c>
      <c r="BD232" s="12">
        <v>11</v>
      </c>
      <c r="BE232" s="12">
        <v>0</v>
      </c>
      <c r="BF232" s="12">
        <v>0</v>
      </c>
      <c r="BI232" s="12">
        <v>0</v>
      </c>
      <c r="BJ232" s="12">
        <v>0</v>
      </c>
    </row>
    <row r="233" spans="1:62" x14ac:dyDescent="0.15">
      <c r="A233" s="7" t="s">
        <v>6502</v>
      </c>
      <c r="C233" s="7" t="s">
        <v>8374</v>
      </c>
      <c r="D233" s="7" t="s">
        <v>5292</v>
      </c>
      <c r="E233" s="9" t="s">
        <v>6988</v>
      </c>
      <c r="L233" s="10">
        <v>3846780</v>
      </c>
      <c r="M233" s="10">
        <v>737110</v>
      </c>
      <c r="N233" s="11">
        <v>15</v>
      </c>
      <c r="P233" s="7" t="s">
        <v>6503</v>
      </c>
      <c r="Q233" s="9" t="s">
        <v>1061</v>
      </c>
      <c r="R233" s="9" t="s">
        <v>1061</v>
      </c>
      <c r="S233" s="9" t="s">
        <v>5292</v>
      </c>
      <c r="T233" s="9" t="s">
        <v>4875</v>
      </c>
      <c r="U233" s="12" t="s">
        <v>5020</v>
      </c>
      <c r="V233" s="12" t="s">
        <v>5021</v>
      </c>
      <c r="W233" s="12">
        <v>0</v>
      </c>
      <c r="X233" s="12">
        <v>0</v>
      </c>
      <c r="Y233" s="12">
        <v>0</v>
      </c>
      <c r="Z233" s="11">
        <v>0</v>
      </c>
      <c r="AA233" s="11">
        <v>0</v>
      </c>
      <c r="AB233" s="11">
        <v>0</v>
      </c>
      <c r="AC233" s="11">
        <v>0</v>
      </c>
      <c r="AD233" s="11">
        <v>0</v>
      </c>
      <c r="AE233" s="11">
        <v>0</v>
      </c>
      <c r="AF233" s="11">
        <v>1</v>
      </c>
      <c r="AG233" s="11">
        <v>1</v>
      </c>
      <c r="AH233" s="9">
        <v>4</v>
      </c>
      <c r="AI233" s="11">
        <v>4</v>
      </c>
      <c r="AJ233" s="11">
        <v>1</v>
      </c>
      <c r="AK233" s="11">
        <v>1</v>
      </c>
      <c r="AL233" s="11">
        <v>1</v>
      </c>
      <c r="AN233" s="11">
        <v>0</v>
      </c>
      <c r="AO233" s="11">
        <v>0</v>
      </c>
      <c r="AP233" s="11">
        <v>0</v>
      </c>
      <c r="AQ233" s="11">
        <v>1</v>
      </c>
      <c r="AR233" s="11">
        <v>0</v>
      </c>
      <c r="AS233" s="11">
        <v>0</v>
      </c>
      <c r="AT233" s="11">
        <v>1</v>
      </c>
      <c r="AU233" s="11">
        <v>0</v>
      </c>
      <c r="AV233" s="11">
        <v>0</v>
      </c>
      <c r="AW233" s="11">
        <v>0</v>
      </c>
      <c r="AX233" s="11">
        <v>0</v>
      </c>
      <c r="AY233" s="11">
        <v>0</v>
      </c>
      <c r="BA233" s="12" t="s">
        <v>4877</v>
      </c>
      <c r="BB233" s="12">
        <v>0</v>
      </c>
      <c r="BC233" s="9" t="s">
        <v>4878</v>
      </c>
      <c r="BD233" s="12">
        <v>10</v>
      </c>
      <c r="BE233" s="12">
        <v>0</v>
      </c>
      <c r="BF233" s="12">
        <v>0</v>
      </c>
      <c r="BI233" s="12">
        <v>0</v>
      </c>
      <c r="BJ233" s="12">
        <v>0</v>
      </c>
    </row>
    <row r="234" spans="1:62" x14ac:dyDescent="0.15">
      <c r="A234" s="7" t="s">
        <v>6504</v>
      </c>
      <c r="C234" s="7" t="s">
        <v>6505</v>
      </c>
      <c r="D234" s="7" t="s">
        <v>5292</v>
      </c>
      <c r="E234" s="9" t="s">
        <v>6988</v>
      </c>
      <c r="L234" s="10">
        <v>3844990</v>
      </c>
      <c r="M234" s="10">
        <v>733381</v>
      </c>
      <c r="N234" s="11">
        <v>15</v>
      </c>
      <c r="P234" s="7" t="s">
        <v>6506</v>
      </c>
      <c r="Q234" s="9" t="s">
        <v>6994</v>
      </c>
      <c r="S234" s="9" t="s">
        <v>5292</v>
      </c>
      <c r="T234" s="9" t="s">
        <v>4902</v>
      </c>
      <c r="U234" s="12" t="s">
        <v>4902</v>
      </c>
      <c r="V234" s="12" t="s">
        <v>4902</v>
      </c>
      <c r="W234" s="12">
        <v>0</v>
      </c>
      <c r="X234" s="12">
        <v>0</v>
      </c>
      <c r="Y234" s="12">
        <v>0</v>
      </c>
      <c r="Z234" s="11">
        <v>0</v>
      </c>
      <c r="AA234" s="11">
        <v>0</v>
      </c>
      <c r="AB234" s="11">
        <v>0</v>
      </c>
      <c r="AC234" s="11">
        <v>0</v>
      </c>
      <c r="AD234" s="11">
        <v>0</v>
      </c>
      <c r="AE234" s="11">
        <v>0</v>
      </c>
      <c r="AF234" s="11">
        <v>0</v>
      </c>
      <c r="AG234" s="11">
        <v>0</v>
      </c>
      <c r="AH234" s="9" t="s">
        <v>4878</v>
      </c>
      <c r="AI234" s="11">
        <v>0</v>
      </c>
      <c r="AJ234" s="11">
        <v>0</v>
      </c>
      <c r="AK234" s="11">
        <v>0</v>
      </c>
      <c r="AL234" s="11">
        <v>0</v>
      </c>
      <c r="AN234" s="11">
        <v>0</v>
      </c>
      <c r="AO234" s="11">
        <v>0</v>
      </c>
      <c r="AP234" s="11">
        <v>0</v>
      </c>
      <c r="AQ234" s="11">
        <v>0</v>
      </c>
      <c r="AR234" s="11">
        <v>0</v>
      </c>
      <c r="AS234" s="11">
        <v>0</v>
      </c>
      <c r="AT234" s="11">
        <v>0</v>
      </c>
      <c r="AU234" s="11">
        <v>0</v>
      </c>
      <c r="AV234" s="11">
        <v>0</v>
      </c>
      <c r="AW234" s="11">
        <v>0</v>
      </c>
      <c r="AX234" s="11">
        <v>0</v>
      </c>
      <c r="AY234" s="11">
        <v>0</v>
      </c>
      <c r="BA234" s="12" t="s">
        <v>4877</v>
      </c>
      <c r="BB234" s="12">
        <v>0</v>
      </c>
      <c r="BC234" s="9" t="s">
        <v>4878</v>
      </c>
      <c r="BD234" s="12">
        <v>0</v>
      </c>
      <c r="BE234" s="12">
        <v>0</v>
      </c>
      <c r="BF234" s="12">
        <v>0</v>
      </c>
      <c r="BI234" s="12">
        <v>0</v>
      </c>
      <c r="BJ234" s="12">
        <v>0</v>
      </c>
    </row>
    <row r="235" spans="1:62" x14ac:dyDescent="0.15">
      <c r="A235" s="7" t="s">
        <v>6507</v>
      </c>
      <c r="C235" s="7" t="s">
        <v>6508</v>
      </c>
      <c r="D235" s="7" t="s">
        <v>5292</v>
      </c>
      <c r="E235" s="9" t="s">
        <v>6988</v>
      </c>
      <c r="L235" s="10">
        <v>3847260</v>
      </c>
      <c r="M235" s="10">
        <v>741160</v>
      </c>
      <c r="N235" s="11">
        <v>15</v>
      </c>
      <c r="P235" s="7" t="s">
        <v>731</v>
      </c>
      <c r="Q235" s="9" t="s">
        <v>1061</v>
      </c>
      <c r="R235" s="9" t="s">
        <v>1061</v>
      </c>
      <c r="S235" s="9" t="s">
        <v>5292</v>
      </c>
      <c r="T235" s="9" t="s">
        <v>4875</v>
      </c>
      <c r="U235" s="12" t="s">
        <v>5020</v>
      </c>
      <c r="V235" s="12" t="s">
        <v>5021</v>
      </c>
      <c r="W235" s="12">
        <v>0</v>
      </c>
      <c r="X235" s="12">
        <v>0</v>
      </c>
      <c r="Y235" s="12">
        <v>0</v>
      </c>
      <c r="Z235" s="11">
        <v>0</v>
      </c>
      <c r="AA235" s="11">
        <v>0</v>
      </c>
      <c r="AB235" s="11">
        <v>0</v>
      </c>
      <c r="AC235" s="11">
        <v>0</v>
      </c>
      <c r="AD235" s="11">
        <v>0</v>
      </c>
      <c r="AE235" s="11">
        <v>0</v>
      </c>
      <c r="AF235" s="11">
        <v>1</v>
      </c>
      <c r="AG235" s="11">
        <v>1</v>
      </c>
      <c r="AH235" s="9">
        <v>1</v>
      </c>
      <c r="AI235" s="11">
        <v>1</v>
      </c>
      <c r="AJ235" s="11">
        <v>1</v>
      </c>
      <c r="AK235" s="11">
        <v>0</v>
      </c>
      <c r="AL235" s="11">
        <v>1</v>
      </c>
      <c r="AN235" s="11">
        <v>0</v>
      </c>
      <c r="AO235" s="11">
        <v>0</v>
      </c>
      <c r="AP235" s="11">
        <v>0</v>
      </c>
      <c r="AQ235" s="11">
        <v>0</v>
      </c>
      <c r="AR235" s="11">
        <v>0</v>
      </c>
      <c r="AS235" s="11">
        <v>0</v>
      </c>
      <c r="AT235" s="11">
        <v>0</v>
      </c>
      <c r="AU235" s="11">
        <v>0</v>
      </c>
      <c r="AV235" s="11">
        <v>0</v>
      </c>
      <c r="AW235" s="11">
        <v>0</v>
      </c>
      <c r="AX235" s="11">
        <v>0</v>
      </c>
      <c r="AY235" s="11">
        <v>0</v>
      </c>
      <c r="BA235" s="12" t="s">
        <v>4877</v>
      </c>
      <c r="BB235" s="12">
        <v>0</v>
      </c>
      <c r="BC235" s="9" t="s">
        <v>4878</v>
      </c>
      <c r="BD235" s="12">
        <v>12</v>
      </c>
      <c r="BE235" s="12">
        <v>0</v>
      </c>
      <c r="BF235" s="12">
        <v>0</v>
      </c>
      <c r="BI235" s="12">
        <v>0</v>
      </c>
      <c r="BJ235" s="12">
        <v>0</v>
      </c>
    </row>
    <row r="236" spans="1:62" x14ac:dyDescent="0.15">
      <c r="A236" s="7" t="s">
        <v>6509</v>
      </c>
      <c r="C236" s="7" t="s">
        <v>6510</v>
      </c>
      <c r="D236" s="7" t="s">
        <v>5292</v>
      </c>
      <c r="E236" s="9" t="s">
        <v>6988</v>
      </c>
      <c r="L236" s="10">
        <v>3841160</v>
      </c>
      <c r="M236" s="10">
        <v>737112</v>
      </c>
      <c r="N236" s="11">
        <v>15</v>
      </c>
      <c r="P236" s="7" t="s">
        <v>1101</v>
      </c>
      <c r="Q236" s="9" t="s">
        <v>5311</v>
      </c>
      <c r="S236" s="9" t="s">
        <v>5292</v>
      </c>
      <c r="T236" s="9" t="s">
        <v>8372</v>
      </c>
      <c r="U236" s="12" t="s">
        <v>5018</v>
      </c>
      <c r="V236" s="12" t="s">
        <v>5019</v>
      </c>
      <c r="W236" s="12">
        <v>0</v>
      </c>
      <c r="X236" s="12">
        <v>0</v>
      </c>
      <c r="Y236" s="12">
        <v>0</v>
      </c>
      <c r="Z236" s="11">
        <v>0</v>
      </c>
      <c r="AA236" s="11">
        <v>0</v>
      </c>
      <c r="AB236" s="11">
        <v>0</v>
      </c>
      <c r="AC236" s="11">
        <v>1</v>
      </c>
      <c r="AD236" s="11">
        <v>1</v>
      </c>
      <c r="AE236" s="11">
        <v>1</v>
      </c>
      <c r="AF236" s="11">
        <v>0</v>
      </c>
      <c r="AG236" s="11">
        <v>0</v>
      </c>
      <c r="AH236" s="9" t="s">
        <v>8248</v>
      </c>
      <c r="AI236" s="11">
        <v>2</v>
      </c>
      <c r="AJ236" s="11">
        <v>1</v>
      </c>
      <c r="AK236" s="11">
        <v>1</v>
      </c>
      <c r="AL236" s="11">
        <v>0</v>
      </c>
      <c r="AN236" s="11">
        <v>0</v>
      </c>
      <c r="AO236" s="11">
        <v>0</v>
      </c>
      <c r="AP236" s="11">
        <v>0</v>
      </c>
      <c r="AQ236" s="11">
        <v>0</v>
      </c>
      <c r="AR236" s="11">
        <v>0</v>
      </c>
      <c r="AS236" s="11">
        <v>0</v>
      </c>
      <c r="AT236" s="11">
        <v>1</v>
      </c>
      <c r="AU236" s="11">
        <v>0</v>
      </c>
      <c r="AV236" s="11">
        <v>0</v>
      </c>
      <c r="AW236" s="11">
        <v>0</v>
      </c>
      <c r="AX236" s="11">
        <v>0</v>
      </c>
      <c r="AY236" s="11">
        <v>0</v>
      </c>
      <c r="BA236" s="12" t="s">
        <v>4877</v>
      </c>
      <c r="BB236" s="12">
        <v>0</v>
      </c>
      <c r="BC236" s="9" t="s">
        <v>4878</v>
      </c>
      <c r="BD236" s="12">
        <v>0</v>
      </c>
      <c r="BE236" s="12">
        <v>0</v>
      </c>
      <c r="BF236" s="12">
        <v>0</v>
      </c>
      <c r="BI236" s="12">
        <v>0</v>
      </c>
      <c r="BJ236" s="12">
        <v>0</v>
      </c>
    </row>
    <row r="237" spans="1:62" x14ac:dyDescent="0.15">
      <c r="A237" s="7" t="s">
        <v>6511</v>
      </c>
      <c r="B237" s="7" t="s">
        <v>6512</v>
      </c>
      <c r="C237" s="7" t="s">
        <v>6513</v>
      </c>
      <c r="D237" s="7" t="s">
        <v>5292</v>
      </c>
      <c r="E237" s="9" t="s">
        <v>6988</v>
      </c>
      <c r="L237" s="10">
        <v>3822844</v>
      </c>
      <c r="M237" s="10">
        <v>733102</v>
      </c>
      <c r="N237" s="11">
        <v>15</v>
      </c>
      <c r="P237" s="7" t="s">
        <v>6985</v>
      </c>
      <c r="Q237" s="9" t="s">
        <v>1061</v>
      </c>
      <c r="R237" s="9" t="s">
        <v>1061</v>
      </c>
      <c r="S237" s="9" t="s">
        <v>6514</v>
      </c>
      <c r="T237" s="9" t="s">
        <v>8372</v>
      </c>
      <c r="U237" s="12" t="s">
        <v>5017</v>
      </c>
      <c r="V237" s="12" t="s">
        <v>5019</v>
      </c>
      <c r="W237" s="12">
        <v>0</v>
      </c>
      <c r="X237" s="12">
        <v>0</v>
      </c>
      <c r="Y237" s="12">
        <v>0</v>
      </c>
      <c r="Z237" s="11">
        <v>0</v>
      </c>
      <c r="AA237" s="11">
        <v>0</v>
      </c>
      <c r="AB237" s="11">
        <v>0</v>
      </c>
      <c r="AC237" s="11">
        <v>1</v>
      </c>
      <c r="AD237" s="11">
        <v>1</v>
      </c>
      <c r="AE237" s="11">
        <v>1</v>
      </c>
      <c r="AF237" s="11">
        <v>0</v>
      </c>
      <c r="AG237" s="11">
        <v>0</v>
      </c>
      <c r="AH237" s="9" t="s">
        <v>6515</v>
      </c>
      <c r="AI237" s="11">
        <v>4</v>
      </c>
      <c r="AJ237" s="11">
        <v>1</v>
      </c>
      <c r="AK237" s="11">
        <v>1</v>
      </c>
      <c r="AL237" s="11">
        <v>1</v>
      </c>
      <c r="AN237" s="11">
        <v>0</v>
      </c>
      <c r="AO237" s="11">
        <v>0</v>
      </c>
      <c r="AP237" s="11">
        <v>0</v>
      </c>
      <c r="AQ237" s="11">
        <v>0</v>
      </c>
      <c r="AR237" s="11">
        <v>0</v>
      </c>
      <c r="AS237" s="11">
        <v>0</v>
      </c>
      <c r="AT237" s="11">
        <v>1</v>
      </c>
      <c r="AU237" s="11">
        <v>0</v>
      </c>
      <c r="AV237" s="11">
        <v>0</v>
      </c>
      <c r="AW237" s="11">
        <v>0</v>
      </c>
      <c r="AX237" s="11">
        <v>0</v>
      </c>
      <c r="AY237" s="11">
        <v>0</v>
      </c>
      <c r="BA237" s="12" t="s">
        <v>4877</v>
      </c>
      <c r="BB237" s="12">
        <v>0</v>
      </c>
      <c r="BC237" s="9" t="s">
        <v>4878</v>
      </c>
      <c r="BD237" s="12">
        <v>15</v>
      </c>
      <c r="BE237" s="12">
        <v>0</v>
      </c>
      <c r="BF237" s="12">
        <v>0</v>
      </c>
      <c r="BI237" s="12">
        <v>0</v>
      </c>
      <c r="BJ237" s="12">
        <v>0</v>
      </c>
    </row>
    <row r="238" spans="1:62" x14ac:dyDescent="0.15">
      <c r="A238" s="7" t="s">
        <v>6516</v>
      </c>
      <c r="C238" s="7" t="s">
        <v>6517</v>
      </c>
      <c r="D238" s="7" t="s">
        <v>5292</v>
      </c>
      <c r="E238" s="9" t="s">
        <v>6988</v>
      </c>
      <c r="L238" s="10">
        <v>3827081</v>
      </c>
      <c r="M238" s="10">
        <v>731131</v>
      </c>
      <c r="N238" s="11">
        <v>15</v>
      </c>
      <c r="P238" s="7" t="s">
        <v>1079</v>
      </c>
      <c r="Q238" s="9" t="s">
        <v>5322</v>
      </c>
      <c r="S238" s="9" t="s">
        <v>5292</v>
      </c>
      <c r="T238" s="9" t="s">
        <v>4902</v>
      </c>
      <c r="U238" s="12" t="s">
        <v>4902</v>
      </c>
      <c r="V238" s="12" t="s">
        <v>4902</v>
      </c>
      <c r="W238" s="12">
        <v>0</v>
      </c>
      <c r="X238" s="12">
        <v>0</v>
      </c>
      <c r="Y238" s="12">
        <v>0</v>
      </c>
      <c r="Z238" s="11">
        <v>0</v>
      </c>
      <c r="AA238" s="11">
        <v>0</v>
      </c>
      <c r="AB238" s="11">
        <v>0</v>
      </c>
      <c r="AC238" s="11">
        <v>0</v>
      </c>
      <c r="AD238" s="11">
        <v>0</v>
      </c>
      <c r="AE238" s="11">
        <v>0</v>
      </c>
      <c r="AF238" s="11">
        <v>0</v>
      </c>
      <c r="AG238" s="11">
        <v>0</v>
      </c>
      <c r="AH238" s="9" t="s">
        <v>4909</v>
      </c>
      <c r="AI238" s="11">
        <v>1</v>
      </c>
      <c r="AJ238" s="11">
        <v>1</v>
      </c>
      <c r="AK238" s="11">
        <v>0</v>
      </c>
      <c r="AL238" s="11">
        <v>0</v>
      </c>
      <c r="AN238" s="11">
        <v>0</v>
      </c>
      <c r="AO238" s="11">
        <v>0</v>
      </c>
      <c r="AP238" s="11">
        <v>0</v>
      </c>
      <c r="AQ238" s="11">
        <v>0</v>
      </c>
      <c r="AR238" s="11">
        <v>1</v>
      </c>
      <c r="AS238" s="11">
        <v>0</v>
      </c>
      <c r="AT238" s="11">
        <v>0</v>
      </c>
      <c r="AU238" s="11">
        <v>0</v>
      </c>
      <c r="AV238" s="11">
        <v>0</v>
      </c>
      <c r="AW238" s="11">
        <v>0</v>
      </c>
      <c r="AX238" s="11">
        <v>0</v>
      </c>
      <c r="AY238" s="11">
        <v>0</v>
      </c>
      <c r="BA238" s="12" t="s">
        <v>4877</v>
      </c>
      <c r="BB238" s="12">
        <v>0</v>
      </c>
      <c r="BC238" s="9" t="s">
        <v>4878</v>
      </c>
      <c r="BD238" s="12">
        <v>0</v>
      </c>
      <c r="BE238" s="12">
        <v>0</v>
      </c>
      <c r="BF238" s="12">
        <v>0</v>
      </c>
      <c r="BI238" s="12">
        <v>0</v>
      </c>
      <c r="BJ238" s="12">
        <v>0</v>
      </c>
    </row>
    <row r="239" spans="1:62" x14ac:dyDescent="0.15">
      <c r="A239" s="7" t="s">
        <v>6518</v>
      </c>
      <c r="C239" s="7" t="s">
        <v>6519</v>
      </c>
      <c r="D239" s="7" t="s">
        <v>5292</v>
      </c>
      <c r="E239" s="9" t="s">
        <v>6988</v>
      </c>
      <c r="L239" s="10">
        <v>3842090</v>
      </c>
      <c r="M239" s="10">
        <v>754500</v>
      </c>
      <c r="N239" s="11">
        <v>15</v>
      </c>
      <c r="P239" s="7" t="s">
        <v>6497</v>
      </c>
      <c r="Q239" s="9" t="s">
        <v>4873</v>
      </c>
      <c r="S239" s="9" t="s">
        <v>5292</v>
      </c>
      <c r="T239" s="9" t="s">
        <v>4891</v>
      </c>
      <c r="U239" s="12" t="s">
        <v>5017</v>
      </c>
      <c r="V239" s="12" t="s">
        <v>5018</v>
      </c>
      <c r="W239" s="12">
        <v>0</v>
      </c>
      <c r="X239" s="12">
        <v>0</v>
      </c>
      <c r="Y239" s="12">
        <v>0</v>
      </c>
      <c r="Z239" s="11">
        <v>0</v>
      </c>
      <c r="AA239" s="11">
        <v>0</v>
      </c>
      <c r="AB239" s="11">
        <v>0</v>
      </c>
      <c r="AC239" s="11">
        <v>1</v>
      </c>
      <c r="AD239" s="11">
        <v>1</v>
      </c>
      <c r="AE239" s="11">
        <v>0</v>
      </c>
      <c r="AF239" s="11">
        <v>0</v>
      </c>
      <c r="AG239" s="11">
        <v>0</v>
      </c>
      <c r="AH239" s="9" t="s">
        <v>4909</v>
      </c>
      <c r="AI239" s="11">
        <v>1</v>
      </c>
      <c r="AJ239" s="11">
        <v>1</v>
      </c>
      <c r="AK239" s="11">
        <v>0</v>
      </c>
      <c r="AL239" s="11">
        <v>0</v>
      </c>
      <c r="AN239" s="11">
        <v>0</v>
      </c>
      <c r="AO239" s="11">
        <v>0</v>
      </c>
      <c r="AP239" s="11">
        <v>0</v>
      </c>
      <c r="AQ239" s="11">
        <v>0</v>
      </c>
      <c r="AR239" s="11">
        <v>0</v>
      </c>
      <c r="AS239" s="11">
        <v>0</v>
      </c>
      <c r="AT239" s="11">
        <v>1</v>
      </c>
      <c r="AU239" s="11">
        <v>0</v>
      </c>
      <c r="AV239" s="11">
        <v>0</v>
      </c>
      <c r="AW239" s="11">
        <v>0</v>
      </c>
      <c r="AX239" s="11">
        <v>0</v>
      </c>
      <c r="AY239" s="11">
        <v>0</v>
      </c>
      <c r="BA239" s="12" t="s">
        <v>4877</v>
      </c>
      <c r="BB239" s="12">
        <v>0</v>
      </c>
      <c r="BC239" s="9" t="s">
        <v>4878</v>
      </c>
      <c r="BD239" s="12">
        <v>0</v>
      </c>
      <c r="BE239" s="12">
        <v>0</v>
      </c>
      <c r="BF239" s="12">
        <v>0</v>
      </c>
      <c r="BI239" s="12">
        <v>0</v>
      </c>
      <c r="BJ239" s="12">
        <v>0</v>
      </c>
    </row>
    <row r="240" spans="1:62" x14ac:dyDescent="0.15">
      <c r="A240" s="7" t="s">
        <v>6520</v>
      </c>
      <c r="C240" s="7" t="s">
        <v>6521</v>
      </c>
      <c r="D240" s="7" t="s">
        <v>5292</v>
      </c>
      <c r="E240" s="9" t="s">
        <v>6988</v>
      </c>
      <c r="L240" s="10">
        <v>3842770</v>
      </c>
      <c r="M240" s="10">
        <v>752967</v>
      </c>
      <c r="N240" s="11">
        <v>15</v>
      </c>
      <c r="P240" s="7" t="s">
        <v>6522</v>
      </c>
      <c r="Q240" s="9" t="s">
        <v>5294</v>
      </c>
      <c r="S240" s="9" t="s">
        <v>5292</v>
      </c>
      <c r="T240" s="9" t="s">
        <v>4797</v>
      </c>
      <c r="U240" s="12" t="s">
        <v>5018</v>
      </c>
      <c r="V240" s="12" t="s">
        <v>5019</v>
      </c>
      <c r="W240" s="12">
        <v>0</v>
      </c>
      <c r="X240" s="12">
        <v>0</v>
      </c>
      <c r="Y240" s="12">
        <v>0</v>
      </c>
      <c r="Z240" s="11">
        <v>0</v>
      </c>
      <c r="AA240" s="11">
        <v>0</v>
      </c>
      <c r="AB240" s="11">
        <v>0</v>
      </c>
      <c r="AC240" s="11">
        <v>0</v>
      </c>
      <c r="AD240" s="11">
        <v>1</v>
      </c>
      <c r="AE240" s="11">
        <v>1</v>
      </c>
      <c r="AF240" s="11">
        <v>0</v>
      </c>
      <c r="AG240" s="11">
        <v>0</v>
      </c>
      <c r="AH240" s="9" t="s">
        <v>4878</v>
      </c>
      <c r="AI240" s="11">
        <v>0</v>
      </c>
      <c r="AJ240" s="11">
        <v>0</v>
      </c>
      <c r="AK240" s="11">
        <v>0</v>
      </c>
      <c r="AL240" s="11">
        <v>0</v>
      </c>
      <c r="AN240" s="11">
        <v>0</v>
      </c>
      <c r="AO240" s="11">
        <v>0</v>
      </c>
      <c r="AP240" s="11">
        <v>0</v>
      </c>
      <c r="AQ240" s="11">
        <v>0</v>
      </c>
      <c r="AR240" s="11">
        <v>0</v>
      </c>
      <c r="AS240" s="11">
        <v>0</v>
      </c>
      <c r="AT240" s="11">
        <v>0</v>
      </c>
      <c r="AU240" s="11">
        <v>0</v>
      </c>
      <c r="AV240" s="11">
        <v>0</v>
      </c>
      <c r="AW240" s="11">
        <v>0</v>
      </c>
      <c r="AX240" s="11">
        <v>0</v>
      </c>
      <c r="AY240" s="11">
        <v>1</v>
      </c>
      <c r="BA240" s="12" t="s">
        <v>4877</v>
      </c>
      <c r="BB240" s="12">
        <v>0</v>
      </c>
      <c r="BC240" s="9" t="s">
        <v>4878</v>
      </c>
      <c r="BD240" s="12">
        <v>0</v>
      </c>
      <c r="BE240" s="12">
        <v>0</v>
      </c>
      <c r="BF240" s="12">
        <v>0</v>
      </c>
      <c r="BI240" s="12">
        <v>0</v>
      </c>
      <c r="BJ240" s="12">
        <v>0</v>
      </c>
    </row>
    <row r="241" spans="1:62" x14ac:dyDescent="0.15">
      <c r="A241" s="7" t="s">
        <v>6523</v>
      </c>
      <c r="B241" s="7" t="s">
        <v>6524</v>
      </c>
      <c r="C241" s="7" t="s">
        <v>6525</v>
      </c>
      <c r="D241" s="7" t="s">
        <v>5292</v>
      </c>
      <c r="E241" s="9" t="s">
        <v>6526</v>
      </c>
      <c r="L241" s="10">
        <v>3791982</v>
      </c>
      <c r="M241" s="10">
        <v>671920</v>
      </c>
      <c r="N241" s="11">
        <v>15</v>
      </c>
      <c r="P241" s="7" t="s">
        <v>1087</v>
      </c>
      <c r="Q241" s="9" t="s">
        <v>5311</v>
      </c>
      <c r="S241" s="9" t="s">
        <v>5292</v>
      </c>
      <c r="T241" s="9" t="s">
        <v>4797</v>
      </c>
      <c r="U241" s="12" t="s">
        <v>5018</v>
      </c>
      <c r="V241" s="12" t="s">
        <v>5019</v>
      </c>
      <c r="W241" s="12">
        <v>0</v>
      </c>
      <c r="X241" s="12">
        <v>0</v>
      </c>
      <c r="Y241" s="12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1</v>
      </c>
      <c r="AE241" s="11">
        <v>1</v>
      </c>
      <c r="AF241" s="11">
        <v>0</v>
      </c>
      <c r="AG241" s="11">
        <v>0</v>
      </c>
      <c r="AH241" s="9" t="s">
        <v>1083</v>
      </c>
      <c r="AI241" s="11">
        <v>2</v>
      </c>
      <c r="AJ241" s="11">
        <v>1</v>
      </c>
      <c r="AK241" s="11">
        <v>1</v>
      </c>
      <c r="AL241" s="11">
        <v>0</v>
      </c>
      <c r="AN241" s="11">
        <v>0</v>
      </c>
      <c r="AO241" s="11">
        <v>0</v>
      </c>
      <c r="AP241" s="11">
        <v>0</v>
      </c>
      <c r="AQ241" s="11">
        <v>0</v>
      </c>
      <c r="AR241" s="11">
        <v>1</v>
      </c>
      <c r="AS241" s="11">
        <v>0</v>
      </c>
      <c r="AT241" s="11">
        <v>1</v>
      </c>
      <c r="AU241" s="11">
        <v>0</v>
      </c>
      <c r="AV241" s="11">
        <v>0</v>
      </c>
      <c r="AW241" s="11">
        <v>0</v>
      </c>
      <c r="AX241" s="11">
        <v>0</v>
      </c>
      <c r="AY241" s="11">
        <v>0</v>
      </c>
      <c r="BA241" s="12" t="s">
        <v>4877</v>
      </c>
      <c r="BB241" s="12">
        <v>0</v>
      </c>
      <c r="BC241" s="9" t="s">
        <v>4878</v>
      </c>
      <c r="BD241" s="12">
        <v>7</v>
      </c>
      <c r="BE241" s="12">
        <v>0</v>
      </c>
      <c r="BF241" s="12">
        <f>(110/2)^2*PI()</f>
        <v>9503.317777109125</v>
      </c>
      <c r="BI241">
        <f>BD241/BF241</f>
        <v>7.3658486059058998E-4</v>
      </c>
      <c r="BJ241">
        <f>BI241*10000</f>
        <v>7.3658486059058994</v>
      </c>
    </row>
    <row r="242" spans="1:62" x14ac:dyDescent="0.15">
      <c r="A242" s="7" t="s">
        <v>6527</v>
      </c>
      <c r="C242" s="7" t="s">
        <v>6528</v>
      </c>
      <c r="D242" s="7" t="s">
        <v>5292</v>
      </c>
      <c r="E242" s="9" t="s">
        <v>6526</v>
      </c>
      <c r="L242" s="10">
        <v>3806090</v>
      </c>
      <c r="M242" s="10">
        <v>678893</v>
      </c>
      <c r="N242" s="11">
        <v>15</v>
      </c>
      <c r="P242" s="7" t="s">
        <v>6529</v>
      </c>
      <c r="Q242" s="9" t="s">
        <v>712</v>
      </c>
      <c r="R242" s="9" t="s">
        <v>712</v>
      </c>
      <c r="S242" s="9" t="s">
        <v>5292</v>
      </c>
      <c r="T242" s="9" t="s">
        <v>4797</v>
      </c>
      <c r="U242" s="12" t="s">
        <v>5018</v>
      </c>
      <c r="V242" s="12" t="s">
        <v>5019</v>
      </c>
      <c r="W242" s="12">
        <v>0</v>
      </c>
      <c r="X242" s="12">
        <v>0</v>
      </c>
      <c r="Y242" s="12">
        <v>0</v>
      </c>
      <c r="Z242" s="11">
        <v>0</v>
      </c>
      <c r="AA242" s="11">
        <v>0</v>
      </c>
      <c r="AB242" s="11">
        <v>0</v>
      </c>
      <c r="AC242" s="11">
        <v>0</v>
      </c>
      <c r="AD242" s="11">
        <v>1</v>
      </c>
      <c r="AE242" s="11">
        <v>1</v>
      </c>
      <c r="AF242" s="11">
        <v>0</v>
      </c>
      <c r="AG242" s="11">
        <v>0</v>
      </c>
      <c r="AH242" s="9">
        <v>9</v>
      </c>
      <c r="AI242" s="11">
        <v>9</v>
      </c>
      <c r="AJ242" s="11">
        <v>1</v>
      </c>
      <c r="AK242" s="11">
        <v>1</v>
      </c>
      <c r="AL242" s="11">
        <v>1</v>
      </c>
      <c r="AN242" s="11">
        <v>0</v>
      </c>
      <c r="AO242" s="11">
        <v>0</v>
      </c>
      <c r="AP242" s="11">
        <v>0</v>
      </c>
      <c r="AQ242" s="11">
        <v>1</v>
      </c>
      <c r="AR242" s="11">
        <v>0</v>
      </c>
      <c r="AS242" s="11">
        <v>0</v>
      </c>
      <c r="AT242" s="11">
        <v>1</v>
      </c>
      <c r="AU242" s="11">
        <v>0</v>
      </c>
      <c r="AV242" s="11">
        <v>0</v>
      </c>
      <c r="AW242" s="11">
        <v>0</v>
      </c>
      <c r="AX242" s="11">
        <v>0</v>
      </c>
      <c r="AY242" s="11">
        <v>0</v>
      </c>
      <c r="BA242" s="12" t="s">
        <v>4877</v>
      </c>
      <c r="BB242" s="12">
        <v>1</v>
      </c>
      <c r="BC242" s="9" t="s">
        <v>4878</v>
      </c>
      <c r="BD242" s="12">
        <v>20</v>
      </c>
      <c r="BE242" s="12">
        <v>450</v>
      </c>
      <c r="BF242" s="12">
        <v>0</v>
      </c>
      <c r="BI242" s="12">
        <v>0</v>
      </c>
      <c r="BJ242" s="12">
        <v>0</v>
      </c>
    </row>
    <row r="243" spans="1:62" x14ac:dyDescent="0.15">
      <c r="A243" s="7" t="s">
        <v>6530</v>
      </c>
      <c r="C243" s="7" t="s">
        <v>6531</v>
      </c>
      <c r="D243" s="7" t="s">
        <v>5292</v>
      </c>
      <c r="E243" s="9" t="s">
        <v>6526</v>
      </c>
      <c r="L243" s="10">
        <v>3800420</v>
      </c>
      <c r="M243" s="10">
        <v>688201</v>
      </c>
      <c r="N243" s="11">
        <v>15</v>
      </c>
      <c r="P243" s="7" t="s">
        <v>1087</v>
      </c>
      <c r="Q243" s="9" t="s">
        <v>1061</v>
      </c>
      <c r="R243" s="9" t="s">
        <v>1061</v>
      </c>
      <c r="S243" s="9" t="s">
        <v>5292</v>
      </c>
      <c r="T243" s="9" t="s">
        <v>4797</v>
      </c>
      <c r="U243" s="12" t="s">
        <v>5018</v>
      </c>
      <c r="V243" s="12" t="s">
        <v>5019</v>
      </c>
      <c r="W243" s="12">
        <v>0</v>
      </c>
      <c r="X243" s="12">
        <v>0</v>
      </c>
      <c r="Y243" s="12">
        <v>0</v>
      </c>
      <c r="Z243" s="11">
        <v>0</v>
      </c>
      <c r="AA243" s="11">
        <v>0</v>
      </c>
      <c r="AB243" s="11">
        <v>0</v>
      </c>
      <c r="AC243" s="11">
        <v>0</v>
      </c>
      <c r="AD243" s="11">
        <v>1</v>
      </c>
      <c r="AE243" s="11">
        <v>1</v>
      </c>
      <c r="AF243" s="11">
        <v>0</v>
      </c>
      <c r="AG243" s="11">
        <v>0</v>
      </c>
      <c r="AH243" s="9">
        <v>2</v>
      </c>
      <c r="AI243" s="11">
        <v>2</v>
      </c>
      <c r="AJ243" s="11">
        <v>1</v>
      </c>
      <c r="AK243" s="11">
        <v>1</v>
      </c>
      <c r="AL243" s="11">
        <v>1</v>
      </c>
      <c r="AN243" s="11">
        <v>0</v>
      </c>
      <c r="AO243" s="11">
        <v>0</v>
      </c>
      <c r="AP243" s="11">
        <v>0</v>
      </c>
      <c r="AQ243" s="11">
        <v>0</v>
      </c>
      <c r="AR243" s="11">
        <v>0</v>
      </c>
      <c r="AS243" s="11">
        <v>0</v>
      </c>
      <c r="AT243" s="11">
        <v>1</v>
      </c>
      <c r="AU243" s="11">
        <v>0</v>
      </c>
      <c r="AV243" s="11">
        <v>0</v>
      </c>
      <c r="AW243" s="11">
        <v>0</v>
      </c>
      <c r="AX243" s="11">
        <v>0</v>
      </c>
      <c r="AY243" s="11">
        <v>0</v>
      </c>
      <c r="BA243" s="12" t="s">
        <v>4877</v>
      </c>
      <c r="BB243" s="12">
        <v>1</v>
      </c>
      <c r="BC243" s="9" t="s">
        <v>4878</v>
      </c>
      <c r="BD243" s="12">
        <v>4</v>
      </c>
      <c r="BE243" s="12">
        <v>200</v>
      </c>
      <c r="BF243" s="12">
        <v>0</v>
      </c>
      <c r="BI243" s="12">
        <v>0</v>
      </c>
      <c r="BJ243" s="12">
        <v>0</v>
      </c>
    </row>
    <row r="244" spans="1:62" x14ac:dyDescent="0.15">
      <c r="A244" s="7" t="s">
        <v>6532</v>
      </c>
      <c r="C244" s="7" t="s">
        <v>6533</v>
      </c>
      <c r="D244" s="7" t="s">
        <v>5292</v>
      </c>
      <c r="E244" s="9" t="s">
        <v>6526</v>
      </c>
      <c r="L244" s="10">
        <v>3797552</v>
      </c>
      <c r="M244" s="10">
        <v>697684</v>
      </c>
      <c r="N244" s="11">
        <v>15</v>
      </c>
      <c r="P244" s="7" t="s">
        <v>1079</v>
      </c>
      <c r="Q244" s="9" t="s">
        <v>5322</v>
      </c>
      <c r="S244" s="9" t="s">
        <v>5292</v>
      </c>
      <c r="T244" s="9" t="s">
        <v>4902</v>
      </c>
      <c r="U244" s="12" t="s">
        <v>4902</v>
      </c>
      <c r="V244" s="12" t="s">
        <v>4902</v>
      </c>
      <c r="W244" s="12">
        <v>0</v>
      </c>
      <c r="X244" s="12">
        <v>0</v>
      </c>
      <c r="Y244" s="12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9" t="s">
        <v>4909</v>
      </c>
      <c r="AI244" s="11">
        <v>1</v>
      </c>
      <c r="AJ244" s="11">
        <v>1</v>
      </c>
      <c r="AK244" s="11">
        <v>0</v>
      </c>
      <c r="AL244" s="11">
        <v>0</v>
      </c>
      <c r="AN244" s="11">
        <v>0</v>
      </c>
      <c r="AO244" s="11">
        <v>0</v>
      </c>
      <c r="AP244" s="11">
        <v>0</v>
      </c>
      <c r="AQ244" s="11">
        <v>0</v>
      </c>
      <c r="AR244" s="11">
        <v>1</v>
      </c>
      <c r="AS244" s="11">
        <v>0</v>
      </c>
      <c r="AT244" s="11">
        <v>0</v>
      </c>
      <c r="AU244" s="11">
        <v>0</v>
      </c>
      <c r="AV244" s="11">
        <v>0</v>
      </c>
      <c r="AW244" s="11">
        <v>0</v>
      </c>
      <c r="AX244" s="11">
        <v>0</v>
      </c>
      <c r="AY244" s="11">
        <v>0</v>
      </c>
      <c r="BA244" s="12" t="s">
        <v>4877</v>
      </c>
      <c r="BB244" s="12">
        <v>0</v>
      </c>
      <c r="BC244" s="9" t="s">
        <v>4878</v>
      </c>
      <c r="BD244" s="12">
        <v>0</v>
      </c>
      <c r="BE244" s="12">
        <v>0</v>
      </c>
      <c r="BF244" s="12">
        <v>0</v>
      </c>
      <c r="BI244" s="12">
        <v>0</v>
      </c>
      <c r="BJ244" s="12">
        <v>0</v>
      </c>
    </row>
    <row r="245" spans="1:62" x14ac:dyDescent="0.15">
      <c r="A245" s="7" t="s">
        <v>6534</v>
      </c>
      <c r="C245" s="7" t="s">
        <v>6535</v>
      </c>
      <c r="D245" s="7" t="s">
        <v>5292</v>
      </c>
      <c r="E245" s="9" t="s">
        <v>6526</v>
      </c>
      <c r="L245" s="10">
        <v>3798307</v>
      </c>
      <c r="M245" s="10">
        <v>697618</v>
      </c>
      <c r="N245" s="11">
        <v>15</v>
      </c>
      <c r="P245" s="7" t="s">
        <v>1079</v>
      </c>
      <c r="Q245" s="9" t="s">
        <v>5322</v>
      </c>
      <c r="S245" s="9" t="s">
        <v>5292</v>
      </c>
      <c r="T245" s="9" t="s">
        <v>4902</v>
      </c>
      <c r="U245" s="12" t="s">
        <v>4902</v>
      </c>
      <c r="V245" s="12" t="s">
        <v>4902</v>
      </c>
      <c r="W245" s="12">
        <v>0</v>
      </c>
      <c r="X245" s="12">
        <v>0</v>
      </c>
      <c r="Y245" s="12">
        <v>0</v>
      </c>
      <c r="Z245" s="11">
        <v>0</v>
      </c>
      <c r="AA245" s="11">
        <v>0</v>
      </c>
      <c r="AB245" s="11">
        <v>0</v>
      </c>
      <c r="AC245" s="11">
        <v>0</v>
      </c>
      <c r="AD245" s="11">
        <v>0</v>
      </c>
      <c r="AE245" s="11">
        <v>0</v>
      </c>
      <c r="AF245" s="11">
        <v>0</v>
      </c>
      <c r="AG245" s="11">
        <v>0</v>
      </c>
      <c r="AH245" s="9" t="s">
        <v>4909</v>
      </c>
      <c r="AI245" s="11">
        <v>1</v>
      </c>
      <c r="AJ245" s="11">
        <v>1</v>
      </c>
      <c r="AK245" s="11">
        <v>0</v>
      </c>
      <c r="AL245" s="11">
        <v>0</v>
      </c>
      <c r="AN245" s="11">
        <v>0</v>
      </c>
      <c r="AO245" s="11">
        <v>0</v>
      </c>
      <c r="AP245" s="11">
        <v>0</v>
      </c>
      <c r="AQ245" s="11">
        <v>0</v>
      </c>
      <c r="AR245" s="11">
        <v>1</v>
      </c>
      <c r="AS245" s="11">
        <v>0</v>
      </c>
      <c r="AT245" s="11">
        <v>0</v>
      </c>
      <c r="AU245" s="11">
        <v>0</v>
      </c>
      <c r="AV245" s="11">
        <v>0</v>
      </c>
      <c r="AW245" s="11">
        <v>0</v>
      </c>
      <c r="AX245" s="11">
        <v>0</v>
      </c>
      <c r="AY245" s="11">
        <v>0</v>
      </c>
      <c r="BA245" s="12" t="s">
        <v>4877</v>
      </c>
      <c r="BB245" s="12">
        <v>0</v>
      </c>
      <c r="BC245" s="9" t="s">
        <v>4878</v>
      </c>
      <c r="BD245" s="12">
        <v>0</v>
      </c>
      <c r="BE245" s="12">
        <v>0</v>
      </c>
      <c r="BF245" s="12">
        <v>0</v>
      </c>
      <c r="BI245" s="12">
        <v>0</v>
      </c>
      <c r="BJ245" s="12">
        <v>0</v>
      </c>
    </row>
    <row r="246" spans="1:62" x14ac:dyDescent="0.15">
      <c r="A246" s="7" t="s">
        <v>6536</v>
      </c>
      <c r="C246" s="7" t="s">
        <v>6537</v>
      </c>
      <c r="D246" s="7" t="s">
        <v>5292</v>
      </c>
      <c r="E246" s="9" t="s">
        <v>6526</v>
      </c>
      <c r="L246" s="10">
        <v>3796524</v>
      </c>
      <c r="M246" s="10">
        <v>696687</v>
      </c>
      <c r="N246" s="11">
        <v>15</v>
      </c>
      <c r="P246" s="7" t="s">
        <v>1079</v>
      </c>
      <c r="Q246" s="9" t="s">
        <v>5322</v>
      </c>
      <c r="S246" s="9" t="s">
        <v>5292</v>
      </c>
      <c r="T246" s="9" t="s">
        <v>4902</v>
      </c>
      <c r="U246" s="12" t="s">
        <v>4902</v>
      </c>
      <c r="V246" s="12" t="s">
        <v>4902</v>
      </c>
      <c r="W246" s="12">
        <v>0</v>
      </c>
      <c r="X246" s="12">
        <v>0</v>
      </c>
      <c r="Y246" s="12">
        <v>0</v>
      </c>
      <c r="Z246" s="11">
        <v>0</v>
      </c>
      <c r="AA246" s="11">
        <v>0</v>
      </c>
      <c r="AB246" s="11">
        <v>0</v>
      </c>
      <c r="AC246" s="11">
        <v>0</v>
      </c>
      <c r="AD246" s="11">
        <v>0</v>
      </c>
      <c r="AE246" s="11">
        <v>0</v>
      </c>
      <c r="AF246" s="11">
        <v>0</v>
      </c>
      <c r="AG246" s="11">
        <v>0</v>
      </c>
      <c r="AH246" s="9" t="s">
        <v>4909</v>
      </c>
      <c r="AI246" s="11">
        <v>1</v>
      </c>
      <c r="AJ246" s="11">
        <v>1</v>
      </c>
      <c r="AK246" s="11">
        <v>0</v>
      </c>
      <c r="AL246" s="11">
        <v>0</v>
      </c>
      <c r="AN246" s="11">
        <v>0</v>
      </c>
      <c r="AO246" s="11">
        <v>0</v>
      </c>
      <c r="AP246" s="11">
        <v>0</v>
      </c>
      <c r="AQ246" s="11">
        <v>0</v>
      </c>
      <c r="AR246" s="11">
        <v>1</v>
      </c>
      <c r="AS246" s="11">
        <v>0</v>
      </c>
      <c r="AT246" s="11">
        <v>0</v>
      </c>
      <c r="AU246" s="11">
        <v>0</v>
      </c>
      <c r="AV246" s="11">
        <v>0</v>
      </c>
      <c r="AW246" s="11">
        <v>0</v>
      </c>
      <c r="AX246" s="11">
        <v>0</v>
      </c>
      <c r="AY246" s="11">
        <v>0</v>
      </c>
      <c r="BA246" s="12" t="s">
        <v>4877</v>
      </c>
      <c r="BB246" s="12">
        <v>0</v>
      </c>
      <c r="BC246" s="9" t="s">
        <v>4878</v>
      </c>
      <c r="BD246" s="12">
        <v>0</v>
      </c>
      <c r="BE246" s="12">
        <v>0</v>
      </c>
      <c r="BF246" s="12">
        <v>0</v>
      </c>
      <c r="BI246" s="12">
        <v>0</v>
      </c>
      <c r="BJ246" s="12">
        <v>0</v>
      </c>
    </row>
    <row r="247" spans="1:62" x14ac:dyDescent="0.15">
      <c r="A247" s="7" t="s">
        <v>6538</v>
      </c>
      <c r="C247" s="7" t="s">
        <v>6539</v>
      </c>
      <c r="D247" s="7" t="s">
        <v>5292</v>
      </c>
      <c r="E247" s="9" t="s">
        <v>6526</v>
      </c>
      <c r="L247" s="10">
        <v>3806844</v>
      </c>
      <c r="M247" s="10">
        <v>686320</v>
      </c>
      <c r="N247" s="11">
        <v>15</v>
      </c>
      <c r="P247" s="7" t="s">
        <v>1053</v>
      </c>
      <c r="Q247" s="9" t="s">
        <v>1112</v>
      </c>
      <c r="S247" s="9" t="s">
        <v>5292</v>
      </c>
      <c r="T247" s="9" t="s">
        <v>4902</v>
      </c>
      <c r="U247" s="12" t="s">
        <v>4902</v>
      </c>
      <c r="V247" s="12" t="s">
        <v>4902</v>
      </c>
      <c r="W247" s="12">
        <v>0</v>
      </c>
      <c r="X247" s="12">
        <v>0</v>
      </c>
      <c r="Y247" s="12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9" t="s">
        <v>8248</v>
      </c>
      <c r="AI247" s="11">
        <v>2</v>
      </c>
      <c r="AJ247" s="11">
        <v>1</v>
      </c>
      <c r="AK247" s="11">
        <v>1</v>
      </c>
      <c r="AL247" s="11">
        <v>0</v>
      </c>
      <c r="AN247" s="11">
        <v>0</v>
      </c>
      <c r="AO247" s="11">
        <v>0</v>
      </c>
      <c r="AP247" s="11">
        <v>0</v>
      </c>
      <c r="AQ247" s="11">
        <v>0</v>
      </c>
      <c r="AR247" s="11">
        <v>0</v>
      </c>
      <c r="AS247" s="11">
        <v>0</v>
      </c>
      <c r="AT247" s="11">
        <v>1</v>
      </c>
      <c r="AU247" s="11">
        <v>0</v>
      </c>
      <c r="AV247" s="11">
        <v>0</v>
      </c>
      <c r="AW247" s="11">
        <v>0</v>
      </c>
      <c r="AX247" s="11">
        <v>0</v>
      </c>
      <c r="AY247" s="11">
        <v>0</v>
      </c>
      <c r="BA247" s="12" t="s">
        <v>4877</v>
      </c>
      <c r="BB247" s="12">
        <v>0</v>
      </c>
      <c r="BC247" s="9" t="s">
        <v>4878</v>
      </c>
      <c r="BD247" s="12">
        <v>0</v>
      </c>
      <c r="BE247" s="12">
        <v>0</v>
      </c>
      <c r="BF247" s="12">
        <v>0</v>
      </c>
      <c r="BI247" s="12">
        <v>0</v>
      </c>
      <c r="BJ247" s="12">
        <v>0</v>
      </c>
    </row>
    <row r="248" spans="1:62" x14ac:dyDescent="0.15">
      <c r="A248" s="7" t="s">
        <v>6540</v>
      </c>
      <c r="C248" s="7" t="s">
        <v>6541</v>
      </c>
      <c r="D248" s="7" t="s">
        <v>5292</v>
      </c>
      <c r="E248" s="9" t="s">
        <v>4870</v>
      </c>
      <c r="L248" s="10">
        <v>3814590</v>
      </c>
      <c r="M248" s="10">
        <v>720290</v>
      </c>
      <c r="N248" s="11">
        <v>15</v>
      </c>
      <c r="P248" s="7" t="s">
        <v>6542</v>
      </c>
      <c r="Q248" s="9" t="s">
        <v>712</v>
      </c>
      <c r="R248" s="9" t="s">
        <v>712</v>
      </c>
      <c r="S248" s="9" t="s">
        <v>5292</v>
      </c>
      <c r="T248" s="9" t="s">
        <v>4875</v>
      </c>
      <c r="U248" s="12" t="s">
        <v>5020</v>
      </c>
      <c r="V248" s="12" t="s">
        <v>5021</v>
      </c>
      <c r="W248" s="12">
        <v>0</v>
      </c>
      <c r="X248" s="12">
        <v>0</v>
      </c>
      <c r="Y248" s="12">
        <v>0</v>
      </c>
      <c r="Z248" s="11">
        <v>0</v>
      </c>
      <c r="AA248" s="11">
        <v>0</v>
      </c>
      <c r="AB248" s="11">
        <v>0</v>
      </c>
      <c r="AC248" s="11">
        <v>0</v>
      </c>
      <c r="AD248" s="11">
        <v>0</v>
      </c>
      <c r="AE248" s="11">
        <v>0</v>
      </c>
      <c r="AF248" s="11">
        <v>1</v>
      </c>
      <c r="AG248" s="11">
        <v>1</v>
      </c>
      <c r="AH248" s="9">
        <v>3</v>
      </c>
      <c r="AI248" s="11">
        <v>3</v>
      </c>
      <c r="AJ248" s="11">
        <v>1</v>
      </c>
      <c r="AK248" s="11">
        <v>1</v>
      </c>
      <c r="AL248" s="11">
        <v>1</v>
      </c>
      <c r="AN248" s="11">
        <v>0</v>
      </c>
      <c r="AO248" s="11">
        <v>1</v>
      </c>
      <c r="AP248" s="11">
        <v>0</v>
      </c>
      <c r="AQ248" s="11">
        <v>0</v>
      </c>
      <c r="AR248" s="11">
        <v>0</v>
      </c>
      <c r="AS248" s="11">
        <v>0</v>
      </c>
      <c r="AT248" s="11">
        <v>1</v>
      </c>
      <c r="AU248" s="11">
        <v>0</v>
      </c>
      <c r="AV248" s="11">
        <v>0</v>
      </c>
      <c r="AW248" s="11">
        <v>0</v>
      </c>
      <c r="AX248" s="11">
        <v>0</v>
      </c>
      <c r="AY248" s="11">
        <v>0</v>
      </c>
      <c r="BA248" s="12" t="s">
        <v>4877</v>
      </c>
      <c r="BB248" s="12">
        <v>1</v>
      </c>
      <c r="BC248" s="9" t="s">
        <v>4878</v>
      </c>
      <c r="BD248" s="12">
        <v>20</v>
      </c>
      <c r="BE248" s="12">
        <v>550</v>
      </c>
      <c r="BF248" s="12">
        <v>0</v>
      </c>
      <c r="BI248" s="12">
        <v>0</v>
      </c>
      <c r="BJ248" s="12">
        <v>0</v>
      </c>
    </row>
    <row r="249" spans="1:62" x14ac:dyDescent="0.15">
      <c r="A249" s="7" t="s">
        <v>6543</v>
      </c>
      <c r="B249" s="7" t="s">
        <v>6544</v>
      </c>
      <c r="C249" s="7" t="s">
        <v>6545</v>
      </c>
      <c r="D249" s="7" t="s">
        <v>5292</v>
      </c>
      <c r="E249" s="9" t="s">
        <v>4870</v>
      </c>
      <c r="L249" s="10">
        <v>3804144</v>
      </c>
      <c r="M249" s="10">
        <v>731312</v>
      </c>
      <c r="N249" s="11">
        <v>15</v>
      </c>
      <c r="P249" s="7" t="s">
        <v>6546</v>
      </c>
      <c r="Q249" s="9" t="s">
        <v>4873</v>
      </c>
      <c r="R249" s="9" t="s">
        <v>5318</v>
      </c>
      <c r="S249" s="9" t="s">
        <v>6547</v>
      </c>
      <c r="T249" s="9" t="s">
        <v>4884</v>
      </c>
      <c r="U249" s="12" t="s">
        <v>5016</v>
      </c>
      <c r="V249" s="12" t="s">
        <v>5017</v>
      </c>
      <c r="W249" s="12">
        <v>0</v>
      </c>
      <c r="X249" s="12">
        <v>0</v>
      </c>
      <c r="Y249" s="12">
        <v>0</v>
      </c>
      <c r="Z249" s="11">
        <v>0</v>
      </c>
      <c r="AA249" s="11">
        <v>0</v>
      </c>
      <c r="AB249" s="11">
        <v>1</v>
      </c>
      <c r="AC249" s="11">
        <v>1</v>
      </c>
      <c r="AD249" s="11">
        <v>0</v>
      </c>
      <c r="AE249" s="11">
        <v>0</v>
      </c>
      <c r="AF249" s="11">
        <v>0</v>
      </c>
      <c r="AG249" s="11">
        <v>0</v>
      </c>
      <c r="AH249" s="9" t="s">
        <v>1083</v>
      </c>
      <c r="AI249" s="11">
        <v>2</v>
      </c>
      <c r="AJ249" s="11">
        <v>1</v>
      </c>
      <c r="AK249" s="11">
        <v>1</v>
      </c>
      <c r="AL249" s="11">
        <v>0</v>
      </c>
      <c r="AN249" s="11">
        <v>0</v>
      </c>
      <c r="AO249" s="11">
        <v>0</v>
      </c>
      <c r="AP249" s="11">
        <v>0</v>
      </c>
      <c r="AQ249" s="11">
        <v>0</v>
      </c>
      <c r="AR249" s="11">
        <v>1</v>
      </c>
      <c r="AS249" s="11">
        <v>0</v>
      </c>
      <c r="AT249" s="11">
        <v>1</v>
      </c>
      <c r="AU249" s="11">
        <v>0</v>
      </c>
      <c r="AV249" s="11">
        <v>0</v>
      </c>
      <c r="AW249" s="11">
        <v>0</v>
      </c>
      <c r="AX249" s="11">
        <v>0</v>
      </c>
      <c r="AY249" s="11">
        <v>0</v>
      </c>
      <c r="BA249" s="12" t="s">
        <v>4877</v>
      </c>
      <c r="BB249" s="12">
        <v>0</v>
      </c>
      <c r="BC249" s="9" t="s">
        <v>4878</v>
      </c>
      <c r="BD249" s="12">
        <v>9</v>
      </c>
      <c r="BE249" s="12">
        <v>0</v>
      </c>
      <c r="BF249" s="12">
        <f>VLOOKUP(A249,'[1]Conical Mounds'!A$1:O$65536,15,FALSE)</f>
        <v>6361.7251235193307</v>
      </c>
      <c r="BI249">
        <f>BD249/BF249</f>
        <v>1.4147106052612921E-3</v>
      </c>
      <c r="BJ249">
        <f>BI249*10000</f>
        <v>14.147106052612921</v>
      </c>
    </row>
    <row r="250" spans="1:62" x14ac:dyDescent="0.15">
      <c r="A250" s="7" t="s">
        <v>6548</v>
      </c>
      <c r="C250" s="7" t="s">
        <v>6549</v>
      </c>
      <c r="D250" s="7" t="s">
        <v>5292</v>
      </c>
      <c r="E250" s="9" t="s">
        <v>6526</v>
      </c>
      <c r="L250" s="10">
        <v>3810440</v>
      </c>
      <c r="M250" s="10">
        <v>718757</v>
      </c>
      <c r="N250" s="11">
        <v>15</v>
      </c>
      <c r="P250" s="7" t="s">
        <v>5310</v>
      </c>
      <c r="Q250" s="9" t="s">
        <v>1061</v>
      </c>
      <c r="R250" s="9" t="s">
        <v>1061</v>
      </c>
      <c r="S250" s="9" t="s">
        <v>5292</v>
      </c>
      <c r="T250" s="9" t="s">
        <v>4875</v>
      </c>
      <c r="U250" s="12" t="s">
        <v>5020</v>
      </c>
      <c r="V250" s="12" t="s">
        <v>5021</v>
      </c>
      <c r="W250" s="12">
        <v>0</v>
      </c>
      <c r="X250" s="12">
        <v>0</v>
      </c>
      <c r="Y250" s="12">
        <v>0</v>
      </c>
      <c r="Z250" s="11">
        <v>0</v>
      </c>
      <c r="AA250" s="11">
        <v>0</v>
      </c>
      <c r="AB250" s="11">
        <v>0</v>
      </c>
      <c r="AC250" s="11">
        <v>0</v>
      </c>
      <c r="AD250" s="11">
        <v>0</v>
      </c>
      <c r="AE250" s="11">
        <v>0</v>
      </c>
      <c r="AF250" s="11">
        <v>1</v>
      </c>
      <c r="AG250" s="11">
        <v>1</v>
      </c>
      <c r="AH250" s="9">
        <v>1</v>
      </c>
      <c r="AI250" s="11">
        <v>1</v>
      </c>
      <c r="AJ250" s="11">
        <v>1</v>
      </c>
      <c r="AK250" s="11">
        <v>0</v>
      </c>
      <c r="AL250" s="11">
        <v>1</v>
      </c>
      <c r="AN250" s="11">
        <v>0</v>
      </c>
      <c r="AO250" s="11">
        <v>0</v>
      </c>
      <c r="AP250" s="11">
        <v>0</v>
      </c>
      <c r="AQ250" s="11">
        <v>0</v>
      </c>
      <c r="AR250" s="11">
        <v>0</v>
      </c>
      <c r="AS250" s="11">
        <v>0</v>
      </c>
      <c r="AT250" s="11">
        <v>0</v>
      </c>
      <c r="AU250" s="11">
        <v>0</v>
      </c>
      <c r="AV250" s="11">
        <v>0</v>
      </c>
      <c r="AW250" s="11">
        <v>0</v>
      </c>
      <c r="AX250" s="11">
        <v>0</v>
      </c>
      <c r="AY250" s="11">
        <v>0</v>
      </c>
      <c r="BA250" s="12" t="s">
        <v>4877</v>
      </c>
      <c r="BB250" s="12">
        <v>0</v>
      </c>
      <c r="BC250" s="9" t="s">
        <v>4878</v>
      </c>
      <c r="BD250" s="12">
        <v>6</v>
      </c>
      <c r="BE250" s="12">
        <v>0</v>
      </c>
      <c r="BF250" s="12">
        <v>0</v>
      </c>
      <c r="BI250" s="12">
        <v>0</v>
      </c>
      <c r="BJ250" s="12">
        <v>0</v>
      </c>
    </row>
    <row r="251" spans="1:62" x14ac:dyDescent="0.15">
      <c r="A251" s="7" t="s">
        <v>6550</v>
      </c>
      <c r="C251" s="7" t="s">
        <v>6551</v>
      </c>
      <c r="D251" s="7" t="s">
        <v>5292</v>
      </c>
      <c r="E251" s="9" t="s">
        <v>6526</v>
      </c>
      <c r="L251" s="10">
        <v>3808000</v>
      </c>
      <c r="M251" s="10">
        <v>708268</v>
      </c>
      <c r="N251" s="11">
        <v>15</v>
      </c>
      <c r="P251" s="7" t="s">
        <v>1134</v>
      </c>
      <c r="Q251" s="9" t="s">
        <v>5295</v>
      </c>
      <c r="R251" s="9" t="s">
        <v>5295</v>
      </c>
      <c r="S251" s="9" t="s">
        <v>5292</v>
      </c>
      <c r="T251" s="9" t="s">
        <v>4875</v>
      </c>
      <c r="U251" s="12" t="s">
        <v>5020</v>
      </c>
      <c r="V251" s="12" t="s">
        <v>5021</v>
      </c>
      <c r="W251" s="12">
        <v>0</v>
      </c>
      <c r="X251" s="12">
        <v>0</v>
      </c>
      <c r="Y251" s="12">
        <v>0</v>
      </c>
      <c r="Z251" s="11">
        <v>0</v>
      </c>
      <c r="AA251" s="11">
        <v>0</v>
      </c>
      <c r="AB251" s="11">
        <v>0</v>
      </c>
      <c r="AC251" s="11">
        <v>0</v>
      </c>
      <c r="AD251" s="11">
        <v>0</v>
      </c>
      <c r="AE251" s="11">
        <v>0</v>
      </c>
      <c r="AF251" s="11">
        <v>1</v>
      </c>
      <c r="AG251" s="11">
        <v>1</v>
      </c>
      <c r="AH251" s="9">
        <v>2</v>
      </c>
      <c r="AI251" s="11">
        <v>2</v>
      </c>
      <c r="AJ251" s="11">
        <v>0</v>
      </c>
      <c r="AK251" s="11">
        <v>0</v>
      </c>
      <c r="AL251" s="11">
        <v>1</v>
      </c>
      <c r="AN251" s="11">
        <v>0</v>
      </c>
      <c r="AO251" s="11">
        <v>0</v>
      </c>
      <c r="AP251" s="11">
        <v>0</v>
      </c>
      <c r="AQ251" s="11">
        <v>0</v>
      </c>
      <c r="AR251" s="11">
        <v>0</v>
      </c>
      <c r="AS251" s="11">
        <v>0</v>
      </c>
      <c r="AT251" s="11">
        <v>1</v>
      </c>
      <c r="AU251" s="11">
        <v>0</v>
      </c>
      <c r="AV251" s="11">
        <v>0</v>
      </c>
      <c r="AW251" s="11">
        <v>0</v>
      </c>
      <c r="AX251" s="11">
        <v>0</v>
      </c>
      <c r="AY251" s="11">
        <v>0</v>
      </c>
      <c r="AZ251" s="12" t="s">
        <v>4843</v>
      </c>
      <c r="BA251" s="12" t="s">
        <v>4911</v>
      </c>
      <c r="BB251" s="12">
        <v>0</v>
      </c>
      <c r="BC251" s="9" t="s">
        <v>4878</v>
      </c>
      <c r="BD251" s="12">
        <v>12</v>
      </c>
      <c r="BE251" s="12">
        <v>0</v>
      </c>
      <c r="BF251" s="12">
        <v>0</v>
      </c>
      <c r="BI251" s="12">
        <v>0</v>
      </c>
      <c r="BJ251" s="12">
        <v>0</v>
      </c>
    </row>
    <row r="252" spans="1:62" x14ac:dyDescent="0.15">
      <c r="A252" s="7" t="s">
        <v>6552</v>
      </c>
      <c r="C252" s="7" t="s">
        <v>6553</v>
      </c>
      <c r="D252" s="7" t="s">
        <v>5292</v>
      </c>
      <c r="E252" s="9" t="s">
        <v>6526</v>
      </c>
      <c r="L252" s="10">
        <v>3806300</v>
      </c>
      <c r="M252" s="10">
        <v>707130</v>
      </c>
      <c r="N252" s="11">
        <v>15</v>
      </c>
      <c r="P252" s="7" t="s">
        <v>1134</v>
      </c>
      <c r="Q252" s="9" t="s">
        <v>6994</v>
      </c>
      <c r="S252" s="9" t="s">
        <v>5292</v>
      </c>
      <c r="T252" s="9" t="s">
        <v>5361</v>
      </c>
      <c r="U252" s="12" t="s">
        <v>5018</v>
      </c>
      <c r="V252" s="12" t="s">
        <v>5020</v>
      </c>
      <c r="W252" s="12">
        <v>0</v>
      </c>
      <c r="X252" s="12">
        <v>0</v>
      </c>
      <c r="Y252" s="12">
        <v>0</v>
      </c>
      <c r="Z252" s="11">
        <v>0</v>
      </c>
      <c r="AA252" s="11">
        <v>0</v>
      </c>
      <c r="AB252" s="11">
        <v>0</v>
      </c>
      <c r="AC252" s="11">
        <v>0</v>
      </c>
      <c r="AD252" s="11">
        <v>1</v>
      </c>
      <c r="AE252" s="11">
        <v>0</v>
      </c>
      <c r="AF252" s="11">
        <v>1</v>
      </c>
      <c r="AG252" s="11">
        <v>0</v>
      </c>
      <c r="AH252" s="9" t="s">
        <v>4878</v>
      </c>
      <c r="AI252" s="11">
        <v>0</v>
      </c>
      <c r="AJ252" s="11">
        <v>0</v>
      </c>
      <c r="AK252" s="11">
        <v>0</v>
      </c>
      <c r="AL252" s="11">
        <v>0</v>
      </c>
      <c r="AN252" s="11">
        <v>0</v>
      </c>
      <c r="AO252" s="11">
        <v>0</v>
      </c>
      <c r="AP252" s="11">
        <v>0</v>
      </c>
      <c r="AQ252" s="11">
        <v>0</v>
      </c>
      <c r="AR252" s="11">
        <v>0</v>
      </c>
      <c r="AS252" s="11">
        <v>0</v>
      </c>
      <c r="AT252" s="11">
        <v>0</v>
      </c>
      <c r="AU252" s="11">
        <v>0</v>
      </c>
      <c r="AV252" s="11">
        <v>0</v>
      </c>
      <c r="AW252" s="11">
        <v>0</v>
      </c>
      <c r="AX252" s="11">
        <v>0</v>
      </c>
      <c r="AY252" s="11">
        <v>0</v>
      </c>
      <c r="BA252" s="12" t="s">
        <v>4877</v>
      </c>
      <c r="BB252" s="12">
        <v>0</v>
      </c>
      <c r="BC252" s="9" t="s">
        <v>4878</v>
      </c>
      <c r="BD252" s="12">
        <v>0</v>
      </c>
      <c r="BE252" s="12">
        <v>0</v>
      </c>
      <c r="BF252" s="12">
        <v>0</v>
      </c>
      <c r="BI252" s="12">
        <v>0</v>
      </c>
      <c r="BJ252" s="12">
        <v>0</v>
      </c>
    </row>
    <row r="253" spans="1:62" x14ac:dyDescent="0.15">
      <c r="A253" s="7" t="s">
        <v>6554</v>
      </c>
      <c r="C253" s="7" t="s">
        <v>6555</v>
      </c>
      <c r="D253" s="7" t="s">
        <v>5292</v>
      </c>
      <c r="E253" s="9" t="s">
        <v>6526</v>
      </c>
      <c r="L253" s="10">
        <v>3803580</v>
      </c>
      <c r="M253" s="10">
        <v>725377</v>
      </c>
      <c r="N253" s="11">
        <v>15</v>
      </c>
      <c r="P253" s="7" t="s">
        <v>6556</v>
      </c>
      <c r="Q253" s="9" t="s">
        <v>4873</v>
      </c>
      <c r="S253" s="9" t="s">
        <v>5292</v>
      </c>
      <c r="T253" s="9" t="s">
        <v>4875</v>
      </c>
      <c r="U253" s="12" t="s">
        <v>5020</v>
      </c>
      <c r="V253" s="12" t="s">
        <v>5021</v>
      </c>
      <c r="W253" s="12">
        <v>0</v>
      </c>
      <c r="X253" s="12">
        <v>0</v>
      </c>
      <c r="Y253" s="12">
        <v>0</v>
      </c>
      <c r="Z253" s="11">
        <v>0</v>
      </c>
      <c r="AA253" s="11">
        <v>0</v>
      </c>
      <c r="AB253" s="11">
        <v>0</v>
      </c>
      <c r="AC253" s="11">
        <v>0</v>
      </c>
      <c r="AD253" s="11">
        <v>0</v>
      </c>
      <c r="AE253" s="11">
        <v>0</v>
      </c>
      <c r="AF253" s="11">
        <v>1</v>
      </c>
      <c r="AG253" s="11">
        <v>1</v>
      </c>
      <c r="AH253" s="9" t="s">
        <v>8248</v>
      </c>
      <c r="AI253" s="11">
        <v>2</v>
      </c>
      <c r="AJ253" s="11">
        <v>1</v>
      </c>
      <c r="AK253" s="11">
        <v>1</v>
      </c>
      <c r="AL253" s="11">
        <v>1</v>
      </c>
      <c r="AN253" s="11">
        <v>0</v>
      </c>
      <c r="AO253" s="11">
        <v>0</v>
      </c>
      <c r="AP253" s="11">
        <v>0</v>
      </c>
      <c r="AQ253" s="11">
        <v>1</v>
      </c>
      <c r="AR253" s="11">
        <v>0</v>
      </c>
      <c r="AS253" s="11">
        <v>0</v>
      </c>
      <c r="AT253" s="11">
        <v>0</v>
      </c>
      <c r="AU253" s="11">
        <v>0</v>
      </c>
      <c r="AV253" s="11">
        <v>0</v>
      </c>
      <c r="AW253" s="11">
        <v>0</v>
      </c>
      <c r="AX253" s="11">
        <v>0</v>
      </c>
      <c r="AY253" s="11">
        <v>0</v>
      </c>
      <c r="BA253" s="12" t="s">
        <v>4877</v>
      </c>
      <c r="BB253" s="12">
        <v>1</v>
      </c>
      <c r="BC253" s="9" t="s">
        <v>4878</v>
      </c>
      <c r="BD253" s="12">
        <v>0</v>
      </c>
      <c r="BE253" s="12">
        <v>0</v>
      </c>
      <c r="BF253" s="12">
        <v>0</v>
      </c>
      <c r="BI253" s="12">
        <v>0</v>
      </c>
      <c r="BJ253" s="12">
        <v>0</v>
      </c>
    </row>
    <row r="254" spans="1:62" x14ac:dyDescent="0.15">
      <c r="A254" s="7" t="s">
        <v>6557</v>
      </c>
      <c r="C254" s="7" t="s">
        <v>4924</v>
      </c>
      <c r="D254" s="7" t="s">
        <v>5292</v>
      </c>
      <c r="E254" s="9" t="s">
        <v>4870</v>
      </c>
      <c r="L254" s="10">
        <v>3797449</v>
      </c>
      <c r="M254" s="10">
        <v>713147</v>
      </c>
      <c r="N254" s="11">
        <v>15</v>
      </c>
      <c r="P254" s="7" t="s">
        <v>6484</v>
      </c>
      <c r="Q254" s="9" t="s">
        <v>5311</v>
      </c>
      <c r="S254" s="9" t="s">
        <v>5292</v>
      </c>
      <c r="T254" s="9" t="s">
        <v>5372</v>
      </c>
      <c r="U254" s="12" t="s">
        <v>5018</v>
      </c>
      <c r="V254" s="12" t="s">
        <v>5021</v>
      </c>
      <c r="W254" s="12">
        <v>0</v>
      </c>
      <c r="X254" s="12">
        <v>0</v>
      </c>
      <c r="Y254" s="12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1</v>
      </c>
      <c r="AE254" s="11">
        <v>0</v>
      </c>
      <c r="AF254" s="11">
        <v>0</v>
      </c>
      <c r="AG254" s="11">
        <v>1</v>
      </c>
      <c r="AH254" s="9" t="s">
        <v>1083</v>
      </c>
      <c r="AI254" s="11">
        <v>2</v>
      </c>
      <c r="AJ254" s="11">
        <v>1</v>
      </c>
      <c r="AK254" s="11">
        <v>1</v>
      </c>
      <c r="AL254" s="11">
        <v>1</v>
      </c>
      <c r="AN254" s="11">
        <v>0</v>
      </c>
      <c r="AO254" s="11">
        <v>0</v>
      </c>
      <c r="AP254" s="11">
        <v>0</v>
      </c>
      <c r="AQ254" s="11">
        <v>1</v>
      </c>
      <c r="AR254" s="11">
        <v>0</v>
      </c>
      <c r="AS254" s="11">
        <v>0</v>
      </c>
      <c r="AT254" s="11">
        <v>1</v>
      </c>
      <c r="AU254" s="11">
        <v>0</v>
      </c>
      <c r="AV254" s="11">
        <v>0</v>
      </c>
      <c r="AW254" s="11">
        <v>0</v>
      </c>
      <c r="AX254" s="11">
        <v>0</v>
      </c>
      <c r="AY254" s="11">
        <v>0</v>
      </c>
      <c r="BA254" s="12" t="s">
        <v>4877</v>
      </c>
      <c r="BB254" s="12">
        <v>0</v>
      </c>
      <c r="BC254" s="9" t="s">
        <v>4878</v>
      </c>
      <c r="BD254" s="12">
        <v>0</v>
      </c>
      <c r="BE254" s="12">
        <v>0</v>
      </c>
      <c r="BF254" s="12">
        <v>0</v>
      </c>
      <c r="BI254" s="12">
        <v>0</v>
      </c>
      <c r="BJ254" s="12">
        <v>0</v>
      </c>
    </row>
    <row r="255" spans="1:62" x14ac:dyDescent="0.15">
      <c r="A255" s="7" t="s">
        <v>6558</v>
      </c>
      <c r="C255" s="7" t="s">
        <v>6559</v>
      </c>
      <c r="D255" s="7" t="s">
        <v>5292</v>
      </c>
      <c r="E255" s="9" t="s">
        <v>4870</v>
      </c>
      <c r="L255" s="10">
        <v>3797160</v>
      </c>
      <c r="M255" s="10">
        <v>714046</v>
      </c>
      <c r="N255" s="11">
        <v>15</v>
      </c>
      <c r="P255" s="7" t="s">
        <v>6560</v>
      </c>
      <c r="Q255" s="9" t="s">
        <v>5322</v>
      </c>
      <c r="S255" s="9" t="s">
        <v>5292</v>
      </c>
      <c r="T255" s="9" t="s">
        <v>8280</v>
      </c>
      <c r="U255" s="12" t="s">
        <v>5016</v>
      </c>
      <c r="V255" s="12" t="s">
        <v>5021</v>
      </c>
      <c r="W255" s="12">
        <v>0</v>
      </c>
      <c r="X255" s="12">
        <v>0</v>
      </c>
      <c r="Y255" s="12">
        <v>0</v>
      </c>
      <c r="Z255" s="11">
        <v>0</v>
      </c>
      <c r="AA255" s="11">
        <v>0</v>
      </c>
      <c r="AB255" s="11">
        <v>1</v>
      </c>
      <c r="AC255" s="11">
        <v>0</v>
      </c>
      <c r="AD255" s="11">
        <v>0</v>
      </c>
      <c r="AE255" s="11">
        <v>0</v>
      </c>
      <c r="AF255" s="11">
        <v>0</v>
      </c>
      <c r="AG255" s="11">
        <v>1</v>
      </c>
      <c r="AH255" s="9" t="s">
        <v>4909</v>
      </c>
      <c r="AI255" s="11">
        <v>1</v>
      </c>
      <c r="AJ255" s="11">
        <v>1</v>
      </c>
      <c r="AK255" s="11">
        <v>0</v>
      </c>
      <c r="AL255" s="11">
        <v>0</v>
      </c>
      <c r="AN255" s="11">
        <v>0</v>
      </c>
      <c r="AO255" s="11">
        <v>0</v>
      </c>
      <c r="AP255" s="11">
        <v>0</v>
      </c>
      <c r="AQ255" s="11">
        <v>0</v>
      </c>
      <c r="AR255" s="11">
        <v>1</v>
      </c>
      <c r="AS255" s="11">
        <v>1</v>
      </c>
      <c r="AT255" s="11">
        <v>0</v>
      </c>
      <c r="AU255" s="11">
        <v>0</v>
      </c>
      <c r="AV255" s="11">
        <v>0</v>
      </c>
      <c r="AW255" s="11">
        <v>0</v>
      </c>
      <c r="AX255" s="11">
        <v>0</v>
      </c>
      <c r="AY255" s="11">
        <v>0</v>
      </c>
      <c r="BA255" s="12" t="s">
        <v>4877</v>
      </c>
      <c r="BB255" s="12">
        <v>0</v>
      </c>
      <c r="BC255" s="9" t="s">
        <v>4878</v>
      </c>
      <c r="BD255" s="12">
        <v>0</v>
      </c>
      <c r="BE255" s="12">
        <v>0</v>
      </c>
      <c r="BF255" s="12">
        <v>0</v>
      </c>
      <c r="BI255" s="12">
        <v>0</v>
      </c>
      <c r="BJ255" s="12">
        <v>0</v>
      </c>
    </row>
    <row r="256" spans="1:62" x14ac:dyDescent="0.15">
      <c r="A256" s="7" t="s">
        <v>6561</v>
      </c>
      <c r="C256" s="7" t="s">
        <v>6562</v>
      </c>
      <c r="D256" s="7" t="s">
        <v>5292</v>
      </c>
      <c r="E256" s="9" t="s">
        <v>4870</v>
      </c>
      <c r="L256" s="10">
        <v>3797169</v>
      </c>
      <c r="M256" s="10">
        <v>714335</v>
      </c>
      <c r="N256" s="11">
        <v>15</v>
      </c>
      <c r="P256" s="7" t="s">
        <v>6563</v>
      </c>
      <c r="Q256" s="9" t="s">
        <v>5311</v>
      </c>
      <c r="S256" s="9" t="s">
        <v>6364</v>
      </c>
      <c r="T256" s="9" t="s">
        <v>4875</v>
      </c>
      <c r="U256" s="12" t="s">
        <v>5020</v>
      </c>
      <c r="V256" s="12" t="s">
        <v>5021</v>
      </c>
      <c r="W256" s="12">
        <v>0</v>
      </c>
      <c r="X256" s="12">
        <v>0</v>
      </c>
      <c r="Y256" s="12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9" t="s">
        <v>4876</v>
      </c>
      <c r="AI256" s="11">
        <v>3</v>
      </c>
      <c r="AJ256" s="11">
        <v>1</v>
      </c>
      <c r="AK256" s="11">
        <v>1</v>
      </c>
      <c r="AL256" s="11">
        <v>0</v>
      </c>
      <c r="AN256" s="11">
        <v>0</v>
      </c>
      <c r="AP256" s="11">
        <v>0</v>
      </c>
      <c r="AQ256" s="11">
        <v>1</v>
      </c>
      <c r="AR256" s="11">
        <v>1</v>
      </c>
      <c r="AS256" s="11">
        <v>1</v>
      </c>
      <c r="AT256" s="11">
        <v>1</v>
      </c>
      <c r="AU256" s="11">
        <v>1</v>
      </c>
      <c r="AV256" s="11">
        <v>1</v>
      </c>
      <c r="AW256" s="11">
        <v>0</v>
      </c>
      <c r="AX256" s="11">
        <v>0</v>
      </c>
      <c r="AY256" s="11">
        <v>0</v>
      </c>
      <c r="BA256" s="12" t="s">
        <v>4877</v>
      </c>
      <c r="BB256" s="12">
        <v>0</v>
      </c>
      <c r="BC256" s="9" t="s">
        <v>4878</v>
      </c>
      <c r="BD256" s="12">
        <v>0</v>
      </c>
      <c r="BE256" s="12">
        <v>0</v>
      </c>
      <c r="BF256" s="12">
        <v>0</v>
      </c>
      <c r="BI256" s="12">
        <v>0</v>
      </c>
      <c r="BJ256" s="12">
        <v>0</v>
      </c>
    </row>
    <row r="257" spans="1:62" x14ac:dyDescent="0.15">
      <c r="A257" s="7" t="s">
        <v>6365</v>
      </c>
      <c r="C257" s="7" t="s">
        <v>6366</v>
      </c>
      <c r="D257" s="7" t="s">
        <v>5292</v>
      </c>
      <c r="E257" s="9" t="s">
        <v>4870</v>
      </c>
      <c r="L257" s="10">
        <v>3808956</v>
      </c>
      <c r="M257" s="10">
        <v>726677</v>
      </c>
      <c r="N257" s="11">
        <v>15</v>
      </c>
      <c r="P257" s="7" t="s">
        <v>6367</v>
      </c>
      <c r="Q257" s="9" t="s">
        <v>1112</v>
      </c>
      <c r="S257" s="9" t="s">
        <v>5292</v>
      </c>
      <c r="T257" s="9" t="s">
        <v>4902</v>
      </c>
      <c r="U257" s="12" t="s">
        <v>4902</v>
      </c>
      <c r="V257" s="12" t="s">
        <v>4902</v>
      </c>
      <c r="W257" s="12">
        <v>0</v>
      </c>
      <c r="X257" s="12">
        <v>0</v>
      </c>
      <c r="Y257" s="12">
        <v>0</v>
      </c>
      <c r="Z257" s="11">
        <v>0</v>
      </c>
      <c r="AA257" s="11">
        <v>0</v>
      </c>
      <c r="AB257" s="11">
        <v>0</v>
      </c>
      <c r="AC257" s="11">
        <v>0</v>
      </c>
      <c r="AD257" s="11">
        <v>0</v>
      </c>
      <c r="AE257" s="11">
        <v>0</v>
      </c>
      <c r="AF257" s="11">
        <v>0</v>
      </c>
      <c r="AG257" s="11">
        <v>0</v>
      </c>
      <c r="AH257" s="9" t="s">
        <v>4909</v>
      </c>
      <c r="AI257" s="11">
        <v>1</v>
      </c>
      <c r="AJ257" s="11">
        <v>1</v>
      </c>
      <c r="AK257" s="11">
        <v>0</v>
      </c>
      <c r="AL257" s="11">
        <v>0</v>
      </c>
      <c r="AN257" s="11">
        <v>0</v>
      </c>
      <c r="AO257" s="11">
        <v>0</v>
      </c>
      <c r="AP257" s="11">
        <v>0</v>
      </c>
      <c r="AQ257" s="11">
        <v>1</v>
      </c>
      <c r="AR257" s="11">
        <v>0</v>
      </c>
      <c r="AS257" s="11">
        <v>0</v>
      </c>
      <c r="AT257" s="11">
        <v>1</v>
      </c>
      <c r="AU257" s="11">
        <v>0</v>
      </c>
      <c r="AV257" s="11">
        <v>0</v>
      </c>
      <c r="AW257" s="11">
        <v>0</v>
      </c>
      <c r="AX257" s="11">
        <v>0</v>
      </c>
      <c r="AY257" s="11">
        <v>0</v>
      </c>
      <c r="BA257" s="12" t="s">
        <v>4877</v>
      </c>
      <c r="BB257" s="12">
        <v>0</v>
      </c>
      <c r="BC257" s="9" t="s">
        <v>4878</v>
      </c>
      <c r="BD257" s="12">
        <v>0</v>
      </c>
      <c r="BE257" s="12">
        <v>0</v>
      </c>
      <c r="BF257" s="12">
        <v>0</v>
      </c>
      <c r="BI257" s="12">
        <v>0</v>
      </c>
      <c r="BJ257" s="12">
        <v>0</v>
      </c>
    </row>
    <row r="258" spans="1:62" x14ac:dyDescent="0.15">
      <c r="A258" s="7" t="s">
        <v>6368</v>
      </c>
      <c r="B258" s="7" t="s">
        <v>6369</v>
      </c>
      <c r="C258" s="7" t="s">
        <v>6370</v>
      </c>
      <c r="D258" s="7" t="s">
        <v>5292</v>
      </c>
      <c r="E258" s="9" t="s">
        <v>4870</v>
      </c>
      <c r="L258" s="10">
        <v>3804150</v>
      </c>
      <c r="M258" s="10">
        <v>731320</v>
      </c>
      <c r="N258" s="11">
        <v>15</v>
      </c>
      <c r="P258" s="7" t="s">
        <v>6371</v>
      </c>
      <c r="Q258" s="9" t="s">
        <v>1061</v>
      </c>
      <c r="R258" s="9" t="s">
        <v>1061</v>
      </c>
      <c r="S258" s="9" t="s">
        <v>6372</v>
      </c>
      <c r="T258" s="9" t="s">
        <v>5401</v>
      </c>
      <c r="U258" s="12" t="s">
        <v>5017</v>
      </c>
      <c r="V258" s="12" t="s">
        <v>5020</v>
      </c>
      <c r="W258" s="12">
        <v>0</v>
      </c>
      <c r="X258" s="12">
        <v>0</v>
      </c>
      <c r="Y258" s="12">
        <v>0</v>
      </c>
      <c r="Z258" s="11">
        <v>0</v>
      </c>
      <c r="AA258" s="11">
        <v>0</v>
      </c>
      <c r="AB258" s="11">
        <v>0</v>
      </c>
      <c r="AC258" s="11">
        <v>1</v>
      </c>
      <c r="AD258" s="11">
        <v>0</v>
      </c>
      <c r="AE258" s="11">
        <v>1</v>
      </c>
      <c r="AF258" s="11">
        <v>1</v>
      </c>
      <c r="AG258" s="11">
        <v>0</v>
      </c>
      <c r="AH258" s="9">
        <v>11</v>
      </c>
      <c r="AI258" s="11">
        <v>11</v>
      </c>
      <c r="AJ258" s="11">
        <v>1</v>
      </c>
      <c r="AK258" s="11">
        <v>1</v>
      </c>
      <c r="AL258" s="11">
        <v>1</v>
      </c>
      <c r="AN258" s="11">
        <v>1</v>
      </c>
      <c r="AO258" s="11">
        <v>0</v>
      </c>
      <c r="AP258" s="11">
        <v>1</v>
      </c>
      <c r="AQ258" s="11">
        <v>1</v>
      </c>
      <c r="AR258" s="11">
        <v>0</v>
      </c>
      <c r="AS258" s="11">
        <v>0</v>
      </c>
      <c r="AT258" s="11">
        <v>1</v>
      </c>
      <c r="AU258" s="11">
        <v>0</v>
      </c>
      <c r="AV258" s="11">
        <v>0</v>
      </c>
      <c r="AW258" s="11">
        <v>0</v>
      </c>
      <c r="AX258" s="11">
        <v>0</v>
      </c>
      <c r="AY258" s="11">
        <v>0</v>
      </c>
      <c r="BA258" s="12" t="s">
        <v>4877</v>
      </c>
      <c r="BB258" s="12">
        <v>1</v>
      </c>
      <c r="BC258" s="9" t="s">
        <v>4878</v>
      </c>
      <c r="BD258" s="12">
        <v>27</v>
      </c>
      <c r="BE258" s="12">
        <v>400</v>
      </c>
      <c r="BF258" s="12">
        <v>0</v>
      </c>
      <c r="BI258" s="12">
        <v>0</v>
      </c>
      <c r="BJ258" s="12">
        <v>0</v>
      </c>
    </row>
    <row r="259" spans="1:62" x14ac:dyDescent="0.15">
      <c r="A259" s="7" t="s">
        <v>6373</v>
      </c>
      <c r="C259" s="7" t="s">
        <v>6374</v>
      </c>
      <c r="D259" s="7" t="s">
        <v>5292</v>
      </c>
      <c r="E259" s="9" t="s">
        <v>4870</v>
      </c>
      <c r="L259" s="10">
        <v>3808537</v>
      </c>
      <c r="M259" s="10">
        <v>730411</v>
      </c>
      <c r="N259" s="11">
        <v>15</v>
      </c>
      <c r="P259" s="7" t="s">
        <v>6375</v>
      </c>
      <c r="Q259" s="9" t="s">
        <v>1061</v>
      </c>
      <c r="R259" s="9" t="s">
        <v>1061</v>
      </c>
      <c r="S259" s="9" t="s">
        <v>5292</v>
      </c>
      <c r="T259" s="9" t="s">
        <v>8484</v>
      </c>
      <c r="U259" s="12" t="s">
        <v>5019</v>
      </c>
      <c r="V259" s="12" t="s">
        <v>5020</v>
      </c>
      <c r="W259" s="12">
        <v>0</v>
      </c>
      <c r="X259" s="12">
        <v>0</v>
      </c>
      <c r="Y259" s="12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1</v>
      </c>
      <c r="AF259" s="11">
        <v>1</v>
      </c>
      <c r="AG259" s="11">
        <v>0</v>
      </c>
      <c r="AH259" s="9">
        <v>1</v>
      </c>
      <c r="AI259" s="11">
        <v>1</v>
      </c>
      <c r="AJ259" s="11">
        <v>1</v>
      </c>
      <c r="AK259" s="11">
        <v>1</v>
      </c>
      <c r="AL259" s="11">
        <v>1</v>
      </c>
      <c r="AN259" s="11">
        <v>1</v>
      </c>
      <c r="AO259" s="11">
        <v>0</v>
      </c>
      <c r="AP259" s="11">
        <v>1</v>
      </c>
      <c r="AQ259" s="11">
        <v>1</v>
      </c>
      <c r="AR259" s="11">
        <v>0</v>
      </c>
      <c r="AS259" s="11">
        <v>0</v>
      </c>
      <c r="AT259" s="11">
        <v>1</v>
      </c>
      <c r="AU259" s="11">
        <v>0</v>
      </c>
      <c r="AV259" s="11">
        <v>0</v>
      </c>
      <c r="AW259" s="11">
        <v>0</v>
      </c>
      <c r="AX259" s="11">
        <v>0</v>
      </c>
      <c r="AY259" s="11">
        <v>0</v>
      </c>
      <c r="BA259" s="12" t="s">
        <v>4877</v>
      </c>
      <c r="BB259" s="12">
        <v>0</v>
      </c>
      <c r="BC259" s="9" t="s">
        <v>4878</v>
      </c>
      <c r="BD259" s="12">
        <v>10</v>
      </c>
      <c r="BE259" s="12">
        <v>0</v>
      </c>
      <c r="BF259" s="12">
        <v>0</v>
      </c>
      <c r="BI259" s="12">
        <v>0</v>
      </c>
      <c r="BJ259" s="12">
        <v>0</v>
      </c>
    </row>
    <row r="260" spans="1:62" x14ac:dyDescent="0.15">
      <c r="A260" s="7" t="s">
        <v>6376</v>
      </c>
      <c r="C260" s="7" t="s">
        <v>6377</v>
      </c>
      <c r="D260" s="7" t="s">
        <v>5292</v>
      </c>
      <c r="E260" s="9" t="s">
        <v>4870</v>
      </c>
      <c r="L260" s="10">
        <v>3795120</v>
      </c>
      <c r="M260" s="10">
        <v>747038</v>
      </c>
      <c r="N260" s="11">
        <v>15</v>
      </c>
      <c r="P260" s="7" t="s">
        <v>5310</v>
      </c>
      <c r="Q260" s="9" t="s">
        <v>5311</v>
      </c>
      <c r="R260" s="9" t="s">
        <v>5318</v>
      </c>
      <c r="S260" s="9" t="s">
        <v>5292</v>
      </c>
      <c r="T260" s="9" t="s">
        <v>4884</v>
      </c>
      <c r="U260" s="12" t="s">
        <v>5016</v>
      </c>
      <c r="V260" s="12" t="s">
        <v>5017</v>
      </c>
      <c r="W260" s="12">
        <v>0</v>
      </c>
      <c r="X260" s="12">
        <v>0</v>
      </c>
      <c r="Y260" s="12">
        <v>0</v>
      </c>
      <c r="Z260" s="11">
        <v>0</v>
      </c>
      <c r="AA260" s="11">
        <v>0</v>
      </c>
      <c r="AB260" s="11">
        <v>1</v>
      </c>
      <c r="AC260" s="11">
        <v>1</v>
      </c>
      <c r="AD260" s="11">
        <v>0</v>
      </c>
      <c r="AE260" s="11">
        <v>0</v>
      </c>
      <c r="AF260" s="11">
        <v>0</v>
      </c>
      <c r="AG260" s="11">
        <v>0</v>
      </c>
      <c r="AH260" s="9">
        <v>1</v>
      </c>
      <c r="AI260" s="11">
        <v>1</v>
      </c>
      <c r="AJ260" s="11">
        <v>1</v>
      </c>
      <c r="AK260" s="11">
        <v>0</v>
      </c>
      <c r="AL260" s="11">
        <v>0</v>
      </c>
      <c r="AN260" s="11">
        <v>0</v>
      </c>
      <c r="AO260" s="11">
        <v>0</v>
      </c>
      <c r="AP260" s="11">
        <v>0</v>
      </c>
      <c r="AQ260" s="11">
        <v>0</v>
      </c>
      <c r="AR260" s="11">
        <v>1</v>
      </c>
      <c r="AS260" s="11">
        <v>0</v>
      </c>
      <c r="AT260" s="11">
        <v>0</v>
      </c>
      <c r="AU260" s="11">
        <v>0</v>
      </c>
      <c r="AV260" s="11">
        <v>0</v>
      </c>
      <c r="AW260" s="11">
        <v>0</v>
      </c>
      <c r="AX260" s="11">
        <v>0</v>
      </c>
      <c r="AY260" s="11">
        <v>0</v>
      </c>
      <c r="BA260" s="12" t="s">
        <v>4877</v>
      </c>
      <c r="BB260" s="12">
        <v>0</v>
      </c>
      <c r="BC260" s="9" t="s">
        <v>4878</v>
      </c>
      <c r="BD260" s="12">
        <v>0</v>
      </c>
      <c r="BE260" s="12">
        <v>0</v>
      </c>
      <c r="BF260" s="12">
        <v>0</v>
      </c>
      <c r="BI260" s="12">
        <v>0</v>
      </c>
      <c r="BJ260" s="12">
        <v>0</v>
      </c>
    </row>
    <row r="261" spans="1:62" x14ac:dyDescent="0.15">
      <c r="A261" s="7" t="s">
        <v>6378</v>
      </c>
      <c r="B261" s="7" t="s">
        <v>6379</v>
      </c>
      <c r="C261" s="7" t="s">
        <v>6380</v>
      </c>
      <c r="D261" s="7" t="s">
        <v>5292</v>
      </c>
      <c r="E261" s="9" t="s">
        <v>4870</v>
      </c>
      <c r="L261" s="10">
        <v>3813392</v>
      </c>
      <c r="M261" s="10">
        <v>749936</v>
      </c>
      <c r="N261" s="11">
        <v>15</v>
      </c>
      <c r="P261" s="7" t="s">
        <v>6381</v>
      </c>
      <c r="Q261" s="9" t="s">
        <v>5311</v>
      </c>
      <c r="S261" s="9" t="s">
        <v>6489</v>
      </c>
      <c r="T261" s="9" t="s">
        <v>4784</v>
      </c>
      <c r="U261" s="12" t="s">
        <v>5017</v>
      </c>
      <c r="V261" s="12" t="s">
        <v>5021</v>
      </c>
      <c r="W261" s="12">
        <v>0</v>
      </c>
      <c r="X261" s="12">
        <v>0</v>
      </c>
      <c r="Y261" s="12">
        <v>0</v>
      </c>
      <c r="Z261" s="11">
        <v>0</v>
      </c>
      <c r="AA261" s="11">
        <v>0</v>
      </c>
      <c r="AB261" s="11">
        <v>0</v>
      </c>
      <c r="AC261" s="11">
        <v>1</v>
      </c>
      <c r="AD261" s="11">
        <v>1</v>
      </c>
      <c r="AE261" s="11">
        <v>1</v>
      </c>
      <c r="AF261" s="11">
        <v>1</v>
      </c>
      <c r="AG261" s="11">
        <v>1</v>
      </c>
      <c r="AH261" s="9" t="s">
        <v>8248</v>
      </c>
      <c r="AI261" s="11">
        <v>2</v>
      </c>
      <c r="AJ261" s="11">
        <v>1</v>
      </c>
      <c r="AK261" s="11">
        <v>1</v>
      </c>
      <c r="AL261" s="11">
        <v>1</v>
      </c>
      <c r="AN261" s="11">
        <v>0</v>
      </c>
      <c r="AO261" s="11">
        <v>0</v>
      </c>
      <c r="AP261" s="11">
        <v>0</v>
      </c>
      <c r="AQ261" s="11">
        <v>1</v>
      </c>
      <c r="AR261" s="11">
        <v>0</v>
      </c>
      <c r="AS261" s="11">
        <v>0</v>
      </c>
      <c r="AT261" s="11">
        <v>1</v>
      </c>
      <c r="AU261" s="11">
        <v>0</v>
      </c>
      <c r="AV261" s="11">
        <v>0</v>
      </c>
      <c r="AW261" s="11">
        <v>0</v>
      </c>
      <c r="AX261" s="11">
        <v>0</v>
      </c>
      <c r="AY261" s="11">
        <v>0</v>
      </c>
      <c r="BA261" s="12" t="s">
        <v>4877</v>
      </c>
      <c r="BB261" s="12">
        <v>0</v>
      </c>
      <c r="BC261" s="9" t="s">
        <v>4878</v>
      </c>
      <c r="BD261" s="12">
        <v>0</v>
      </c>
      <c r="BE261" s="12">
        <v>0</v>
      </c>
      <c r="BF261" s="12">
        <v>0</v>
      </c>
      <c r="BI261" s="12">
        <v>0</v>
      </c>
      <c r="BJ261" s="12">
        <v>0</v>
      </c>
    </row>
    <row r="262" spans="1:62" x14ac:dyDescent="0.15">
      <c r="A262" s="7" t="s">
        <v>6382</v>
      </c>
      <c r="C262" s="7" t="s">
        <v>6383</v>
      </c>
      <c r="D262" s="7" t="s">
        <v>5292</v>
      </c>
      <c r="E262" s="9" t="s">
        <v>4870</v>
      </c>
      <c r="L262" s="10">
        <v>3807000</v>
      </c>
      <c r="M262" s="10">
        <v>741714</v>
      </c>
      <c r="N262" s="11">
        <v>15</v>
      </c>
      <c r="P262" s="7" t="s">
        <v>6637</v>
      </c>
      <c r="Q262" s="9" t="s">
        <v>5311</v>
      </c>
      <c r="S262" s="9" t="s">
        <v>5292</v>
      </c>
      <c r="T262" s="9" t="s">
        <v>4902</v>
      </c>
      <c r="U262" s="12" t="s">
        <v>4902</v>
      </c>
      <c r="V262" s="12" t="s">
        <v>4902</v>
      </c>
      <c r="W262" s="12">
        <v>0</v>
      </c>
      <c r="X262" s="12">
        <v>0</v>
      </c>
      <c r="Y262" s="12">
        <v>0</v>
      </c>
      <c r="Z262" s="11">
        <v>0</v>
      </c>
      <c r="AA262" s="11">
        <v>0</v>
      </c>
      <c r="AB262" s="11">
        <v>0</v>
      </c>
      <c r="AC262" s="11">
        <v>0</v>
      </c>
      <c r="AD262" s="11">
        <v>0</v>
      </c>
      <c r="AE262" s="11">
        <v>0</v>
      </c>
      <c r="AF262" s="11">
        <v>0</v>
      </c>
      <c r="AG262" s="11">
        <v>0</v>
      </c>
      <c r="AH262" s="9" t="s">
        <v>8248</v>
      </c>
      <c r="AI262" s="11">
        <v>2</v>
      </c>
      <c r="AJ262" s="11">
        <v>1</v>
      </c>
      <c r="AK262" s="11">
        <v>1</v>
      </c>
      <c r="AL262" s="11">
        <v>0</v>
      </c>
      <c r="AN262" s="11">
        <v>0</v>
      </c>
      <c r="AO262" s="11">
        <v>0</v>
      </c>
      <c r="AP262" s="11">
        <v>0</v>
      </c>
      <c r="AQ262" s="11">
        <v>0</v>
      </c>
      <c r="AR262" s="11">
        <v>1</v>
      </c>
      <c r="AS262" s="11">
        <v>0</v>
      </c>
      <c r="AT262" s="11">
        <v>0</v>
      </c>
      <c r="AU262" s="11">
        <v>0</v>
      </c>
      <c r="AV262" s="11">
        <v>0</v>
      </c>
      <c r="AW262" s="11">
        <v>0</v>
      </c>
      <c r="AX262" s="11">
        <v>0</v>
      </c>
      <c r="AY262" s="11">
        <v>0</v>
      </c>
      <c r="BA262" s="12" t="s">
        <v>4877</v>
      </c>
      <c r="BB262" s="12">
        <v>0</v>
      </c>
      <c r="BC262" s="9" t="s">
        <v>4878</v>
      </c>
      <c r="BD262" s="12">
        <v>0</v>
      </c>
      <c r="BE262" s="12">
        <v>0</v>
      </c>
      <c r="BF262" s="12">
        <v>0</v>
      </c>
      <c r="BI262" s="12">
        <v>0</v>
      </c>
      <c r="BJ262" s="12">
        <v>0</v>
      </c>
    </row>
    <row r="263" spans="1:62" x14ac:dyDescent="0.15">
      <c r="A263" s="7" t="s">
        <v>6384</v>
      </c>
      <c r="B263" s="7" t="s">
        <v>6385</v>
      </c>
      <c r="C263" s="7" t="s">
        <v>6386</v>
      </c>
      <c r="D263" s="7" t="s">
        <v>5292</v>
      </c>
      <c r="E263" s="9" t="s">
        <v>4870</v>
      </c>
      <c r="L263" s="10">
        <v>3800530</v>
      </c>
      <c r="M263" s="10">
        <v>742735</v>
      </c>
      <c r="N263" s="11">
        <v>15</v>
      </c>
      <c r="P263" s="7" t="s">
        <v>1087</v>
      </c>
      <c r="Q263" s="9" t="s">
        <v>1061</v>
      </c>
      <c r="R263" s="9" t="s">
        <v>1061</v>
      </c>
      <c r="S263" s="9" t="s">
        <v>6489</v>
      </c>
      <c r="T263" s="9" t="s">
        <v>8372</v>
      </c>
      <c r="U263" s="12" t="s">
        <v>5017</v>
      </c>
      <c r="V263" s="12" t="s">
        <v>5019</v>
      </c>
      <c r="W263" s="12">
        <v>0</v>
      </c>
      <c r="X263" s="12">
        <v>0</v>
      </c>
      <c r="Y263" s="12">
        <v>0</v>
      </c>
      <c r="Z263" s="11">
        <v>0</v>
      </c>
      <c r="AA263" s="11">
        <v>0</v>
      </c>
      <c r="AB263" s="11">
        <v>0</v>
      </c>
      <c r="AC263" s="11">
        <v>1</v>
      </c>
      <c r="AD263" s="11">
        <v>1</v>
      </c>
      <c r="AE263" s="11">
        <v>1</v>
      </c>
      <c r="AF263" s="11">
        <v>0</v>
      </c>
      <c r="AG263" s="11">
        <v>0</v>
      </c>
      <c r="AH263" s="9" t="s">
        <v>8248</v>
      </c>
      <c r="AI263" s="11">
        <v>2</v>
      </c>
      <c r="AJ263" s="11">
        <v>1</v>
      </c>
      <c r="AK263" s="11">
        <v>1</v>
      </c>
      <c r="AL263" s="11">
        <v>1</v>
      </c>
      <c r="AN263" s="11">
        <v>0</v>
      </c>
      <c r="AO263" s="11">
        <v>0</v>
      </c>
      <c r="AP263" s="11">
        <v>0</v>
      </c>
      <c r="AQ263" s="11">
        <v>0</v>
      </c>
      <c r="AR263" s="11">
        <v>0</v>
      </c>
      <c r="AS263" s="11">
        <v>0</v>
      </c>
      <c r="AT263" s="11">
        <v>1</v>
      </c>
      <c r="AU263" s="11">
        <v>0</v>
      </c>
      <c r="AV263" s="11">
        <v>0</v>
      </c>
      <c r="AW263" s="11">
        <v>0</v>
      </c>
      <c r="AX263" s="11">
        <v>0</v>
      </c>
      <c r="AY263" s="11">
        <v>0</v>
      </c>
      <c r="BA263" s="12" t="s">
        <v>4877</v>
      </c>
      <c r="BB263" s="12">
        <v>0</v>
      </c>
      <c r="BC263" s="9" t="s">
        <v>4878</v>
      </c>
      <c r="BD263" s="12">
        <v>0</v>
      </c>
      <c r="BE263" s="12">
        <v>0</v>
      </c>
      <c r="BF263" s="12">
        <v>0</v>
      </c>
      <c r="BI263" s="12">
        <v>0</v>
      </c>
      <c r="BJ263" s="12">
        <v>0</v>
      </c>
    </row>
    <row r="264" spans="1:62" x14ac:dyDescent="0.15">
      <c r="A264" s="7" t="s">
        <v>6387</v>
      </c>
      <c r="C264" s="7" t="s">
        <v>6388</v>
      </c>
      <c r="D264" s="7" t="s">
        <v>5292</v>
      </c>
      <c r="E264" s="9" t="s">
        <v>4870</v>
      </c>
      <c r="L264" s="10">
        <v>3798940</v>
      </c>
      <c r="M264" s="10">
        <v>743878</v>
      </c>
      <c r="N264" s="11">
        <v>15</v>
      </c>
      <c r="P264" s="7" t="s">
        <v>6389</v>
      </c>
      <c r="Q264" s="9" t="s">
        <v>5311</v>
      </c>
      <c r="R264" s="9" t="s">
        <v>5318</v>
      </c>
      <c r="S264" s="9" t="s">
        <v>5292</v>
      </c>
      <c r="T264" s="9" t="s">
        <v>4884</v>
      </c>
      <c r="U264" s="12" t="s">
        <v>5016</v>
      </c>
      <c r="V264" s="12" t="s">
        <v>5017</v>
      </c>
      <c r="W264" s="12">
        <v>0</v>
      </c>
      <c r="X264" s="12">
        <v>0</v>
      </c>
      <c r="Y264" s="12">
        <v>0</v>
      </c>
      <c r="Z264" s="11">
        <v>0</v>
      </c>
      <c r="AA264" s="11">
        <v>0</v>
      </c>
      <c r="AB264" s="11">
        <v>1</v>
      </c>
      <c r="AC264" s="11">
        <v>1</v>
      </c>
      <c r="AD264" s="11">
        <v>0</v>
      </c>
      <c r="AE264" s="11">
        <v>0</v>
      </c>
      <c r="AF264" s="11">
        <v>0</v>
      </c>
      <c r="AG264" s="11">
        <v>0</v>
      </c>
      <c r="AH264" s="9">
        <v>1</v>
      </c>
      <c r="AI264" s="11">
        <v>1</v>
      </c>
      <c r="AJ264" s="11">
        <v>1</v>
      </c>
      <c r="AK264" s="11">
        <v>0</v>
      </c>
      <c r="AL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1</v>
      </c>
      <c r="AS264" s="11">
        <v>0</v>
      </c>
      <c r="AT264" s="11">
        <v>0</v>
      </c>
      <c r="AU264" s="11">
        <v>0</v>
      </c>
      <c r="AV264" s="11">
        <v>0</v>
      </c>
      <c r="AW264" s="11">
        <v>0</v>
      </c>
      <c r="AX264" s="11">
        <v>0</v>
      </c>
      <c r="AY264" s="11">
        <v>0</v>
      </c>
      <c r="BA264" s="12" t="s">
        <v>4877</v>
      </c>
      <c r="BB264" s="12">
        <v>0</v>
      </c>
      <c r="BC264" s="9" t="s">
        <v>4878</v>
      </c>
      <c r="BD264" s="12">
        <v>5</v>
      </c>
      <c r="BE264" s="12">
        <v>0</v>
      </c>
      <c r="BF264" s="12">
        <f>VLOOKUP(A264,'[1]Conical Mounds'!A$1:O$65536,15,FALSE)</f>
        <v>2827.4333882308138</v>
      </c>
      <c r="BI264">
        <f>BD264/BF264</f>
        <v>1.7683882565766149E-3</v>
      </c>
      <c r="BJ264">
        <f>BI264*10000</f>
        <v>17.683882565766147</v>
      </c>
    </row>
    <row r="265" spans="1:62" x14ac:dyDescent="0.15">
      <c r="A265" s="7" t="s">
        <v>6390</v>
      </c>
      <c r="C265" s="7" t="s">
        <v>6391</v>
      </c>
      <c r="D265" s="7" t="s">
        <v>5292</v>
      </c>
      <c r="E265" s="9" t="s">
        <v>4870</v>
      </c>
      <c r="L265" s="10">
        <v>3795821</v>
      </c>
      <c r="M265" s="10">
        <v>743508</v>
      </c>
      <c r="N265" s="11">
        <v>15</v>
      </c>
      <c r="P265" s="7" t="s">
        <v>1082</v>
      </c>
      <c r="Q265" s="9" t="s">
        <v>1112</v>
      </c>
      <c r="S265" s="9" t="s">
        <v>5292</v>
      </c>
      <c r="T265" s="9" t="s">
        <v>4902</v>
      </c>
      <c r="U265" s="12" t="s">
        <v>4902</v>
      </c>
      <c r="V265" s="12" t="s">
        <v>4902</v>
      </c>
      <c r="W265" s="12">
        <v>0</v>
      </c>
      <c r="X265" s="12">
        <v>0</v>
      </c>
      <c r="Y265" s="12">
        <v>0</v>
      </c>
      <c r="Z265" s="11">
        <v>0</v>
      </c>
      <c r="AA265" s="11">
        <v>0</v>
      </c>
      <c r="AB265" s="11">
        <v>0</v>
      </c>
      <c r="AC265" s="11">
        <v>0</v>
      </c>
      <c r="AD265" s="11">
        <v>0</v>
      </c>
      <c r="AE265" s="11">
        <v>0</v>
      </c>
      <c r="AF265" s="11">
        <v>0</v>
      </c>
      <c r="AG265" s="11">
        <v>0</v>
      </c>
      <c r="AH265" s="9" t="s">
        <v>1083</v>
      </c>
      <c r="AI265" s="11">
        <v>2</v>
      </c>
      <c r="AJ265" s="11">
        <v>1</v>
      </c>
      <c r="AK265" s="11">
        <v>1</v>
      </c>
      <c r="AL265" s="11">
        <v>0</v>
      </c>
      <c r="AN265" s="11">
        <v>0</v>
      </c>
      <c r="AO265" s="11">
        <v>0</v>
      </c>
      <c r="AP265" s="11">
        <v>0</v>
      </c>
      <c r="AQ265" s="11">
        <v>0</v>
      </c>
      <c r="AR265" s="11">
        <v>0</v>
      </c>
      <c r="AS265" s="11">
        <v>0</v>
      </c>
      <c r="AT265" s="11">
        <v>1</v>
      </c>
      <c r="AU265" s="11">
        <v>0</v>
      </c>
      <c r="AV265" s="11">
        <v>0</v>
      </c>
      <c r="AW265" s="11">
        <v>0</v>
      </c>
      <c r="AX265" s="11">
        <v>0</v>
      </c>
      <c r="AY265" s="11">
        <v>0</v>
      </c>
      <c r="BA265" s="12" t="s">
        <v>4877</v>
      </c>
      <c r="BB265" s="12">
        <v>0</v>
      </c>
      <c r="BC265" s="9" t="s">
        <v>4878</v>
      </c>
      <c r="BD265" s="12">
        <v>0</v>
      </c>
      <c r="BE265" s="12">
        <v>0</v>
      </c>
      <c r="BF265" s="12">
        <v>0</v>
      </c>
      <c r="BI265" s="12">
        <v>0</v>
      </c>
      <c r="BJ265" s="12">
        <v>0</v>
      </c>
    </row>
    <row r="266" spans="1:62" x14ac:dyDescent="0.15">
      <c r="A266" s="7" t="s">
        <v>6392</v>
      </c>
      <c r="C266" s="7" t="s">
        <v>6393</v>
      </c>
      <c r="D266" s="7" t="s">
        <v>5292</v>
      </c>
      <c r="E266" s="9" t="s">
        <v>4870</v>
      </c>
      <c r="L266" s="10">
        <v>3793760</v>
      </c>
      <c r="M266" s="10">
        <v>745014</v>
      </c>
      <c r="N266" s="11">
        <v>15</v>
      </c>
      <c r="P266" s="7" t="s">
        <v>1087</v>
      </c>
      <c r="Q266" s="9" t="s">
        <v>5311</v>
      </c>
      <c r="R266" s="9" t="s">
        <v>5318</v>
      </c>
      <c r="S266" s="9" t="s">
        <v>5292</v>
      </c>
      <c r="T266" s="9" t="s">
        <v>4884</v>
      </c>
      <c r="U266" s="12" t="s">
        <v>5016</v>
      </c>
      <c r="V266" s="12" t="s">
        <v>5017</v>
      </c>
      <c r="W266" s="12">
        <v>0</v>
      </c>
      <c r="X266" s="12">
        <v>0</v>
      </c>
      <c r="Y266" s="12">
        <v>0</v>
      </c>
      <c r="Z266" s="11">
        <v>0</v>
      </c>
      <c r="AA266" s="11">
        <v>0</v>
      </c>
      <c r="AB266" s="11">
        <v>1</v>
      </c>
      <c r="AC266" s="11">
        <v>1</v>
      </c>
      <c r="AD266" s="11">
        <v>0</v>
      </c>
      <c r="AE266" s="11">
        <v>0</v>
      </c>
      <c r="AF266" s="11">
        <v>0</v>
      </c>
      <c r="AG266" s="11">
        <v>0</v>
      </c>
      <c r="AH266" s="9">
        <v>3</v>
      </c>
      <c r="AI266" s="11">
        <v>3</v>
      </c>
      <c r="AJ266" s="11">
        <v>1</v>
      </c>
      <c r="AK266" s="11">
        <v>1</v>
      </c>
      <c r="AL266" s="11">
        <v>0</v>
      </c>
      <c r="AN266" s="11">
        <v>0</v>
      </c>
      <c r="AO266" s="11">
        <v>0</v>
      </c>
      <c r="AP266" s="11">
        <v>0</v>
      </c>
      <c r="AQ266" s="11">
        <v>0</v>
      </c>
      <c r="AR266" s="11">
        <v>1</v>
      </c>
      <c r="AS266" s="11">
        <v>0</v>
      </c>
      <c r="AT266" s="11">
        <v>1</v>
      </c>
      <c r="AU266" s="11">
        <v>0</v>
      </c>
      <c r="AV266" s="11">
        <v>0</v>
      </c>
      <c r="AW266" s="11">
        <v>0</v>
      </c>
      <c r="AX266" s="11">
        <v>0</v>
      </c>
      <c r="AY266" s="11">
        <v>0</v>
      </c>
      <c r="BA266" s="12" t="s">
        <v>4877</v>
      </c>
      <c r="BB266" s="12">
        <v>0</v>
      </c>
      <c r="BC266" s="9" t="s">
        <v>4878</v>
      </c>
      <c r="BD266" s="12">
        <v>6</v>
      </c>
      <c r="BE266" s="12">
        <v>0</v>
      </c>
      <c r="BF266" s="12">
        <f>VLOOKUP(A266,'[1]Conical Mounds'!A$1:O$65536,15,FALSE)</f>
        <v>4417.8646691106469</v>
      </c>
      <c r="BI266">
        <f>BD266/BF266</f>
        <v>1.3581221810508401E-3</v>
      </c>
      <c r="BJ266">
        <f>BI266*10000</f>
        <v>13.581221810508401</v>
      </c>
    </row>
    <row r="267" spans="1:62" x14ac:dyDescent="0.15">
      <c r="A267" s="7" t="s">
        <v>6394</v>
      </c>
      <c r="B267" s="7" t="s">
        <v>6395</v>
      </c>
      <c r="C267" s="7" t="s">
        <v>6396</v>
      </c>
      <c r="D267" s="7" t="s">
        <v>5292</v>
      </c>
      <c r="E267" s="9" t="s">
        <v>4870</v>
      </c>
      <c r="L267" s="10">
        <v>3812570</v>
      </c>
      <c r="M267" s="10">
        <v>732861</v>
      </c>
      <c r="N267" s="11">
        <v>15</v>
      </c>
      <c r="P267" s="7" t="s">
        <v>6637</v>
      </c>
      <c r="Q267" s="9" t="s">
        <v>5311</v>
      </c>
      <c r="R267" s="9" t="s">
        <v>5318</v>
      </c>
      <c r="S267" s="9" t="s">
        <v>6489</v>
      </c>
      <c r="T267" s="9" t="s">
        <v>4884</v>
      </c>
      <c r="U267" s="12" t="s">
        <v>5016</v>
      </c>
      <c r="V267" s="12" t="s">
        <v>5017</v>
      </c>
      <c r="W267" s="12">
        <v>0</v>
      </c>
      <c r="X267" s="12">
        <v>0</v>
      </c>
      <c r="Y267" s="12">
        <v>0</v>
      </c>
      <c r="Z267" s="11">
        <v>0</v>
      </c>
      <c r="AA267" s="11">
        <v>0</v>
      </c>
      <c r="AB267" s="11">
        <v>1</v>
      </c>
      <c r="AC267" s="11">
        <v>1</v>
      </c>
      <c r="AD267" s="11">
        <v>0</v>
      </c>
      <c r="AE267" s="11">
        <v>0</v>
      </c>
      <c r="AF267" s="11">
        <v>0</v>
      </c>
      <c r="AG267" s="11">
        <v>0</v>
      </c>
      <c r="AH267" s="9">
        <v>1</v>
      </c>
      <c r="AI267" s="11">
        <v>1</v>
      </c>
      <c r="AJ267" s="11">
        <v>1</v>
      </c>
      <c r="AK267" s="11">
        <v>1</v>
      </c>
      <c r="AL267" s="11">
        <v>1</v>
      </c>
      <c r="AN267" s="11">
        <v>0</v>
      </c>
      <c r="AO267" s="11">
        <v>0</v>
      </c>
      <c r="AP267" s="11">
        <v>0</v>
      </c>
      <c r="AQ267" s="11">
        <v>0</v>
      </c>
      <c r="AR267" s="11">
        <v>1</v>
      </c>
      <c r="AS267" s="11">
        <v>0</v>
      </c>
      <c r="AT267" s="11">
        <v>0</v>
      </c>
      <c r="AU267" s="11">
        <v>0</v>
      </c>
      <c r="AV267" s="11">
        <v>0</v>
      </c>
      <c r="AW267" s="11">
        <v>0</v>
      </c>
      <c r="AX267" s="11">
        <v>0</v>
      </c>
      <c r="AY267" s="11">
        <v>0</v>
      </c>
      <c r="BA267" s="12" t="s">
        <v>4877</v>
      </c>
      <c r="BB267" s="12">
        <v>0</v>
      </c>
      <c r="BC267" s="9" t="s">
        <v>4878</v>
      </c>
      <c r="BD267" s="12">
        <v>8</v>
      </c>
      <c r="BE267" s="12">
        <v>0</v>
      </c>
      <c r="BF267" s="12">
        <f>VLOOKUP(A267,'[1]Conical Mounds'!A$1:O$65536,15,FALSE)</f>
        <v>7853.981633974483</v>
      </c>
      <c r="BI267">
        <f>BD267/BF267</f>
        <v>1.0185916357881302E-3</v>
      </c>
      <c r="BJ267">
        <f>BI267*10000</f>
        <v>10.185916357881302</v>
      </c>
    </row>
    <row r="268" spans="1:62" x14ac:dyDescent="0.15">
      <c r="A268" s="7" t="s">
        <v>6397</v>
      </c>
      <c r="C268" s="7" t="s">
        <v>6398</v>
      </c>
      <c r="D268" s="7" t="s">
        <v>5292</v>
      </c>
      <c r="E268" s="9" t="s">
        <v>4870</v>
      </c>
      <c r="L268" s="10">
        <v>3813876</v>
      </c>
      <c r="M268" s="10">
        <v>730470</v>
      </c>
      <c r="N268" s="11">
        <v>15</v>
      </c>
      <c r="P268" s="7" t="s">
        <v>1134</v>
      </c>
      <c r="Q268" s="9" t="s">
        <v>6994</v>
      </c>
      <c r="S268" s="9" t="s">
        <v>5292</v>
      </c>
      <c r="T268" s="9" t="s">
        <v>4902</v>
      </c>
      <c r="U268" s="12" t="s">
        <v>4902</v>
      </c>
      <c r="V268" s="12" t="s">
        <v>4902</v>
      </c>
      <c r="W268" s="12">
        <v>0</v>
      </c>
      <c r="X268" s="12">
        <v>0</v>
      </c>
      <c r="Y268" s="12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9" t="s">
        <v>4878</v>
      </c>
      <c r="AI268" s="11">
        <v>0</v>
      </c>
      <c r="AJ268" s="11">
        <v>0</v>
      </c>
      <c r="AK268" s="11">
        <v>0</v>
      </c>
      <c r="AL268" s="11">
        <v>0</v>
      </c>
      <c r="AN268" s="11">
        <v>0</v>
      </c>
      <c r="AO268" s="11">
        <v>0</v>
      </c>
      <c r="AP268" s="11">
        <v>0</v>
      </c>
      <c r="AQ268" s="11">
        <v>0</v>
      </c>
      <c r="AR268" s="11">
        <v>0</v>
      </c>
      <c r="AS268" s="11">
        <v>0</v>
      </c>
      <c r="AT268" s="11">
        <v>0</v>
      </c>
      <c r="AU268" s="11">
        <v>0</v>
      </c>
      <c r="AV268" s="11">
        <v>0</v>
      </c>
      <c r="AW268" s="11">
        <v>0</v>
      </c>
      <c r="AX268" s="11">
        <v>0</v>
      </c>
      <c r="AY268" s="11">
        <v>0</v>
      </c>
      <c r="BA268" s="12" t="s">
        <v>4877</v>
      </c>
      <c r="BB268" s="12">
        <v>0</v>
      </c>
      <c r="BC268" s="9" t="s">
        <v>4878</v>
      </c>
      <c r="BD268" s="12">
        <v>0</v>
      </c>
      <c r="BE268" s="12">
        <v>0</v>
      </c>
      <c r="BF268" s="12">
        <v>0</v>
      </c>
      <c r="BI268" s="12">
        <v>0</v>
      </c>
      <c r="BJ268" s="12">
        <v>0</v>
      </c>
    </row>
    <row r="269" spans="1:62" x14ac:dyDescent="0.15">
      <c r="A269" s="7" t="s">
        <v>6399</v>
      </c>
      <c r="B269" s="7" t="s">
        <v>6400</v>
      </c>
      <c r="C269" s="7" t="s">
        <v>6401</v>
      </c>
      <c r="D269" s="7" t="s">
        <v>5292</v>
      </c>
      <c r="E269" s="9" t="s">
        <v>4870</v>
      </c>
      <c r="L269" s="10">
        <v>3816984</v>
      </c>
      <c r="M269" s="10">
        <v>729504</v>
      </c>
      <c r="N269" s="11">
        <v>15</v>
      </c>
      <c r="P269" s="7" t="s">
        <v>6402</v>
      </c>
      <c r="Q269" s="9" t="s">
        <v>4873</v>
      </c>
      <c r="S269" s="9" t="s">
        <v>6489</v>
      </c>
      <c r="T269" s="9" t="s">
        <v>4887</v>
      </c>
      <c r="U269" s="12" t="s">
        <v>5016</v>
      </c>
      <c r="V269" s="12" t="s">
        <v>5018</v>
      </c>
      <c r="W269" s="12">
        <v>0</v>
      </c>
      <c r="X269" s="12">
        <v>0</v>
      </c>
      <c r="Y269" s="12">
        <v>0</v>
      </c>
      <c r="Z269" s="11">
        <v>0</v>
      </c>
      <c r="AA269" s="11">
        <v>0</v>
      </c>
      <c r="AB269" s="11">
        <v>0</v>
      </c>
      <c r="AC269" s="11">
        <v>0</v>
      </c>
      <c r="AD269" s="11">
        <v>0</v>
      </c>
      <c r="AE269" s="11">
        <v>0</v>
      </c>
      <c r="AF269" s="11">
        <v>0</v>
      </c>
      <c r="AG269" s="11">
        <v>0</v>
      </c>
      <c r="AH269" s="9" t="s">
        <v>1083</v>
      </c>
      <c r="AI269" s="11">
        <v>2</v>
      </c>
      <c r="AJ269" s="11">
        <v>1</v>
      </c>
      <c r="AK269" s="11">
        <v>1</v>
      </c>
      <c r="AL269" s="11">
        <v>0</v>
      </c>
      <c r="AN269" s="11">
        <v>0</v>
      </c>
      <c r="AO269" s="11">
        <v>0</v>
      </c>
      <c r="AP269" s="11">
        <v>0</v>
      </c>
      <c r="AQ269" s="11">
        <v>0</v>
      </c>
      <c r="AR269" s="11">
        <v>0</v>
      </c>
      <c r="AS269" s="11">
        <v>0</v>
      </c>
      <c r="AT269" s="11">
        <v>1</v>
      </c>
      <c r="AU269" s="11">
        <v>0</v>
      </c>
      <c r="AV269" s="11">
        <v>0</v>
      </c>
      <c r="AW269" s="11">
        <v>0</v>
      </c>
      <c r="AX269" s="11">
        <v>0</v>
      </c>
      <c r="AY269" s="11">
        <v>0</v>
      </c>
      <c r="BA269" s="12" t="s">
        <v>4877</v>
      </c>
      <c r="BB269" s="12">
        <v>0</v>
      </c>
      <c r="BC269" s="9" t="s">
        <v>4878</v>
      </c>
      <c r="BD269" s="12">
        <v>0</v>
      </c>
      <c r="BE269" s="12">
        <v>0</v>
      </c>
      <c r="BF269" s="12">
        <v>0</v>
      </c>
      <c r="BI269" s="12">
        <v>0</v>
      </c>
      <c r="BJ269" s="12">
        <v>0</v>
      </c>
    </row>
    <row r="270" spans="1:62" x14ac:dyDescent="0.15">
      <c r="A270" s="7" t="s">
        <v>6403</v>
      </c>
      <c r="C270" s="7" t="s">
        <v>6404</v>
      </c>
      <c r="D270" s="7" t="s">
        <v>5292</v>
      </c>
      <c r="E270" s="9" t="s">
        <v>4870</v>
      </c>
      <c r="L270" s="10">
        <v>3810120</v>
      </c>
      <c r="M270" s="10">
        <v>731401</v>
      </c>
      <c r="N270" s="11">
        <v>15</v>
      </c>
      <c r="P270" s="7" t="s">
        <v>718</v>
      </c>
      <c r="Q270" s="9" t="s">
        <v>5294</v>
      </c>
      <c r="S270" s="9" t="s">
        <v>5292</v>
      </c>
      <c r="T270" s="9" t="s">
        <v>4891</v>
      </c>
      <c r="U270" s="12" t="s">
        <v>5017</v>
      </c>
      <c r="V270" s="12" t="s">
        <v>5018</v>
      </c>
      <c r="W270" s="12">
        <v>0</v>
      </c>
      <c r="X270" s="12">
        <v>0</v>
      </c>
      <c r="Y270" s="12">
        <v>0</v>
      </c>
      <c r="Z270" s="11">
        <v>0</v>
      </c>
      <c r="AA270" s="11">
        <v>0</v>
      </c>
      <c r="AB270" s="11">
        <v>0</v>
      </c>
      <c r="AC270" s="11">
        <v>1</v>
      </c>
      <c r="AD270" s="11">
        <v>1</v>
      </c>
      <c r="AE270" s="11">
        <v>0</v>
      </c>
      <c r="AF270" s="11">
        <v>0</v>
      </c>
      <c r="AG270" s="11">
        <v>0</v>
      </c>
      <c r="AH270" s="9" t="s">
        <v>4878</v>
      </c>
      <c r="AI270" s="11">
        <v>0</v>
      </c>
      <c r="AJ270" s="11">
        <v>0</v>
      </c>
      <c r="AK270" s="11">
        <v>0</v>
      </c>
      <c r="AL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11">
        <v>0</v>
      </c>
      <c r="AT270" s="11">
        <v>0</v>
      </c>
      <c r="AU270" s="11">
        <v>0</v>
      </c>
      <c r="AV270" s="11">
        <v>0</v>
      </c>
      <c r="AW270" s="11">
        <v>0</v>
      </c>
      <c r="AX270" s="11">
        <v>0</v>
      </c>
      <c r="AY270" s="11">
        <v>0</v>
      </c>
      <c r="BA270" s="12" t="s">
        <v>4877</v>
      </c>
      <c r="BB270" s="12">
        <v>0</v>
      </c>
      <c r="BC270" s="9" t="s">
        <v>4878</v>
      </c>
      <c r="BD270" s="12">
        <v>0</v>
      </c>
      <c r="BE270" s="12">
        <v>0</v>
      </c>
      <c r="BF270" s="12">
        <v>0</v>
      </c>
      <c r="BI270" s="12">
        <v>0</v>
      </c>
      <c r="BJ270" s="12">
        <v>0</v>
      </c>
    </row>
    <row r="271" spans="1:62" x14ac:dyDescent="0.15">
      <c r="A271" s="7" t="s">
        <v>6405</v>
      </c>
      <c r="C271" s="7" t="s">
        <v>6406</v>
      </c>
      <c r="D271" s="7" t="s">
        <v>5292</v>
      </c>
      <c r="E271" s="9" t="s">
        <v>4870</v>
      </c>
      <c r="L271" s="10">
        <v>3802392</v>
      </c>
      <c r="M271" s="10">
        <v>748156</v>
      </c>
      <c r="N271" s="11">
        <v>15</v>
      </c>
      <c r="P271" s="7" t="s">
        <v>6407</v>
      </c>
      <c r="Q271" s="9" t="s">
        <v>1061</v>
      </c>
      <c r="R271" s="9" t="s">
        <v>1061</v>
      </c>
      <c r="S271" s="9" t="s">
        <v>5292</v>
      </c>
      <c r="T271" s="9" t="s">
        <v>4887</v>
      </c>
      <c r="U271" s="12" t="s">
        <v>5016</v>
      </c>
      <c r="V271" s="12" t="s">
        <v>5018</v>
      </c>
      <c r="W271" s="12">
        <v>0</v>
      </c>
      <c r="X271" s="12">
        <v>0</v>
      </c>
      <c r="Y271" s="12">
        <v>0</v>
      </c>
      <c r="Z271" s="11">
        <v>0</v>
      </c>
      <c r="AA271" s="11">
        <v>0</v>
      </c>
      <c r="AB271" s="11">
        <v>1</v>
      </c>
      <c r="AC271" s="11">
        <v>1</v>
      </c>
      <c r="AD271" s="11">
        <v>1</v>
      </c>
      <c r="AE271" s="11">
        <v>0</v>
      </c>
      <c r="AF271" s="11">
        <v>0</v>
      </c>
      <c r="AG271" s="11">
        <v>0</v>
      </c>
      <c r="AH271" s="9" t="s">
        <v>8248</v>
      </c>
      <c r="AI271" s="11">
        <v>2</v>
      </c>
      <c r="AJ271" s="11">
        <v>1</v>
      </c>
      <c r="AK271" s="11">
        <v>1</v>
      </c>
      <c r="AL271" s="11">
        <v>1</v>
      </c>
      <c r="AN271" s="11">
        <v>0</v>
      </c>
      <c r="AO271" s="11">
        <v>0</v>
      </c>
      <c r="AP271" s="11">
        <v>0</v>
      </c>
      <c r="AQ271" s="11">
        <v>1</v>
      </c>
      <c r="AR271" s="11">
        <v>0</v>
      </c>
      <c r="AS271" s="11">
        <v>0</v>
      </c>
      <c r="AT271" s="11">
        <v>1</v>
      </c>
      <c r="AU271" s="11">
        <v>0</v>
      </c>
      <c r="AV271" s="11">
        <v>0</v>
      </c>
      <c r="AW271" s="11">
        <v>0</v>
      </c>
      <c r="AX271" s="11">
        <v>0</v>
      </c>
      <c r="AY271" s="11">
        <v>0</v>
      </c>
      <c r="BA271" s="12" t="s">
        <v>4877</v>
      </c>
      <c r="BB271" s="12">
        <v>0</v>
      </c>
      <c r="BC271" s="9" t="s">
        <v>4878</v>
      </c>
      <c r="BD271" s="12">
        <v>15</v>
      </c>
      <c r="BE271" s="12">
        <v>0</v>
      </c>
      <c r="BF271" s="12">
        <v>0</v>
      </c>
      <c r="BI271" s="12">
        <v>0</v>
      </c>
      <c r="BJ271" s="12">
        <v>0</v>
      </c>
    </row>
    <row r="272" spans="1:62" x14ac:dyDescent="0.15">
      <c r="A272" s="7" t="s">
        <v>6408</v>
      </c>
      <c r="B272" s="7" t="s">
        <v>6409</v>
      </c>
      <c r="C272" s="7" t="s">
        <v>6410</v>
      </c>
      <c r="D272" s="7" t="s">
        <v>5292</v>
      </c>
      <c r="E272" s="9" t="s">
        <v>4870</v>
      </c>
      <c r="L272" s="10">
        <v>3793390</v>
      </c>
      <c r="M272" s="10">
        <v>738262</v>
      </c>
      <c r="N272" s="11">
        <v>15</v>
      </c>
      <c r="P272" s="7" t="s">
        <v>6411</v>
      </c>
      <c r="Q272" s="9" t="s">
        <v>4873</v>
      </c>
      <c r="R272" s="9" t="s">
        <v>5318</v>
      </c>
      <c r="S272" s="9" t="s">
        <v>6489</v>
      </c>
      <c r="T272" s="9" t="s">
        <v>4884</v>
      </c>
      <c r="U272" s="12" t="s">
        <v>5016</v>
      </c>
      <c r="V272" s="12" t="s">
        <v>5017</v>
      </c>
      <c r="W272" s="12">
        <v>0</v>
      </c>
      <c r="X272" s="12">
        <v>0</v>
      </c>
      <c r="Y272" s="12">
        <v>0</v>
      </c>
      <c r="Z272" s="11">
        <v>0</v>
      </c>
      <c r="AA272" s="11">
        <v>0</v>
      </c>
      <c r="AB272" s="11">
        <v>1</v>
      </c>
      <c r="AC272" s="11">
        <v>1</v>
      </c>
      <c r="AD272" s="11">
        <v>0</v>
      </c>
      <c r="AE272" s="11">
        <v>0</v>
      </c>
      <c r="AF272" s="11">
        <v>0</v>
      </c>
      <c r="AG272" s="11">
        <v>0</v>
      </c>
      <c r="AH272" s="9">
        <v>3</v>
      </c>
      <c r="AI272" s="11">
        <v>3</v>
      </c>
      <c r="AJ272" s="11">
        <v>1</v>
      </c>
      <c r="AK272" s="11">
        <v>1</v>
      </c>
      <c r="AL272" s="11">
        <v>0</v>
      </c>
      <c r="AN272" s="11">
        <v>0</v>
      </c>
      <c r="AO272" s="11">
        <v>0</v>
      </c>
      <c r="AP272" s="11">
        <v>0</v>
      </c>
      <c r="AQ272" s="11">
        <v>0</v>
      </c>
      <c r="AR272" s="11">
        <v>1</v>
      </c>
      <c r="AS272" s="11">
        <v>0</v>
      </c>
      <c r="AT272" s="11">
        <v>1</v>
      </c>
      <c r="AU272" s="11">
        <v>0</v>
      </c>
      <c r="AV272" s="11">
        <v>0</v>
      </c>
      <c r="AW272" s="11">
        <v>0</v>
      </c>
      <c r="AX272" s="11">
        <v>0</v>
      </c>
      <c r="AY272" s="11">
        <v>0</v>
      </c>
      <c r="BA272" s="12" t="s">
        <v>4877</v>
      </c>
      <c r="BB272" s="12">
        <v>0</v>
      </c>
      <c r="BC272" s="9" t="s">
        <v>4878</v>
      </c>
      <c r="BD272" s="12">
        <v>0</v>
      </c>
      <c r="BE272" s="12">
        <v>0</v>
      </c>
      <c r="BF272" s="12">
        <v>0</v>
      </c>
      <c r="BI272" s="12">
        <v>0</v>
      </c>
      <c r="BJ272" s="12">
        <v>0</v>
      </c>
    </row>
    <row r="273" spans="1:62" x14ac:dyDescent="0.15">
      <c r="A273" s="7" t="s">
        <v>6412</v>
      </c>
      <c r="B273" s="7" t="s">
        <v>6413</v>
      </c>
      <c r="C273" s="7" t="s">
        <v>6414</v>
      </c>
      <c r="D273" s="7" t="s">
        <v>5292</v>
      </c>
      <c r="E273" s="9" t="s">
        <v>4870</v>
      </c>
      <c r="L273" s="10">
        <v>3805939</v>
      </c>
      <c r="M273" s="10">
        <v>728611</v>
      </c>
      <c r="N273" s="11">
        <v>15</v>
      </c>
      <c r="P273" s="7" t="s">
        <v>6506</v>
      </c>
      <c r="Q273" s="9" t="s">
        <v>6994</v>
      </c>
      <c r="S273" s="9" t="s">
        <v>6489</v>
      </c>
      <c r="T273" s="9" t="s">
        <v>5376</v>
      </c>
      <c r="U273" s="12" t="s">
        <v>5016</v>
      </c>
      <c r="V273" s="12" t="s">
        <v>5020</v>
      </c>
      <c r="W273" s="12">
        <v>0</v>
      </c>
      <c r="X273" s="12">
        <v>0</v>
      </c>
      <c r="Y273" s="12">
        <v>0</v>
      </c>
      <c r="Z273" s="11">
        <v>0</v>
      </c>
      <c r="AA273" s="11">
        <v>0</v>
      </c>
      <c r="AB273" s="11">
        <v>1</v>
      </c>
      <c r="AC273" s="11">
        <v>1</v>
      </c>
      <c r="AD273" s="11">
        <v>1</v>
      </c>
      <c r="AE273" s="11">
        <v>1</v>
      </c>
      <c r="AF273" s="11">
        <v>1</v>
      </c>
      <c r="AG273" s="11">
        <v>0</v>
      </c>
      <c r="AH273" s="9" t="s">
        <v>4878</v>
      </c>
      <c r="AI273" s="11">
        <v>0</v>
      </c>
      <c r="AJ273" s="11">
        <v>0</v>
      </c>
      <c r="AK273" s="11">
        <v>0</v>
      </c>
      <c r="AL273" s="11">
        <v>0</v>
      </c>
      <c r="AN273" s="11">
        <v>0</v>
      </c>
      <c r="AO273" s="11">
        <v>0</v>
      </c>
      <c r="AP273" s="11">
        <v>0</v>
      </c>
      <c r="AQ273" s="11">
        <v>0</v>
      </c>
      <c r="AR273" s="11">
        <v>0</v>
      </c>
      <c r="AS273" s="11">
        <v>0</v>
      </c>
      <c r="AT273" s="11">
        <v>0</v>
      </c>
      <c r="AU273" s="11">
        <v>0</v>
      </c>
      <c r="AV273" s="11">
        <v>0</v>
      </c>
      <c r="AW273" s="11">
        <v>0</v>
      </c>
      <c r="AX273" s="11">
        <v>0</v>
      </c>
      <c r="AY273" s="11">
        <v>0</v>
      </c>
      <c r="BA273" s="12" t="s">
        <v>4877</v>
      </c>
      <c r="BB273" s="12">
        <v>0</v>
      </c>
      <c r="BC273" s="9" t="s">
        <v>4878</v>
      </c>
      <c r="BD273" s="12">
        <v>0</v>
      </c>
      <c r="BE273" s="12">
        <v>0</v>
      </c>
      <c r="BF273" s="12">
        <v>0</v>
      </c>
      <c r="BI273" s="12">
        <v>0</v>
      </c>
      <c r="BJ273" s="12">
        <v>0</v>
      </c>
    </row>
    <row r="274" spans="1:62" x14ac:dyDescent="0.15">
      <c r="A274" s="7" t="s">
        <v>6415</v>
      </c>
      <c r="C274" s="7" t="s">
        <v>6416</v>
      </c>
      <c r="D274" s="7" t="s">
        <v>5292</v>
      </c>
      <c r="E274" s="9" t="s">
        <v>4870</v>
      </c>
      <c r="L274" s="10">
        <v>3800320</v>
      </c>
      <c r="M274" s="10">
        <v>770245</v>
      </c>
      <c r="N274" s="11">
        <v>15</v>
      </c>
      <c r="P274" s="7" t="s">
        <v>910</v>
      </c>
      <c r="Q274" s="9" t="s">
        <v>5322</v>
      </c>
      <c r="R274" s="9" t="s">
        <v>5318</v>
      </c>
      <c r="S274" s="9" t="s">
        <v>5292</v>
      </c>
      <c r="T274" s="9" t="s">
        <v>4884</v>
      </c>
      <c r="U274" s="12" t="s">
        <v>5016</v>
      </c>
      <c r="V274" s="12" t="s">
        <v>5017</v>
      </c>
      <c r="W274" s="12">
        <v>0</v>
      </c>
      <c r="X274" s="12">
        <v>0</v>
      </c>
      <c r="Y274" s="12">
        <v>0</v>
      </c>
      <c r="Z274" s="11">
        <v>0</v>
      </c>
      <c r="AA274" s="11">
        <v>0</v>
      </c>
      <c r="AB274" s="11">
        <v>1</v>
      </c>
      <c r="AC274" s="11">
        <v>1</v>
      </c>
      <c r="AD274" s="11">
        <v>0</v>
      </c>
      <c r="AE274" s="11">
        <v>0</v>
      </c>
      <c r="AF274" s="11">
        <v>0</v>
      </c>
      <c r="AG274" s="11">
        <v>0</v>
      </c>
      <c r="AH274" s="9">
        <v>1</v>
      </c>
      <c r="AI274" s="11">
        <v>1</v>
      </c>
      <c r="AJ274" s="11">
        <v>1</v>
      </c>
      <c r="AK274" s="11">
        <v>0</v>
      </c>
      <c r="AL274" s="11">
        <v>0</v>
      </c>
      <c r="AN274" s="11">
        <v>0</v>
      </c>
      <c r="AO274" s="11">
        <v>0</v>
      </c>
      <c r="AP274" s="11">
        <v>0</v>
      </c>
      <c r="AQ274" s="11">
        <v>0</v>
      </c>
      <c r="AR274" s="11">
        <v>1</v>
      </c>
      <c r="AS274" s="11">
        <v>0</v>
      </c>
      <c r="AT274" s="11">
        <v>0</v>
      </c>
      <c r="AU274" s="11">
        <v>0</v>
      </c>
      <c r="AV274" s="11">
        <v>0</v>
      </c>
      <c r="AW274" s="11">
        <v>0</v>
      </c>
      <c r="AX274" s="11">
        <v>0</v>
      </c>
      <c r="AY274" s="11">
        <v>0</v>
      </c>
      <c r="BA274" s="12" t="s">
        <v>4877</v>
      </c>
      <c r="BB274" s="12">
        <v>0</v>
      </c>
      <c r="BC274" s="9" t="s">
        <v>4878</v>
      </c>
      <c r="BD274" s="12">
        <v>3</v>
      </c>
      <c r="BE274" s="12">
        <v>0</v>
      </c>
      <c r="BF274" s="12">
        <f>VLOOKUP(A274,'[1]Conical Mounds'!A$1:O$65536,15,FALSE)</f>
        <v>1590.4312808798327</v>
      </c>
      <c r="BI274">
        <f>BD274/BF274</f>
        <v>1.8862808070150561E-3</v>
      </c>
      <c r="BJ274">
        <f>BI274*10000</f>
        <v>18.86280807015056</v>
      </c>
    </row>
    <row r="275" spans="1:62" x14ac:dyDescent="0.15">
      <c r="A275" s="7" t="s">
        <v>6417</v>
      </c>
      <c r="B275" s="7" t="s">
        <v>6418</v>
      </c>
      <c r="C275" s="7" t="s">
        <v>6419</v>
      </c>
      <c r="D275" s="7" t="s">
        <v>5292</v>
      </c>
      <c r="E275" s="9" t="s">
        <v>4870</v>
      </c>
      <c r="L275" s="10">
        <v>3813380</v>
      </c>
      <c r="M275" s="10">
        <v>753223</v>
      </c>
      <c r="N275" s="11">
        <v>15</v>
      </c>
      <c r="P275" s="7" t="s">
        <v>1079</v>
      </c>
      <c r="Q275" s="9" t="s">
        <v>5322</v>
      </c>
      <c r="S275" s="9" t="s">
        <v>6489</v>
      </c>
      <c r="T275" s="9" t="s">
        <v>4902</v>
      </c>
      <c r="U275" s="12" t="s">
        <v>4902</v>
      </c>
      <c r="V275" s="12" t="s">
        <v>4902</v>
      </c>
      <c r="W275" s="12">
        <v>0</v>
      </c>
      <c r="X275" s="12">
        <v>0</v>
      </c>
      <c r="Y275" s="12">
        <v>0</v>
      </c>
      <c r="Z275" s="11">
        <v>0</v>
      </c>
      <c r="AA275" s="11">
        <v>0</v>
      </c>
      <c r="AB275" s="11">
        <v>0</v>
      </c>
      <c r="AC275" s="11">
        <v>0</v>
      </c>
      <c r="AD275" s="11">
        <v>0</v>
      </c>
      <c r="AE275" s="11">
        <v>0</v>
      </c>
      <c r="AF275" s="11">
        <v>0</v>
      </c>
      <c r="AG275" s="11">
        <v>0</v>
      </c>
      <c r="AH275" s="9" t="s">
        <v>4909</v>
      </c>
      <c r="AI275" s="11">
        <v>1</v>
      </c>
      <c r="AJ275" s="11">
        <v>1</v>
      </c>
      <c r="AK275" s="11">
        <v>0</v>
      </c>
      <c r="AL275" s="11">
        <v>0</v>
      </c>
      <c r="AN275" s="11">
        <v>0</v>
      </c>
      <c r="AO275" s="11">
        <v>0</v>
      </c>
      <c r="AP275" s="11">
        <v>0</v>
      </c>
      <c r="AQ275" s="11">
        <v>0</v>
      </c>
      <c r="AR275" s="11">
        <v>1</v>
      </c>
      <c r="AS275" s="11">
        <v>0</v>
      </c>
      <c r="AT275" s="11">
        <v>0</v>
      </c>
      <c r="AU275" s="11">
        <v>0</v>
      </c>
      <c r="AV275" s="11">
        <v>0</v>
      </c>
      <c r="AW275" s="11">
        <v>0</v>
      </c>
      <c r="AX275" s="11">
        <v>0</v>
      </c>
      <c r="AY275" s="11">
        <v>0</v>
      </c>
      <c r="BA275" s="12" t="s">
        <v>4877</v>
      </c>
      <c r="BB275" s="12">
        <v>0</v>
      </c>
      <c r="BC275" s="9" t="s">
        <v>4878</v>
      </c>
      <c r="BD275" s="12">
        <v>0</v>
      </c>
      <c r="BE275" s="12">
        <v>0</v>
      </c>
      <c r="BF275" s="12">
        <v>0</v>
      </c>
      <c r="BI275" s="12">
        <v>0</v>
      </c>
      <c r="BJ275" s="12">
        <v>0</v>
      </c>
    </row>
    <row r="276" spans="1:62" x14ac:dyDescent="0.15">
      <c r="A276" s="7" t="s">
        <v>6420</v>
      </c>
      <c r="B276" s="7" t="s">
        <v>6421</v>
      </c>
      <c r="C276" s="7" t="s">
        <v>717</v>
      </c>
      <c r="D276" s="7" t="s">
        <v>5292</v>
      </c>
      <c r="E276" s="9" t="s">
        <v>4870</v>
      </c>
      <c r="L276" s="10">
        <v>3814530</v>
      </c>
      <c r="M276" s="10">
        <v>761736</v>
      </c>
      <c r="N276" s="11">
        <v>15</v>
      </c>
      <c r="P276" s="7" t="s">
        <v>6631</v>
      </c>
      <c r="Q276" s="9" t="s">
        <v>1061</v>
      </c>
      <c r="R276" s="9" t="s">
        <v>1061</v>
      </c>
      <c r="S276" s="9" t="s">
        <v>6489</v>
      </c>
      <c r="T276" s="9" t="s">
        <v>4884</v>
      </c>
      <c r="U276" s="12" t="s">
        <v>5016</v>
      </c>
      <c r="V276" s="12" t="s">
        <v>5017</v>
      </c>
      <c r="W276" s="12">
        <v>0</v>
      </c>
      <c r="X276" s="12">
        <v>0</v>
      </c>
      <c r="Y276" s="12">
        <v>0</v>
      </c>
      <c r="Z276" s="11">
        <v>0</v>
      </c>
      <c r="AA276" s="11">
        <v>0</v>
      </c>
      <c r="AB276" s="11">
        <v>1</v>
      </c>
      <c r="AC276" s="11">
        <v>1</v>
      </c>
      <c r="AD276" s="11">
        <v>0</v>
      </c>
      <c r="AE276" s="11">
        <v>0</v>
      </c>
      <c r="AF276" s="11">
        <v>0</v>
      </c>
      <c r="AG276" s="11">
        <v>0</v>
      </c>
      <c r="AH276" s="9">
        <v>1</v>
      </c>
      <c r="AI276" s="11">
        <v>1</v>
      </c>
      <c r="AJ276" s="11">
        <v>1</v>
      </c>
      <c r="AK276" s="11">
        <v>0</v>
      </c>
      <c r="AL276" s="11">
        <v>1</v>
      </c>
      <c r="AN276" s="11">
        <v>0</v>
      </c>
      <c r="AO276" s="11">
        <v>1</v>
      </c>
      <c r="AP276" s="11">
        <v>0</v>
      </c>
      <c r="AQ276" s="11">
        <v>1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0</v>
      </c>
      <c r="AY276" s="11">
        <v>0</v>
      </c>
      <c r="BA276" s="12" t="s">
        <v>4877</v>
      </c>
      <c r="BB276" s="12">
        <v>0</v>
      </c>
      <c r="BC276" s="9" t="s">
        <v>4878</v>
      </c>
      <c r="BD276" s="12">
        <v>12</v>
      </c>
      <c r="BE276" s="12">
        <v>0</v>
      </c>
      <c r="BF276" s="12">
        <v>0</v>
      </c>
      <c r="BI276" s="12">
        <v>0</v>
      </c>
      <c r="BJ276" s="12">
        <v>0</v>
      </c>
    </row>
    <row r="277" spans="1:62" x14ac:dyDescent="0.15">
      <c r="A277" s="7" t="s">
        <v>6422</v>
      </c>
      <c r="B277" s="7" t="s">
        <v>6423</v>
      </c>
      <c r="C277" s="7" t="s">
        <v>6424</v>
      </c>
      <c r="D277" s="7" t="s">
        <v>5292</v>
      </c>
      <c r="E277" s="9" t="s">
        <v>4870</v>
      </c>
      <c r="L277" s="10">
        <v>3809960</v>
      </c>
      <c r="M277" s="10">
        <v>758880</v>
      </c>
      <c r="N277" s="11">
        <v>15</v>
      </c>
      <c r="P277" s="7" t="s">
        <v>1064</v>
      </c>
      <c r="Q277" s="9" t="s">
        <v>1061</v>
      </c>
      <c r="R277" s="9" t="s">
        <v>1061</v>
      </c>
      <c r="S277" s="9" t="s">
        <v>6489</v>
      </c>
      <c r="T277" s="9" t="s">
        <v>5361</v>
      </c>
      <c r="U277" s="12" t="s">
        <v>5018</v>
      </c>
      <c r="V277" s="12" t="s">
        <v>5020</v>
      </c>
      <c r="W277" s="12">
        <v>0</v>
      </c>
      <c r="X277" s="12">
        <v>0</v>
      </c>
      <c r="Y277" s="12">
        <v>0</v>
      </c>
      <c r="Z277" s="11">
        <v>0</v>
      </c>
      <c r="AA277" s="11">
        <v>0</v>
      </c>
      <c r="AB277" s="11">
        <v>0</v>
      </c>
      <c r="AC277" s="11">
        <v>0</v>
      </c>
      <c r="AD277" s="11">
        <v>1</v>
      </c>
      <c r="AE277" s="11">
        <v>1</v>
      </c>
      <c r="AF277" s="11">
        <v>1</v>
      </c>
      <c r="AG277" s="11">
        <v>0</v>
      </c>
      <c r="AH277" s="9" t="s">
        <v>8248</v>
      </c>
      <c r="AI277" s="11">
        <v>2</v>
      </c>
      <c r="AJ277" s="11">
        <v>1</v>
      </c>
      <c r="AK277" s="11">
        <v>1</v>
      </c>
      <c r="AL277" s="11">
        <v>1</v>
      </c>
      <c r="AN277" s="11">
        <v>0</v>
      </c>
      <c r="AO277" s="11">
        <v>0</v>
      </c>
      <c r="AP277" s="11">
        <v>0</v>
      </c>
      <c r="AQ277" s="11">
        <v>0</v>
      </c>
      <c r="AR277" s="11">
        <v>0</v>
      </c>
      <c r="AS277" s="11">
        <v>0</v>
      </c>
      <c r="AT277" s="11">
        <v>1</v>
      </c>
      <c r="AU277" s="11">
        <v>0</v>
      </c>
      <c r="AV277" s="11">
        <v>0</v>
      </c>
      <c r="AW277" s="11">
        <v>0</v>
      </c>
      <c r="AX277" s="11">
        <v>0</v>
      </c>
      <c r="AY277" s="11">
        <v>0</v>
      </c>
      <c r="BA277" s="12" t="s">
        <v>4877</v>
      </c>
      <c r="BB277" s="12">
        <v>1</v>
      </c>
      <c r="BC277" s="9" t="s">
        <v>4878</v>
      </c>
      <c r="BD277" s="12">
        <v>0</v>
      </c>
      <c r="BE277" s="12">
        <v>300</v>
      </c>
      <c r="BF277" s="12">
        <v>0</v>
      </c>
      <c r="BI277" s="12">
        <v>0</v>
      </c>
      <c r="BJ277" s="12">
        <v>0</v>
      </c>
    </row>
    <row r="278" spans="1:62" x14ac:dyDescent="0.15">
      <c r="A278" s="7" t="s">
        <v>6425</v>
      </c>
      <c r="B278" s="7" t="s">
        <v>6426</v>
      </c>
      <c r="C278" s="7" t="s">
        <v>6427</v>
      </c>
      <c r="D278" s="7" t="s">
        <v>5292</v>
      </c>
      <c r="E278" s="9" t="s">
        <v>6526</v>
      </c>
      <c r="L278" s="10">
        <v>3765272</v>
      </c>
      <c r="M278" s="10">
        <v>649648</v>
      </c>
      <c r="N278" s="11">
        <v>15</v>
      </c>
      <c r="O278" s="11" t="s">
        <v>4871</v>
      </c>
      <c r="P278" s="7" t="s">
        <v>1087</v>
      </c>
      <c r="Q278" s="9" t="s">
        <v>1061</v>
      </c>
      <c r="R278" s="9" t="s">
        <v>1061</v>
      </c>
      <c r="S278" s="9" t="s">
        <v>5292</v>
      </c>
      <c r="T278" s="9" t="s">
        <v>4875</v>
      </c>
      <c r="U278" s="12" t="s">
        <v>5020</v>
      </c>
      <c r="V278" s="12" t="s">
        <v>5021</v>
      </c>
      <c r="W278" s="12">
        <v>0</v>
      </c>
      <c r="X278" s="12">
        <v>0</v>
      </c>
      <c r="Y278" s="12">
        <v>0</v>
      </c>
      <c r="Z278" s="11">
        <v>0</v>
      </c>
      <c r="AA278" s="11">
        <v>0</v>
      </c>
      <c r="AB278" s="11">
        <v>0</v>
      </c>
      <c r="AC278" s="11">
        <v>0</v>
      </c>
      <c r="AD278" s="11">
        <v>0</v>
      </c>
      <c r="AE278" s="11">
        <v>0</v>
      </c>
      <c r="AF278" s="11">
        <v>1</v>
      </c>
      <c r="AG278" s="11">
        <v>1</v>
      </c>
      <c r="AH278" s="9">
        <v>2</v>
      </c>
      <c r="AI278" s="11">
        <v>2</v>
      </c>
      <c r="AJ278" s="11">
        <v>1</v>
      </c>
      <c r="AK278" s="11">
        <v>1</v>
      </c>
      <c r="AL278" s="11">
        <v>1</v>
      </c>
      <c r="AN278" s="11">
        <v>0</v>
      </c>
      <c r="AO278" s="11">
        <v>0</v>
      </c>
      <c r="AP278" s="11">
        <v>0</v>
      </c>
      <c r="AQ278" s="11">
        <v>0</v>
      </c>
      <c r="AR278" s="11">
        <v>0</v>
      </c>
      <c r="AS278" s="11">
        <v>0</v>
      </c>
      <c r="AT278" s="11">
        <v>1</v>
      </c>
      <c r="AU278" s="11">
        <v>0</v>
      </c>
      <c r="AV278" s="11">
        <v>0</v>
      </c>
      <c r="AW278" s="11">
        <v>0</v>
      </c>
      <c r="AX278" s="11">
        <v>0</v>
      </c>
      <c r="AY278" s="11">
        <v>0</v>
      </c>
      <c r="BA278" s="12" t="s">
        <v>4877</v>
      </c>
      <c r="BB278" s="12">
        <v>1</v>
      </c>
      <c r="BC278" s="9" t="s">
        <v>4878</v>
      </c>
      <c r="BD278" s="12">
        <v>5</v>
      </c>
      <c r="BE278" s="12">
        <v>175</v>
      </c>
      <c r="BF278" s="12">
        <f>(40/2)^2*PI()</f>
        <v>1256.6370614359173</v>
      </c>
      <c r="BI278">
        <f>BD278/BF278</f>
        <v>3.9788735772973835E-3</v>
      </c>
      <c r="BJ278">
        <f>BI278*10000</f>
        <v>39.788735772973837</v>
      </c>
    </row>
    <row r="279" spans="1:62" x14ac:dyDescent="0.15">
      <c r="A279" s="7" t="s">
        <v>6428</v>
      </c>
      <c r="B279" s="7" t="s">
        <v>6429</v>
      </c>
      <c r="C279" s="7" t="s">
        <v>6430</v>
      </c>
      <c r="D279" s="7" t="s">
        <v>5292</v>
      </c>
      <c r="E279" s="9" t="s">
        <v>6526</v>
      </c>
      <c r="L279" s="10">
        <v>3779544</v>
      </c>
      <c r="M279" s="10">
        <v>643504</v>
      </c>
      <c r="N279" s="11">
        <v>15</v>
      </c>
      <c r="O279" s="11" t="s">
        <v>4871</v>
      </c>
      <c r="P279" s="7" t="s">
        <v>6431</v>
      </c>
      <c r="Q279" s="9" t="s">
        <v>5311</v>
      </c>
      <c r="S279" s="9" t="s">
        <v>6432</v>
      </c>
      <c r="T279" s="9" t="s">
        <v>4902</v>
      </c>
      <c r="U279" s="12" t="s">
        <v>4902</v>
      </c>
      <c r="V279" s="12" t="s">
        <v>4902</v>
      </c>
      <c r="W279" s="12">
        <v>0</v>
      </c>
      <c r="X279" s="12">
        <v>0</v>
      </c>
      <c r="Y279" s="12">
        <v>0</v>
      </c>
      <c r="Z279" s="11">
        <v>0</v>
      </c>
      <c r="AA279" s="11">
        <v>0</v>
      </c>
      <c r="AB279" s="11">
        <v>0</v>
      </c>
      <c r="AC279" s="11">
        <v>0</v>
      </c>
      <c r="AD279" s="11">
        <v>0</v>
      </c>
      <c r="AE279" s="11">
        <v>0</v>
      </c>
      <c r="AF279" s="11">
        <v>0</v>
      </c>
      <c r="AG279" s="11">
        <v>0</v>
      </c>
      <c r="AH279" s="9" t="s">
        <v>4909</v>
      </c>
      <c r="AI279" s="11">
        <v>1</v>
      </c>
      <c r="AJ279" s="11">
        <v>1</v>
      </c>
      <c r="AK279" s="11">
        <v>0</v>
      </c>
      <c r="AL279" s="11">
        <v>0</v>
      </c>
      <c r="AN279" s="11">
        <v>0</v>
      </c>
      <c r="AO279" s="11">
        <v>0</v>
      </c>
      <c r="AP279" s="11">
        <v>0</v>
      </c>
      <c r="AQ279" s="11">
        <v>0</v>
      </c>
      <c r="AR279" s="11">
        <v>1</v>
      </c>
      <c r="AS279" s="11">
        <v>0</v>
      </c>
      <c r="AT279" s="11">
        <v>0</v>
      </c>
      <c r="AU279" s="11">
        <v>0</v>
      </c>
      <c r="AV279" s="11">
        <v>0</v>
      </c>
      <c r="AW279" s="11">
        <v>0</v>
      </c>
      <c r="AX279" s="11">
        <v>0</v>
      </c>
      <c r="AY279" s="11">
        <v>0</v>
      </c>
      <c r="BA279" s="12" t="s">
        <v>4877</v>
      </c>
      <c r="BB279" s="12">
        <v>0</v>
      </c>
      <c r="BC279" s="9" t="s">
        <v>4878</v>
      </c>
      <c r="BD279" s="12">
        <v>0</v>
      </c>
      <c r="BE279" s="12">
        <v>0</v>
      </c>
      <c r="BF279" s="12">
        <v>0</v>
      </c>
      <c r="BI279" s="12">
        <v>0</v>
      </c>
      <c r="BJ279" s="12">
        <v>0</v>
      </c>
    </row>
    <row r="280" spans="1:62" x14ac:dyDescent="0.15">
      <c r="A280" s="7" t="s">
        <v>6433</v>
      </c>
      <c r="B280" s="7" t="s">
        <v>6434</v>
      </c>
      <c r="C280" s="7" t="s">
        <v>6435</v>
      </c>
      <c r="D280" s="7" t="s">
        <v>5292</v>
      </c>
      <c r="E280" s="9" t="s">
        <v>6526</v>
      </c>
      <c r="L280" s="10">
        <v>3765329</v>
      </c>
      <c r="M280" s="10">
        <v>657598</v>
      </c>
      <c r="N280" s="11">
        <v>15</v>
      </c>
      <c r="P280" s="7" t="s">
        <v>1047</v>
      </c>
      <c r="Q280" s="9" t="s">
        <v>5322</v>
      </c>
      <c r="S280" s="9" t="s">
        <v>5292</v>
      </c>
      <c r="T280" s="9" t="s">
        <v>4902</v>
      </c>
      <c r="U280" s="12" t="s">
        <v>4902</v>
      </c>
      <c r="V280" s="12" t="s">
        <v>4902</v>
      </c>
      <c r="W280" s="12">
        <v>0</v>
      </c>
      <c r="X280" s="12">
        <v>0</v>
      </c>
      <c r="Y280" s="12">
        <v>0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9" t="s">
        <v>8248</v>
      </c>
      <c r="AI280" s="11">
        <v>2</v>
      </c>
      <c r="AJ280" s="11">
        <v>1</v>
      </c>
      <c r="AK280" s="11">
        <v>1</v>
      </c>
      <c r="AL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1</v>
      </c>
      <c r="AS280" s="11">
        <v>0</v>
      </c>
      <c r="AT280" s="11">
        <v>0</v>
      </c>
      <c r="AU280" s="11">
        <v>0</v>
      </c>
      <c r="AV280" s="11">
        <v>0</v>
      </c>
      <c r="AW280" s="11">
        <v>0</v>
      </c>
      <c r="AX280" s="11">
        <v>0</v>
      </c>
      <c r="AY280" s="11">
        <v>0</v>
      </c>
      <c r="BA280" s="12" t="s">
        <v>4877</v>
      </c>
      <c r="BB280" s="12">
        <v>0</v>
      </c>
      <c r="BC280" s="9" t="s">
        <v>4878</v>
      </c>
      <c r="BD280" s="12">
        <v>0</v>
      </c>
      <c r="BE280" s="12">
        <v>0</v>
      </c>
      <c r="BF280" s="12">
        <v>0</v>
      </c>
      <c r="BI280" s="12">
        <v>0</v>
      </c>
      <c r="BJ280" s="12">
        <v>0</v>
      </c>
    </row>
    <row r="281" spans="1:62" x14ac:dyDescent="0.15">
      <c r="A281" s="7" t="s">
        <v>6436</v>
      </c>
      <c r="B281" s="7" t="s">
        <v>6437</v>
      </c>
      <c r="C281" s="7" t="s">
        <v>6438</v>
      </c>
      <c r="D281" s="7" t="s">
        <v>5292</v>
      </c>
      <c r="E281" s="9" t="s">
        <v>6526</v>
      </c>
      <c r="L281" s="10">
        <v>3772216</v>
      </c>
      <c r="M281" s="10">
        <v>663560</v>
      </c>
      <c r="N281" s="11">
        <v>15</v>
      </c>
      <c r="P281" s="7" t="s">
        <v>6439</v>
      </c>
      <c r="Q281" s="9" t="s">
        <v>1112</v>
      </c>
      <c r="S281" s="9" t="s">
        <v>6432</v>
      </c>
      <c r="T281" s="9" t="s">
        <v>4902</v>
      </c>
      <c r="U281" s="12" t="s">
        <v>4902</v>
      </c>
      <c r="V281" s="12" t="s">
        <v>4902</v>
      </c>
      <c r="W281" s="12">
        <v>0</v>
      </c>
      <c r="X281" s="12">
        <v>0</v>
      </c>
      <c r="Y281" s="12">
        <v>0</v>
      </c>
      <c r="Z281" s="11">
        <v>0</v>
      </c>
      <c r="AA281" s="11">
        <v>0</v>
      </c>
      <c r="AB281" s="11">
        <v>0</v>
      </c>
      <c r="AC281" s="11">
        <v>0</v>
      </c>
      <c r="AD281" s="11">
        <v>0</v>
      </c>
      <c r="AE281" s="11">
        <v>0</v>
      </c>
      <c r="AF281" s="11">
        <v>0</v>
      </c>
      <c r="AG281" s="11">
        <v>0</v>
      </c>
      <c r="AH281" s="9" t="s">
        <v>4909</v>
      </c>
      <c r="AI281" s="11">
        <v>1</v>
      </c>
      <c r="AJ281" s="11">
        <v>1</v>
      </c>
      <c r="AK281" s="11">
        <v>0</v>
      </c>
      <c r="AL281" s="11">
        <v>1</v>
      </c>
      <c r="AN281" s="11">
        <v>0</v>
      </c>
      <c r="AO281" s="11">
        <v>0</v>
      </c>
      <c r="AP281" s="11">
        <v>0</v>
      </c>
      <c r="AQ281" s="11">
        <v>1</v>
      </c>
      <c r="AR281" s="11">
        <v>0</v>
      </c>
      <c r="AS281" s="11">
        <v>0</v>
      </c>
      <c r="AT281" s="11">
        <v>0</v>
      </c>
      <c r="AU281" s="11">
        <v>0</v>
      </c>
      <c r="AV281" s="11">
        <v>0</v>
      </c>
      <c r="AW281" s="11">
        <v>0</v>
      </c>
      <c r="AX281" s="11">
        <v>0</v>
      </c>
      <c r="AY281" s="11">
        <v>0</v>
      </c>
      <c r="BA281" s="12" t="s">
        <v>4877</v>
      </c>
      <c r="BB281" s="12">
        <v>0</v>
      </c>
      <c r="BC281" s="9" t="s">
        <v>4878</v>
      </c>
      <c r="BD281" s="12">
        <v>20</v>
      </c>
      <c r="BE281" s="12">
        <f>110*110</f>
        <v>12100</v>
      </c>
      <c r="BF281" s="12">
        <v>0</v>
      </c>
      <c r="BI281" s="12">
        <v>0</v>
      </c>
      <c r="BJ281" s="12">
        <v>0</v>
      </c>
    </row>
    <row r="282" spans="1:62" x14ac:dyDescent="0.15">
      <c r="A282" s="7" t="s">
        <v>6440</v>
      </c>
      <c r="C282" s="7" t="s">
        <v>6441</v>
      </c>
      <c r="D282" s="7" t="s">
        <v>5292</v>
      </c>
      <c r="E282" s="9" t="s">
        <v>6526</v>
      </c>
      <c r="L282" s="10">
        <v>3790079</v>
      </c>
      <c r="M282" s="10">
        <v>666539</v>
      </c>
      <c r="N282" s="11">
        <v>15</v>
      </c>
      <c r="P282" s="7" t="s">
        <v>6442</v>
      </c>
      <c r="Q282" s="9" t="s">
        <v>1112</v>
      </c>
      <c r="S282" s="9" t="s">
        <v>5292</v>
      </c>
      <c r="T282" s="9" t="s">
        <v>4902</v>
      </c>
      <c r="U282" s="12" t="s">
        <v>4902</v>
      </c>
      <c r="V282" s="12" t="s">
        <v>4902</v>
      </c>
      <c r="W282" s="12">
        <v>0</v>
      </c>
      <c r="X282" s="12">
        <v>0</v>
      </c>
      <c r="Y282" s="12">
        <v>0</v>
      </c>
      <c r="Z282" s="11">
        <v>0</v>
      </c>
      <c r="AA282" s="11">
        <v>0</v>
      </c>
      <c r="AB282" s="11">
        <v>0</v>
      </c>
      <c r="AC282" s="11">
        <v>0</v>
      </c>
      <c r="AD282" s="11">
        <v>0</v>
      </c>
      <c r="AE282" s="11">
        <v>0</v>
      </c>
      <c r="AF282" s="11">
        <v>0</v>
      </c>
      <c r="AG282" s="11">
        <v>0</v>
      </c>
      <c r="AH282" s="9" t="s">
        <v>4909</v>
      </c>
      <c r="AI282" s="11">
        <v>1</v>
      </c>
      <c r="AJ282" s="11">
        <v>1</v>
      </c>
      <c r="AK282" s="11">
        <v>0</v>
      </c>
      <c r="AL282" s="11">
        <v>1</v>
      </c>
      <c r="AN282" s="11">
        <v>0</v>
      </c>
      <c r="AO282" s="11">
        <v>0</v>
      </c>
      <c r="AP282" s="11">
        <v>0</v>
      </c>
      <c r="AQ282" s="11">
        <v>1</v>
      </c>
      <c r="AR282" s="11">
        <v>0</v>
      </c>
      <c r="AS282" s="11">
        <v>0</v>
      </c>
      <c r="AT282" s="11">
        <v>0</v>
      </c>
      <c r="AU282" s="11">
        <v>0</v>
      </c>
      <c r="AV282" s="11">
        <v>0</v>
      </c>
      <c r="AW282" s="11">
        <v>0</v>
      </c>
      <c r="AX282" s="11">
        <v>0</v>
      </c>
      <c r="AY282" s="11">
        <v>0</v>
      </c>
      <c r="BA282" s="12" t="s">
        <v>4877</v>
      </c>
      <c r="BB282" s="12">
        <v>0</v>
      </c>
      <c r="BC282" s="9" t="s">
        <v>4878</v>
      </c>
      <c r="BD282" s="12">
        <v>0</v>
      </c>
      <c r="BE282" s="12">
        <v>0</v>
      </c>
      <c r="BF282" s="12">
        <v>0</v>
      </c>
      <c r="BI282" s="12">
        <v>0</v>
      </c>
      <c r="BJ282" s="12">
        <v>0</v>
      </c>
    </row>
    <row r="283" spans="1:62" x14ac:dyDescent="0.15">
      <c r="A283" s="7" t="s">
        <v>6443</v>
      </c>
      <c r="B283" s="7" t="s">
        <v>6444</v>
      </c>
      <c r="C283" s="7" t="s">
        <v>6445</v>
      </c>
      <c r="D283" s="7" t="s">
        <v>5292</v>
      </c>
      <c r="E283" s="9" t="s">
        <v>6526</v>
      </c>
      <c r="L283" s="10">
        <v>3791136</v>
      </c>
      <c r="M283" s="10">
        <v>671632</v>
      </c>
      <c r="N283" s="11">
        <v>15</v>
      </c>
      <c r="P283" s="7" t="s">
        <v>6446</v>
      </c>
      <c r="Q283" s="9" t="s">
        <v>5311</v>
      </c>
      <c r="S283" s="9" t="s">
        <v>6432</v>
      </c>
      <c r="T283" s="9" t="s">
        <v>5376</v>
      </c>
      <c r="U283" s="12" t="s">
        <v>5016</v>
      </c>
      <c r="V283" s="12" t="s">
        <v>5020</v>
      </c>
      <c r="W283" s="12">
        <v>0</v>
      </c>
      <c r="X283" s="12">
        <v>0</v>
      </c>
      <c r="Y283" s="12">
        <v>0</v>
      </c>
      <c r="Z283" s="11">
        <v>0</v>
      </c>
      <c r="AA283" s="11">
        <v>0</v>
      </c>
      <c r="AB283" s="11">
        <v>1</v>
      </c>
      <c r="AC283" s="11">
        <v>0</v>
      </c>
      <c r="AD283" s="11">
        <v>0</v>
      </c>
      <c r="AE283" s="11">
        <v>0</v>
      </c>
      <c r="AF283" s="11">
        <v>1</v>
      </c>
      <c r="AG283" s="11">
        <v>0</v>
      </c>
      <c r="AH283" s="9" t="s">
        <v>8248</v>
      </c>
      <c r="AI283" s="11">
        <v>2</v>
      </c>
      <c r="AJ283" s="11">
        <v>1</v>
      </c>
      <c r="AK283" s="11">
        <v>1</v>
      </c>
      <c r="AL283" s="11">
        <v>0</v>
      </c>
      <c r="AN283" s="11">
        <v>0</v>
      </c>
      <c r="AO283" s="11">
        <v>0</v>
      </c>
      <c r="AP283" s="11">
        <v>0</v>
      </c>
      <c r="AQ283" s="11">
        <v>0</v>
      </c>
      <c r="AR283" s="11">
        <v>0</v>
      </c>
      <c r="AS283" s="11">
        <v>0</v>
      </c>
      <c r="AT283" s="11">
        <v>1</v>
      </c>
      <c r="AU283" s="11">
        <v>0</v>
      </c>
      <c r="AV283" s="11">
        <v>0</v>
      </c>
      <c r="AW283" s="11">
        <v>0</v>
      </c>
      <c r="AX283" s="11">
        <v>0</v>
      </c>
      <c r="AY283" s="11">
        <v>0</v>
      </c>
      <c r="BA283" s="12" t="s">
        <v>4877</v>
      </c>
      <c r="BB283" s="12">
        <v>0</v>
      </c>
      <c r="BC283" s="9" t="s">
        <v>4878</v>
      </c>
      <c r="BD283" s="12">
        <v>3</v>
      </c>
      <c r="BE283" s="12">
        <v>0</v>
      </c>
      <c r="BF283" s="12">
        <f>(50/2)^2*PI()</f>
        <v>1963.4954084936207</v>
      </c>
      <c r="BI283">
        <f>BD283/BF283</f>
        <v>1.5278874536821952E-3</v>
      </c>
      <c r="BJ283">
        <f>BI283*10000</f>
        <v>15.278874536821952</v>
      </c>
    </row>
    <row r="284" spans="1:62" x14ac:dyDescent="0.15">
      <c r="A284" s="7" t="s">
        <v>6447</v>
      </c>
      <c r="C284" s="7" t="s">
        <v>6448</v>
      </c>
      <c r="D284" s="7" t="s">
        <v>5292</v>
      </c>
      <c r="E284" s="9" t="s">
        <v>6526</v>
      </c>
      <c r="L284" s="10">
        <v>3791063</v>
      </c>
      <c r="M284" s="10">
        <v>672080</v>
      </c>
      <c r="N284" s="11">
        <v>15</v>
      </c>
      <c r="P284" s="7" t="s">
        <v>6449</v>
      </c>
      <c r="Q284" s="9" t="s">
        <v>5311</v>
      </c>
      <c r="S284" s="9" t="s">
        <v>6432</v>
      </c>
      <c r="T284" s="9" t="s">
        <v>8484</v>
      </c>
      <c r="U284" s="12" t="s">
        <v>5019</v>
      </c>
      <c r="V284" s="12" t="s">
        <v>5020</v>
      </c>
      <c r="W284" s="12">
        <v>0</v>
      </c>
      <c r="X284" s="12">
        <v>0</v>
      </c>
      <c r="Y284" s="12">
        <v>0</v>
      </c>
      <c r="Z284" s="11">
        <v>0</v>
      </c>
      <c r="AA284" s="11">
        <v>0</v>
      </c>
      <c r="AB284" s="11">
        <v>0</v>
      </c>
      <c r="AC284" s="11">
        <v>0</v>
      </c>
      <c r="AD284" s="11">
        <v>0</v>
      </c>
      <c r="AE284" s="11">
        <v>1</v>
      </c>
      <c r="AF284" s="11">
        <v>1</v>
      </c>
      <c r="AG284" s="11">
        <v>0</v>
      </c>
      <c r="AH284" s="9" t="s">
        <v>1083</v>
      </c>
      <c r="AI284" s="11">
        <v>2</v>
      </c>
      <c r="AJ284" s="11">
        <v>1</v>
      </c>
      <c r="AK284" s="11">
        <v>1</v>
      </c>
      <c r="AL284" s="11">
        <v>0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0</v>
      </c>
      <c r="AT284" s="11">
        <v>1</v>
      </c>
      <c r="AU284" s="11">
        <v>0</v>
      </c>
      <c r="AV284" s="11">
        <v>0</v>
      </c>
      <c r="AW284" s="11">
        <v>0</v>
      </c>
      <c r="AX284" s="11">
        <v>0</v>
      </c>
      <c r="AY284" s="11">
        <v>0</v>
      </c>
      <c r="BA284" s="12" t="s">
        <v>4877</v>
      </c>
      <c r="BB284" s="12">
        <v>0</v>
      </c>
      <c r="BC284" s="9" t="s">
        <v>4878</v>
      </c>
      <c r="BD284" s="12">
        <v>0</v>
      </c>
      <c r="BE284" s="12">
        <v>0</v>
      </c>
      <c r="BF284" s="12">
        <v>0</v>
      </c>
      <c r="BI284" s="12">
        <v>0</v>
      </c>
      <c r="BJ284" s="12">
        <v>0</v>
      </c>
    </row>
    <row r="285" spans="1:62" x14ac:dyDescent="0.15">
      <c r="A285" s="7" t="s">
        <v>6450</v>
      </c>
      <c r="C285" s="7" t="s">
        <v>6451</v>
      </c>
      <c r="D285" s="7" t="s">
        <v>5292</v>
      </c>
      <c r="E285" s="9" t="s">
        <v>6526</v>
      </c>
      <c r="L285" s="10">
        <v>3791043</v>
      </c>
      <c r="M285" s="10">
        <v>671222</v>
      </c>
      <c r="N285" s="11">
        <v>15</v>
      </c>
      <c r="P285" s="7" t="s">
        <v>6446</v>
      </c>
      <c r="Q285" s="9" t="s">
        <v>5311</v>
      </c>
      <c r="R285" s="9" t="s">
        <v>5318</v>
      </c>
      <c r="S285" s="9" t="s">
        <v>5292</v>
      </c>
      <c r="T285" s="9" t="s">
        <v>8484</v>
      </c>
      <c r="U285" s="12" t="s">
        <v>5019</v>
      </c>
      <c r="V285" s="12" t="s">
        <v>5020</v>
      </c>
      <c r="W285" s="12">
        <v>0</v>
      </c>
      <c r="X285" s="12">
        <v>0</v>
      </c>
      <c r="Y285" s="12">
        <v>0</v>
      </c>
      <c r="Z285" s="11">
        <v>0</v>
      </c>
      <c r="AA285" s="11">
        <v>0</v>
      </c>
      <c r="AB285" s="11">
        <v>0</v>
      </c>
      <c r="AC285" s="11">
        <v>0</v>
      </c>
      <c r="AD285" s="11">
        <v>0</v>
      </c>
      <c r="AE285" s="11">
        <v>1</v>
      </c>
      <c r="AF285" s="11">
        <v>1</v>
      </c>
      <c r="AG285" s="11">
        <v>0</v>
      </c>
      <c r="AH285" s="9" t="s">
        <v>1131</v>
      </c>
      <c r="AI285" s="11">
        <v>2</v>
      </c>
      <c r="AJ285" s="11">
        <v>1</v>
      </c>
      <c r="AK285" s="11">
        <v>1</v>
      </c>
      <c r="AL285" s="11">
        <v>0</v>
      </c>
      <c r="AN285" s="11">
        <v>0</v>
      </c>
      <c r="AO285" s="11">
        <v>0</v>
      </c>
      <c r="AP285" s="11">
        <v>0</v>
      </c>
      <c r="AQ285" s="11">
        <v>0</v>
      </c>
      <c r="AR285" s="11">
        <v>1</v>
      </c>
      <c r="AS285" s="11">
        <v>0</v>
      </c>
      <c r="AT285" s="11">
        <v>1</v>
      </c>
      <c r="AU285" s="11">
        <v>0</v>
      </c>
      <c r="AV285" s="11">
        <v>0</v>
      </c>
      <c r="AW285" s="11">
        <v>0</v>
      </c>
      <c r="AX285" s="11">
        <v>0</v>
      </c>
      <c r="AY285" s="11">
        <v>0</v>
      </c>
      <c r="BA285" s="12" t="s">
        <v>4877</v>
      </c>
      <c r="BB285" s="12">
        <v>0</v>
      </c>
      <c r="BC285" s="9" t="s">
        <v>4878</v>
      </c>
      <c r="BD285" s="12">
        <v>1.5</v>
      </c>
      <c r="BE285" s="12">
        <v>0</v>
      </c>
      <c r="BF285" s="12">
        <f>VLOOKUP(A285,'[1]Conical Mounds'!A$1:O$65536,15,FALSE)</f>
        <v>1963.4954084936207</v>
      </c>
      <c r="BI285">
        <f>BD285/BF285</f>
        <v>7.6394372684109762E-4</v>
      </c>
      <c r="BJ285">
        <f>BI285*10000</f>
        <v>7.6394372684109761</v>
      </c>
    </row>
    <row r="286" spans="1:62" x14ac:dyDescent="0.15">
      <c r="A286" s="7" t="s">
        <v>6452</v>
      </c>
      <c r="C286" s="7" t="s">
        <v>6453</v>
      </c>
      <c r="D286" s="7" t="s">
        <v>5292</v>
      </c>
      <c r="E286" s="9" t="s">
        <v>6526</v>
      </c>
      <c r="L286" s="10">
        <v>3783580</v>
      </c>
      <c r="M286" s="10">
        <v>682776</v>
      </c>
      <c r="N286" s="11">
        <v>15</v>
      </c>
      <c r="P286" s="7" t="s">
        <v>711</v>
      </c>
      <c r="Q286" s="9" t="s">
        <v>4873</v>
      </c>
      <c r="R286" s="9" t="s">
        <v>4877</v>
      </c>
      <c r="S286" s="9" t="s">
        <v>5292</v>
      </c>
      <c r="T286" s="9" t="s">
        <v>8484</v>
      </c>
      <c r="U286" s="12" t="s">
        <v>5019</v>
      </c>
      <c r="V286" s="12" t="s">
        <v>5020</v>
      </c>
      <c r="W286" s="12">
        <v>0</v>
      </c>
      <c r="X286" s="12">
        <v>0</v>
      </c>
      <c r="Y286" s="12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1</v>
      </c>
      <c r="AF286" s="11">
        <v>1</v>
      </c>
      <c r="AG286" s="11">
        <v>0</v>
      </c>
      <c r="AH286" s="9">
        <v>1</v>
      </c>
      <c r="AI286" s="11">
        <v>1</v>
      </c>
      <c r="AJ286" s="11">
        <v>1</v>
      </c>
      <c r="AK286" s="11">
        <v>1</v>
      </c>
      <c r="AL286" s="11">
        <v>1</v>
      </c>
      <c r="AN286" s="11">
        <v>0</v>
      </c>
      <c r="AO286" s="11">
        <v>0</v>
      </c>
      <c r="AP286" s="11">
        <v>0</v>
      </c>
      <c r="AQ286" s="11">
        <v>1</v>
      </c>
      <c r="AR286" s="11">
        <v>0</v>
      </c>
      <c r="AS286" s="11">
        <v>0</v>
      </c>
      <c r="AT286" s="11">
        <v>1</v>
      </c>
      <c r="AU286" s="11">
        <v>0</v>
      </c>
      <c r="AV286" s="11">
        <v>0</v>
      </c>
      <c r="AW286" s="11">
        <v>0</v>
      </c>
      <c r="AX286" s="11">
        <v>0</v>
      </c>
      <c r="AY286" s="11">
        <v>0</v>
      </c>
      <c r="BA286" s="12" t="s">
        <v>4877</v>
      </c>
      <c r="BB286" s="12">
        <v>1</v>
      </c>
      <c r="BC286" s="9" t="s">
        <v>4878</v>
      </c>
      <c r="BD286" s="12">
        <v>10</v>
      </c>
      <c r="BE286" s="12">
        <v>250</v>
      </c>
      <c r="BF286" s="12">
        <v>0</v>
      </c>
      <c r="BI286" s="12">
        <v>0</v>
      </c>
      <c r="BJ286" s="12">
        <v>0</v>
      </c>
    </row>
    <row r="287" spans="1:62" x14ac:dyDescent="0.15">
      <c r="A287" s="7" t="s">
        <v>6454</v>
      </c>
      <c r="C287" s="7" t="s">
        <v>6455</v>
      </c>
      <c r="D287" s="7" t="s">
        <v>5292</v>
      </c>
      <c r="E287" s="9" t="s">
        <v>6526</v>
      </c>
      <c r="L287" s="10">
        <v>3784280</v>
      </c>
      <c r="M287" s="10">
        <v>690527</v>
      </c>
      <c r="N287" s="11">
        <v>15</v>
      </c>
      <c r="P287" s="7" t="s">
        <v>1087</v>
      </c>
      <c r="Q287" s="9" t="s">
        <v>5311</v>
      </c>
      <c r="S287" s="9" t="s">
        <v>5292</v>
      </c>
      <c r="T287" s="9" t="s">
        <v>4875</v>
      </c>
      <c r="U287" s="12" t="s">
        <v>5020</v>
      </c>
      <c r="V287" s="12" t="s">
        <v>5021</v>
      </c>
      <c r="W287" s="12">
        <v>0</v>
      </c>
      <c r="X287" s="12">
        <v>0</v>
      </c>
      <c r="Y287" s="12">
        <v>0</v>
      </c>
      <c r="Z287" s="11">
        <v>0</v>
      </c>
      <c r="AA287" s="11">
        <v>0</v>
      </c>
      <c r="AB287" s="11">
        <v>0</v>
      </c>
      <c r="AC287" s="11">
        <v>0</v>
      </c>
      <c r="AD287" s="11">
        <v>0</v>
      </c>
      <c r="AE287" s="11">
        <v>0</v>
      </c>
      <c r="AF287" s="11">
        <v>1</v>
      </c>
      <c r="AG287" s="11">
        <v>1</v>
      </c>
      <c r="AH287" s="9" t="s">
        <v>8248</v>
      </c>
      <c r="AI287" s="11">
        <v>2</v>
      </c>
      <c r="AJ287" s="11">
        <v>1</v>
      </c>
      <c r="AK287" s="11">
        <v>1</v>
      </c>
      <c r="AL287" s="11">
        <v>0</v>
      </c>
      <c r="AN287" s="11">
        <v>0</v>
      </c>
      <c r="AO287" s="11">
        <v>0</v>
      </c>
      <c r="AP287" s="11">
        <v>0</v>
      </c>
      <c r="AQ287" s="11">
        <v>0</v>
      </c>
      <c r="AR287" s="11">
        <v>0</v>
      </c>
      <c r="AS287" s="11">
        <v>0</v>
      </c>
      <c r="AT287" s="11">
        <v>1</v>
      </c>
      <c r="AU287" s="11">
        <v>0</v>
      </c>
      <c r="AV287" s="11">
        <v>0</v>
      </c>
      <c r="AW287" s="11">
        <v>0</v>
      </c>
      <c r="AX287" s="11">
        <v>0</v>
      </c>
      <c r="AY287" s="11">
        <v>0</v>
      </c>
      <c r="BA287" s="12" t="s">
        <v>4877</v>
      </c>
      <c r="BB287" s="12">
        <v>0</v>
      </c>
      <c r="BC287" s="9" t="s">
        <v>4878</v>
      </c>
      <c r="BD287" s="12">
        <v>0</v>
      </c>
      <c r="BE287" s="12">
        <v>0</v>
      </c>
      <c r="BF287" s="12">
        <v>0</v>
      </c>
      <c r="BI287" s="12">
        <v>0</v>
      </c>
      <c r="BJ287" s="12">
        <v>0</v>
      </c>
    </row>
    <row r="288" spans="1:62" x14ac:dyDescent="0.15">
      <c r="A288" s="7" t="s">
        <v>6456</v>
      </c>
      <c r="C288" s="7" t="s">
        <v>6457</v>
      </c>
      <c r="D288" s="7" t="s">
        <v>5292</v>
      </c>
      <c r="E288" s="9" t="s">
        <v>4870</v>
      </c>
      <c r="L288" s="10">
        <v>3770770</v>
      </c>
      <c r="M288" s="10">
        <v>699076</v>
      </c>
      <c r="N288" s="11">
        <v>15</v>
      </c>
      <c r="P288" s="7" t="s">
        <v>6458</v>
      </c>
      <c r="Q288" s="9" t="s">
        <v>5311</v>
      </c>
      <c r="S288" s="9" t="s">
        <v>5292</v>
      </c>
      <c r="T288" s="9" t="s">
        <v>8484</v>
      </c>
      <c r="U288" s="12" t="s">
        <v>5019</v>
      </c>
      <c r="V288" s="12" t="s">
        <v>5020</v>
      </c>
      <c r="W288" s="12">
        <v>0</v>
      </c>
      <c r="X288" s="12">
        <v>0</v>
      </c>
      <c r="Y288" s="12">
        <v>0</v>
      </c>
      <c r="Z288" s="11">
        <v>0</v>
      </c>
      <c r="AA288" s="11">
        <v>0</v>
      </c>
      <c r="AB288" s="11">
        <v>0</v>
      </c>
      <c r="AC288" s="11">
        <v>0</v>
      </c>
      <c r="AD288" s="11">
        <v>0</v>
      </c>
      <c r="AE288" s="11">
        <v>1</v>
      </c>
      <c r="AF288" s="11">
        <v>1</v>
      </c>
      <c r="AG288" s="11">
        <v>0</v>
      </c>
      <c r="AH288" s="9" t="s">
        <v>8248</v>
      </c>
      <c r="AI288" s="11">
        <v>2</v>
      </c>
      <c r="AJ288" s="11">
        <v>1</v>
      </c>
      <c r="AK288" s="11">
        <v>1</v>
      </c>
      <c r="AL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1</v>
      </c>
      <c r="AS288" s="11">
        <v>0</v>
      </c>
      <c r="AT288" s="11">
        <v>1</v>
      </c>
      <c r="AU288" s="11">
        <v>0</v>
      </c>
      <c r="AV288" s="11">
        <v>0</v>
      </c>
      <c r="AW288" s="11">
        <v>0</v>
      </c>
      <c r="AX288" s="11">
        <v>0</v>
      </c>
      <c r="AY288" s="11">
        <v>0</v>
      </c>
      <c r="BA288" s="12" t="s">
        <v>4877</v>
      </c>
      <c r="BB288" s="12">
        <v>0</v>
      </c>
      <c r="BC288" s="9" t="s">
        <v>4878</v>
      </c>
      <c r="BD288" s="12">
        <v>0</v>
      </c>
      <c r="BE288" s="12">
        <v>0</v>
      </c>
      <c r="BF288" s="12">
        <v>0</v>
      </c>
      <c r="BI288" s="12">
        <v>0</v>
      </c>
      <c r="BJ288" s="12">
        <v>0</v>
      </c>
    </row>
    <row r="289" spans="1:62" x14ac:dyDescent="0.15">
      <c r="A289" s="7" t="s">
        <v>6459</v>
      </c>
      <c r="C289" s="7" t="s">
        <v>6460</v>
      </c>
      <c r="D289" s="7" t="s">
        <v>5292</v>
      </c>
      <c r="E289" s="9" t="s">
        <v>4870</v>
      </c>
      <c r="L289" s="10">
        <v>3766240</v>
      </c>
      <c r="M289" s="10">
        <v>704609</v>
      </c>
      <c r="N289" s="11">
        <v>15</v>
      </c>
      <c r="P289" s="7" t="s">
        <v>6461</v>
      </c>
      <c r="Q289" s="9" t="s">
        <v>4873</v>
      </c>
      <c r="S289" s="9" t="s">
        <v>5292</v>
      </c>
      <c r="T289" s="9" t="s">
        <v>4780</v>
      </c>
      <c r="U289" s="12" t="s">
        <v>5016</v>
      </c>
      <c r="V289" s="12" t="s">
        <v>5019</v>
      </c>
      <c r="W289" s="12">
        <v>0</v>
      </c>
      <c r="X289" s="12">
        <v>0</v>
      </c>
      <c r="Y289" s="12">
        <v>0</v>
      </c>
      <c r="Z289" s="11">
        <v>0</v>
      </c>
      <c r="AA289" s="11">
        <v>0</v>
      </c>
      <c r="AB289" s="11">
        <v>1</v>
      </c>
      <c r="AC289" s="11">
        <v>0</v>
      </c>
      <c r="AD289" s="11">
        <v>0</v>
      </c>
      <c r="AE289" s="11">
        <v>1</v>
      </c>
      <c r="AF289" s="11">
        <v>0</v>
      </c>
      <c r="AG289" s="11">
        <v>0</v>
      </c>
      <c r="AH289" s="9" t="s">
        <v>8248</v>
      </c>
      <c r="AI289" s="11">
        <v>2</v>
      </c>
      <c r="AJ289" s="11">
        <v>1</v>
      </c>
      <c r="AK289" s="11">
        <v>1</v>
      </c>
      <c r="AL289" s="11">
        <v>0</v>
      </c>
      <c r="AN289" s="11">
        <v>0</v>
      </c>
      <c r="AO289" s="11">
        <v>0</v>
      </c>
      <c r="AP289" s="11">
        <v>0</v>
      </c>
      <c r="AQ289" s="11">
        <v>0</v>
      </c>
      <c r="AR289" s="11">
        <v>0</v>
      </c>
      <c r="AS289" s="11">
        <v>0</v>
      </c>
      <c r="AT289" s="11">
        <v>1</v>
      </c>
      <c r="AU289" s="11">
        <v>0</v>
      </c>
      <c r="AV289" s="11">
        <v>0</v>
      </c>
      <c r="AW289" s="11">
        <v>0</v>
      </c>
      <c r="AX289" s="11">
        <v>0</v>
      </c>
      <c r="AY289" s="11">
        <v>0</v>
      </c>
      <c r="BA289" s="12" t="s">
        <v>4877</v>
      </c>
      <c r="BB289" s="12">
        <v>0</v>
      </c>
      <c r="BC289" s="9" t="s">
        <v>4878</v>
      </c>
      <c r="BD289" s="12">
        <v>0</v>
      </c>
      <c r="BE289" s="12">
        <v>0</v>
      </c>
      <c r="BF289" s="12">
        <v>0</v>
      </c>
      <c r="BI289" s="12">
        <v>0</v>
      </c>
      <c r="BJ289" s="12">
        <v>0</v>
      </c>
    </row>
    <row r="290" spans="1:62" x14ac:dyDescent="0.15">
      <c r="A290" s="7" t="s">
        <v>6462</v>
      </c>
      <c r="C290" s="7" t="s">
        <v>6463</v>
      </c>
      <c r="D290" s="7" t="s">
        <v>5292</v>
      </c>
      <c r="E290" s="9" t="s">
        <v>4870</v>
      </c>
      <c r="L290" s="10">
        <v>3792073</v>
      </c>
      <c r="M290" s="10">
        <v>718913</v>
      </c>
      <c r="N290" s="11">
        <v>15</v>
      </c>
      <c r="P290" s="7" t="s">
        <v>910</v>
      </c>
      <c r="Q290" s="9" t="s">
        <v>1112</v>
      </c>
      <c r="S290" s="9" t="s">
        <v>5292</v>
      </c>
      <c r="T290" s="9" t="s">
        <v>4902</v>
      </c>
      <c r="U290" s="12" t="s">
        <v>4902</v>
      </c>
      <c r="V290" s="12" t="s">
        <v>4902</v>
      </c>
      <c r="W290" s="12">
        <v>0</v>
      </c>
      <c r="X290" s="12">
        <v>0</v>
      </c>
      <c r="Y290" s="12">
        <v>0</v>
      </c>
      <c r="Z290" s="11">
        <v>0</v>
      </c>
      <c r="AA290" s="11">
        <v>0</v>
      </c>
      <c r="AB290" s="11">
        <v>0</v>
      </c>
      <c r="AC290" s="11">
        <v>0</v>
      </c>
      <c r="AD290" s="11">
        <v>0</v>
      </c>
      <c r="AE290" s="11">
        <v>0</v>
      </c>
      <c r="AF290" s="11">
        <v>0</v>
      </c>
      <c r="AG290" s="11">
        <v>0</v>
      </c>
      <c r="AH290" s="9" t="s">
        <v>4909</v>
      </c>
      <c r="AI290" s="11">
        <v>1</v>
      </c>
      <c r="AJ290" s="11">
        <v>1</v>
      </c>
      <c r="AK290" s="11">
        <v>0</v>
      </c>
      <c r="AL290" s="11">
        <v>0</v>
      </c>
      <c r="AN290" s="11">
        <v>0</v>
      </c>
      <c r="AO290" s="11">
        <v>0</v>
      </c>
      <c r="AP290" s="11">
        <v>0</v>
      </c>
      <c r="AQ290" s="11">
        <v>0</v>
      </c>
      <c r="AR290" s="11">
        <v>0</v>
      </c>
      <c r="AS290" s="11">
        <v>0</v>
      </c>
      <c r="AT290" s="11">
        <v>1</v>
      </c>
      <c r="AU290" s="11">
        <v>0</v>
      </c>
      <c r="AV290" s="11">
        <v>0</v>
      </c>
      <c r="AW290" s="11">
        <v>0</v>
      </c>
      <c r="AX290" s="11">
        <v>0</v>
      </c>
      <c r="AY290" s="11">
        <v>0</v>
      </c>
      <c r="BA290" s="12" t="s">
        <v>4877</v>
      </c>
      <c r="BB290" s="12">
        <v>0</v>
      </c>
      <c r="BC290" s="9" t="s">
        <v>4878</v>
      </c>
      <c r="BD290" s="12">
        <v>0</v>
      </c>
      <c r="BE290" s="12">
        <v>0</v>
      </c>
      <c r="BF290" s="12">
        <v>0</v>
      </c>
      <c r="BI290" s="12">
        <v>0</v>
      </c>
      <c r="BJ290" s="12">
        <v>0</v>
      </c>
    </row>
    <row r="291" spans="1:62" x14ac:dyDescent="0.15">
      <c r="A291" s="7" t="s">
        <v>7324</v>
      </c>
      <c r="C291" s="7" t="s">
        <v>7325</v>
      </c>
      <c r="D291" s="7" t="s">
        <v>5292</v>
      </c>
      <c r="E291" s="9" t="s">
        <v>4870</v>
      </c>
      <c r="L291" s="10">
        <v>3765030</v>
      </c>
      <c r="M291" s="10">
        <v>699196</v>
      </c>
      <c r="N291" s="11">
        <v>15</v>
      </c>
      <c r="P291" s="7" t="s">
        <v>1087</v>
      </c>
      <c r="Q291" s="9" t="s">
        <v>5311</v>
      </c>
      <c r="S291" s="9" t="s">
        <v>5292</v>
      </c>
      <c r="T291" s="9" t="s">
        <v>8484</v>
      </c>
      <c r="U291" s="12" t="s">
        <v>5019</v>
      </c>
      <c r="V291" s="12" t="s">
        <v>5020</v>
      </c>
      <c r="W291" s="12">
        <v>0</v>
      </c>
      <c r="X291" s="12">
        <v>0</v>
      </c>
      <c r="Y291" s="12">
        <v>0</v>
      </c>
      <c r="Z291" s="11">
        <v>0</v>
      </c>
      <c r="AA291" s="11">
        <v>0</v>
      </c>
      <c r="AB291" s="11">
        <v>0</v>
      </c>
      <c r="AC291" s="11">
        <v>0</v>
      </c>
      <c r="AD291" s="11">
        <v>0</v>
      </c>
      <c r="AE291" s="11">
        <v>1</v>
      </c>
      <c r="AF291" s="11">
        <v>1</v>
      </c>
      <c r="AG291" s="11">
        <v>0</v>
      </c>
      <c r="AH291" s="9" t="s">
        <v>8248</v>
      </c>
      <c r="AI291" s="11">
        <v>2</v>
      </c>
      <c r="AJ291" s="11">
        <v>1</v>
      </c>
      <c r="AK291" s="11">
        <v>1</v>
      </c>
      <c r="AL291" s="11">
        <v>0</v>
      </c>
      <c r="AN291" s="11">
        <v>0</v>
      </c>
      <c r="AO291" s="11">
        <v>0</v>
      </c>
      <c r="AP291" s="11">
        <v>0</v>
      </c>
      <c r="AQ291" s="11">
        <v>0</v>
      </c>
      <c r="AR291" s="11">
        <v>0</v>
      </c>
      <c r="AS291" s="11">
        <v>0</v>
      </c>
      <c r="AT291" s="11">
        <v>1</v>
      </c>
      <c r="AU291" s="11">
        <v>0</v>
      </c>
      <c r="AV291" s="11">
        <v>0</v>
      </c>
      <c r="AW291" s="11">
        <v>0</v>
      </c>
      <c r="AX291" s="11">
        <v>0</v>
      </c>
      <c r="AY291" s="11">
        <v>0</v>
      </c>
      <c r="BA291" s="12" t="s">
        <v>4877</v>
      </c>
      <c r="BB291" s="12">
        <v>0</v>
      </c>
      <c r="BC291" s="9" t="s">
        <v>4878</v>
      </c>
      <c r="BD291" s="12">
        <v>0</v>
      </c>
      <c r="BE291" s="12">
        <v>0</v>
      </c>
      <c r="BF291" s="12">
        <v>0</v>
      </c>
      <c r="BI291" s="12">
        <v>0</v>
      </c>
      <c r="BJ291" s="12">
        <v>0</v>
      </c>
    </row>
    <row r="292" spans="1:62" x14ac:dyDescent="0.15">
      <c r="A292" s="7" t="s">
        <v>7326</v>
      </c>
      <c r="C292" s="7" t="s">
        <v>7327</v>
      </c>
      <c r="D292" s="7" t="s">
        <v>5292</v>
      </c>
      <c r="E292" s="9" t="s">
        <v>4870</v>
      </c>
      <c r="L292" s="10">
        <v>3766410</v>
      </c>
      <c r="M292" s="10">
        <v>697259</v>
      </c>
      <c r="N292" s="11">
        <v>15</v>
      </c>
      <c r="P292" s="7" t="s">
        <v>7328</v>
      </c>
      <c r="Q292" s="9" t="s">
        <v>4873</v>
      </c>
      <c r="R292" s="9" t="s">
        <v>4877</v>
      </c>
      <c r="S292" s="9" t="s">
        <v>5292</v>
      </c>
      <c r="T292" s="9" t="s">
        <v>8484</v>
      </c>
      <c r="U292" s="12" t="s">
        <v>5019</v>
      </c>
      <c r="V292" s="12" t="s">
        <v>5020</v>
      </c>
      <c r="W292" s="12">
        <v>0</v>
      </c>
      <c r="X292" s="12">
        <v>0</v>
      </c>
      <c r="Y292" s="12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1</v>
      </c>
      <c r="AF292" s="11">
        <v>1</v>
      </c>
      <c r="AG292" s="11">
        <v>0</v>
      </c>
      <c r="AH292" s="9">
        <v>5</v>
      </c>
      <c r="AI292" s="11">
        <v>5</v>
      </c>
      <c r="AJ292" s="11">
        <v>1</v>
      </c>
      <c r="AK292" s="11">
        <v>1</v>
      </c>
      <c r="AL292" s="11">
        <v>1</v>
      </c>
      <c r="AN292" s="11">
        <v>0</v>
      </c>
      <c r="AO292" s="11">
        <v>0</v>
      </c>
      <c r="AP292" s="11">
        <v>0</v>
      </c>
      <c r="AQ292" s="11">
        <v>1</v>
      </c>
      <c r="AR292" s="11">
        <v>0</v>
      </c>
      <c r="AS292" s="11">
        <v>0</v>
      </c>
      <c r="AT292" s="11">
        <v>1</v>
      </c>
      <c r="AU292" s="11">
        <v>0</v>
      </c>
      <c r="AV292" s="11">
        <v>0</v>
      </c>
      <c r="AW292" s="11">
        <v>0</v>
      </c>
      <c r="AX292" s="11">
        <v>0</v>
      </c>
      <c r="AY292" s="11">
        <v>0</v>
      </c>
      <c r="BA292" s="12" t="s">
        <v>4877</v>
      </c>
      <c r="BB292" s="12">
        <v>1</v>
      </c>
      <c r="BC292" s="9" t="s">
        <v>4878</v>
      </c>
      <c r="BD292" s="12">
        <v>9</v>
      </c>
      <c r="BE292" s="12">
        <v>250</v>
      </c>
      <c r="BF292" s="12">
        <v>0</v>
      </c>
      <c r="BI292" s="12">
        <v>0</v>
      </c>
      <c r="BJ292" s="12">
        <v>0</v>
      </c>
    </row>
    <row r="293" spans="1:62" x14ac:dyDescent="0.15">
      <c r="A293" s="7" t="s">
        <v>7329</v>
      </c>
      <c r="C293" s="7" t="s">
        <v>7330</v>
      </c>
      <c r="D293" s="7" t="s">
        <v>5292</v>
      </c>
      <c r="E293" s="9" t="s">
        <v>4870</v>
      </c>
      <c r="L293" s="10">
        <v>3779737</v>
      </c>
      <c r="M293" s="10">
        <v>713311</v>
      </c>
      <c r="N293" s="11">
        <v>15</v>
      </c>
      <c r="P293" s="7" t="s">
        <v>7331</v>
      </c>
      <c r="Q293" s="9" t="s">
        <v>1112</v>
      </c>
      <c r="S293" s="9" t="s">
        <v>5292</v>
      </c>
      <c r="T293" s="9" t="s">
        <v>4902</v>
      </c>
      <c r="U293" s="12" t="s">
        <v>4902</v>
      </c>
      <c r="V293" s="12" t="s">
        <v>4902</v>
      </c>
      <c r="W293" s="12">
        <v>0</v>
      </c>
      <c r="X293" s="12">
        <v>0</v>
      </c>
      <c r="Y293" s="12">
        <v>0</v>
      </c>
      <c r="Z293" s="11">
        <v>0</v>
      </c>
      <c r="AA293" s="11">
        <v>0</v>
      </c>
      <c r="AB293" s="11">
        <v>0</v>
      </c>
      <c r="AC293" s="11">
        <v>0</v>
      </c>
      <c r="AD293" s="11">
        <v>0</v>
      </c>
      <c r="AE293" s="11">
        <v>0</v>
      </c>
      <c r="AF293" s="11">
        <v>0</v>
      </c>
      <c r="AG293" s="11">
        <v>0</v>
      </c>
      <c r="AH293" s="9" t="s">
        <v>4909</v>
      </c>
      <c r="AI293" s="11">
        <v>1</v>
      </c>
      <c r="AJ293" s="11">
        <v>1</v>
      </c>
      <c r="AK293" s="11">
        <v>0</v>
      </c>
      <c r="AL293" s="11">
        <v>0</v>
      </c>
      <c r="AN293" s="11">
        <v>0</v>
      </c>
      <c r="AO293" s="11">
        <v>0</v>
      </c>
      <c r="AP293" s="11">
        <v>0</v>
      </c>
      <c r="AQ293" s="11">
        <v>0</v>
      </c>
      <c r="AR293" s="11">
        <v>0</v>
      </c>
      <c r="AS293" s="11">
        <v>0</v>
      </c>
      <c r="AT293" s="11">
        <v>1</v>
      </c>
      <c r="AU293" s="11">
        <v>0</v>
      </c>
      <c r="AV293" s="11">
        <v>0</v>
      </c>
      <c r="AW293" s="11">
        <v>0</v>
      </c>
      <c r="AX293" s="11">
        <v>0</v>
      </c>
      <c r="AY293" s="11">
        <v>0</v>
      </c>
      <c r="BA293" s="12" t="s">
        <v>4877</v>
      </c>
      <c r="BB293" s="12">
        <v>0</v>
      </c>
      <c r="BC293" s="9" t="s">
        <v>4878</v>
      </c>
      <c r="BD293" s="12">
        <v>0</v>
      </c>
      <c r="BE293" s="12">
        <v>0</v>
      </c>
      <c r="BF293" s="12">
        <v>0</v>
      </c>
      <c r="BI293" s="12">
        <v>0</v>
      </c>
      <c r="BJ293" s="12">
        <v>0</v>
      </c>
    </row>
    <row r="294" spans="1:62" x14ac:dyDescent="0.15">
      <c r="A294" s="7" t="s">
        <v>7332</v>
      </c>
      <c r="C294" s="7" t="s">
        <v>7333</v>
      </c>
      <c r="D294" s="7" t="s">
        <v>5292</v>
      </c>
      <c r="E294" s="9" t="s">
        <v>4870</v>
      </c>
      <c r="L294" s="10">
        <v>3775070</v>
      </c>
      <c r="M294" s="10">
        <v>712291</v>
      </c>
      <c r="N294" s="11">
        <v>15</v>
      </c>
      <c r="P294" s="7" t="s">
        <v>1087</v>
      </c>
      <c r="Q294" s="9" t="s">
        <v>5311</v>
      </c>
      <c r="R294" s="9" t="s">
        <v>5318</v>
      </c>
      <c r="S294" s="9" t="s">
        <v>5292</v>
      </c>
      <c r="T294" s="9" t="s">
        <v>4884</v>
      </c>
      <c r="U294" s="12" t="s">
        <v>5016</v>
      </c>
      <c r="V294" s="12" t="s">
        <v>5017</v>
      </c>
      <c r="W294" s="12">
        <v>0</v>
      </c>
      <c r="X294" s="12">
        <v>0</v>
      </c>
      <c r="Y294" s="12">
        <v>0</v>
      </c>
      <c r="Z294" s="11">
        <v>0</v>
      </c>
      <c r="AA294" s="11">
        <v>0</v>
      </c>
      <c r="AB294" s="11">
        <v>1</v>
      </c>
      <c r="AC294" s="11">
        <v>1</v>
      </c>
      <c r="AD294" s="11">
        <v>0</v>
      </c>
      <c r="AE294" s="11">
        <v>0</v>
      </c>
      <c r="AF294" s="11">
        <v>0</v>
      </c>
      <c r="AG294" s="11">
        <v>0</v>
      </c>
      <c r="AH294" s="9">
        <v>2</v>
      </c>
      <c r="AI294" s="11">
        <v>2</v>
      </c>
      <c r="AJ294" s="11">
        <v>1</v>
      </c>
      <c r="AK294" s="11">
        <v>1</v>
      </c>
      <c r="AL294" s="11">
        <v>0</v>
      </c>
      <c r="AN294" s="11">
        <v>0</v>
      </c>
      <c r="AO294" s="11">
        <v>0</v>
      </c>
      <c r="AP294" s="11">
        <v>0</v>
      </c>
      <c r="AQ294" s="11">
        <v>0</v>
      </c>
      <c r="AR294" s="11">
        <v>1</v>
      </c>
      <c r="AS294" s="11">
        <v>0</v>
      </c>
      <c r="AT294" s="11">
        <v>1</v>
      </c>
      <c r="AU294" s="11">
        <v>0</v>
      </c>
      <c r="AV294" s="11">
        <v>0</v>
      </c>
      <c r="AW294" s="11">
        <v>0</v>
      </c>
      <c r="AX294" s="11">
        <v>0</v>
      </c>
      <c r="AY294" s="11">
        <v>0</v>
      </c>
      <c r="BA294" s="12" t="s">
        <v>4877</v>
      </c>
      <c r="BB294" s="12">
        <v>0</v>
      </c>
      <c r="BC294" s="9" t="s">
        <v>4878</v>
      </c>
      <c r="BD294" s="12">
        <v>6</v>
      </c>
      <c r="BE294" s="12">
        <v>0</v>
      </c>
      <c r="BF294" s="12">
        <f>VLOOKUP(A294,'[1]Conical Mounds'!A$1:O$65536,15,FALSE)</f>
        <v>7853.981633974483</v>
      </c>
      <c r="BI294">
        <f>BD294/BF294</f>
        <v>7.6394372684109762E-4</v>
      </c>
      <c r="BJ294">
        <f>BI294*10000</f>
        <v>7.6394372684109761</v>
      </c>
    </row>
    <row r="295" spans="1:62" x14ac:dyDescent="0.15">
      <c r="A295" s="7" t="s">
        <v>7334</v>
      </c>
      <c r="C295" s="7" t="s">
        <v>7335</v>
      </c>
      <c r="D295" s="7" t="s">
        <v>5292</v>
      </c>
      <c r="E295" s="9" t="s">
        <v>4870</v>
      </c>
      <c r="L295" s="10">
        <v>3775580</v>
      </c>
      <c r="M295" s="10">
        <v>726680</v>
      </c>
      <c r="N295" s="11">
        <v>15</v>
      </c>
      <c r="P295" s="7" t="s">
        <v>6662</v>
      </c>
      <c r="Q295" s="9" t="s">
        <v>1061</v>
      </c>
      <c r="R295" s="9" t="s">
        <v>1061</v>
      </c>
      <c r="S295" s="9" t="s">
        <v>5292</v>
      </c>
      <c r="T295" s="9" t="s">
        <v>4875</v>
      </c>
      <c r="U295" s="12" t="s">
        <v>5020</v>
      </c>
      <c r="V295" s="12" t="s">
        <v>5021</v>
      </c>
      <c r="W295" s="12">
        <v>0</v>
      </c>
      <c r="X295" s="12">
        <v>0</v>
      </c>
      <c r="Y295" s="12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1</v>
      </c>
      <c r="AG295" s="11">
        <v>1</v>
      </c>
      <c r="AH295" s="9">
        <v>1</v>
      </c>
      <c r="AI295" s="11">
        <v>1</v>
      </c>
      <c r="AJ295" s="11">
        <v>1</v>
      </c>
      <c r="AK295" s="11">
        <v>0</v>
      </c>
      <c r="AL295" s="11">
        <v>1</v>
      </c>
      <c r="AN295" s="11">
        <v>0</v>
      </c>
      <c r="AO295" s="11">
        <v>0</v>
      </c>
      <c r="AP295" s="11">
        <v>0</v>
      </c>
      <c r="AQ295" s="11">
        <v>1</v>
      </c>
      <c r="AR295" s="11">
        <v>0</v>
      </c>
      <c r="AS295" s="11">
        <v>0</v>
      </c>
      <c r="AT295" s="11">
        <v>0</v>
      </c>
      <c r="AU295" s="11">
        <v>0</v>
      </c>
      <c r="AV295" s="11">
        <v>0</v>
      </c>
      <c r="AW295" s="11">
        <v>0</v>
      </c>
      <c r="AX295" s="11">
        <v>0</v>
      </c>
      <c r="AY295" s="11">
        <v>0</v>
      </c>
      <c r="BA295" s="12" t="s">
        <v>4877</v>
      </c>
      <c r="BB295" s="12">
        <v>1</v>
      </c>
      <c r="BC295" s="9" t="s">
        <v>4878</v>
      </c>
      <c r="BD295" s="12">
        <v>15</v>
      </c>
      <c r="BE295" s="12">
        <v>200</v>
      </c>
      <c r="BF295" s="12">
        <v>0</v>
      </c>
      <c r="BI295" s="12">
        <v>0</v>
      </c>
      <c r="BJ295" s="12">
        <v>0</v>
      </c>
    </row>
    <row r="296" spans="1:62" x14ac:dyDescent="0.15">
      <c r="A296" s="7" t="s">
        <v>7336</v>
      </c>
      <c r="C296" s="7" t="s">
        <v>7337</v>
      </c>
      <c r="D296" s="7" t="s">
        <v>5292</v>
      </c>
      <c r="E296" s="9" t="s">
        <v>4870</v>
      </c>
      <c r="L296" s="10">
        <v>3770230</v>
      </c>
      <c r="M296" s="10">
        <v>728068</v>
      </c>
      <c r="N296" s="11">
        <v>15</v>
      </c>
      <c r="P296" s="7" t="s">
        <v>5310</v>
      </c>
      <c r="Q296" s="9" t="s">
        <v>5311</v>
      </c>
      <c r="R296" s="9" t="s">
        <v>5318</v>
      </c>
      <c r="S296" s="9" t="s">
        <v>5292</v>
      </c>
      <c r="T296" s="9" t="s">
        <v>4884</v>
      </c>
      <c r="U296" s="12" t="s">
        <v>5016</v>
      </c>
      <c r="V296" s="12" t="s">
        <v>5017</v>
      </c>
      <c r="W296" s="12">
        <v>0</v>
      </c>
      <c r="X296" s="12">
        <v>0</v>
      </c>
      <c r="Y296" s="12">
        <v>0</v>
      </c>
      <c r="Z296" s="11">
        <v>0</v>
      </c>
      <c r="AA296" s="11">
        <v>0</v>
      </c>
      <c r="AB296" s="11">
        <v>1</v>
      </c>
      <c r="AC296" s="11">
        <v>1</v>
      </c>
      <c r="AD296" s="11">
        <v>0</v>
      </c>
      <c r="AE296" s="11">
        <v>0</v>
      </c>
      <c r="AF296" s="11">
        <v>0</v>
      </c>
      <c r="AG296" s="11">
        <v>0</v>
      </c>
      <c r="AH296" s="9">
        <v>1</v>
      </c>
      <c r="AI296" s="11">
        <v>1</v>
      </c>
      <c r="AJ296" s="11">
        <v>1</v>
      </c>
      <c r="AK296" s="11">
        <v>0</v>
      </c>
      <c r="AL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1</v>
      </c>
      <c r="AS296" s="11">
        <v>0</v>
      </c>
      <c r="AT296" s="11">
        <v>0</v>
      </c>
      <c r="AU296" s="11">
        <v>0</v>
      </c>
      <c r="AV296" s="11">
        <v>0</v>
      </c>
      <c r="AW296" s="11">
        <v>0</v>
      </c>
      <c r="AX296" s="11">
        <v>0</v>
      </c>
      <c r="AY296" s="11">
        <v>0</v>
      </c>
      <c r="BA296" s="12" t="s">
        <v>4877</v>
      </c>
      <c r="BB296" s="12">
        <v>0</v>
      </c>
      <c r="BC296" s="9" t="s">
        <v>4878</v>
      </c>
      <c r="BD296" s="12">
        <v>3</v>
      </c>
      <c r="BE296" s="12">
        <v>0</v>
      </c>
      <c r="BF296" s="12">
        <f>VLOOKUP(A296,'[1]Conical Mounds'!A$1:O$65536,15,FALSE)</f>
        <v>1256.6370614359173</v>
      </c>
      <c r="BI296">
        <f>BD296/BF296</f>
        <v>2.3873241463784299E-3</v>
      </c>
      <c r="BJ296">
        <f>BI296*10000</f>
        <v>23.8732414637843</v>
      </c>
    </row>
    <row r="297" spans="1:62" x14ac:dyDescent="0.15">
      <c r="A297" s="7" t="s">
        <v>7338</v>
      </c>
      <c r="C297" s="7" t="s">
        <v>7339</v>
      </c>
      <c r="D297" s="7" t="s">
        <v>5292</v>
      </c>
      <c r="E297" s="9" t="s">
        <v>4870</v>
      </c>
      <c r="L297" s="10">
        <v>3782870</v>
      </c>
      <c r="M297" s="10">
        <v>710870</v>
      </c>
      <c r="N297" s="11">
        <v>15</v>
      </c>
      <c r="P297" s="7" t="s">
        <v>1087</v>
      </c>
      <c r="Q297" s="9" t="s">
        <v>5311</v>
      </c>
      <c r="S297" s="9" t="s">
        <v>5292</v>
      </c>
      <c r="T297" s="9" t="s">
        <v>4902</v>
      </c>
      <c r="U297" s="12" t="s">
        <v>4902</v>
      </c>
      <c r="V297" s="12" t="s">
        <v>4902</v>
      </c>
      <c r="W297" s="12">
        <v>0</v>
      </c>
      <c r="X297" s="12">
        <v>0</v>
      </c>
      <c r="Y297" s="12">
        <v>0</v>
      </c>
      <c r="Z297" s="11">
        <v>0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1">
        <v>0</v>
      </c>
      <c r="AG297" s="11">
        <v>0</v>
      </c>
      <c r="AH297" s="9" t="s">
        <v>8248</v>
      </c>
      <c r="AI297" s="11">
        <v>2</v>
      </c>
      <c r="AJ297" s="11">
        <v>1</v>
      </c>
      <c r="AK297" s="11">
        <v>1</v>
      </c>
      <c r="AL297" s="11">
        <v>0</v>
      </c>
      <c r="AN297" s="11">
        <v>0</v>
      </c>
      <c r="AO297" s="11">
        <v>0</v>
      </c>
      <c r="AP297" s="11">
        <v>0</v>
      </c>
      <c r="AQ297" s="11">
        <v>0</v>
      </c>
      <c r="AR297" s="11">
        <v>0</v>
      </c>
      <c r="AS297" s="11">
        <v>0</v>
      </c>
      <c r="AT297" s="11">
        <v>1</v>
      </c>
      <c r="AU297" s="11">
        <v>0</v>
      </c>
      <c r="AV297" s="11">
        <v>0</v>
      </c>
      <c r="AW297" s="11">
        <v>0</v>
      </c>
      <c r="AX297" s="11">
        <v>0</v>
      </c>
      <c r="AY297" s="11">
        <v>0</v>
      </c>
      <c r="BA297" s="12" t="s">
        <v>4877</v>
      </c>
      <c r="BB297" s="12">
        <v>0</v>
      </c>
      <c r="BC297" s="9" t="s">
        <v>4878</v>
      </c>
      <c r="BD297" s="12">
        <v>0</v>
      </c>
      <c r="BE297" s="12">
        <v>0</v>
      </c>
      <c r="BF297" s="12">
        <v>0</v>
      </c>
      <c r="BI297" s="12">
        <v>0</v>
      </c>
      <c r="BJ297" s="12">
        <v>0</v>
      </c>
    </row>
    <row r="298" spans="1:62" x14ac:dyDescent="0.15">
      <c r="A298" s="7" t="s">
        <v>7340</v>
      </c>
      <c r="C298" s="7" t="s">
        <v>7341</v>
      </c>
      <c r="D298" s="7" t="s">
        <v>5292</v>
      </c>
      <c r="E298" s="9" t="s">
        <v>4870</v>
      </c>
      <c r="L298" s="10">
        <v>3787501</v>
      </c>
      <c r="M298" s="10">
        <v>711142</v>
      </c>
      <c r="N298" s="11">
        <v>15</v>
      </c>
      <c r="P298" s="7" t="s">
        <v>1079</v>
      </c>
      <c r="Q298" s="9" t="s">
        <v>5322</v>
      </c>
      <c r="S298" s="9" t="s">
        <v>5292</v>
      </c>
      <c r="T298" s="9" t="s">
        <v>4902</v>
      </c>
      <c r="U298" s="12" t="s">
        <v>4902</v>
      </c>
      <c r="V298" s="12" t="s">
        <v>4902</v>
      </c>
      <c r="W298" s="12">
        <v>0</v>
      </c>
      <c r="X298" s="12">
        <v>0</v>
      </c>
      <c r="Y298" s="12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9" t="s">
        <v>4909</v>
      </c>
      <c r="AI298" s="11">
        <v>1</v>
      </c>
      <c r="AJ298" s="11">
        <v>1</v>
      </c>
      <c r="AK298" s="11">
        <v>0</v>
      </c>
      <c r="AL298" s="11">
        <v>0</v>
      </c>
      <c r="AN298" s="11">
        <v>0</v>
      </c>
      <c r="AO298" s="11">
        <v>0</v>
      </c>
      <c r="AP298" s="11">
        <v>0</v>
      </c>
      <c r="AQ298" s="11">
        <v>0</v>
      </c>
      <c r="AR298" s="11">
        <v>1</v>
      </c>
      <c r="AS298" s="11">
        <v>0</v>
      </c>
      <c r="AT298" s="11">
        <v>0</v>
      </c>
      <c r="AU298" s="11">
        <v>0</v>
      </c>
      <c r="AV298" s="11">
        <v>0</v>
      </c>
      <c r="AW298" s="11">
        <v>0</v>
      </c>
      <c r="AX298" s="11">
        <v>0</v>
      </c>
      <c r="AY298" s="11">
        <v>0</v>
      </c>
      <c r="BA298" s="12" t="s">
        <v>4877</v>
      </c>
      <c r="BB298" s="12">
        <v>0</v>
      </c>
      <c r="BC298" s="9" t="s">
        <v>4878</v>
      </c>
      <c r="BD298" s="12">
        <v>0</v>
      </c>
      <c r="BE298" s="12">
        <v>0</v>
      </c>
      <c r="BF298" s="12">
        <v>0</v>
      </c>
      <c r="BI298" s="12">
        <v>0</v>
      </c>
      <c r="BJ298" s="12">
        <v>0</v>
      </c>
    </row>
    <row r="299" spans="1:62" x14ac:dyDescent="0.15">
      <c r="A299" s="7" t="s">
        <v>7342</v>
      </c>
      <c r="C299" s="7" t="s">
        <v>7343</v>
      </c>
      <c r="D299" s="7" t="s">
        <v>5292</v>
      </c>
      <c r="E299" s="9" t="s">
        <v>4870</v>
      </c>
      <c r="L299" s="10">
        <v>3787130</v>
      </c>
      <c r="M299" s="10">
        <v>713449</v>
      </c>
      <c r="N299" s="11">
        <v>15</v>
      </c>
      <c r="P299" s="7" t="s">
        <v>7344</v>
      </c>
      <c r="Q299" s="9" t="s">
        <v>4873</v>
      </c>
      <c r="R299" s="9" t="s">
        <v>5318</v>
      </c>
      <c r="S299" s="9" t="s">
        <v>5292</v>
      </c>
      <c r="T299" s="9" t="s">
        <v>4884</v>
      </c>
      <c r="U299" s="12" t="s">
        <v>5016</v>
      </c>
      <c r="V299" s="12" t="s">
        <v>5017</v>
      </c>
      <c r="W299" s="12">
        <v>0</v>
      </c>
      <c r="X299" s="12">
        <v>0</v>
      </c>
      <c r="Y299" s="12">
        <v>0</v>
      </c>
      <c r="Z299" s="11">
        <v>0</v>
      </c>
      <c r="AA299" s="11">
        <v>0</v>
      </c>
      <c r="AB299" s="11">
        <v>1</v>
      </c>
      <c r="AC299" s="11">
        <v>1</v>
      </c>
      <c r="AD299" s="11">
        <v>0</v>
      </c>
      <c r="AE299" s="11">
        <v>0</v>
      </c>
      <c r="AF299" s="11">
        <v>0</v>
      </c>
      <c r="AG299" s="11">
        <v>0</v>
      </c>
      <c r="AH299" s="9">
        <v>1</v>
      </c>
      <c r="AI299" s="11">
        <v>1</v>
      </c>
      <c r="AJ299" s="11">
        <v>1</v>
      </c>
      <c r="AK299" s="11">
        <v>0</v>
      </c>
      <c r="AL299" s="11">
        <v>0</v>
      </c>
      <c r="AN299" s="11">
        <v>0</v>
      </c>
      <c r="AO299" s="11">
        <v>0</v>
      </c>
      <c r="AP299" s="11">
        <v>0</v>
      </c>
      <c r="AQ299" s="11">
        <v>0</v>
      </c>
      <c r="AR299" s="11">
        <v>1</v>
      </c>
      <c r="AS299" s="11">
        <v>0</v>
      </c>
      <c r="AT299" s="11">
        <v>0</v>
      </c>
      <c r="AU299" s="11">
        <v>0</v>
      </c>
      <c r="AV299" s="11">
        <v>0</v>
      </c>
      <c r="AW299" s="11">
        <v>0</v>
      </c>
      <c r="AX299" s="11">
        <v>0</v>
      </c>
      <c r="AY299" s="11">
        <v>0</v>
      </c>
      <c r="BA299" s="12" t="s">
        <v>4877</v>
      </c>
      <c r="BB299" s="12">
        <v>0</v>
      </c>
      <c r="BC299" s="9" t="s">
        <v>4878</v>
      </c>
      <c r="BD299" s="12">
        <v>5</v>
      </c>
      <c r="BE299" s="12">
        <v>0</v>
      </c>
      <c r="BF299" s="12">
        <f>VLOOKUP(A299,'[1]Conical Mounds'!A$1:O$65536,15,FALSE)</f>
        <v>5026.5482457436692</v>
      </c>
      <c r="BI299">
        <f>BD299/BF299</f>
        <v>9.9471839432434587E-4</v>
      </c>
      <c r="BJ299">
        <f>BI299*10000</f>
        <v>9.9471839432434592</v>
      </c>
    </row>
    <row r="300" spans="1:62" x14ac:dyDescent="0.15">
      <c r="A300" s="7" t="s">
        <v>7345</v>
      </c>
      <c r="C300" s="7" t="s">
        <v>7346</v>
      </c>
      <c r="D300" s="7" t="s">
        <v>5292</v>
      </c>
      <c r="E300" s="9" t="s">
        <v>4870</v>
      </c>
      <c r="L300" s="10">
        <v>3785588</v>
      </c>
      <c r="M300" s="10">
        <v>713965</v>
      </c>
      <c r="N300" s="11">
        <v>15</v>
      </c>
      <c r="P300" s="7" t="s">
        <v>5310</v>
      </c>
      <c r="Q300" s="9" t="s">
        <v>5311</v>
      </c>
      <c r="S300" s="9" t="s">
        <v>5292</v>
      </c>
      <c r="T300" s="9" t="s">
        <v>4902</v>
      </c>
      <c r="U300" s="12" t="s">
        <v>4902</v>
      </c>
      <c r="V300" s="12" t="s">
        <v>4902</v>
      </c>
      <c r="W300" s="12">
        <v>0</v>
      </c>
      <c r="X300" s="12">
        <v>0</v>
      </c>
      <c r="Y300" s="12">
        <v>0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9" t="s">
        <v>4909</v>
      </c>
      <c r="AI300" s="11">
        <v>1</v>
      </c>
      <c r="AJ300" s="11">
        <v>1</v>
      </c>
      <c r="AK300" s="11">
        <v>0</v>
      </c>
      <c r="AL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1</v>
      </c>
      <c r="AU300" s="11">
        <v>0</v>
      </c>
      <c r="AV300" s="11">
        <v>0</v>
      </c>
      <c r="AW300" s="11">
        <v>0</v>
      </c>
      <c r="AX300" s="11">
        <v>0</v>
      </c>
      <c r="AY300" s="11">
        <v>0</v>
      </c>
      <c r="BA300" s="12" t="s">
        <v>4877</v>
      </c>
      <c r="BB300" s="12">
        <v>0</v>
      </c>
      <c r="BC300" s="9" t="s">
        <v>4878</v>
      </c>
      <c r="BD300" s="12">
        <v>0</v>
      </c>
      <c r="BE300" s="12">
        <v>0</v>
      </c>
      <c r="BF300" s="12">
        <v>0</v>
      </c>
      <c r="BI300" s="12">
        <v>0</v>
      </c>
      <c r="BJ300" s="12">
        <v>0</v>
      </c>
    </row>
    <row r="301" spans="1:62" x14ac:dyDescent="0.15">
      <c r="A301" s="7" t="s">
        <v>7347</v>
      </c>
      <c r="C301" s="7" t="s">
        <v>7348</v>
      </c>
      <c r="D301" s="7" t="s">
        <v>5292</v>
      </c>
      <c r="E301" s="9" t="s">
        <v>4870</v>
      </c>
      <c r="L301" s="10">
        <v>3786507</v>
      </c>
      <c r="M301" s="10">
        <v>709960</v>
      </c>
      <c r="N301" s="11">
        <v>15</v>
      </c>
      <c r="P301" s="7" t="s">
        <v>910</v>
      </c>
      <c r="Q301" s="9" t="s">
        <v>1112</v>
      </c>
      <c r="S301" s="9" t="s">
        <v>5292</v>
      </c>
      <c r="T301" s="9" t="s">
        <v>4902</v>
      </c>
      <c r="U301" s="12" t="s">
        <v>4902</v>
      </c>
      <c r="V301" s="12" t="s">
        <v>4902</v>
      </c>
      <c r="W301" s="12">
        <v>0</v>
      </c>
      <c r="X301" s="12">
        <v>0</v>
      </c>
      <c r="Y301" s="12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9" t="s">
        <v>4909</v>
      </c>
      <c r="AI301" s="11">
        <v>1</v>
      </c>
      <c r="AJ301" s="11">
        <v>1</v>
      </c>
      <c r="AK301" s="11">
        <v>0</v>
      </c>
      <c r="AL301" s="11">
        <v>0</v>
      </c>
      <c r="AN301" s="11">
        <v>0</v>
      </c>
      <c r="AO301" s="11">
        <v>0</v>
      </c>
      <c r="AP301" s="11">
        <v>0</v>
      </c>
      <c r="AQ301" s="11">
        <v>0</v>
      </c>
      <c r="AR301" s="11">
        <v>0</v>
      </c>
      <c r="AS301" s="11">
        <v>0</v>
      </c>
      <c r="AT301" s="11">
        <v>1</v>
      </c>
      <c r="AU301" s="11">
        <v>0</v>
      </c>
      <c r="AV301" s="11">
        <v>0</v>
      </c>
      <c r="AW301" s="11">
        <v>0</v>
      </c>
      <c r="AX301" s="11">
        <v>0</v>
      </c>
      <c r="AY301" s="11">
        <v>0</v>
      </c>
      <c r="BA301" s="12" t="s">
        <v>4877</v>
      </c>
      <c r="BB301" s="12">
        <v>0</v>
      </c>
      <c r="BC301" s="9" t="s">
        <v>4878</v>
      </c>
      <c r="BD301" s="12">
        <v>0</v>
      </c>
      <c r="BE301" s="12">
        <v>0</v>
      </c>
      <c r="BF301" s="12">
        <v>0</v>
      </c>
      <c r="BI301" s="12">
        <v>0</v>
      </c>
      <c r="BJ301" s="12">
        <v>0</v>
      </c>
    </row>
    <row r="302" spans="1:62" x14ac:dyDescent="0.15">
      <c r="A302" s="7" t="s">
        <v>7349</v>
      </c>
      <c r="C302" s="7" t="s">
        <v>7121</v>
      </c>
      <c r="D302" s="7" t="s">
        <v>5292</v>
      </c>
      <c r="E302" s="9" t="s">
        <v>4870</v>
      </c>
      <c r="L302" s="10">
        <v>3768080</v>
      </c>
      <c r="M302" s="10">
        <v>709954</v>
      </c>
      <c r="N302" s="11">
        <v>15</v>
      </c>
      <c r="P302" s="7" t="s">
        <v>5310</v>
      </c>
      <c r="Q302" s="9" t="s">
        <v>5311</v>
      </c>
      <c r="S302" s="9" t="s">
        <v>5292</v>
      </c>
      <c r="T302" s="9" t="s">
        <v>4902</v>
      </c>
      <c r="U302" s="12" t="s">
        <v>4902</v>
      </c>
      <c r="V302" s="12" t="s">
        <v>4902</v>
      </c>
      <c r="W302" s="12">
        <v>0</v>
      </c>
      <c r="X302" s="12">
        <v>0</v>
      </c>
      <c r="Y302" s="12">
        <v>0</v>
      </c>
      <c r="Z302" s="11">
        <v>0</v>
      </c>
      <c r="AA302" s="11">
        <v>0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9" t="s">
        <v>4909</v>
      </c>
      <c r="AI302" s="11">
        <v>1</v>
      </c>
      <c r="AJ302" s="11">
        <v>1</v>
      </c>
      <c r="AK302" s="11">
        <v>0</v>
      </c>
      <c r="AL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1</v>
      </c>
      <c r="AU302" s="11">
        <v>0</v>
      </c>
      <c r="AV302" s="11">
        <v>0</v>
      </c>
      <c r="AW302" s="11">
        <v>0</v>
      </c>
      <c r="AX302" s="11">
        <v>0</v>
      </c>
      <c r="AY302" s="11">
        <v>0</v>
      </c>
      <c r="BA302" s="12" t="s">
        <v>4877</v>
      </c>
      <c r="BB302" s="12">
        <v>0</v>
      </c>
      <c r="BC302" s="9" t="s">
        <v>4878</v>
      </c>
      <c r="BD302" s="12">
        <v>0</v>
      </c>
      <c r="BE302" s="12">
        <v>0</v>
      </c>
      <c r="BF302" s="12">
        <v>0</v>
      </c>
      <c r="BI302" s="12">
        <v>0</v>
      </c>
      <c r="BJ302" s="12">
        <v>0</v>
      </c>
    </row>
    <row r="303" spans="1:62" x14ac:dyDescent="0.15">
      <c r="A303" s="7" t="s">
        <v>7122</v>
      </c>
      <c r="C303" s="7" t="s">
        <v>7123</v>
      </c>
      <c r="D303" s="7" t="s">
        <v>5292</v>
      </c>
      <c r="E303" s="9" t="s">
        <v>4870</v>
      </c>
      <c r="L303" s="10">
        <v>3784940</v>
      </c>
      <c r="M303" s="10">
        <v>721593</v>
      </c>
      <c r="N303" s="11">
        <v>15</v>
      </c>
      <c r="P303" s="7" t="s">
        <v>910</v>
      </c>
      <c r="Q303" s="9" t="s">
        <v>1112</v>
      </c>
      <c r="S303" s="9" t="s">
        <v>5292</v>
      </c>
      <c r="T303" s="9" t="s">
        <v>4902</v>
      </c>
      <c r="U303" s="12" t="s">
        <v>4902</v>
      </c>
      <c r="V303" s="12" t="s">
        <v>4902</v>
      </c>
      <c r="W303" s="12">
        <v>0</v>
      </c>
      <c r="X303" s="12">
        <v>0</v>
      </c>
      <c r="Y303" s="12">
        <v>0</v>
      </c>
      <c r="Z303" s="11">
        <v>0</v>
      </c>
      <c r="AA303" s="11">
        <v>0</v>
      </c>
      <c r="AB303" s="11">
        <v>0</v>
      </c>
      <c r="AC303" s="11">
        <v>0</v>
      </c>
      <c r="AD303" s="11">
        <v>0</v>
      </c>
      <c r="AE303" s="11">
        <v>0</v>
      </c>
      <c r="AF303" s="11">
        <v>0</v>
      </c>
      <c r="AG303" s="11">
        <v>0</v>
      </c>
      <c r="AH303" s="9" t="s">
        <v>4909</v>
      </c>
      <c r="AI303" s="11">
        <v>1</v>
      </c>
      <c r="AJ303" s="11">
        <v>1</v>
      </c>
      <c r="AK303" s="11">
        <v>0</v>
      </c>
      <c r="AL303" s="11">
        <v>0</v>
      </c>
      <c r="AN303" s="11">
        <v>0</v>
      </c>
      <c r="AO303" s="11">
        <v>0</v>
      </c>
      <c r="AP303" s="11">
        <v>0</v>
      </c>
      <c r="AQ303" s="11">
        <v>0</v>
      </c>
      <c r="AR303" s="11">
        <v>0</v>
      </c>
      <c r="AS303" s="11">
        <v>0</v>
      </c>
      <c r="AT303" s="11">
        <v>1</v>
      </c>
      <c r="AU303" s="11">
        <v>0</v>
      </c>
      <c r="AV303" s="11">
        <v>0</v>
      </c>
      <c r="AW303" s="11">
        <v>0</v>
      </c>
      <c r="AX303" s="11">
        <v>0</v>
      </c>
      <c r="AY303" s="11">
        <v>0</v>
      </c>
      <c r="BA303" s="12" t="s">
        <v>4877</v>
      </c>
      <c r="BB303" s="12">
        <v>0</v>
      </c>
      <c r="BC303" s="9" t="s">
        <v>4878</v>
      </c>
      <c r="BD303" s="12">
        <v>0</v>
      </c>
      <c r="BE303" s="12">
        <v>0</v>
      </c>
      <c r="BF303" s="12">
        <v>0</v>
      </c>
      <c r="BI303" s="12">
        <v>0</v>
      </c>
      <c r="BJ303" s="12">
        <v>0</v>
      </c>
    </row>
    <row r="304" spans="1:62" x14ac:dyDescent="0.15">
      <c r="A304" s="7" t="s">
        <v>7124</v>
      </c>
      <c r="C304" s="7" t="s">
        <v>7125</v>
      </c>
      <c r="D304" s="7" t="s">
        <v>5292</v>
      </c>
      <c r="E304" s="9" t="s">
        <v>4870</v>
      </c>
      <c r="L304" s="10">
        <v>3771110</v>
      </c>
      <c r="M304" s="10">
        <v>723849</v>
      </c>
      <c r="N304" s="11">
        <v>15</v>
      </c>
      <c r="P304" s="7" t="s">
        <v>1087</v>
      </c>
      <c r="Q304" s="9" t="s">
        <v>5311</v>
      </c>
      <c r="S304" s="9" t="s">
        <v>5292</v>
      </c>
      <c r="T304" s="9" t="s">
        <v>8484</v>
      </c>
      <c r="U304" s="12" t="s">
        <v>5019</v>
      </c>
      <c r="V304" s="12" t="s">
        <v>5020</v>
      </c>
      <c r="W304" s="12">
        <v>0</v>
      </c>
      <c r="X304" s="12">
        <v>0</v>
      </c>
      <c r="Y304" s="12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1</v>
      </c>
      <c r="AF304" s="11">
        <v>1</v>
      </c>
      <c r="AG304" s="11">
        <v>0</v>
      </c>
      <c r="AH304" s="9" t="s">
        <v>8248</v>
      </c>
      <c r="AI304" s="11">
        <v>2</v>
      </c>
      <c r="AJ304" s="11">
        <v>1</v>
      </c>
      <c r="AK304" s="11">
        <v>1</v>
      </c>
      <c r="AL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1</v>
      </c>
      <c r="AU304" s="11">
        <v>0</v>
      </c>
      <c r="AV304" s="11">
        <v>0</v>
      </c>
      <c r="AW304" s="11">
        <v>0</v>
      </c>
      <c r="AX304" s="11">
        <v>0</v>
      </c>
      <c r="AY304" s="11">
        <v>0</v>
      </c>
      <c r="BA304" s="12" t="s">
        <v>4877</v>
      </c>
      <c r="BB304" s="12">
        <v>0</v>
      </c>
      <c r="BC304" s="9" t="s">
        <v>4878</v>
      </c>
      <c r="BD304" s="12">
        <v>0</v>
      </c>
      <c r="BE304" s="12">
        <v>0</v>
      </c>
      <c r="BF304" s="12">
        <v>0</v>
      </c>
      <c r="BI304" s="12">
        <v>0</v>
      </c>
      <c r="BJ304" s="12">
        <v>0</v>
      </c>
    </row>
    <row r="305" spans="1:62" x14ac:dyDescent="0.15">
      <c r="A305" s="7" t="s">
        <v>7126</v>
      </c>
      <c r="C305" s="7" t="s">
        <v>7127</v>
      </c>
      <c r="D305" s="7" t="s">
        <v>5292</v>
      </c>
      <c r="E305" s="9" t="s">
        <v>4870</v>
      </c>
      <c r="L305" s="10">
        <v>3774300</v>
      </c>
      <c r="M305" s="10">
        <v>708780</v>
      </c>
      <c r="N305" s="11">
        <v>15</v>
      </c>
      <c r="P305" s="7" t="s">
        <v>7128</v>
      </c>
      <c r="Q305" s="9" t="s">
        <v>1061</v>
      </c>
      <c r="R305" s="9" t="s">
        <v>1061</v>
      </c>
      <c r="S305" s="9" t="s">
        <v>5292</v>
      </c>
      <c r="T305" s="9" t="s">
        <v>8484</v>
      </c>
      <c r="U305" s="12" t="s">
        <v>5019</v>
      </c>
      <c r="V305" s="12" t="s">
        <v>5020</v>
      </c>
      <c r="W305" s="12">
        <v>0</v>
      </c>
      <c r="X305" s="12">
        <v>0</v>
      </c>
      <c r="Y305" s="12">
        <v>0</v>
      </c>
      <c r="Z305" s="11">
        <v>0</v>
      </c>
      <c r="AA305" s="11">
        <v>0</v>
      </c>
      <c r="AB305" s="11">
        <v>0</v>
      </c>
      <c r="AC305" s="11">
        <v>0</v>
      </c>
      <c r="AD305" s="11">
        <v>0</v>
      </c>
      <c r="AE305" s="11">
        <v>1</v>
      </c>
      <c r="AF305" s="11">
        <v>1</v>
      </c>
      <c r="AG305" s="11">
        <v>0</v>
      </c>
      <c r="AH305" s="9">
        <v>2</v>
      </c>
      <c r="AI305" s="11">
        <v>2</v>
      </c>
      <c r="AJ305" s="11">
        <v>1</v>
      </c>
      <c r="AK305" s="11">
        <v>1</v>
      </c>
      <c r="AL305" s="11">
        <v>1</v>
      </c>
      <c r="AN305" s="11">
        <v>1</v>
      </c>
      <c r="AO305" s="11">
        <v>1</v>
      </c>
      <c r="AP305" s="11">
        <v>0</v>
      </c>
      <c r="AQ305" s="11">
        <v>1</v>
      </c>
      <c r="AR305" s="11">
        <v>0</v>
      </c>
      <c r="AS305" s="11">
        <v>0</v>
      </c>
      <c r="AT305" s="11">
        <v>1</v>
      </c>
      <c r="AU305" s="11">
        <v>0</v>
      </c>
      <c r="AV305" s="11">
        <v>0</v>
      </c>
      <c r="AW305" s="11">
        <v>0</v>
      </c>
      <c r="AX305" s="11">
        <v>0</v>
      </c>
      <c r="AY305" s="11">
        <v>0</v>
      </c>
      <c r="BA305" s="12" t="s">
        <v>4877</v>
      </c>
      <c r="BB305" s="12">
        <v>1</v>
      </c>
      <c r="BC305" s="9" t="s">
        <v>4878</v>
      </c>
      <c r="BD305" s="12">
        <v>15</v>
      </c>
      <c r="BE305" s="12">
        <v>450</v>
      </c>
      <c r="BF305" s="12">
        <v>0</v>
      </c>
      <c r="BI305" s="12">
        <v>0</v>
      </c>
      <c r="BJ305" s="12">
        <v>0</v>
      </c>
    </row>
    <row r="306" spans="1:62" x14ac:dyDescent="0.15">
      <c r="A306" s="7" t="s">
        <v>7129</v>
      </c>
      <c r="C306" s="7" t="s">
        <v>7130</v>
      </c>
      <c r="D306" s="7" t="s">
        <v>5292</v>
      </c>
      <c r="E306" s="9" t="s">
        <v>4870</v>
      </c>
      <c r="L306" s="10">
        <v>3786690</v>
      </c>
      <c r="M306" s="10">
        <v>718565</v>
      </c>
      <c r="N306" s="11">
        <v>15</v>
      </c>
      <c r="P306" s="7" t="s">
        <v>5310</v>
      </c>
      <c r="Q306" s="9" t="s">
        <v>5311</v>
      </c>
      <c r="R306" s="9" t="s">
        <v>5318</v>
      </c>
      <c r="S306" s="9" t="s">
        <v>5292</v>
      </c>
      <c r="T306" s="9" t="s">
        <v>4884</v>
      </c>
      <c r="U306" s="12" t="s">
        <v>5016</v>
      </c>
      <c r="V306" s="12" t="s">
        <v>5017</v>
      </c>
      <c r="W306" s="12">
        <v>0</v>
      </c>
      <c r="X306" s="12">
        <v>0</v>
      </c>
      <c r="Y306" s="12">
        <v>0</v>
      </c>
      <c r="Z306" s="11">
        <v>0</v>
      </c>
      <c r="AA306" s="11">
        <v>0</v>
      </c>
      <c r="AB306" s="11">
        <v>1</v>
      </c>
      <c r="AC306" s="11">
        <v>1</v>
      </c>
      <c r="AD306" s="11">
        <v>0</v>
      </c>
      <c r="AE306" s="11">
        <v>0</v>
      </c>
      <c r="AF306" s="11">
        <v>0</v>
      </c>
      <c r="AG306" s="11">
        <v>0</v>
      </c>
      <c r="AH306" s="9">
        <v>2</v>
      </c>
      <c r="AI306" s="11">
        <v>2</v>
      </c>
      <c r="AJ306" s="11">
        <v>1</v>
      </c>
      <c r="AK306" s="11">
        <v>0</v>
      </c>
      <c r="AL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1</v>
      </c>
      <c r="AS306" s="11">
        <v>0</v>
      </c>
      <c r="AT306" s="11">
        <v>1</v>
      </c>
      <c r="AU306" s="11">
        <v>0</v>
      </c>
      <c r="AV306" s="11">
        <v>0</v>
      </c>
      <c r="AW306" s="11">
        <v>0</v>
      </c>
      <c r="AX306" s="11">
        <v>0</v>
      </c>
      <c r="AY306" s="11">
        <v>0</v>
      </c>
      <c r="BA306" s="12" t="s">
        <v>4877</v>
      </c>
      <c r="BB306" s="12">
        <v>0</v>
      </c>
      <c r="BC306" s="9" t="s">
        <v>4878</v>
      </c>
      <c r="BD306" s="12">
        <v>0</v>
      </c>
      <c r="BE306" s="12">
        <v>0</v>
      </c>
      <c r="BF306" s="12">
        <v>0</v>
      </c>
      <c r="BI306" s="12">
        <v>0</v>
      </c>
      <c r="BJ306" s="12">
        <v>0</v>
      </c>
    </row>
    <row r="307" spans="1:62" x14ac:dyDescent="0.15">
      <c r="A307" s="7" t="s">
        <v>7131</v>
      </c>
      <c r="C307" s="7" t="s">
        <v>7132</v>
      </c>
      <c r="D307" s="7" t="s">
        <v>5292</v>
      </c>
      <c r="E307" s="9" t="s">
        <v>4870</v>
      </c>
      <c r="L307" s="10">
        <v>3789172</v>
      </c>
      <c r="M307" s="10">
        <v>722173</v>
      </c>
      <c r="N307" s="11">
        <v>15</v>
      </c>
      <c r="P307" s="7" t="s">
        <v>910</v>
      </c>
      <c r="Q307" s="9" t="s">
        <v>1112</v>
      </c>
      <c r="S307" s="9" t="s">
        <v>5292</v>
      </c>
      <c r="T307" s="9" t="s">
        <v>4902</v>
      </c>
      <c r="U307" s="12" t="s">
        <v>4902</v>
      </c>
      <c r="V307" s="12" t="s">
        <v>4902</v>
      </c>
      <c r="W307" s="12">
        <v>0</v>
      </c>
      <c r="X307" s="12">
        <v>0</v>
      </c>
      <c r="Y307" s="12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9" t="s">
        <v>4909</v>
      </c>
      <c r="AI307" s="11">
        <v>1</v>
      </c>
      <c r="AJ307" s="11">
        <v>1</v>
      </c>
      <c r="AK307" s="11">
        <v>0</v>
      </c>
      <c r="AL307" s="11">
        <v>0</v>
      </c>
      <c r="AN307" s="11">
        <v>0</v>
      </c>
      <c r="AO307" s="11">
        <v>0</v>
      </c>
      <c r="AP307" s="11">
        <v>0</v>
      </c>
      <c r="AQ307" s="11">
        <v>0</v>
      </c>
      <c r="AR307" s="11">
        <v>0</v>
      </c>
      <c r="AS307" s="11">
        <v>0</v>
      </c>
      <c r="AT307" s="11">
        <v>1</v>
      </c>
      <c r="AU307" s="11">
        <v>0</v>
      </c>
      <c r="AV307" s="11">
        <v>0</v>
      </c>
      <c r="AW307" s="11">
        <v>0</v>
      </c>
      <c r="AX307" s="11">
        <v>0</v>
      </c>
      <c r="AY307" s="11">
        <v>0</v>
      </c>
      <c r="BA307" s="12" t="s">
        <v>4877</v>
      </c>
      <c r="BB307" s="12">
        <v>0</v>
      </c>
      <c r="BC307" s="9" t="s">
        <v>4878</v>
      </c>
      <c r="BD307" s="12">
        <v>0</v>
      </c>
      <c r="BE307" s="12">
        <v>0</v>
      </c>
      <c r="BF307" s="12">
        <v>0</v>
      </c>
      <c r="BI307" s="12">
        <v>0</v>
      </c>
      <c r="BJ307" s="12">
        <v>0</v>
      </c>
    </row>
    <row r="308" spans="1:62" x14ac:dyDescent="0.15">
      <c r="A308" s="7" t="s">
        <v>7133</v>
      </c>
      <c r="C308" s="7" t="s">
        <v>7134</v>
      </c>
      <c r="D308" s="7" t="s">
        <v>5292</v>
      </c>
      <c r="E308" s="9" t="s">
        <v>4870</v>
      </c>
      <c r="L308" s="10">
        <v>3784290</v>
      </c>
      <c r="M308" s="10">
        <v>724631</v>
      </c>
      <c r="N308" s="11">
        <v>15</v>
      </c>
      <c r="P308" s="7" t="s">
        <v>910</v>
      </c>
      <c r="Q308" s="9" t="s">
        <v>1112</v>
      </c>
      <c r="S308" s="9" t="s">
        <v>5292</v>
      </c>
      <c r="T308" s="9" t="s">
        <v>4902</v>
      </c>
      <c r="U308" s="12" t="s">
        <v>4902</v>
      </c>
      <c r="V308" s="12" t="s">
        <v>4902</v>
      </c>
      <c r="W308" s="12">
        <v>0</v>
      </c>
      <c r="X308" s="12">
        <v>0</v>
      </c>
      <c r="Y308" s="12">
        <v>0</v>
      </c>
      <c r="Z308" s="11">
        <v>0</v>
      </c>
      <c r="AA308" s="11">
        <v>0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9" t="s">
        <v>4909</v>
      </c>
      <c r="AI308" s="11">
        <v>1</v>
      </c>
      <c r="AJ308" s="11">
        <v>1</v>
      </c>
      <c r="AK308" s="11">
        <v>0</v>
      </c>
      <c r="AL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1</v>
      </c>
      <c r="AU308" s="11">
        <v>0</v>
      </c>
      <c r="AV308" s="11">
        <v>0</v>
      </c>
      <c r="AW308" s="11">
        <v>0</v>
      </c>
      <c r="AX308" s="11">
        <v>0</v>
      </c>
      <c r="AY308" s="11">
        <v>0</v>
      </c>
      <c r="BA308" s="12" t="s">
        <v>4877</v>
      </c>
      <c r="BB308" s="12">
        <v>0</v>
      </c>
      <c r="BC308" s="9" t="s">
        <v>4878</v>
      </c>
      <c r="BD308" s="12">
        <v>0</v>
      </c>
      <c r="BE308" s="12">
        <v>0</v>
      </c>
      <c r="BF308" s="12">
        <v>0</v>
      </c>
      <c r="BI308" s="12">
        <v>0</v>
      </c>
      <c r="BJ308" s="12">
        <v>0</v>
      </c>
    </row>
    <row r="309" spans="1:62" x14ac:dyDescent="0.15">
      <c r="A309" s="7" t="s">
        <v>7135</v>
      </c>
      <c r="C309" s="7" t="s">
        <v>7136</v>
      </c>
      <c r="D309" s="7" t="s">
        <v>5292</v>
      </c>
      <c r="E309" s="9" t="s">
        <v>4870</v>
      </c>
      <c r="L309" s="10">
        <v>3782020</v>
      </c>
      <c r="M309" s="10">
        <v>724988</v>
      </c>
      <c r="N309" s="11">
        <v>15</v>
      </c>
      <c r="P309" s="7" t="s">
        <v>910</v>
      </c>
      <c r="Q309" s="9" t="s">
        <v>1112</v>
      </c>
      <c r="S309" s="9" t="s">
        <v>5292</v>
      </c>
      <c r="T309" s="9" t="s">
        <v>4902</v>
      </c>
      <c r="U309" s="12" t="s">
        <v>4902</v>
      </c>
      <c r="V309" s="12" t="s">
        <v>4902</v>
      </c>
      <c r="W309" s="12">
        <v>0</v>
      </c>
      <c r="X309" s="12">
        <v>0</v>
      </c>
      <c r="Y309" s="12">
        <v>0</v>
      </c>
      <c r="Z309" s="11">
        <v>0</v>
      </c>
      <c r="AA309" s="11">
        <v>0</v>
      </c>
      <c r="AB309" s="11">
        <v>0</v>
      </c>
      <c r="AC309" s="11">
        <v>0</v>
      </c>
      <c r="AD309" s="11">
        <v>0</v>
      </c>
      <c r="AE309" s="11">
        <v>0</v>
      </c>
      <c r="AF309" s="11">
        <v>0</v>
      </c>
      <c r="AG309" s="11">
        <v>0</v>
      </c>
      <c r="AH309" s="9" t="s">
        <v>4909</v>
      </c>
      <c r="AI309" s="11">
        <v>1</v>
      </c>
      <c r="AJ309" s="11">
        <v>1</v>
      </c>
      <c r="AK309" s="11">
        <v>0</v>
      </c>
      <c r="AL309" s="11">
        <v>0</v>
      </c>
      <c r="AN309" s="11">
        <v>0</v>
      </c>
      <c r="AO309" s="11">
        <v>0</v>
      </c>
      <c r="AP309" s="11">
        <v>0</v>
      </c>
      <c r="AQ309" s="11">
        <v>0</v>
      </c>
      <c r="AR309" s="11">
        <v>0</v>
      </c>
      <c r="AS309" s="11">
        <v>0</v>
      </c>
      <c r="AT309" s="11">
        <v>1</v>
      </c>
      <c r="AU309" s="11">
        <v>0</v>
      </c>
      <c r="AV309" s="11">
        <v>0</v>
      </c>
      <c r="AW309" s="11">
        <v>0</v>
      </c>
      <c r="AX309" s="11">
        <v>0</v>
      </c>
      <c r="AY309" s="11">
        <v>0</v>
      </c>
      <c r="BA309" s="12" t="s">
        <v>4877</v>
      </c>
      <c r="BB309" s="12">
        <v>0</v>
      </c>
      <c r="BC309" s="9" t="s">
        <v>4878</v>
      </c>
      <c r="BD309" s="12">
        <v>0</v>
      </c>
      <c r="BE309" s="12">
        <v>0</v>
      </c>
      <c r="BF309" s="12">
        <v>0</v>
      </c>
      <c r="BI309" s="12">
        <v>0</v>
      </c>
      <c r="BJ309" s="12">
        <v>0</v>
      </c>
    </row>
    <row r="310" spans="1:62" x14ac:dyDescent="0.15">
      <c r="A310" s="7" t="s">
        <v>7137</v>
      </c>
      <c r="C310" s="7" t="s">
        <v>7138</v>
      </c>
      <c r="D310" s="7" t="s">
        <v>5292</v>
      </c>
      <c r="E310" s="9" t="s">
        <v>4870</v>
      </c>
      <c r="L310" s="10">
        <v>3782254</v>
      </c>
      <c r="M310" s="10">
        <v>726813</v>
      </c>
      <c r="N310" s="11">
        <v>15</v>
      </c>
      <c r="P310" s="7" t="s">
        <v>910</v>
      </c>
      <c r="Q310" s="9" t="s">
        <v>1112</v>
      </c>
      <c r="S310" s="9" t="s">
        <v>5292</v>
      </c>
      <c r="T310" s="9" t="s">
        <v>4902</v>
      </c>
      <c r="U310" s="12" t="s">
        <v>4902</v>
      </c>
      <c r="V310" s="12" t="s">
        <v>4902</v>
      </c>
      <c r="W310" s="12">
        <v>0</v>
      </c>
      <c r="X310" s="12">
        <v>0</v>
      </c>
      <c r="Y310" s="12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9" t="s">
        <v>4909</v>
      </c>
      <c r="AI310" s="11">
        <v>1</v>
      </c>
      <c r="AJ310" s="11">
        <v>1</v>
      </c>
      <c r="AK310" s="11">
        <v>0</v>
      </c>
      <c r="AL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0</v>
      </c>
      <c r="AS310" s="11">
        <v>0</v>
      </c>
      <c r="AT310" s="11">
        <v>1</v>
      </c>
      <c r="AU310" s="11">
        <v>0</v>
      </c>
      <c r="AV310" s="11">
        <v>0</v>
      </c>
      <c r="AW310" s="11">
        <v>0</v>
      </c>
      <c r="AX310" s="11">
        <v>0</v>
      </c>
      <c r="AY310" s="11">
        <v>0</v>
      </c>
      <c r="BA310" s="12" t="s">
        <v>4877</v>
      </c>
      <c r="BB310" s="12">
        <v>0</v>
      </c>
      <c r="BC310" s="9" t="s">
        <v>4878</v>
      </c>
      <c r="BD310" s="12">
        <v>0</v>
      </c>
      <c r="BE310" s="12">
        <v>0</v>
      </c>
      <c r="BF310" s="12">
        <v>0</v>
      </c>
      <c r="BI310" s="12">
        <v>0</v>
      </c>
      <c r="BJ310" s="12">
        <v>0</v>
      </c>
    </row>
    <row r="311" spans="1:62" x14ac:dyDescent="0.15">
      <c r="A311" s="7" t="s">
        <v>7139</v>
      </c>
      <c r="C311" s="7" t="s">
        <v>7140</v>
      </c>
      <c r="D311" s="7" t="s">
        <v>5292</v>
      </c>
      <c r="E311" s="9" t="s">
        <v>4870</v>
      </c>
      <c r="L311" s="10">
        <v>3772850</v>
      </c>
      <c r="M311" s="10">
        <v>728389</v>
      </c>
      <c r="N311" s="11">
        <v>15</v>
      </c>
      <c r="P311" s="7" t="s">
        <v>1053</v>
      </c>
      <c r="Q311" s="9" t="s">
        <v>1112</v>
      </c>
      <c r="S311" s="9" t="s">
        <v>5292</v>
      </c>
      <c r="T311" s="9" t="s">
        <v>5016</v>
      </c>
      <c r="U311" s="12" t="s">
        <v>5016</v>
      </c>
      <c r="V311" s="12" t="s">
        <v>5016</v>
      </c>
      <c r="W311" s="12">
        <v>0</v>
      </c>
      <c r="X311" s="12">
        <v>0</v>
      </c>
      <c r="Y311" s="12">
        <v>0</v>
      </c>
      <c r="Z311" s="11">
        <v>0</v>
      </c>
      <c r="AA311" s="11">
        <v>0</v>
      </c>
      <c r="AB311" s="11">
        <v>1</v>
      </c>
      <c r="AC311" s="11">
        <v>0</v>
      </c>
      <c r="AD311" s="11">
        <v>0</v>
      </c>
      <c r="AE311" s="11">
        <v>0</v>
      </c>
      <c r="AF311" s="11">
        <v>0</v>
      </c>
      <c r="AG311" s="11">
        <v>0</v>
      </c>
      <c r="AH311" s="9" t="s">
        <v>8248</v>
      </c>
      <c r="AI311" s="11">
        <v>2</v>
      </c>
      <c r="AJ311" s="11">
        <v>1</v>
      </c>
      <c r="AK311" s="11">
        <v>1</v>
      </c>
      <c r="AL311" s="11">
        <v>0</v>
      </c>
      <c r="AN311" s="11">
        <v>0</v>
      </c>
      <c r="AO311" s="11">
        <v>0</v>
      </c>
      <c r="AP311" s="11">
        <v>0</v>
      </c>
      <c r="AQ311" s="11">
        <v>0</v>
      </c>
      <c r="AR311" s="11">
        <v>0</v>
      </c>
      <c r="AS311" s="11">
        <v>0</v>
      </c>
      <c r="AT311" s="11">
        <v>1</v>
      </c>
      <c r="AU311" s="11">
        <v>0</v>
      </c>
      <c r="AV311" s="11">
        <v>0</v>
      </c>
      <c r="AW311" s="11">
        <v>0</v>
      </c>
      <c r="AX311" s="11">
        <v>0</v>
      </c>
      <c r="AY311" s="11">
        <v>0</v>
      </c>
      <c r="BA311" s="12" t="s">
        <v>4877</v>
      </c>
      <c r="BB311" s="12">
        <v>0</v>
      </c>
      <c r="BC311" s="9" t="s">
        <v>4878</v>
      </c>
      <c r="BD311" s="12">
        <v>0</v>
      </c>
      <c r="BE311" s="12">
        <v>0</v>
      </c>
      <c r="BF311" s="12">
        <v>0</v>
      </c>
      <c r="BI311" s="12">
        <v>0</v>
      </c>
      <c r="BJ311" s="12">
        <v>0</v>
      </c>
    </row>
    <row r="312" spans="1:62" x14ac:dyDescent="0.15">
      <c r="A312" s="7" t="s">
        <v>7141</v>
      </c>
      <c r="C312" s="7" t="s">
        <v>6549</v>
      </c>
      <c r="D312" s="7" t="s">
        <v>5292</v>
      </c>
      <c r="E312" s="9" t="s">
        <v>4870</v>
      </c>
      <c r="L312" s="10">
        <v>3791820</v>
      </c>
      <c r="M312" s="10">
        <v>660360</v>
      </c>
      <c r="N312" s="11">
        <v>15</v>
      </c>
      <c r="P312" s="7" t="s">
        <v>923</v>
      </c>
      <c r="Q312" s="9" t="s">
        <v>5311</v>
      </c>
      <c r="R312" s="9" t="s">
        <v>5318</v>
      </c>
      <c r="S312" s="9" t="s">
        <v>5292</v>
      </c>
      <c r="T312" s="9" t="s">
        <v>4884</v>
      </c>
      <c r="U312" s="12" t="s">
        <v>5016</v>
      </c>
      <c r="V312" s="12" t="s">
        <v>5017</v>
      </c>
      <c r="W312" s="12">
        <v>0</v>
      </c>
      <c r="X312" s="12">
        <v>0</v>
      </c>
      <c r="Y312" s="12">
        <v>0</v>
      </c>
      <c r="Z312" s="11">
        <v>0</v>
      </c>
      <c r="AA312" s="11">
        <v>0</v>
      </c>
      <c r="AB312" s="11">
        <v>1</v>
      </c>
      <c r="AC312" s="11">
        <v>1</v>
      </c>
      <c r="AD312" s="11">
        <v>0</v>
      </c>
      <c r="AE312" s="11">
        <v>0</v>
      </c>
      <c r="AF312" s="11">
        <v>0</v>
      </c>
      <c r="AG312" s="11">
        <v>0</v>
      </c>
      <c r="AH312" s="9">
        <v>3</v>
      </c>
      <c r="AI312" s="11">
        <v>3</v>
      </c>
      <c r="AJ312" s="11">
        <v>1</v>
      </c>
      <c r="AK312" s="11">
        <v>1</v>
      </c>
      <c r="AL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1</v>
      </c>
      <c r="AS312" s="11">
        <v>0</v>
      </c>
      <c r="AT312" s="11">
        <v>1</v>
      </c>
      <c r="AU312" s="11">
        <v>0</v>
      </c>
      <c r="AV312" s="11">
        <v>0</v>
      </c>
      <c r="AW312" s="11">
        <v>0</v>
      </c>
      <c r="AX312" s="11">
        <v>0</v>
      </c>
      <c r="AY312" s="11">
        <v>0</v>
      </c>
      <c r="BA312" s="12" t="s">
        <v>4877</v>
      </c>
      <c r="BB312" s="12">
        <v>0</v>
      </c>
      <c r="BC312" s="9" t="s">
        <v>4878</v>
      </c>
      <c r="BD312" s="12">
        <v>12</v>
      </c>
      <c r="BE312" s="12">
        <v>0</v>
      </c>
      <c r="BF312" s="12">
        <f>VLOOKUP(A312,'[1]Conical Mounds'!A$1:O$65536,15,FALSE)</f>
        <v>7853.981633974483</v>
      </c>
      <c r="BI312">
        <f>BD312/BF312</f>
        <v>1.5278874536821952E-3</v>
      </c>
      <c r="BJ312">
        <f>BI312*10000</f>
        <v>15.278874536821952</v>
      </c>
    </row>
    <row r="313" spans="1:62" x14ac:dyDescent="0.15">
      <c r="A313" s="7" t="s">
        <v>7142</v>
      </c>
      <c r="C313" s="7" t="s">
        <v>7143</v>
      </c>
      <c r="D313" s="7" t="s">
        <v>5292</v>
      </c>
      <c r="E313" s="9" t="s">
        <v>4870</v>
      </c>
      <c r="L313" s="10">
        <v>3791340</v>
      </c>
      <c r="M313" s="10">
        <v>717339</v>
      </c>
      <c r="N313" s="11">
        <v>15</v>
      </c>
      <c r="P313" s="7" t="s">
        <v>6484</v>
      </c>
      <c r="Q313" s="9" t="s">
        <v>1061</v>
      </c>
      <c r="R313" s="9" t="s">
        <v>1061</v>
      </c>
      <c r="S313" s="9" t="s">
        <v>5292</v>
      </c>
      <c r="T313" s="9" t="s">
        <v>4891</v>
      </c>
      <c r="U313" s="12" t="s">
        <v>5017</v>
      </c>
      <c r="V313" s="12" t="s">
        <v>5018</v>
      </c>
      <c r="W313" s="12">
        <v>0</v>
      </c>
      <c r="X313" s="12">
        <v>0</v>
      </c>
      <c r="Y313" s="12">
        <v>0</v>
      </c>
      <c r="Z313" s="11">
        <v>0</v>
      </c>
      <c r="AA313" s="11">
        <v>0</v>
      </c>
      <c r="AB313" s="11">
        <v>0</v>
      </c>
      <c r="AC313" s="11">
        <v>1</v>
      </c>
      <c r="AD313" s="11">
        <v>1</v>
      </c>
      <c r="AE313" s="11">
        <v>0</v>
      </c>
      <c r="AF313" s="11">
        <v>0</v>
      </c>
      <c r="AG313" s="11">
        <v>0</v>
      </c>
      <c r="AH313" s="9">
        <v>2</v>
      </c>
      <c r="AI313" s="11">
        <v>2</v>
      </c>
      <c r="AJ313" s="11">
        <v>1</v>
      </c>
      <c r="AK313" s="11">
        <v>1</v>
      </c>
      <c r="AL313" s="11">
        <v>1</v>
      </c>
      <c r="AN313" s="11">
        <v>0</v>
      </c>
      <c r="AO313" s="11">
        <v>0</v>
      </c>
      <c r="AP313" s="11">
        <v>0</v>
      </c>
      <c r="AQ313" s="11">
        <v>1</v>
      </c>
      <c r="AR313" s="11">
        <v>0</v>
      </c>
      <c r="AS313" s="11">
        <v>0</v>
      </c>
      <c r="AT313" s="11">
        <v>1</v>
      </c>
      <c r="AU313" s="11">
        <v>0</v>
      </c>
      <c r="AV313" s="11">
        <v>0</v>
      </c>
      <c r="AW313" s="11">
        <v>0</v>
      </c>
      <c r="AX313" s="11">
        <v>0</v>
      </c>
      <c r="AY313" s="11">
        <v>0</v>
      </c>
      <c r="BA313" s="12" t="s">
        <v>4877</v>
      </c>
      <c r="BB313" s="12">
        <v>0</v>
      </c>
      <c r="BC313" s="9" t="s">
        <v>4878</v>
      </c>
      <c r="BD313" s="12">
        <v>12</v>
      </c>
      <c r="BE313" s="12">
        <v>0</v>
      </c>
      <c r="BF313" s="12">
        <v>0</v>
      </c>
      <c r="BI313" s="12">
        <v>0</v>
      </c>
      <c r="BJ313" s="12">
        <v>0</v>
      </c>
    </row>
    <row r="314" spans="1:62" x14ac:dyDescent="0.15">
      <c r="A314" s="7" t="s">
        <v>7144</v>
      </c>
      <c r="C314" s="7" t="s">
        <v>7145</v>
      </c>
      <c r="D314" s="7" t="s">
        <v>5292</v>
      </c>
      <c r="E314" s="9" t="s">
        <v>4870</v>
      </c>
      <c r="L314" s="10">
        <v>3789150</v>
      </c>
      <c r="M314" s="10">
        <v>717835</v>
      </c>
      <c r="N314" s="11">
        <v>15</v>
      </c>
      <c r="P314" s="7" t="s">
        <v>910</v>
      </c>
      <c r="Q314" s="9" t="s">
        <v>1112</v>
      </c>
      <c r="S314" s="9" t="s">
        <v>5292</v>
      </c>
      <c r="T314" s="9" t="s">
        <v>4797</v>
      </c>
      <c r="U314" s="12" t="s">
        <v>5018</v>
      </c>
      <c r="V314" s="12" t="s">
        <v>5019</v>
      </c>
      <c r="W314" s="12">
        <v>0</v>
      </c>
      <c r="X314" s="12">
        <v>0</v>
      </c>
      <c r="Y314" s="12">
        <v>0</v>
      </c>
      <c r="Z314" s="11">
        <v>0</v>
      </c>
      <c r="AA314" s="11">
        <v>0</v>
      </c>
      <c r="AB314" s="11">
        <v>0</v>
      </c>
      <c r="AC314" s="11">
        <v>0</v>
      </c>
      <c r="AD314" s="11">
        <v>1</v>
      </c>
      <c r="AE314" s="11">
        <v>1</v>
      </c>
      <c r="AF314" s="11">
        <v>0</v>
      </c>
      <c r="AG314" s="11">
        <v>0</v>
      </c>
      <c r="AH314" s="9" t="s">
        <v>4909</v>
      </c>
      <c r="AI314" s="11">
        <v>1</v>
      </c>
      <c r="AJ314" s="11">
        <v>1</v>
      </c>
      <c r="AK314" s="11">
        <v>0</v>
      </c>
      <c r="AL314" s="11">
        <v>0</v>
      </c>
      <c r="AN314" s="11">
        <v>0</v>
      </c>
      <c r="AO314" s="11">
        <v>0</v>
      </c>
      <c r="AP314" s="11">
        <v>0</v>
      </c>
      <c r="AQ314" s="11">
        <v>0</v>
      </c>
      <c r="AR314" s="11">
        <v>0</v>
      </c>
      <c r="AS314" s="11">
        <v>0</v>
      </c>
      <c r="AT314" s="11">
        <v>1</v>
      </c>
      <c r="AU314" s="11">
        <v>0</v>
      </c>
      <c r="AV314" s="11">
        <v>0</v>
      </c>
      <c r="AW314" s="11">
        <v>0</v>
      </c>
      <c r="AX314" s="11">
        <v>0</v>
      </c>
      <c r="AY314" s="11">
        <v>0</v>
      </c>
      <c r="BA314" s="12" t="s">
        <v>4877</v>
      </c>
      <c r="BB314" s="12">
        <v>0</v>
      </c>
      <c r="BC314" s="9" t="s">
        <v>4878</v>
      </c>
      <c r="BD314" s="12">
        <v>0</v>
      </c>
      <c r="BE314" s="12">
        <v>0</v>
      </c>
      <c r="BF314" s="12">
        <v>0</v>
      </c>
      <c r="BI314" s="12">
        <v>0</v>
      </c>
      <c r="BJ314" s="12">
        <v>0</v>
      </c>
    </row>
    <row r="315" spans="1:62" x14ac:dyDescent="0.15">
      <c r="A315" s="7" t="s">
        <v>7146</v>
      </c>
      <c r="C315" s="7" t="s">
        <v>7147</v>
      </c>
      <c r="D315" s="7" t="s">
        <v>5292</v>
      </c>
      <c r="E315" s="9" t="s">
        <v>4870</v>
      </c>
      <c r="L315" s="10">
        <v>3770950</v>
      </c>
      <c r="M315" s="10">
        <v>721200</v>
      </c>
      <c r="N315" s="11">
        <v>15</v>
      </c>
      <c r="P315" s="7" t="s">
        <v>1064</v>
      </c>
      <c r="Q315" s="9" t="s">
        <v>1061</v>
      </c>
      <c r="R315" s="9" t="s">
        <v>1061</v>
      </c>
      <c r="S315" s="9" t="s">
        <v>5292</v>
      </c>
      <c r="T315" s="9" t="s">
        <v>4797</v>
      </c>
      <c r="U315" s="12" t="s">
        <v>5018</v>
      </c>
      <c r="V315" s="12" t="s">
        <v>5019</v>
      </c>
      <c r="W315" s="12">
        <v>0</v>
      </c>
      <c r="X315" s="12">
        <v>0</v>
      </c>
      <c r="Y315" s="12">
        <v>0</v>
      </c>
      <c r="Z315" s="11">
        <v>0</v>
      </c>
      <c r="AA315" s="11">
        <v>0</v>
      </c>
      <c r="AB315" s="11">
        <v>0</v>
      </c>
      <c r="AC315" s="11">
        <v>0</v>
      </c>
      <c r="AD315" s="11">
        <v>1</v>
      </c>
      <c r="AE315" s="11">
        <v>1</v>
      </c>
      <c r="AF315" s="11">
        <v>0</v>
      </c>
      <c r="AG315" s="11">
        <v>0</v>
      </c>
      <c r="AH315" s="9">
        <v>2</v>
      </c>
      <c r="AI315" s="11">
        <v>2</v>
      </c>
      <c r="AJ315" s="11">
        <v>1</v>
      </c>
      <c r="AK315" s="11">
        <v>1</v>
      </c>
      <c r="AL315" s="11">
        <v>1</v>
      </c>
      <c r="AN315" s="11">
        <v>0</v>
      </c>
      <c r="AO315" s="11">
        <v>0</v>
      </c>
      <c r="AP315" s="11">
        <v>0</v>
      </c>
      <c r="AQ315" s="11">
        <v>0</v>
      </c>
      <c r="AR315" s="11">
        <v>0</v>
      </c>
      <c r="AS315" s="11">
        <v>0</v>
      </c>
      <c r="AT315" s="11">
        <v>1</v>
      </c>
      <c r="AU315" s="11">
        <v>0</v>
      </c>
      <c r="AV315" s="11">
        <v>0</v>
      </c>
      <c r="AW315" s="11">
        <v>0</v>
      </c>
      <c r="AX315" s="11">
        <v>0</v>
      </c>
      <c r="AY315" s="11">
        <v>0</v>
      </c>
      <c r="BA315" s="12" t="s">
        <v>4877</v>
      </c>
      <c r="BB315" s="12">
        <v>1</v>
      </c>
      <c r="BC315" s="9" t="s">
        <v>4878</v>
      </c>
      <c r="BD315" s="12">
        <v>26</v>
      </c>
      <c r="BE315" s="12">
        <v>600</v>
      </c>
      <c r="BF315" s="12">
        <v>0</v>
      </c>
      <c r="BI315" s="12">
        <v>0</v>
      </c>
      <c r="BJ315" s="12">
        <v>0</v>
      </c>
    </row>
    <row r="316" spans="1:62" x14ac:dyDescent="0.15">
      <c r="A316" s="7" t="s">
        <v>7148</v>
      </c>
      <c r="C316" s="7" t="s">
        <v>7149</v>
      </c>
      <c r="D316" s="7" t="s">
        <v>5292</v>
      </c>
      <c r="E316" s="9" t="s">
        <v>4870</v>
      </c>
      <c r="L316" s="10">
        <v>3778930</v>
      </c>
      <c r="M316" s="10">
        <v>712966</v>
      </c>
      <c r="N316" s="11">
        <v>15</v>
      </c>
      <c r="P316" s="7" t="s">
        <v>1087</v>
      </c>
      <c r="Q316" s="9" t="s">
        <v>5311</v>
      </c>
      <c r="S316" s="9" t="s">
        <v>5292</v>
      </c>
      <c r="T316" s="9" t="s">
        <v>5401</v>
      </c>
      <c r="U316" s="12" t="s">
        <v>5017</v>
      </c>
      <c r="V316" s="12" t="s">
        <v>5020</v>
      </c>
      <c r="W316" s="12">
        <v>0</v>
      </c>
      <c r="X316" s="12">
        <v>0</v>
      </c>
      <c r="Y316" s="12">
        <v>0</v>
      </c>
      <c r="Z316" s="11">
        <v>0</v>
      </c>
      <c r="AA316" s="11">
        <v>0</v>
      </c>
      <c r="AB316" s="11">
        <v>0</v>
      </c>
      <c r="AC316" s="11">
        <v>1</v>
      </c>
      <c r="AD316" s="11">
        <v>0</v>
      </c>
      <c r="AE316" s="11">
        <v>0</v>
      </c>
      <c r="AF316" s="11">
        <v>1</v>
      </c>
      <c r="AG316" s="11">
        <v>0</v>
      </c>
      <c r="AH316" s="9" t="s">
        <v>8248</v>
      </c>
      <c r="AI316" s="11">
        <v>2</v>
      </c>
      <c r="AJ316" s="11">
        <v>1</v>
      </c>
      <c r="AK316" s="11">
        <v>1</v>
      </c>
      <c r="AL316" s="11">
        <v>0</v>
      </c>
      <c r="AN316" s="11">
        <v>0</v>
      </c>
      <c r="AO316" s="11">
        <v>0</v>
      </c>
      <c r="AP316" s="11">
        <v>0</v>
      </c>
      <c r="AQ316" s="11">
        <v>0</v>
      </c>
      <c r="AR316" s="11">
        <v>0</v>
      </c>
      <c r="AS316" s="11">
        <v>0</v>
      </c>
      <c r="AT316" s="11">
        <v>1</v>
      </c>
      <c r="AU316" s="11">
        <v>0</v>
      </c>
      <c r="AV316" s="11">
        <v>0</v>
      </c>
      <c r="AW316" s="11">
        <v>0</v>
      </c>
      <c r="AX316" s="11">
        <v>0</v>
      </c>
      <c r="AY316" s="11">
        <v>0</v>
      </c>
      <c r="BA316" s="12" t="s">
        <v>4877</v>
      </c>
      <c r="BB316" s="12">
        <v>0</v>
      </c>
      <c r="BC316" s="9" t="s">
        <v>4878</v>
      </c>
      <c r="BD316" s="12">
        <v>0</v>
      </c>
      <c r="BE316" s="12">
        <v>0</v>
      </c>
      <c r="BF316" s="12">
        <v>0</v>
      </c>
      <c r="BI316" s="12">
        <v>0</v>
      </c>
      <c r="BJ316" s="12">
        <v>0</v>
      </c>
    </row>
    <row r="317" spans="1:62" x14ac:dyDescent="0.15">
      <c r="A317" s="7" t="s">
        <v>7150</v>
      </c>
      <c r="C317" s="7" t="s">
        <v>7151</v>
      </c>
      <c r="D317" s="7" t="s">
        <v>5292</v>
      </c>
      <c r="E317" s="9" t="s">
        <v>4870</v>
      </c>
      <c r="L317" s="10">
        <v>3782293</v>
      </c>
      <c r="M317" s="10">
        <v>707831</v>
      </c>
      <c r="N317" s="11">
        <v>15</v>
      </c>
      <c r="P317" s="7" t="s">
        <v>6473</v>
      </c>
      <c r="Q317" s="9" t="s">
        <v>5322</v>
      </c>
      <c r="S317" s="9" t="s">
        <v>5292</v>
      </c>
      <c r="T317" s="9" t="s">
        <v>4902</v>
      </c>
      <c r="U317" s="12" t="s">
        <v>4902</v>
      </c>
      <c r="V317" s="12" t="s">
        <v>4902</v>
      </c>
      <c r="W317" s="12">
        <v>0</v>
      </c>
      <c r="X317" s="12">
        <v>0</v>
      </c>
      <c r="Y317" s="12">
        <v>0</v>
      </c>
      <c r="Z317" s="11">
        <v>0</v>
      </c>
      <c r="AA317" s="11">
        <v>0</v>
      </c>
      <c r="AB317" s="11">
        <v>0</v>
      </c>
      <c r="AC317" s="11">
        <v>0</v>
      </c>
      <c r="AD317" s="11">
        <v>0</v>
      </c>
      <c r="AE317" s="11">
        <v>0</v>
      </c>
      <c r="AF317" s="11">
        <v>0</v>
      </c>
      <c r="AG317" s="11">
        <v>0</v>
      </c>
      <c r="AH317" s="9" t="s">
        <v>4909</v>
      </c>
      <c r="AI317" s="11">
        <v>1</v>
      </c>
      <c r="AJ317" s="11">
        <v>1</v>
      </c>
      <c r="AK317" s="11">
        <v>0</v>
      </c>
      <c r="AL317" s="11">
        <v>0</v>
      </c>
      <c r="AN317" s="11">
        <v>0</v>
      </c>
      <c r="AO317" s="11">
        <v>0</v>
      </c>
      <c r="AP317" s="11">
        <v>0</v>
      </c>
      <c r="AQ317" s="11">
        <v>0</v>
      </c>
      <c r="AR317" s="11">
        <v>1</v>
      </c>
      <c r="AS317" s="11">
        <v>0</v>
      </c>
      <c r="AT317" s="11">
        <v>0</v>
      </c>
      <c r="AU317" s="11">
        <v>0</v>
      </c>
      <c r="AV317" s="11">
        <v>0</v>
      </c>
      <c r="AW317" s="11">
        <v>0</v>
      </c>
      <c r="AX317" s="11">
        <v>0</v>
      </c>
      <c r="AY317" s="11">
        <v>0</v>
      </c>
      <c r="BA317" s="12" t="s">
        <v>4877</v>
      </c>
      <c r="BB317" s="12">
        <v>0</v>
      </c>
      <c r="BC317" s="9" t="s">
        <v>4878</v>
      </c>
      <c r="BD317" s="12">
        <v>0</v>
      </c>
      <c r="BE317" s="12">
        <v>0</v>
      </c>
      <c r="BF317" s="12">
        <v>0</v>
      </c>
      <c r="BI317" s="12">
        <v>0</v>
      </c>
      <c r="BJ317" s="12">
        <v>0</v>
      </c>
    </row>
    <row r="318" spans="1:62" x14ac:dyDescent="0.15">
      <c r="A318" s="7" t="s">
        <v>7152</v>
      </c>
      <c r="C318" s="7" t="s">
        <v>7153</v>
      </c>
      <c r="D318" s="7" t="s">
        <v>5292</v>
      </c>
      <c r="E318" s="9" t="s">
        <v>4870</v>
      </c>
      <c r="L318" s="10">
        <v>3776890</v>
      </c>
      <c r="M318" s="10">
        <v>728912</v>
      </c>
      <c r="N318" s="11">
        <v>15</v>
      </c>
      <c r="P318" s="7" t="s">
        <v>731</v>
      </c>
      <c r="Q318" s="9" t="s">
        <v>1061</v>
      </c>
      <c r="R318" s="9" t="s">
        <v>1061</v>
      </c>
      <c r="S318" s="9" t="s">
        <v>5292</v>
      </c>
      <c r="T318" s="9" t="s">
        <v>4875</v>
      </c>
      <c r="U318" s="12" t="s">
        <v>5020</v>
      </c>
      <c r="V318" s="12" t="s">
        <v>5021</v>
      </c>
      <c r="W318" s="12">
        <v>0</v>
      </c>
      <c r="X318" s="12">
        <v>0</v>
      </c>
      <c r="Y318" s="12">
        <v>0</v>
      </c>
      <c r="Z318" s="11">
        <v>0</v>
      </c>
      <c r="AA318" s="11">
        <v>0</v>
      </c>
      <c r="AB318" s="11">
        <v>0</v>
      </c>
      <c r="AC318" s="11">
        <v>0</v>
      </c>
      <c r="AD318" s="11">
        <v>0</v>
      </c>
      <c r="AE318" s="11">
        <v>0</v>
      </c>
      <c r="AF318" s="11">
        <v>1</v>
      </c>
      <c r="AG318" s="11">
        <v>1</v>
      </c>
      <c r="AH318" s="9">
        <v>1</v>
      </c>
      <c r="AI318" s="11">
        <v>1</v>
      </c>
      <c r="AJ318" s="11">
        <v>1</v>
      </c>
      <c r="AK318" s="11">
        <v>0</v>
      </c>
      <c r="AL318" s="11">
        <v>1</v>
      </c>
      <c r="AN318" s="11">
        <v>0</v>
      </c>
      <c r="AO318" s="11">
        <v>0</v>
      </c>
      <c r="AP318" s="11">
        <v>0</v>
      </c>
      <c r="AQ318" s="11">
        <v>0</v>
      </c>
      <c r="AR318" s="11">
        <v>0</v>
      </c>
      <c r="AS318" s="11">
        <v>0</v>
      </c>
      <c r="AT318" s="11">
        <v>0</v>
      </c>
      <c r="AU318" s="11">
        <v>0</v>
      </c>
      <c r="AV318" s="11">
        <v>0</v>
      </c>
      <c r="AW318" s="11">
        <v>0</v>
      </c>
      <c r="AX318" s="11">
        <v>0</v>
      </c>
      <c r="AY318" s="11">
        <v>0</v>
      </c>
      <c r="BA318" s="12" t="s">
        <v>4877</v>
      </c>
      <c r="BB318" s="12">
        <v>0</v>
      </c>
      <c r="BC318" s="9" t="s">
        <v>4878</v>
      </c>
      <c r="BD318" s="12">
        <v>12</v>
      </c>
      <c r="BE318" s="12">
        <v>0</v>
      </c>
      <c r="BF318" s="12">
        <v>0</v>
      </c>
      <c r="BI318" s="12">
        <v>0</v>
      </c>
      <c r="BJ318" s="12">
        <v>0</v>
      </c>
    </row>
    <row r="319" spans="1:62" x14ac:dyDescent="0.15">
      <c r="A319" s="7" t="s">
        <v>7154</v>
      </c>
      <c r="C319" s="7" t="s">
        <v>7155</v>
      </c>
      <c r="D319" s="7" t="s">
        <v>5292</v>
      </c>
      <c r="E319" s="9" t="s">
        <v>4870</v>
      </c>
      <c r="L319" s="10">
        <v>3788240</v>
      </c>
      <c r="M319" s="10">
        <v>732175</v>
      </c>
      <c r="N319" s="11">
        <v>15</v>
      </c>
      <c r="P319" s="7" t="s">
        <v>1145</v>
      </c>
      <c r="Q319" s="9" t="s">
        <v>1061</v>
      </c>
      <c r="R319" s="9" t="s">
        <v>1061</v>
      </c>
      <c r="S319" s="9" t="s">
        <v>5292</v>
      </c>
      <c r="T319" s="9" t="s">
        <v>8484</v>
      </c>
      <c r="U319" s="12" t="s">
        <v>5019</v>
      </c>
      <c r="V319" s="12" t="s">
        <v>5020</v>
      </c>
      <c r="W319" s="12">
        <v>0</v>
      </c>
      <c r="X319" s="12">
        <v>0</v>
      </c>
      <c r="Y319" s="12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1</v>
      </c>
      <c r="AF319" s="11">
        <v>1</v>
      </c>
      <c r="AG319" s="11">
        <v>0</v>
      </c>
      <c r="AH319" s="9">
        <v>2</v>
      </c>
      <c r="AI319" s="11">
        <v>2</v>
      </c>
      <c r="AJ319" s="11">
        <v>1</v>
      </c>
      <c r="AK319" s="11">
        <v>1</v>
      </c>
      <c r="AL319" s="11">
        <v>1</v>
      </c>
      <c r="AN319" s="11">
        <v>1</v>
      </c>
      <c r="AO319" s="11">
        <v>1</v>
      </c>
      <c r="AP319" s="11">
        <v>0</v>
      </c>
      <c r="AQ319" s="11">
        <v>1</v>
      </c>
      <c r="AR319" s="11">
        <v>0</v>
      </c>
      <c r="AS319" s="11">
        <v>0</v>
      </c>
      <c r="AT319" s="11">
        <v>1</v>
      </c>
      <c r="AU319" s="11">
        <v>0</v>
      </c>
      <c r="AV319" s="11">
        <v>0</v>
      </c>
      <c r="AW319" s="11">
        <v>0</v>
      </c>
      <c r="AX319" s="11">
        <v>0</v>
      </c>
      <c r="AY319" s="11">
        <v>0</v>
      </c>
      <c r="BA319" s="12" t="s">
        <v>4877</v>
      </c>
      <c r="BB319" s="12">
        <v>1</v>
      </c>
      <c r="BC319" s="9" t="s">
        <v>4878</v>
      </c>
      <c r="BD319" s="12">
        <v>15</v>
      </c>
      <c r="BE319" s="12">
        <v>310</v>
      </c>
      <c r="BF319" s="12">
        <v>0</v>
      </c>
      <c r="BI319" s="12">
        <v>0</v>
      </c>
      <c r="BJ319" s="12">
        <v>0</v>
      </c>
    </row>
    <row r="320" spans="1:62" x14ac:dyDescent="0.15">
      <c r="A320" s="7" t="s">
        <v>7156</v>
      </c>
      <c r="C320" s="7" t="s">
        <v>7157</v>
      </c>
      <c r="D320" s="7" t="s">
        <v>5292</v>
      </c>
      <c r="E320" s="9" t="s">
        <v>4870</v>
      </c>
      <c r="L320" s="10">
        <v>3789290</v>
      </c>
      <c r="M320" s="10">
        <v>735663</v>
      </c>
      <c r="N320" s="11">
        <v>15</v>
      </c>
      <c r="P320" s="7" t="s">
        <v>5310</v>
      </c>
      <c r="Q320" s="9" t="s">
        <v>5311</v>
      </c>
      <c r="R320" s="9" t="s">
        <v>5318</v>
      </c>
      <c r="S320" s="9" t="s">
        <v>5292</v>
      </c>
      <c r="T320" s="9" t="s">
        <v>4797</v>
      </c>
      <c r="U320" s="12" t="s">
        <v>5018</v>
      </c>
      <c r="V320" s="12" t="s">
        <v>5019</v>
      </c>
      <c r="W320" s="12">
        <v>0</v>
      </c>
      <c r="X320" s="12">
        <v>0</v>
      </c>
      <c r="Y320" s="12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1</v>
      </c>
      <c r="AE320" s="11">
        <v>1</v>
      </c>
      <c r="AF320" s="11">
        <v>0</v>
      </c>
      <c r="AG320" s="11">
        <v>0</v>
      </c>
      <c r="AH320" s="9">
        <v>1</v>
      </c>
      <c r="AI320" s="11">
        <v>1</v>
      </c>
      <c r="AJ320" s="11">
        <v>1</v>
      </c>
      <c r="AK320" s="11">
        <v>0</v>
      </c>
      <c r="AL320" s="11">
        <v>0</v>
      </c>
      <c r="AN320" s="11">
        <v>0</v>
      </c>
      <c r="AO320" s="11">
        <v>0</v>
      </c>
      <c r="AP320" s="11">
        <v>0</v>
      </c>
      <c r="AQ320" s="11">
        <v>0</v>
      </c>
      <c r="AR320" s="11">
        <v>1</v>
      </c>
      <c r="AS320" s="11">
        <v>0</v>
      </c>
      <c r="AT320" s="11">
        <v>0</v>
      </c>
      <c r="AU320" s="11">
        <v>0</v>
      </c>
      <c r="AV320" s="11">
        <v>0</v>
      </c>
      <c r="AW320" s="11">
        <v>0</v>
      </c>
      <c r="AX320" s="11">
        <v>0</v>
      </c>
      <c r="AY320" s="11">
        <v>0</v>
      </c>
      <c r="BA320" s="12" t="s">
        <v>4877</v>
      </c>
      <c r="BB320" s="12">
        <v>0</v>
      </c>
      <c r="BC320" s="9" t="s">
        <v>4878</v>
      </c>
      <c r="BD320" s="12">
        <v>3</v>
      </c>
      <c r="BE320" s="12">
        <v>0</v>
      </c>
      <c r="BF320" s="12">
        <f>VLOOKUP(A320,'[1]Conical Mounds'!A$1:O$65536,15,FALSE)</f>
        <v>6361.7251235193307</v>
      </c>
      <c r="BI320">
        <f>BD320/BF320</f>
        <v>4.7157020175376402E-4</v>
      </c>
      <c r="BJ320">
        <f>BI320*10000</f>
        <v>4.7157020175376401</v>
      </c>
    </row>
    <row r="321" spans="1:62" x14ac:dyDescent="0.15">
      <c r="A321" s="7" t="s">
        <v>7158</v>
      </c>
      <c r="C321" s="7" t="s">
        <v>7159</v>
      </c>
      <c r="D321" s="7" t="s">
        <v>5292</v>
      </c>
      <c r="E321" s="9" t="s">
        <v>4870</v>
      </c>
      <c r="L321" s="10">
        <v>3783571</v>
      </c>
      <c r="M321" s="10">
        <v>750265</v>
      </c>
      <c r="N321" s="11">
        <v>15</v>
      </c>
      <c r="P321" s="7" t="s">
        <v>910</v>
      </c>
      <c r="Q321" s="9" t="s">
        <v>1112</v>
      </c>
      <c r="S321" s="9" t="s">
        <v>5292</v>
      </c>
      <c r="T321" s="9" t="s">
        <v>4780</v>
      </c>
      <c r="U321" s="12" t="s">
        <v>5016</v>
      </c>
      <c r="V321" s="12" t="s">
        <v>5019</v>
      </c>
      <c r="W321" s="12">
        <v>0</v>
      </c>
      <c r="X321" s="12">
        <v>0</v>
      </c>
      <c r="Y321" s="12">
        <v>0</v>
      </c>
      <c r="Z321" s="11">
        <v>0</v>
      </c>
      <c r="AA321" s="11">
        <v>0</v>
      </c>
      <c r="AB321" s="11">
        <v>1</v>
      </c>
      <c r="AC321" s="11">
        <v>0</v>
      </c>
      <c r="AD321" s="11">
        <v>0</v>
      </c>
      <c r="AE321" s="11">
        <v>1</v>
      </c>
      <c r="AF321" s="11">
        <v>0</v>
      </c>
      <c r="AG321" s="11">
        <v>0</v>
      </c>
      <c r="AH321" s="9" t="s">
        <v>4909</v>
      </c>
      <c r="AI321" s="11">
        <v>1</v>
      </c>
      <c r="AJ321" s="11">
        <v>1</v>
      </c>
      <c r="AK321" s="11">
        <v>0</v>
      </c>
      <c r="AL321" s="11">
        <v>0</v>
      </c>
      <c r="AN321" s="11">
        <v>0</v>
      </c>
      <c r="AO321" s="11">
        <v>0</v>
      </c>
      <c r="AP321" s="11">
        <v>0</v>
      </c>
      <c r="AQ321" s="11">
        <v>0</v>
      </c>
      <c r="AR321" s="11">
        <v>0</v>
      </c>
      <c r="AS321" s="11">
        <v>0</v>
      </c>
      <c r="AT321" s="11">
        <v>1</v>
      </c>
      <c r="AU321" s="11">
        <v>0</v>
      </c>
      <c r="AV321" s="11">
        <v>0</v>
      </c>
      <c r="AW321" s="11">
        <v>0</v>
      </c>
      <c r="AX321" s="11">
        <v>0</v>
      </c>
      <c r="AY321" s="11">
        <v>0</v>
      </c>
      <c r="BA321" s="12" t="s">
        <v>4877</v>
      </c>
      <c r="BB321" s="12">
        <v>0</v>
      </c>
      <c r="BC321" s="9" t="s">
        <v>4878</v>
      </c>
      <c r="BD321" s="12">
        <v>0</v>
      </c>
      <c r="BE321" s="12">
        <v>0</v>
      </c>
      <c r="BF321" s="12">
        <v>0</v>
      </c>
      <c r="BI321" s="12">
        <v>0</v>
      </c>
      <c r="BJ321" s="12">
        <v>0</v>
      </c>
    </row>
    <row r="322" spans="1:62" x14ac:dyDescent="0.15">
      <c r="A322" s="7" t="s">
        <v>7160</v>
      </c>
      <c r="C322" s="7" t="s">
        <v>7161</v>
      </c>
      <c r="D322" s="7" t="s">
        <v>5292</v>
      </c>
      <c r="E322" s="9" t="s">
        <v>4870</v>
      </c>
      <c r="L322" s="10">
        <v>3782580</v>
      </c>
      <c r="M322" s="10">
        <v>744963</v>
      </c>
      <c r="N322" s="11">
        <v>15</v>
      </c>
      <c r="P322" s="7" t="s">
        <v>7162</v>
      </c>
      <c r="Q322" s="9" t="s">
        <v>5311</v>
      </c>
      <c r="S322" s="9" t="s">
        <v>5292</v>
      </c>
      <c r="T322" s="9" t="s">
        <v>4902</v>
      </c>
      <c r="U322" s="12" t="s">
        <v>4902</v>
      </c>
      <c r="V322" s="12" t="s">
        <v>4902</v>
      </c>
      <c r="W322" s="12">
        <v>0</v>
      </c>
      <c r="X322" s="12">
        <v>0</v>
      </c>
      <c r="Y322" s="12">
        <v>0</v>
      </c>
      <c r="Z322" s="11">
        <v>0</v>
      </c>
      <c r="AA322" s="11">
        <v>0</v>
      </c>
      <c r="AB322" s="11">
        <v>0</v>
      </c>
      <c r="AC322" s="11">
        <v>0</v>
      </c>
      <c r="AD322" s="11">
        <v>0</v>
      </c>
      <c r="AE322" s="11">
        <v>0</v>
      </c>
      <c r="AF322" s="11">
        <v>0</v>
      </c>
      <c r="AG322" s="11">
        <v>0</v>
      </c>
      <c r="AH322" s="9" t="s">
        <v>4909</v>
      </c>
      <c r="AI322" s="11">
        <v>1</v>
      </c>
      <c r="AJ322" s="11">
        <v>1</v>
      </c>
      <c r="AK322" s="11">
        <v>1</v>
      </c>
      <c r="AL322" s="11">
        <v>0</v>
      </c>
      <c r="AN322" s="11">
        <v>0</v>
      </c>
      <c r="AO322" s="11">
        <v>0</v>
      </c>
      <c r="AP322" s="11">
        <v>0</v>
      </c>
      <c r="AQ322" s="11">
        <v>0</v>
      </c>
      <c r="AR322" s="11">
        <v>0</v>
      </c>
      <c r="AS322" s="11">
        <v>0</v>
      </c>
      <c r="AT322" s="11">
        <v>1</v>
      </c>
      <c r="AU322" s="11">
        <v>0</v>
      </c>
      <c r="AV322" s="11">
        <v>0</v>
      </c>
      <c r="AW322" s="11">
        <v>0</v>
      </c>
      <c r="AX322" s="11">
        <v>0</v>
      </c>
      <c r="AY322" s="11">
        <v>0</v>
      </c>
      <c r="BA322" s="12" t="s">
        <v>4877</v>
      </c>
      <c r="BB322" s="12">
        <v>0</v>
      </c>
      <c r="BC322" s="9" t="s">
        <v>4878</v>
      </c>
      <c r="BD322" s="12">
        <v>0</v>
      </c>
      <c r="BE322" s="12">
        <v>0</v>
      </c>
      <c r="BF322" s="12">
        <v>0</v>
      </c>
      <c r="BI322" s="12">
        <v>0</v>
      </c>
      <c r="BJ322" s="12">
        <v>0</v>
      </c>
    </row>
    <row r="323" spans="1:62" x14ac:dyDescent="0.15">
      <c r="A323" s="7" t="s">
        <v>7163</v>
      </c>
      <c r="C323" s="7" t="s">
        <v>7164</v>
      </c>
      <c r="D323" s="7" t="s">
        <v>5292</v>
      </c>
      <c r="E323" s="9" t="s">
        <v>4870</v>
      </c>
      <c r="L323" s="10">
        <v>3768900</v>
      </c>
      <c r="M323" s="10">
        <v>751284</v>
      </c>
      <c r="N323" s="11">
        <v>15</v>
      </c>
      <c r="P323" s="7" t="s">
        <v>5310</v>
      </c>
      <c r="Q323" s="9" t="s">
        <v>5311</v>
      </c>
      <c r="R323" s="9" t="s">
        <v>5318</v>
      </c>
      <c r="S323" s="9" t="s">
        <v>5292</v>
      </c>
      <c r="T323" s="9" t="s">
        <v>6655</v>
      </c>
      <c r="U323" s="12" t="s">
        <v>4898</v>
      </c>
      <c r="V323" s="12" t="s">
        <v>5016</v>
      </c>
      <c r="W323" s="12">
        <v>0</v>
      </c>
      <c r="X323" s="12">
        <v>0</v>
      </c>
      <c r="Y323" s="12">
        <v>0</v>
      </c>
      <c r="Z323" s="11">
        <v>0</v>
      </c>
      <c r="AA323" s="11">
        <v>1</v>
      </c>
      <c r="AB323" s="11">
        <v>1</v>
      </c>
      <c r="AC323" s="11">
        <v>0</v>
      </c>
      <c r="AD323" s="11">
        <v>0</v>
      </c>
      <c r="AE323" s="11">
        <v>0</v>
      </c>
      <c r="AF323" s="11">
        <v>0</v>
      </c>
      <c r="AG323" s="11">
        <v>0</v>
      </c>
      <c r="AH323" s="9">
        <v>1</v>
      </c>
      <c r="AI323" s="11">
        <v>1</v>
      </c>
      <c r="AJ323" s="11">
        <v>1</v>
      </c>
      <c r="AK323" s="11">
        <v>0</v>
      </c>
      <c r="AL323" s="11">
        <v>0</v>
      </c>
      <c r="AN323" s="11">
        <v>0</v>
      </c>
      <c r="AO323" s="11">
        <v>0</v>
      </c>
      <c r="AP323" s="11">
        <v>0</v>
      </c>
      <c r="AQ323" s="11">
        <v>0</v>
      </c>
      <c r="AR323" s="11">
        <v>1</v>
      </c>
      <c r="AS323" s="11">
        <v>0</v>
      </c>
      <c r="AT323" s="11">
        <v>0</v>
      </c>
      <c r="AU323" s="11">
        <v>0</v>
      </c>
      <c r="AV323" s="11">
        <v>0</v>
      </c>
      <c r="AW323" s="11">
        <v>0</v>
      </c>
      <c r="AX323" s="11">
        <v>0</v>
      </c>
      <c r="AY323" s="11">
        <v>0</v>
      </c>
      <c r="BA323" s="12" t="s">
        <v>4877</v>
      </c>
      <c r="BB323" s="12">
        <v>0</v>
      </c>
      <c r="BC323" s="9" t="s">
        <v>4878</v>
      </c>
      <c r="BD323" s="12">
        <v>3</v>
      </c>
      <c r="BE323" s="12">
        <v>0</v>
      </c>
      <c r="BF323" s="12">
        <f>VLOOKUP(A323,'[1]Conical Mounds'!A$1:O$65536,15,FALSE)</f>
        <v>1590.4312808798327</v>
      </c>
      <c r="BI323">
        <f>BD323/BF323</f>
        <v>1.8862808070150561E-3</v>
      </c>
      <c r="BJ323">
        <f>BI323*10000</f>
        <v>18.86280807015056</v>
      </c>
    </row>
    <row r="324" spans="1:62" x14ac:dyDescent="0.15">
      <c r="A324" s="7" t="s">
        <v>7165</v>
      </c>
      <c r="C324" s="7" t="s">
        <v>7166</v>
      </c>
      <c r="D324" s="7" t="s">
        <v>5292</v>
      </c>
      <c r="E324" s="9" t="s">
        <v>4870</v>
      </c>
      <c r="L324" s="10">
        <v>3773320</v>
      </c>
      <c r="M324" s="10">
        <v>733696</v>
      </c>
      <c r="N324" s="11">
        <v>15</v>
      </c>
      <c r="P324" s="7" t="s">
        <v>1087</v>
      </c>
      <c r="Q324" s="9" t="s">
        <v>5311</v>
      </c>
      <c r="R324" s="9" t="s">
        <v>5318</v>
      </c>
      <c r="S324" s="9" t="s">
        <v>5292</v>
      </c>
      <c r="T324" s="9" t="s">
        <v>4915</v>
      </c>
      <c r="U324" s="12" t="s">
        <v>4897</v>
      </c>
      <c r="V324" s="12" t="s">
        <v>5021</v>
      </c>
      <c r="W324" s="12">
        <v>0</v>
      </c>
      <c r="X324" s="12">
        <v>0</v>
      </c>
      <c r="Y324" s="12">
        <v>0</v>
      </c>
      <c r="Z324" s="11">
        <v>1</v>
      </c>
      <c r="AA324" s="11">
        <v>1</v>
      </c>
      <c r="AB324" s="11">
        <v>1</v>
      </c>
      <c r="AC324" s="11">
        <v>0</v>
      </c>
      <c r="AD324" s="11">
        <v>0</v>
      </c>
      <c r="AE324" s="12">
        <v>1</v>
      </c>
      <c r="AF324" s="12">
        <v>1</v>
      </c>
      <c r="AG324" s="12">
        <v>1</v>
      </c>
      <c r="AH324" s="9">
        <v>1</v>
      </c>
      <c r="AI324" s="11">
        <v>1</v>
      </c>
      <c r="AJ324" s="11">
        <v>1</v>
      </c>
      <c r="AK324" s="11">
        <v>1</v>
      </c>
      <c r="AL324" s="11">
        <v>0</v>
      </c>
      <c r="AN324" s="11">
        <v>0</v>
      </c>
      <c r="AO324" s="11">
        <v>0</v>
      </c>
      <c r="AP324" s="11">
        <v>0</v>
      </c>
      <c r="AQ324" s="11">
        <v>0</v>
      </c>
      <c r="AR324" s="11">
        <v>1</v>
      </c>
      <c r="AS324" s="11">
        <v>0</v>
      </c>
      <c r="AT324" s="11">
        <v>0</v>
      </c>
      <c r="AU324" s="11">
        <v>0</v>
      </c>
      <c r="AV324" s="11">
        <v>0</v>
      </c>
      <c r="AW324" s="11">
        <v>0</v>
      </c>
      <c r="AX324" s="11">
        <v>0</v>
      </c>
      <c r="AY324" s="11">
        <v>0</v>
      </c>
      <c r="BA324" s="12" t="s">
        <v>4877</v>
      </c>
      <c r="BB324" s="12">
        <v>0</v>
      </c>
      <c r="BC324" s="9" t="s">
        <v>4878</v>
      </c>
      <c r="BD324" s="12">
        <v>5</v>
      </c>
      <c r="BE324" s="12">
        <v>0</v>
      </c>
      <c r="BF324" s="12">
        <f>VLOOKUP(A324,'[1]Conical Mounds'!A$1:O$65536,15,FALSE)</f>
        <v>4417.8646691106469</v>
      </c>
      <c r="BI324">
        <f>BD324/BF324</f>
        <v>1.1317684842090336E-3</v>
      </c>
      <c r="BJ324">
        <f>BI324*10000</f>
        <v>11.317684842090335</v>
      </c>
    </row>
    <row r="325" spans="1:62" x14ac:dyDescent="0.15">
      <c r="A325" s="7" t="s">
        <v>7167</v>
      </c>
      <c r="C325" s="7" t="s">
        <v>7168</v>
      </c>
      <c r="D325" s="7" t="s">
        <v>5292</v>
      </c>
      <c r="E325" s="9" t="s">
        <v>4870</v>
      </c>
      <c r="L325" s="10">
        <v>3771220</v>
      </c>
      <c r="M325" s="10">
        <v>734081</v>
      </c>
      <c r="N325" s="11">
        <v>15</v>
      </c>
      <c r="P325" s="7" t="s">
        <v>5310</v>
      </c>
      <c r="Q325" s="9" t="s">
        <v>5311</v>
      </c>
      <c r="R325" s="9" t="s">
        <v>5318</v>
      </c>
      <c r="S325" s="9" t="s">
        <v>5292</v>
      </c>
      <c r="T325" s="9" t="s">
        <v>4884</v>
      </c>
      <c r="U325" s="12" t="s">
        <v>5016</v>
      </c>
      <c r="V325" s="12" t="s">
        <v>5017</v>
      </c>
      <c r="W325" s="12">
        <v>0</v>
      </c>
      <c r="X325" s="12">
        <v>0</v>
      </c>
      <c r="Y325" s="12">
        <v>0</v>
      </c>
      <c r="Z325" s="11">
        <v>0</v>
      </c>
      <c r="AA325" s="11">
        <v>0</v>
      </c>
      <c r="AB325" s="11">
        <v>1</v>
      </c>
      <c r="AC325" s="11">
        <v>1</v>
      </c>
      <c r="AD325" s="11">
        <v>0</v>
      </c>
      <c r="AE325" s="11">
        <v>0</v>
      </c>
      <c r="AF325" s="11">
        <v>0</v>
      </c>
      <c r="AG325" s="11">
        <v>0</v>
      </c>
      <c r="AH325" s="9">
        <v>1</v>
      </c>
      <c r="AI325" s="11">
        <v>1</v>
      </c>
      <c r="AJ325" s="11">
        <v>1</v>
      </c>
      <c r="AK325" s="11">
        <v>0</v>
      </c>
      <c r="AL325" s="11">
        <v>0</v>
      </c>
      <c r="AN325" s="11">
        <v>0</v>
      </c>
      <c r="AO325" s="11">
        <v>0</v>
      </c>
      <c r="AP325" s="11">
        <v>0</v>
      </c>
      <c r="AQ325" s="11">
        <v>0</v>
      </c>
      <c r="AR325" s="11">
        <v>1</v>
      </c>
      <c r="AS325" s="11">
        <v>0</v>
      </c>
      <c r="AT325" s="11">
        <v>0</v>
      </c>
      <c r="AU325" s="11">
        <v>0</v>
      </c>
      <c r="AV325" s="11">
        <v>0</v>
      </c>
      <c r="AW325" s="11">
        <v>0</v>
      </c>
      <c r="AX325" s="11">
        <v>0</v>
      </c>
      <c r="AY325" s="11">
        <v>0</v>
      </c>
      <c r="BA325" s="12" t="s">
        <v>4877</v>
      </c>
      <c r="BB325" s="12">
        <v>0</v>
      </c>
      <c r="BC325" s="9" t="s">
        <v>4878</v>
      </c>
      <c r="BD325" s="12">
        <v>0</v>
      </c>
      <c r="BE325" s="12">
        <v>0</v>
      </c>
      <c r="BF325" s="12">
        <v>0</v>
      </c>
      <c r="BI325" s="12">
        <v>0</v>
      </c>
      <c r="BJ325" s="12">
        <v>0</v>
      </c>
    </row>
    <row r="326" spans="1:62" x14ac:dyDescent="0.15">
      <c r="A326" s="7" t="s">
        <v>7169</v>
      </c>
      <c r="C326" s="7" t="s">
        <v>7170</v>
      </c>
      <c r="D326" s="7" t="s">
        <v>5292</v>
      </c>
      <c r="E326" s="9" t="s">
        <v>4870</v>
      </c>
      <c r="L326" s="10">
        <v>3778260</v>
      </c>
      <c r="M326" s="10">
        <v>732685</v>
      </c>
      <c r="N326" s="11">
        <v>15</v>
      </c>
      <c r="P326" s="7" t="s">
        <v>731</v>
      </c>
      <c r="Q326" s="9" t="s">
        <v>1061</v>
      </c>
      <c r="R326" s="9" t="s">
        <v>1061</v>
      </c>
      <c r="S326" s="9" t="s">
        <v>5292</v>
      </c>
      <c r="T326" s="9" t="s">
        <v>8484</v>
      </c>
      <c r="U326" s="12" t="s">
        <v>5019</v>
      </c>
      <c r="V326" s="12" t="s">
        <v>5020</v>
      </c>
      <c r="W326" s="12">
        <v>0</v>
      </c>
      <c r="X326" s="12">
        <v>0</v>
      </c>
      <c r="Y326" s="12">
        <v>0</v>
      </c>
      <c r="Z326" s="11">
        <v>0</v>
      </c>
      <c r="AA326" s="11">
        <v>0</v>
      </c>
      <c r="AB326" s="11">
        <v>0</v>
      </c>
      <c r="AC326" s="11">
        <v>0</v>
      </c>
      <c r="AD326" s="11">
        <v>0</v>
      </c>
      <c r="AE326" s="11">
        <v>1</v>
      </c>
      <c r="AF326" s="11">
        <v>1</v>
      </c>
      <c r="AG326" s="11">
        <v>0</v>
      </c>
      <c r="AH326" s="9">
        <v>1</v>
      </c>
      <c r="AI326" s="11">
        <v>1</v>
      </c>
      <c r="AJ326" s="11">
        <v>1</v>
      </c>
      <c r="AK326" s="11">
        <v>0</v>
      </c>
      <c r="AL326" s="11">
        <v>1</v>
      </c>
      <c r="AN326" s="11">
        <v>0</v>
      </c>
      <c r="AO326" s="11">
        <v>0</v>
      </c>
      <c r="AP326" s="11">
        <v>0</v>
      </c>
      <c r="AQ326" s="11">
        <v>0</v>
      </c>
      <c r="AR326" s="11">
        <v>0</v>
      </c>
      <c r="AS326" s="11">
        <v>0</v>
      </c>
      <c r="AT326" s="11">
        <v>0</v>
      </c>
      <c r="AU326" s="11">
        <v>0</v>
      </c>
      <c r="AV326" s="11">
        <v>0</v>
      </c>
      <c r="AW326" s="11">
        <v>0</v>
      </c>
      <c r="AX326" s="11">
        <v>0</v>
      </c>
      <c r="AY326" s="11">
        <v>0</v>
      </c>
      <c r="BA326" s="12" t="s">
        <v>4877</v>
      </c>
      <c r="BB326" s="12">
        <v>0</v>
      </c>
      <c r="BC326" s="9" t="s">
        <v>4878</v>
      </c>
      <c r="BD326" s="12">
        <v>15</v>
      </c>
      <c r="BE326" s="12">
        <v>0</v>
      </c>
      <c r="BF326" s="12">
        <v>0</v>
      </c>
      <c r="BI326" s="12">
        <v>0</v>
      </c>
      <c r="BJ326" s="12">
        <v>0</v>
      </c>
    </row>
    <row r="327" spans="1:62" x14ac:dyDescent="0.15">
      <c r="A327" s="7" t="s">
        <v>7171</v>
      </c>
      <c r="C327" s="7" t="s">
        <v>7172</v>
      </c>
      <c r="D327" s="7" t="s">
        <v>5292</v>
      </c>
      <c r="E327" s="9" t="s">
        <v>4870</v>
      </c>
      <c r="L327" s="10">
        <v>3767380</v>
      </c>
      <c r="M327" s="10">
        <v>740305</v>
      </c>
      <c r="N327" s="11">
        <v>15</v>
      </c>
      <c r="P327" s="7" t="s">
        <v>7173</v>
      </c>
      <c r="Q327" s="9" t="s">
        <v>5311</v>
      </c>
      <c r="R327" s="9" t="s">
        <v>5318</v>
      </c>
      <c r="S327" s="9" t="s">
        <v>5292</v>
      </c>
      <c r="T327" s="9" t="s">
        <v>4884</v>
      </c>
      <c r="U327" s="12" t="s">
        <v>5016</v>
      </c>
      <c r="V327" s="12" t="s">
        <v>5017</v>
      </c>
      <c r="W327" s="12">
        <v>0</v>
      </c>
      <c r="X327" s="12">
        <v>0</v>
      </c>
      <c r="Y327" s="12">
        <v>0</v>
      </c>
      <c r="Z327" s="11">
        <v>0</v>
      </c>
      <c r="AA327" s="11">
        <v>0</v>
      </c>
      <c r="AB327" s="11">
        <v>1</v>
      </c>
      <c r="AC327" s="11">
        <v>1</v>
      </c>
      <c r="AD327" s="11">
        <v>0</v>
      </c>
      <c r="AE327" s="11">
        <v>0</v>
      </c>
      <c r="AF327" s="11">
        <v>0</v>
      </c>
      <c r="AG327" s="11">
        <v>0</v>
      </c>
      <c r="AH327" s="9">
        <v>2</v>
      </c>
      <c r="AI327" s="11">
        <v>2</v>
      </c>
      <c r="AJ327" s="11">
        <v>1</v>
      </c>
      <c r="AK327" s="11">
        <v>1</v>
      </c>
      <c r="AL327" s="11">
        <v>0</v>
      </c>
      <c r="AN327" s="11">
        <v>0</v>
      </c>
      <c r="AO327" s="11">
        <v>0</v>
      </c>
      <c r="AP327" s="11">
        <v>0</v>
      </c>
      <c r="AQ327" s="11">
        <v>0</v>
      </c>
      <c r="AR327" s="11">
        <v>1</v>
      </c>
      <c r="AS327" s="11">
        <v>0</v>
      </c>
      <c r="AT327" s="11">
        <v>1</v>
      </c>
      <c r="AU327" s="11">
        <v>0</v>
      </c>
      <c r="AV327" s="11">
        <v>0</v>
      </c>
      <c r="AW327" s="11">
        <v>0</v>
      </c>
      <c r="AX327" s="11">
        <v>0</v>
      </c>
      <c r="AY327" s="11">
        <v>0</v>
      </c>
      <c r="BA327" s="12" t="s">
        <v>4877</v>
      </c>
      <c r="BB327" s="12">
        <v>0</v>
      </c>
      <c r="BC327" s="9" t="s">
        <v>4878</v>
      </c>
      <c r="BD327" s="12">
        <v>5</v>
      </c>
      <c r="BE327" s="12">
        <v>0</v>
      </c>
      <c r="BF327" s="12">
        <f>VLOOKUP(A327,'[1]Conical Mounds'!A$1:O$65536,15,FALSE)</f>
        <v>2827.4333882308138</v>
      </c>
      <c r="BI327">
        <f>BD327/BF327</f>
        <v>1.7683882565766149E-3</v>
      </c>
      <c r="BJ327">
        <f>BI327*10000</f>
        <v>17.683882565766147</v>
      </c>
    </row>
    <row r="328" spans="1:62" x14ac:dyDescent="0.15">
      <c r="A328" s="7" t="s">
        <v>7174</v>
      </c>
      <c r="C328" s="7" t="s">
        <v>7175</v>
      </c>
      <c r="D328" s="7" t="s">
        <v>5292</v>
      </c>
      <c r="E328" s="9" t="s">
        <v>4870</v>
      </c>
      <c r="L328" s="10">
        <v>3784296</v>
      </c>
      <c r="M328" s="10">
        <v>748158</v>
      </c>
      <c r="N328" s="11">
        <v>15</v>
      </c>
      <c r="P328" s="7" t="s">
        <v>1079</v>
      </c>
      <c r="Q328" s="9" t="s">
        <v>5322</v>
      </c>
      <c r="S328" s="9" t="s">
        <v>5292</v>
      </c>
      <c r="T328" s="9" t="s">
        <v>4902</v>
      </c>
      <c r="U328" s="12" t="s">
        <v>4902</v>
      </c>
      <c r="V328" s="12" t="s">
        <v>4902</v>
      </c>
      <c r="W328" s="12">
        <v>0</v>
      </c>
      <c r="X328" s="12">
        <v>0</v>
      </c>
      <c r="Y328" s="12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9" t="s">
        <v>4909</v>
      </c>
      <c r="AI328" s="11">
        <v>1</v>
      </c>
      <c r="AJ328" s="11">
        <v>1</v>
      </c>
      <c r="AK328" s="11">
        <v>0</v>
      </c>
      <c r="AL328" s="11">
        <v>0</v>
      </c>
      <c r="AN328" s="11">
        <v>0</v>
      </c>
      <c r="AO328" s="11">
        <v>0</v>
      </c>
      <c r="AP328" s="11">
        <v>0</v>
      </c>
      <c r="AQ328" s="11">
        <v>0</v>
      </c>
      <c r="AR328" s="11">
        <v>1</v>
      </c>
      <c r="AS328" s="11">
        <v>0</v>
      </c>
      <c r="AT328" s="11">
        <v>0</v>
      </c>
      <c r="AU328" s="11">
        <v>0</v>
      </c>
      <c r="AV328" s="11">
        <v>0</v>
      </c>
      <c r="AW328" s="11">
        <v>0</v>
      </c>
      <c r="AX328" s="11">
        <v>0</v>
      </c>
      <c r="AY328" s="11">
        <v>0</v>
      </c>
      <c r="BA328" s="12" t="s">
        <v>4877</v>
      </c>
      <c r="BB328" s="12">
        <v>0</v>
      </c>
      <c r="BC328" s="9" t="s">
        <v>4878</v>
      </c>
      <c r="BD328" s="12">
        <v>0</v>
      </c>
      <c r="BE328" s="12">
        <v>0</v>
      </c>
      <c r="BF328" s="12">
        <v>0</v>
      </c>
      <c r="BI328" s="12">
        <v>0</v>
      </c>
      <c r="BJ328" s="12">
        <v>0</v>
      </c>
    </row>
    <row r="329" spans="1:62" x14ac:dyDescent="0.15">
      <c r="A329" s="7" t="s">
        <v>7176</v>
      </c>
      <c r="C329" s="7" t="s">
        <v>7177</v>
      </c>
      <c r="D329" s="7" t="s">
        <v>5292</v>
      </c>
      <c r="E329" s="9" t="s">
        <v>4870</v>
      </c>
      <c r="L329" s="10">
        <v>3783248</v>
      </c>
      <c r="M329" s="10">
        <v>748301</v>
      </c>
      <c r="N329" s="11">
        <v>15</v>
      </c>
      <c r="P329" s="7" t="s">
        <v>1079</v>
      </c>
      <c r="Q329" s="9" t="s">
        <v>5322</v>
      </c>
      <c r="S329" s="9" t="s">
        <v>5292</v>
      </c>
      <c r="T329" s="9" t="s">
        <v>4902</v>
      </c>
      <c r="U329" s="12" t="s">
        <v>4902</v>
      </c>
      <c r="V329" s="12" t="s">
        <v>4902</v>
      </c>
      <c r="W329" s="12">
        <v>0</v>
      </c>
      <c r="X329" s="12">
        <v>0</v>
      </c>
      <c r="Y329" s="12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9" t="s">
        <v>4909</v>
      </c>
      <c r="AI329" s="11">
        <v>1</v>
      </c>
      <c r="AJ329" s="11">
        <v>1</v>
      </c>
      <c r="AK329" s="11">
        <v>0</v>
      </c>
      <c r="AL329" s="11">
        <v>0</v>
      </c>
      <c r="AN329" s="11">
        <v>0</v>
      </c>
      <c r="AO329" s="11">
        <v>0</v>
      </c>
      <c r="AP329" s="11">
        <v>0</v>
      </c>
      <c r="AQ329" s="11">
        <v>0</v>
      </c>
      <c r="AR329" s="11">
        <v>1</v>
      </c>
      <c r="AS329" s="11">
        <v>0</v>
      </c>
      <c r="AT329" s="11">
        <v>0</v>
      </c>
      <c r="AU329" s="11">
        <v>0</v>
      </c>
      <c r="AV329" s="11">
        <v>0</v>
      </c>
      <c r="AW329" s="11">
        <v>0</v>
      </c>
      <c r="AX329" s="11">
        <v>0</v>
      </c>
      <c r="AY329" s="11">
        <v>0</v>
      </c>
      <c r="BA329" s="12" t="s">
        <v>4877</v>
      </c>
      <c r="BB329" s="12">
        <v>0</v>
      </c>
      <c r="BC329" s="9" t="s">
        <v>4878</v>
      </c>
      <c r="BD329" s="12">
        <v>0</v>
      </c>
      <c r="BE329" s="12">
        <v>0</v>
      </c>
      <c r="BF329" s="12">
        <v>0</v>
      </c>
      <c r="BI329" s="12">
        <v>0</v>
      </c>
      <c r="BJ329" s="12">
        <v>0</v>
      </c>
    </row>
    <row r="330" spans="1:62" x14ac:dyDescent="0.15">
      <c r="A330" s="7" t="s">
        <v>7178</v>
      </c>
      <c r="C330" s="7" t="s">
        <v>7179</v>
      </c>
      <c r="D330" s="7" t="s">
        <v>5292</v>
      </c>
      <c r="E330" s="9" t="s">
        <v>4870</v>
      </c>
      <c r="L330" s="10">
        <v>3786320</v>
      </c>
      <c r="M330" s="10">
        <v>744428</v>
      </c>
      <c r="N330" s="11">
        <v>15</v>
      </c>
      <c r="P330" s="7" t="s">
        <v>7180</v>
      </c>
      <c r="Q330" s="9" t="s">
        <v>5311</v>
      </c>
      <c r="S330" s="9" t="s">
        <v>5292</v>
      </c>
      <c r="T330" s="9" t="s">
        <v>6655</v>
      </c>
      <c r="U330" s="12" t="s">
        <v>4898</v>
      </c>
      <c r="V330" s="12" t="s">
        <v>5016</v>
      </c>
      <c r="W330" s="12">
        <v>0</v>
      </c>
      <c r="X330" s="12">
        <v>0</v>
      </c>
      <c r="Y330" s="12">
        <v>0</v>
      </c>
      <c r="Z330" s="11">
        <v>0</v>
      </c>
      <c r="AA330" s="11">
        <v>1</v>
      </c>
      <c r="AB330" s="11">
        <v>1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9" t="s">
        <v>4909</v>
      </c>
      <c r="AI330" s="11">
        <v>1</v>
      </c>
      <c r="AJ330" s="11">
        <v>1</v>
      </c>
      <c r="AK330" s="11">
        <v>0</v>
      </c>
      <c r="AL330" s="11">
        <v>1</v>
      </c>
      <c r="AN330" s="11">
        <v>0</v>
      </c>
      <c r="AO330" s="11">
        <v>0</v>
      </c>
      <c r="AP330" s="11">
        <v>0</v>
      </c>
      <c r="AQ330" s="11">
        <v>1</v>
      </c>
      <c r="AR330" s="11">
        <v>0</v>
      </c>
      <c r="AS330" s="11">
        <v>0</v>
      </c>
      <c r="AT330" s="11">
        <v>0</v>
      </c>
      <c r="AU330" s="11">
        <v>0</v>
      </c>
      <c r="AV330" s="11">
        <v>0</v>
      </c>
      <c r="AW330" s="11">
        <v>0</v>
      </c>
      <c r="AX330" s="11">
        <v>0</v>
      </c>
      <c r="AY330" s="11">
        <v>0</v>
      </c>
      <c r="BA330" s="12" t="s">
        <v>4877</v>
      </c>
      <c r="BB330" s="12">
        <v>0</v>
      </c>
      <c r="BC330" s="9" t="s">
        <v>4878</v>
      </c>
      <c r="BD330" s="12">
        <v>0</v>
      </c>
      <c r="BE330" s="12">
        <v>0</v>
      </c>
      <c r="BF330" s="12">
        <v>0</v>
      </c>
      <c r="BI330" s="12">
        <v>0</v>
      </c>
      <c r="BJ330" s="12">
        <v>0</v>
      </c>
    </row>
    <row r="331" spans="1:62" x14ac:dyDescent="0.15">
      <c r="A331" s="7" t="s">
        <v>7181</v>
      </c>
      <c r="C331" s="7" t="s">
        <v>7182</v>
      </c>
      <c r="D331" s="7" t="s">
        <v>5292</v>
      </c>
      <c r="E331" s="9" t="s">
        <v>4870</v>
      </c>
      <c r="L331" s="10">
        <v>3781730</v>
      </c>
      <c r="M331" s="10">
        <v>737614</v>
      </c>
      <c r="N331" s="11">
        <v>15</v>
      </c>
      <c r="P331" s="7" t="s">
        <v>1087</v>
      </c>
      <c r="Q331" s="9" t="s">
        <v>5311</v>
      </c>
      <c r="R331" s="9" t="s">
        <v>5318</v>
      </c>
      <c r="S331" s="9" t="s">
        <v>5292</v>
      </c>
      <c r="T331" s="9" t="s">
        <v>6655</v>
      </c>
      <c r="U331" s="12" t="s">
        <v>4898</v>
      </c>
      <c r="V331" s="12" t="s">
        <v>5016</v>
      </c>
      <c r="W331" s="12">
        <v>0</v>
      </c>
      <c r="X331" s="12">
        <v>0</v>
      </c>
      <c r="Y331" s="12">
        <v>0</v>
      </c>
      <c r="Z331" s="11">
        <v>0</v>
      </c>
      <c r="AA331" s="11">
        <v>1</v>
      </c>
      <c r="AB331" s="11">
        <v>1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9">
        <v>1</v>
      </c>
      <c r="AI331" s="11">
        <v>1</v>
      </c>
      <c r="AJ331" s="11">
        <v>1</v>
      </c>
      <c r="AK331" s="11">
        <v>1</v>
      </c>
      <c r="AL331" s="11">
        <v>0</v>
      </c>
      <c r="AN331" s="11">
        <v>0</v>
      </c>
      <c r="AO331" s="11">
        <v>0</v>
      </c>
      <c r="AP331" s="11">
        <v>0</v>
      </c>
      <c r="AQ331" s="11">
        <v>0</v>
      </c>
      <c r="AR331" s="11">
        <v>1</v>
      </c>
      <c r="AS331" s="11">
        <v>0</v>
      </c>
      <c r="AT331" s="11">
        <v>0</v>
      </c>
      <c r="AU331" s="11">
        <v>0</v>
      </c>
      <c r="AV331" s="11">
        <v>0</v>
      </c>
      <c r="AW331" s="11">
        <v>0</v>
      </c>
      <c r="AX331" s="11">
        <v>0</v>
      </c>
      <c r="AY331" s="11">
        <v>0</v>
      </c>
      <c r="BA331" s="12" t="s">
        <v>4877</v>
      </c>
      <c r="BB331" s="12">
        <v>0</v>
      </c>
      <c r="BC331" s="9" t="s">
        <v>4878</v>
      </c>
      <c r="BD331" s="12">
        <v>5</v>
      </c>
      <c r="BE331" s="12">
        <v>0</v>
      </c>
      <c r="BF331" s="12">
        <f>VLOOKUP(A331,'[1]Conical Mounds'!A$1:O$65536,15,FALSE)</f>
        <v>4417.8646691106469</v>
      </c>
      <c r="BI331">
        <f>BD331/BF331</f>
        <v>1.1317684842090336E-3</v>
      </c>
      <c r="BJ331">
        <f>BI331*10000</f>
        <v>11.317684842090335</v>
      </c>
    </row>
    <row r="332" spans="1:62" x14ac:dyDescent="0.15">
      <c r="A332" s="7" t="s">
        <v>7183</v>
      </c>
      <c r="C332" s="7" t="s">
        <v>7184</v>
      </c>
      <c r="D332" s="7" t="s">
        <v>5292</v>
      </c>
      <c r="E332" s="9" t="s">
        <v>4870</v>
      </c>
      <c r="L332" s="10">
        <v>3776050</v>
      </c>
      <c r="M332" s="10">
        <v>736443</v>
      </c>
      <c r="N332" s="11">
        <v>15</v>
      </c>
      <c r="P332" s="7" t="s">
        <v>1053</v>
      </c>
      <c r="Q332" s="9" t="s">
        <v>1112</v>
      </c>
      <c r="S332" s="9" t="s">
        <v>7185</v>
      </c>
      <c r="T332" s="9" t="s">
        <v>5283</v>
      </c>
      <c r="U332" s="12" t="s">
        <v>4897</v>
      </c>
      <c r="V332" s="12" t="s">
        <v>5016</v>
      </c>
      <c r="W332" s="12">
        <v>0</v>
      </c>
      <c r="X332" s="12">
        <v>0</v>
      </c>
      <c r="Y332" s="12">
        <v>0</v>
      </c>
      <c r="Z332" s="11">
        <v>1</v>
      </c>
      <c r="AA332" s="11">
        <v>1</v>
      </c>
      <c r="AB332" s="11">
        <v>1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9" t="s">
        <v>8248</v>
      </c>
      <c r="AI332" s="11">
        <v>2</v>
      </c>
      <c r="AJ332" s="11">
        <v>1</v>
      </c>
      <c r="AK332" s="11">
        <v>1</v>
      </c>
      <c r="AL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1</v>
      </c>
      <c r="AS332" s="11">
        <v>0</v>
      </c>
      <c r="AT332" s="11">
        <v>1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2" t="s">
        <v>4916</v>
      </c>
      <c r="BA332" s="12" t="s">
        <v>4911</v>
      </c>
      <c r="BB332" s="12">
        <v>0</v>
      </c>
      <c r="BC332" s="9" t="s">
        <v>4878</v>
      </c>
      <c r="BD332" s="12">
        <v>0</v>
      </c>
      <c r="BE332" s="12">
        <v>0</v>
      </c>
      <c r="BF332" s="12">
        <v>0</v>
      </c>
      <c r="BI332" s="12">
        <v>0</v>
      </c>
      <c r="BJ332" s="12">
        <v>0</v>
      </c>
    </row>
    <row r="333" spans="1:62" x14ac:dyDescent="0.15">
      <c r="A333" s="7" t="s">
        <v>7186</v>
      </c>
      <c r="C333" s="7" t="s">
        <v>7187</v>
      </c>
      <c r="D333" s="7" t="s">
        <v>5292</v>
      </c>
      <c r="E333" s="9" t="s">
        <v>4870</v>
      </c>
      <c r="L333" s="10">
        <v>3778000</v>
      </c>
      <c r="M333" s="10">
        <v>735886</v>
      </c>
      <c r="N333" s="11">
        <v>15</v>
      </c>
      <c r="P333" s="7" t="s">
        <v>1087</v>
      </c>
      <c r="Q333" s="9" t="s">
        <v>5311</v>
      </c>
      <c r="S333" s="9" t="s">
        <v>5292</v>
      </c>
      <c r="T333" s="9" t="s">
        <v>4902</v>
      </c>
      <c r="U333" s="12" t="s">
        <v>4902</v>
      </c>
      <c r="V333" s="12" t="s">
        <v>4902</v>
      </c>
      <c r="W333" s="12">
        <v>0</v>
      </c>
      <c r="X333" s="12">
        <v>0</v>
      </c>
      <c r="Y333" s="12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0</v>
      </c>
      <c r="AH333" s="9" t="s">
        <v>8248</v>
      </c>
      <c r="AI333" s="11">
        <v>2</v>
      </c>
      <c r="AJ333" s="11">
        <v>1</v>
      </c>
      <c r="AK333" s="11">
        <v>1</v>
      </c>
      <c r="AL333" s="11">
        <v>0</v>
      </c>
      <c r="AN333" s="11">
        <v>0</v>
      </c>
      <c r="AO333" s="11">
        <v>0</v>
      </c>
      <c r="AP333" s="11">
        <v>0</v>
      </c>
      <c r="AQ333" s="11">
        <v>0</v>
      </c>
      <c r="AR333" s="11">
        <v>0</v>
      </c>
      <c r="AS333" s="11">
        <v>0</v>
      </c>
      <c r="AT333" s="11">
        <v>1</v>
      </c>
      <c r="AU333" s="11">
        <v>0</v>
      </c>
      <c r="AV333" s="11">
        <v>0</v>
      </c>
      <c r="AW333" s="11">
        <v>0</v>
      </c>
      <c r="AX333" s="11">
        <v>0</v>
      </c>
      <c r="AY333" s="11">
        <v>0</v>
      </c>
      <c r="BA333" s="12" t="s">
        <v>4877</v>
      </c>
      <c r="BB333" s="12">
        <v>0</v>
      </c>
      <c r="BC333" s="9" t="s">
        <v>4878</v>
      </c>
      <c r="BD333" s="12">
        <v>0</v>
      </c>
      <c r="BE333" s="12">
        <v>0</v>
      </c>
      <c r="BF333" s="12">
        <v>0</v>
      </c>
      <c r="BI333" s="12">
        <v>0</v>
      </c>
      <c r="BJ333" s="12">
        <v>0</v>
      </c>
    </row>
    <row r="334" spans="1:62" x14ac:dyDescent="0.15">
      <c r="A334" s="7" t="s">
        <v>7188</v>
      </c>
      <c r="C334" s="7" t="s">
        <v>7189</v>
      </c>
      <c r="D334" s="7" t="s">
        <v>5292</v>
      </c>
      <c r="E334" s="9" t="s">
        <v>4870</v>
      </c>
      <c r="L334" s="10">
        <v>3766640</v>
      </c>
      <c r="M334" s="10">
        <v>771187</v>
      </c>
      <c r="N334" s="11">
        <v>15</v>
      </c>
      <c r="P334" s="7" t="s">
        <v>7173</v>
      </c>
      <c r="Q334" s="9" t="s">
        <v>5311</v>
      </c>
      <c r="R334" s="9" t="s">
        <v>5318</v>
      </c>
      <c r="S334" s="9" t="s">
        <v>5292</v>
      </c>
      <c r="T334" s="9" t="s">
        <v>4797</v>
      </c>
      <c r="U334" s="12" t="s">
        <v>5018</v>
      </c>
      <c r="V334" s="12" t="s">
        <v>5019</v>
      </c>
      <c r="W334" s="12">
        <v>0</v>
      </c>
      <c r="X334" s="12">
        <v>0</v>
      </c>
      <c r="Y334" s="12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1</v>
      </c>
      <c r="AE334" s="11">
        <v>1</v>
      </c>
      <c r="AF334" s="11">
        <v>0</v>
      </c>
      <c r="AG334" s="11">
        <v>0</v>
      </c>
      <c r="AH334" s="9">
        <v>3</v>
      </c>
      <c r="AI334" s="11">
        <v>3</v>
      </c>
      <c r="AJ334" s="11">
        <v>1</v>
      </c>
      <c r="AK334" s="11">
        <v>1</v>
      </c>
      <c r="AL334" s="11">
        <v>0</v>
      </c>
      <c r="AN334" s="11">
        <v>0</v>
      </c>
      <c r="AO334" s="11">
        <v>0</v>
      </c>
      <c r="AP334" s="11">
        <v>0</v>
      </c>
      <c r="AQ334" s="11">
        <v>0</v>
      </c>
      <c r="AR334" s="11">
        <v>1</v>
      </c>
      <c r="AS334" s="11">
        <v>0</v>
      </c>
      <c r="AT334" s="11">
        <v>1</v>
      </c>
      <c r="AU334" s="11">
        <v>0</v>
      </c>
      <c r="AV334" s="11">
        <v>0</v>
      </c>
      <c r="AW334" s="11">
        <v>0</v>
      </c>
      <c r="AX334" s="11">
        <v>0</v>
      </c>
      <c r="AY334" s="11">
        <v>0</v>
      </c>
      <c r="BA334" s="12" t="s">
        <v>4877</v>
      </c>
      <c r="BB334" s="12">
        <v>0</v>
      </c>
      <c r="BC334" s="9" t="s">
        <v>4878</v>
      </c>
      <c r="BD334" s="12">
        <v>15</v>
      </c>
      <c r="BE334" s="12">
        <v>0</v>
      </c>
      <c r="BF334" s="12">
        <f>VLOOKUP(A334,'[1]Conical Mounds'!A$1:O$65536,15,FALSE)</f>
        <v>17671.458676442588</v>
      </c>
      <c r="BI334">
        <f>BD334/BF334</f>
        <v>8.4882636315677506E-4</v>
      </c>
      <c r="BJ334">
        <f>BI334*10000</f>
        <v>8.4882636315677509</v>
      </c>
    </row>
    <row r="335" spans="1:62" x14ac:dyDescent="0.15">
      <c r="A335" s="7" t="s">
        <v>7190</v>
      </c>
      <c r="C335" s="7" t="s">
        <v>7191</v>
      </c>
      <c r="D335" s="7" t="s">
        <v>5292</v>
      </c>
      <c r="E335" s="9" t="s">
        <v>4870</v>
      </c>
      <c r="L335" s="10">
        <v>3789490</v>
      </c>
      <c r="M335" s="10">
        <v>753408</v>
      </c>
      <c r="N335" s="11">
        <v>15</v>
      </c>
      <c r="P335" s="7" t="s">
        <v>7192</v>
      </c>
      <c r="Q335" s="9" t="s">
        <v>1061</v>
      </c>
      <c r="R335" s="9" t="s">
        <v>1061</v>
      </c>
      <c r="S335" s="9" t="s">
        <v>5292</v>
      </c>
      <c r="T335" s="9" t="s">
        <v>4797</v>
      </c>
      <c r="U335" s="12" t="s">
        <v>5018</v>
      </c>
      <c r="V335" s="12" t="s">
        <v>5019</v>
      </c>
      <c r="W335" s="12">
        <v>0</v>
      </c>
      <c r="X335" s="12">
        <v>0</v>
      </c>
      <c r="Y335" s="12">
        <v>0</v>
      </c>
      <c r="Z335" s="11">
        <v>0</v>
      </c>
      <c r="AA335" s="11">
        <v>0</v>
      </c>
      <c r="AB335" s="11">
        <v>0</v>
      </c>
      <c r="AC335" s="11">
        <v>0</v>
      </c>
      <c r="AD335" s="11">
        <v>1</v>
      </c>
      <c r="AE335" s="11">
        <v>1</v>
      </c>
      <c r="AF335" s="11">
        <v>0</v>
      </c>
      <c r="AG335" s="11">
        <v>0</v>
      </c>
      <c r="AH335" s="9">
        <v>2</v>
      </c>
      <c r="AI335" s="11">
        <v>2</v>
      </c>
      <c r="AJ335" s="11">
        <v>1</v>
      </c>
      <c r="AK335" s="11">
        <v>1</v>
      </c>
      <c r="AL335" s="11">
        <v>1</v>
      </c>
      <c r="AN335" s="11">
        <v>0</v>
      </c>
      <c r="AO335" s="11">
        <v>0</v>
      </c>
      <c r="AP335" s="11">
        <v>0</v>
      </c>
      <c r="AQ335" s="11">
        <v>1</v>
      </c>
      <c r="AR335" s="11">
        <v>0</v>
      </c>
      <c r="AS335" s="11">
        <v>0</v>
      </c>
      <c r="AT335" s="11">
        <v>1</v>
      </c>
      <c r="AU335" s="11">
        <v>0</v>
      </c>
      <c r="AV335" s="11">
        <v>0</v>
      </c>
      <c r="AW335" s="11">
        <v>0</v>
      </c>
      <c r="AX335" s="11">
        <v>0</v>
      </c>
      <c r="AY335" s="11">
        <v>0</v>
      </c>
      <c r="BA335" s="12" t="s">
        <v>4877</v>
      </c>
      <c r="BB335" s="12">
        <v>1</v>
      </c>
      <c r="BC335" s="9" t="s">
        <v>4878</v>
      </c>
      <c r="BD335" s="12">
        <v>18</v>
      </c>
      <c r="BE335" s="12">
        <v>180</v>
      </c>
      <c r="BF335" s="12">
        <v>0</v>
      </c>
      <c r="BI335" s="12">
        <v>0</v>
      </c>
      <c r="BJ335" s="12">
        <v>0</v>
      </c>
    </row>
    <row r="336" spans="1:62" x14ac:dyDescent="0.15">
      <c r="A336" s="7" t="s">
        <v>7193</v>
      </c>
      <c r="C336" s="7" t="s">
        <v>7194</v>
      </c>
      <c r="D336" s="7" t="s">
        <v>5292</v>
      </c>
      <c r="E336" s="9" t="s">
        <v>4870</v>
      </c>
      <c r="L336" s="10">
        <v>3783870</v>
      </c>
      <c r="M336" s="10">
        <v>757671</v>
      </c>
      <c r="N336" s="11">
        <v>15</v>
      </c>
      <c r="P336" s="7" t="s">
        <v>1087</v>
      </c>
      <c r="Q336" s="9" t="s">
        <v>5311</v>
      </c>
      <c r="R336" s="9" t="s">
        <v>5318</v>
      </c>
      <c r="S336" s="9" t="s">
        <v>7195</v>
      </c>
      <c r="T336" s="9" t="s">
        <v>4915</v>
      </c>
      <c r="U336" s="12" t="s">
        <v>4897</v>
      </c>
      <c r="V336" s="12" t="s">
        <v>5021</v>
      </c>
      <c r="W336" s="12">
        <v>0</v>
      </c>
      <c r="X336" s="12">
        <v>0</v>
      </c>
      <c r="Y336" s="12">
        <v>0</v>
      </c>
      <c r="Z336" s="11">
        <v>1</v>
      </c>
      <c r="AA336" s="11">
        <v>1</v>
      </c>
      <c r="AB336" s="11">
        <v>1</v>
      </c>
      <c r="AC336" s="11">
        <v>0</v>
      </c>
      <c r="AD336" s="11">
        <v>0</v>
      </c>
      <c r="AE336" s="11">
        <v>0</v>
      </c>
      <c r="AF336" s="11">
        <v>1</v>
      </c>
      <c r="AG336" s="11">
        <v>1</v>
      </c>
      <c r="AH336" s="9">
        <v>2</v>
      </c>
      <c r="AI336" s="11">
        <v>2</v>
      </c>
      <c r="AJ336" s="11">
        <v>1</v>
      </c>
      <c r="AK336" s="11">
        <v>1</v>
      </c>
      <c r="AL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1</v>
      </c>
      <c r="AS336" s="11">
        <v>0</v>
      </c>
      <c r="AT336" s="11">
        <v>1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BA336" s="12" t="s">
        <v>4877</v>
      </c>
      <c r="BB336" s="12">
        <v>0</v>
      </c>
      <c r="BC336" s="9" t="s">
        <v>4878</v>
      </c>
      <c r="BD336" s="12">
        <v>0</v>
      </c>
      <c r="BE336" s="12">
        <v>0</v>
      </c>
      <c r="BF336" s="12">
        <v>0</v>
      </c>
      <c r="BI336" s="12">
        <v>0</v>
      </c>
      <c r="BJ336" s="12">
        <v>0</v>
      </c>
    </row>
    <row r="337" spans="1:62" x14ac:dyDescent="0.15">
      <c r="A337" s="7" t="s">
        <v>7196</v>
      </c>
      <c r="C337" s="7" t="s">
        <v>7197</v>
      </c>
      <c r="D337" s="7" t="s">
        <v>5292</v>
      </c>
      <c r="E337" s="9" t="s">
        <v>4870</v>
      </c>
      <c r="L337" s="10">
        <v>3783170</v>
      </c>
      <c r="M337" s="10">
        <v>755259</v>
      </c>
      <c r="N337" s="11">
        <v>15</v>
      </c>
      <c r="P337" s="7" t="s">
        <v>1087</v>
      </c>
      <c r="Q337" s="9" t="s">
        <v>1061</v>
      </c>
      <c r="R337" s="9" t="s">
        <v>1061</v>
      </c>
      <c r="S337" s="9" t="s">
        <v>5292</v>
      </c>
      <c r="T337" s="9" t="s">
        <v>8484</v>
      </c>
      <c r="U337" s="12" t="s">
        <v>5019</v>
      </c>
      <c r="V337" s="12" t="s">
        <v>5020</v>
      </c>
      <c r="W337" s="12">
        <v>0</v>
      </c>
      <c r="X337" s="12">
        <v>0</v>
      </c>
      <c r="Y337" s="12">
        <v>0</v>
      </c>
      <c r="Z337" s="11">
        <v>0</v>
      </c>
      <c r="AA337" s="11">
        <v>0</v>
      </c>
      <c r="AB337" s="11">
        <v>0</v>
      </c>
      <c r="AC337" s="11">
        <v>0</v>
      </c>
      <c r="AD337" s="11">
        <v>0</v>
      </c>
      <c r="AE337" s="11">
        <v>1</v>
      </c>
      <c r="AF337" s="11">
        <v>1</v>
      </c>
      <c r="AG337" s="11">
        <v>0</v>
      </c>
      <c r="AH337" s="9">
        <v>2</v>
      </c>
      <c r="AI337" s="11">
        <v>2</v>
      </c>
      <c r="AJ337" s="11">
        <v>1</v>
      </c>
      <c r="AK337" s="11">
        <v>1</v>
      </c>
      <c r="AL337" s="11">
        <v>1</v>
      </c>
      <c r="AN337" s="11">
        <v>0</v>
      </c>
      <c r="AO337" s="11">
        <v>0</v>
      </c>
      <c r="AP337" s="11">
        <v>0</v>
      </c>
      <c r="AQ337" s="11">
        <v>0</v>
      </c>
      <c r="AR337" s="11">
        <v>0</v>
      </c>
      <c r="AS337" s="11">
        <v>0</v>
      </c>
      <c r="AT337" s="11">
        <v>1</v>
      </c>
      <c r="AU337" s="11">
        <v>0</v>
      </c>
      <c r="AV337" s="11">
        <v>0</v>
      </c>
      <c r="AW337" s="11">
        <v>0</v>
      </c>
      <c r="AX337" s="11">
        <v>0</v>
      </c>
      <c r="AY337" s="11">
        <v>0</v>
      </c>
      <c r="BA337" s="12" t="s">
        <v>4877</v>
      </c>
      <c r="BB337" s="12">
        <v>0</v>
      </c>
      <c r="BC337" s="9" t="s">
        <v>4878</v>
      </c>
      <c r="BD337" s="12">
        <v>6</v>
      </c>
      <c r="BE337" s="12">
        <v>0</v>
      </c>
      <c r="BF337" s="12">
        <v>0</v>
      </c>
      <c r="BI337" s="12">
        <v>0</v>
      </c>
      <c r="BJ337" s="12">
        <v>0</v>
      </c>
    </row>
    <row r="338" spans="1:62" x14ac:dyDescent="0.15">
      <c r="A338" s="7" t="s">
        <v>7198</v>
      </c>
      <c r="C338" s="7" t="s">
        <v>7199</v>
      </c>
      <c r="D338" s="7" t="s">
        <v>5292</v>
      </c>
      <c r="E338" s="9" t="s">
        <v>4870</v>
      </c>
      <c r="L338" s="10">
        <v>3787410</v>
      </c>
      <c r="M338" s="10">
        <v>754652</v>
      </c>
      <c r="N338" s="11">
        <v>15</v>
      </c>
      <c r="P338" s="7" t="s">
        <v>910</v>
      </c>
      <c r="Q338" s="9" t="s">
        <v>1112</v>
      </c>
      <c r="S338" s="9" t="s">
        <v>5292</v>
      </c>
      <c r="T338" s="9" t="s">
        <v>5401</v>
      </c>
      <c r="U338" s="12" t="s">
        <v>5017</v>
      </c>
      <c r="V338" s="12" t="s">
        <v>5020</v>
      </c>
      <c r="W338" s="12">
        <v>0</v>
      </c>
      <c r="X338" s="12">
        <v>0</v>
      </c>
      <c r="Y338" s="12">
        <v>0</v>
      </c>
      <c r="Z338" s="11">
        <v>0</v>
      </c>
      <c r="AA338" s="11">
        <v>0</v>
      </c>
      <c r="AB338" s="11">
        <v>0</v>
      </c>
      <c r="AC338" s="11">
        <v>1</v>
      </c>
      <c r="AD338" s="11">
        <v>0</v>
      </c>
      <c r="AE338" s="11">
        <v>0</v>
      </c>
      <c r="AF338" s="11">
        <v>1</v>
      </c>
      <c r="AG338" s="11">
        <v>0</v>
      </c>
      <c r="AH338" s="9" t="s">
        <v>8248</v>
      </c>
      <c r="AI338" s="11">
        <v>2</v>
      </c>
      <c r="AJ338" s="11">
        <v>1</v>
      </c>
      <c r="AK338" s="11">
        <v>0</v>
      </c>
      <c r="AL338" s="11">
        <v>0</v>
      </c>
      <c r="AN338" s="11">
        <v>0</v>
      </c>
      <c r="AO338" s="11">
        <v>0</v>
      </c>
      <c r="AP338" s="11">
        <v>0</v>
      </c>
      <c r="AQ338" s="11">
        <v>0</v>
      </c>
      <c r="AR338" s="11">
        <v>0</v>
      </c>
      <c r="AS338" s="11">
        <v>0</v>
      </c>
      <c r="AT338" s="11">
        <v>1</v>
      </c>
      <c r="AU338" s="11">
        <v>0</v>
      </c>
      <c r="AV338" s="11">
        <v>0</v>
      </c>
      <c r="AW338" s="11">
        <v>0</v>
      </c>
      <c r="AX338" s="11">
        <v>0</v>
      </c>
      <c r="AY338" s="11">
        <v>0</v>
      </c>
      <c r="BA338" s="12" t="s">
        <v>4877</v>
      </c>
      <c r="BB338" s="12">
        <v>0</v>
      </c>
      <c r="BC338" s="9" t="s">
        <v>4878</v>
      </c>
      <c r="BD338" s="12">
        <v>0</v>
      </c>
      <c r="BE338" s="12">
        <v>0</v>
      </c>
      <c r="BF338" s="12">
        <v>0</v>
      </c>
      <c r="BI338" s="12">
        <v>0</v>
      </c>
      <c r="BJ338" s="12">
        <v>0</v>
      </c>
    </row>
    <row r="339" spans="1:62" x14ac:dyDescent="0.15">
      <c r="A339" s="7" t="s">
        <v>7200</v>
      </c>
      <c r="C339" s="7" t="s">
        <v>7201</v>
      </c>
      <c r="D339" s="7" t="s">
        <v>5292</v>
      </c>
      <c r="E339" s="9" t="s">
        <v>4870</v>
      </c>
      <c r="L339" s="10">
        <v>3785510</v>
      </c>
      <c r="M339" s="10">
        <v>755436</v>
      </c>
      <c r="N339" s="11">
        <v>15</v>
      </c>
      <c r="P339" s="7" t="s">
        <v>1087</v>
      </c>
      <c r="Q339" s="9" t="s">
        <v>5311</v>
      </c>
      <c r="S339" s="9" t="s">
        <v>5292</v>
      </c>
      <c r="T339" s="9" t="s">
        <v>5401</v>
      </c>
      <c r="U339" s="12" t="s">
        <v>5017</v>
      </c>
      <c r="V339" s="12" t="s">
        <v>5020</v>
      </c>
      <c r="W339" s="12">
        <v>0</v>
      </c>
      <c r="X339" s="12">
        <v>0</v>
      </c>
      <c r="Y339" s="12">
        <v>0</v>
      </c>
      <c r="Z339" s="11">
        <v>0</v>
      </c>
      <c r="AA339" s="11">
        <v>0</v>
      </c>
      <c r="AB339" s="11">
        <v>0</v>
      </c>
      <c r="AC339" s="11">
        <v>1</v>
      </c>
      <c r="AD339" s="11">
        <v>0</v>
      </c>
      <c r="AE339" s="11">
        <v>0</v>
      </c>
      <c r="AF339" s="11">
        <v>1</v>
      </c>
      <c r="AG339" s="11">
        <v>0</v>
      </c>
      <c r="AH339" s="9" t="s">
        <v>8248</v>
      </c>
      <c r="AI339" s="11">
        <v>2</v>
      </c>
      <c r="AJ339" s="11">
        <v>1</v>
      </c>
      <c r="AK339" s="11">
        <v>1</v>
      </c>
      <c r="AL339" s="11">
        <v>0</v>
      </c>
      <c r="AN339" s="11">
        <v>0</v>
      </c>
      <c r="AO339" s="11">
        <v>0</v>
      </c>
      <c r="AP339" s="11">
        <v>0</v>
      </c>
      <c r="AQ339" s="11">
        <v>0</v>
      </c>
      <c r="AR339" s="11">
        <v>0</v>
      </c>
      <c r="AS339" s="11">
        <v>0</v>
      </c>
      <c r="AT339" s="11">
        <v>1</v>
      </c>
      <c r="AU339" s="11">
        <v>0</v>
      </c>
      <c r="AV339" s="11">
        <v>0</v>
      </c>
      <c r="AW339" s="11">
        <v>0</v>
      </c>
      <c r="AX339" s="11">
        <v>0</v>
      </c>
      <c r="AY339" s="11">
        <v>0</v>
      </c>
      <c r="BA339" s="12" t="s">
        <v>4877</v>
      </c>
      <c r="BB339" s="12">
        <v>0</v>
      </c>
      <c r="BC339" s="9" t="s">
        <v>4878</v>
      </c>
      <c r="BD339" s="12">
        <v>0</v>
      </c>
      <c r="BE339" s="12">
        <v>0</v>
      </c>
      <c r="BF339" s="12">
        <v>0</v>
      </c>
      <c r="BI339" s="12">
        <v>0</v>
      </c>
      <c r="BJ339" s="12">
        <v>0</v>
      </c>
    </row>
    <row r="340" spans="1:62" x14ac:dyDescent="0.15">
      <c r="A340" s="7" t="s">
        <v>7202</v>
      </c>
      <c r="C340" s="7" t="s">
        <v>7203</v>
      </c>
      <c r="D340" s="7" t="s">
        <v>5292</v>
      </c>
      <c r="E340" s="9" t="s">
        <v>4870</v>
      </c>
      <c r="L340" s="10">
        <v>3781300</v>
      </c>
      <c r="M340" s="10">
        <v>757214</v>
      </c>
      <c r="N340" s="11">
        <v>15</v>
      </c>
      <c r="P340" s="7" t="s">
        <v>1087</v>
      </c>
      <c r="Q340" s="9" t="s">
        <v>5311</v>
      </c>
      <c r="S340" s="9" t="s">
        <v>5292</v>
      </c>
      <c r="T340" s="9" t="s">
        <v>5401</v>
      </c>
      <c r="U340" s="12" t="s">
        <v>5017</v>
      </c>
      <c r="V340" s="12" t="s">
        <v>5020</v>
      </c>
      <c r="W340" s="12">
        <v>0</v>
      </c>
      <c r="X340" s="12">
        <v>0</v>
      </c>
      <c r="Y340" s="12">
        <v>0</v>
      </c>
      <c r="Z340" s="11">
        <v>0</v>
      </c>
      <c r="AA340" s="11">
        <v>0</v>
      </c>
      <c r="AB340" s="11">
        <v>0</v>
      </c>
      <c r="AC340" s="11">
        <v>1</v>
      </c>
      <c r="AD340" s="11">
        <v>0</v>
      </c>
      <c r="AE340" s="11">
        <v>0</v>
      </c>
      <c r="AF340" s="11">
        <v>1</v>
      </c>
      <c r="AG340" s="11">
        <v>0</v>
      </c>
      <c r="AH340" s="9" t="s">
        <v>8248</v>
      </c>
      <c r="AI340" s="11">
        <v>2</v>
      </c>
      <c r="AJ340" s="11">
        <v>1</v>
      </c>
      <c r="AK340" s="11">
        <v>1</v>
      </c>
      <c r="AL340" s="11">
        <v>0</v>
      </c>
      <c r="AN340" s="11">
        <v>0</v>
      </c>
      <c r="AO340" s="11">
        <v>0</v>
      </c>
      <c r="AP340" s="11">
        <v>0</v>
      </c>
      <c r="AQ340" s="11">
        <v>0</v>
      </c>
      <c r="AR340" s="11">
        <v>0</v>
      </c>
      <c r="AS340" s="11">
        <v>0</v>
      </c>
      <c r="AT340" s="11">
        <v>1</v>
      </c>
      <c r="AU340" s="11">
        <v>0</v>
      </c>
      <c r="AV340" s="11">
        <v>0</v>
      </c>
      <c r="AW340" s="11">
        <v>0</v>
      </c>
      <c r="AX340" s="11">
        <v>0</v>
      </c>
      <c r="AY340" s="11">
        <v>0</v>
      </c>
      <c r="BA340" s="12" t="s">
        <v>4877</v>
      </c>
      <c r="BB340" s="12">
        <v>0</v>
      </c>
      <c r="BC340" s="9" t="s">
        <v>4878</v>
      </c>
      <c r="BD340" s="12">
        <v>0</v>
      </c>
      <c r="BE340" s="12">
        <v>0</v>
      </c>
      <c r="BF340" s="12">
        <v>0</v>
      </c>
      <c r="BI340" s="12">
        <v>0</v>
      </c>
      <c r="BJ340" s="12">
        <v>0</v>
      </c>
    </row>
    <row r="341" spans="1:62" x14ac:dyDescent="0.15">
      <c r="A341" s="7" t="s">
        <v>7204</v>
      </c>
      <c r="C341" s="7" t="s">
        <v>7205</v>
      </c>
      <c r="D341" s="7" t="s">
        <v>5292</v>
      </c>
      <c r="E341" s="9" t="s">
        <v>4870</v>
      </c>
      <c r="L341" s="10">
        <v>3779450</v>
      </c>
      <c r="M341" s="10">
        <v>757541</v>
      </c>
      <c r="N341" s="11">
        <v>15</v>
      </c>
      <c r="P341" s="7" t="s">
        <v>1087</v>
      </c>
      <c r="Q341" s="9" t="s">
        <v>5311</v>
      </c>
      <c r="R341" s="9" t="s">
        <v>5318</v>
      </c>
      <c r="S341" s="9" t="s">
        <v>7195</v>
      </c>
      <c r="T341" s="9" t="s">
        <v>4915</v>
      </c>
      <c r="U341" s="12" t="s">
        <v>4897</v>
      </c>
      <c r="V341" s="12" t="s">
        <v>5021</v>
      </c>
      <c r="W341" s="12">
        <v>0</v>
      </c>
      <c r="X341" s="12">
        <v>0</v>
      </c>
      <c r="Y341" s="12">
        <v>0</v>
      </c>
      <c r="Z341" s="11">
        <v>1</v>
      </c>
      <c r="AA341" s="11">
        <v>1</v>
      </c>
      <c r="AB341" s="11">
        <v>1</v>
      </c>
      <c r="AC341" s="11">
        <v>0</v>
      </c>
      <c r="AD341" s="11">
        <v>0</v>
      </c>
      <c r="AE341" s="11">
        <v>0</v>
      </c>
      <c r="AF341" s="11">
        <v>1</v>
      </c>
      <c r="AG341" s="11">
        <v>1</v>
      </c>
      <c r="AH341" s="9">
        <v>2</v>
      </c>
      <c r="AI341" s="11">
        <v>2</v>
      </c>
      <c r="AJ341" s="11">
        <v>1</v>
      </c>
      <c r="AK341" s="11">
        <v>1</v>
      </c>
      <c r="AL341" s="11">
        <v>0</v>
      </c>
      <c r="AN341" s="11">
        <v>0</v>
      </c>
      <c r="AO341" s="11">
        <v>0</v>
      </c>
      <c r="AP341" s="11">
        <v>0</v>
      </c>
      <c r="AQ341" s="11">
        <v>0</v>
      </c>
      <c r="AR341" s="11">
        <v>1</v>
      </c>
      <c r="AS341" s="11">
        <v>0</v>
      </c>
      <c r="AT341" s="11">
        <v>1</v>
      </c>
      <c r="AU341" s="11">
        <v>0</v>
      </c>
      <c r="AV341" s="11">
        <v>0</v>
      </c>
      <c r="AW341" s="11">
        <v>0</v>
      </c>
      <c r="AX341" s="11">
        <v>0</v>
      </c>
      <c r="AY341" s="11">
        <v>0</v>
      </c>
      <c r="BA341" s="12" t="s">
        <v>4877</v>
      </c>
      <c r="BB341" s="12">
        <v>0</v>
      </c>
      <c r="BC341" s="9" t="s">
        <v>4878</v>
      </c>
      <c r="BD341" s="12">
        <v>0</v>
      </c>
      <c r="BE341" s="12">
        <v>0</v>
      </c>
      <c r="BF341" s="12">
        <v>0</v>
      </c>
      <c r="BI341" s="12">
        <v>0</v>
      </c>
      <c r="BJ341" s="12">
        <v>0</v>
      </c>
    </row>
    <row r="342" spans="1:62" x14ac:dyDescent="0.15">
      <c r="A342" s="7" t="s">
        <v>7206</v>
      </c>
      <c r="C342" s="7" t="s">
        <v>7207</v>
      </c>
      <c r="D342" s="7" t="s">
        <v>5292</v>
      </c>
      <c r="E342" s="9" t="s">
        <v>4870</v>
      </c>
      <c r="L342" s="10">
        <v>3776617</v>
      </c>
      <c r="M342" s="10">
        <v>757462</v>
      </c>
      <c r="N342" s="11">
        <v>15</v>
      </c>
      <c r="P342" s="7" t="s">
        <v>910</v>
      </c>
      <c r="Q342" s="9" t="s">
        <v>1112</v>
      </c>
      <c r="S342" s="9" t="s">
        <v>5292</v>
      </c>
      <c r="T342" s="9" t="s">
        <v>6655</v>
      </c>
      <c r="U342" s="12" t="s">
        <v>4898</v>
      </c>
      <c r="V342" s="12" t="s">
        <v>5016</v>
      </c>
      <c r="W342" s="12">
        <v>0</v>
      </c>
      <c r="X342" s="12">
        <v>0</v>
      </c>
      <c r="Y342" s="12">
        <v>0</v>
      </c>
      <c r="Z342" s="11">
        <v>0</v>
      </c>
      <c r="AA342" s="11">
        <v>1</v>
      </c>
      <c r="AB342" s="11">
        <v>1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9" t="s">
        <v>4909</v>
      </c>
      <c r="AI342" s="11">
        <v>1</v>
      </c>
      <c r="AJ342" s="11">
        <v>1</v>
      </c>
      <c r="AK342" s="11">
        <v>0</v>
      </c>
      <c r="AL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1">
        <v>0</v>
      </c>
      <c r="AT342" s="11">
        <v>1</v>
      </c>
      <c r="AU342" s="11">
        <v>0</v>
      </c>
      <c r="AV342" s="11">
        <v>0</v>
      </c>
      <c r="AW342" s="11">
        <v>0</v>
      </c>
      <c r="AX342" s="11">
        <v>0</v>
      </c>
      <c r="AY342" s="11">
        <v>0</v>
      </c>
      <c r="BA342" s="12" t="s">
        <v>4877</v>
      </c>
      <c r="BB342" s="12">
        <v>0</v>
      </c>
      <c r="BC342" s="9" t="s">
        <v>4878</v>
      </c>
      <c r="BD342" s="12">
        <v>0</v>
      </c>
      <c r="BE342" s="12">
        <v>0</v>
      </c>
      <c r="BF342" s="12">
        <v>0</v>
      </c>
      <c r="BI342" s="12">
        <v>0</v>
      </c>
      <c r="BJ342" s="12">
        <v>0</v>
      </c>
    </row>
    <row r="343" spans="1:62" x14ac:dyDescent="0.15">
      <c r="A343" s="7" t="s">
        <v>7208</v>
      </c>
      <c r="B343" s="7" t="s">
        <v>7209</v>
      </c>
      <c r="C343" s="7" t="s">
        <v>7210</v>
      </c>
      <c r="D343" s="7" t="s">
        <v>5292</v>
      </c>
      <c r="E343" s="9" t="s">
        <v>6526</v>
      </c>
      <c r="L343" s="10">
        <v>3762400</v>
      </c>
      <c r="M343" s="10">
        <v>659884</v>
      </c>
      <c r="N343" s="11">
        <v>15</v>
      </c>
      <c r="P343" s="7" t="s">
        <v>7211</v>
      </c>
      <c r="Q343" s="9" t="s">
        <v>5311</v>
      </c>
      <c r="S343" s="9" t="s">
        <v>5292</v>
      </c>
      <c r="T343" s="9" t="s">
        <v>5372</v>
      </c>
      <c r="U343" s="12" t="s">
        <v>5018</v>
      </c>
      <c r="V343" s="12" t="s">
        <v>5021</v>
      </c>
      <c r="W343" s="12">
        <v>0</v>
      </c>
      <c r="X343" s="12">
        <v>0</v>
      </c>
      <c r="Y343" s="12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1</v>
      </c>
      <c r="AE343" s="11">
        <v>0</v>
      </c>
      <c r="AF343" s="11">
        <v>0</v>
      </c>
      <c r="AG343" s="11">
        <v>1</v>
      </c>
      <c r="AH343" s="9" t="s">
        <v>4876</v>
      </c>
      <c r="AI343" s="11">
        <v>3</v>
      </c>
      <c r="AJ343" s="11">
        <v>1</v>
      </c>
      <c r="AK343" s="11">
        <v>1</v>
      </c>
      <c r="AL343" s="11">
        <v>1</v>
      </c>
      <c r="AN343" s="11">
        <v>0</v>
      </c>
      <c r="AO343" s="11">
        <v>0</v>
      </c>
      <c r="AP343" s="11">
        <v>0</v>
      </c>
      <c r="AQ343" s="11">
        <v>0</v>
      </c>
      <c r="AR343" s="11">
        <v>0</v>
      </c>
      <c r="AS343" s="11">
        <v>0</v>
      </c>
      <c r="AT343" s="11">
        <v>1</v>
      </c>
      <c r="AU343" s="11">
        <v>0</v>
      </c>
      <c r="AV343" s="11">
        <v>0</v>
      </c>
      <c r="AW343" s="11">
        <v>0</v>
      </c>
      <c r="AX343" s="11">
        <v>0</v>
      </c>
      <c r="AY343" s="11">
        <v>0</v>
      </c>
      <c r="BA343" s="12" t="s">
        <v>4877</v>
      </c>
      <c r="BB343" s="12">
        <v>1</v>
      </c>
      <c r="BC343" s="9" t="s">
        <v>4878</v>
      </c>
      <c r="BD343" s="12">
        <v>0</v>
      </c>
      <c r="BE343" s="12">
        <v>0</v>
      </c>
      <c r="BF343" s="12">
        <v>0</v>
      </c>
      <c r="BI343" s="12">
        <v>0</v>
      </c>
      <c r="BJ343" s="12">
        <v>0</v>
      </c>
    </row>
    <row r="344" spans="1:62" x14ac:dyDescent="0.15">
      <c r="A344" s="7" t="s">
        <v>7212</v>
      </c>
      <c r="C344" s="7" t="s">
        <v>7213</v>
      </c>
      <c r="D344" s="7" t="s">
        <v>5292</v>
      </c>
      <c r="E344" s="9" t="s">
        <v>6526</v>
      </c>
      <c r="L344" s="10">
        <v>3760992</v>
      </c>
      <c r="M344" s="10">
        <v>656376</v>
      </c>
      <c r="N344" s="11">
        <v>15</v>
      </c>
      <c r="P344" s="7" t="s">
        <v>5310</v>
      </c>
      <c r="Q344" s="9" t="s">
        <v>5311</v>
      </c>
      <c r="S344" s="9" t="s">
        <v>6432</v>
      </c>
      <c r="T344" s="9" t="s">
        <v>4902</v>
      </c>
      <c r="U344" s="12" t="s">
        <v>4902</v>
      </c>
      <c r="V344" s="12" t="s">
        <v>4902</v>
      </c>
      <c r="W344" s="12">
        <v>0</v>
      </c>
      <c r="X344" s="12">
        <v>0</v>
      </c>
      <c r="Y344" s="12">
        <v>0</v>
      </c>
      <c r="Z344" s="11">
        <v>0</v>
      </c>
      <c r="AA344" s="11">
        <v>0</v>
      </c>
      <c r="AB344" s="11">
        <v>0</v>
      </c>
      <c r="AC344" s="11">
        <v>0</v>
      </c>
      <c r="AD344" s="11">
        <v>0</v>
      </c>
      <c r="AE344" s="11">
        <v>0</v>
      </c>
      <c r="AF344" s="11">
        <v>0</v>
      </c>
      <c r="AG344" s="11">
        <v>0</v>
      </c>
      <c r="AH344" s="9" t="s">
        <v>4909</v>
      </c>
      <c r="AI344" s="11">
        <v>1</v>
      </c>
      <c r="AJ344" s="11">
        <v>1</v>
      </c>
      <c r="AK344" s="11">
        <v>0</v>
      </c>
      <c r="AL344" s="11">
        <v>0</v>
      </c>
      <c r="AN344" s="11">
        <v>0</v>
      </c>
      <c r="AO344" s="11">
        <v>0</v>
      </c>
      <c r="AP344" s="11">
        <v>0</v>
      </c>
      <c r="AQ344" s="11">
        <v>0</v>
      </c>
      <c r="AR344" s="11">
        <v>0</v>
      </c>
      <c r="AS344" s="11">
        <v>0</v>
      </c>
      <c r="AT344" s="11">
        <v>1</v>
      </c>
      <c r="AU344" s="11">
        <v>0</v>
      </c>
      <c r="AV344" s="11">
        <v>0</v>
      </c>
      <c r="AW344" s="11">
        <v>0</v>
      </c>
      <c r="AX344" s="11">
        <v>0</v>
      </c>
      <c r="AY344" s="11">
        <v>0</v>
      </c>
      <c r="BA344" s="12" t="s">
        <v>4877</v>
      </c>
      <c r="BB344" s="12">
        <v>0</v>
      </c>
      <c r="BC344" s="9" t="s">
        <v>4878</v>
      </c>
      <c r="BD344" s="12">
        <v>0</v>
      </c>
      <c r="BE344" s="12">
        <v>0</v>
      </c>
      <c r="BF344" s="12">
        <v>0</v>
      </c>
      <c r="BI344" s="12">
        <v>0</v>
      </c>
      <c r="BJ344" s="12">
        <v>0</v>
      </c>
    </row>
    <row r="345" spans="1:62" x14ac:dyDescent="0.15">
      <c r="A345" s="7" t="s">
        <v>7214</v>
      </c>
      <c r="B345" s="7" t="s">
        <v>7215</v>
      </c>
      <c r="C345" s="7" t="s">
        <v>7216</v>
      </c>
      <c r="D345" s="7" t="s">
        <v>5292</v>
      </c>
      <c r="E345" s="9" t="s">
        <v>6526</v>
      </c>
      <c r="L345" s="10">
        <v>3762132</v>
      </c>
      <c r="M345" s="10">
        <v>661476</v>
      </c>
      <c r="N345" s="11">
        <v>15</v>
      </c>
      <c r="P345" s="7" t="s">
        <v>5310</v>
      </c>
      <c r="Q345" s="9" t="s">
        <v>7217</v>
      </c>
      <c r="S345" s="9" t="s">
        <v>5292</v>
      </c>
      <c r="T345" s="9" t="s">
        <v>4875</v>
      </c>
      <c r="U345" s="12" t="s">
        <v>5020</v>
      </c>
      <c r="V345" s="12" t="s">
        <v>5021</v>
      </c>
      <c r="W345" s="12">
        <v>0</v>
      </c>
      <c r="X345" s="12">
        <v>0</v>
      </c>
      <c r="Y345" s="12">
        <v>0</v>
      </c>
      <c r="Z345" s="11">
        <v>0</v>
      </c>
      <c r="AA345" s="11">
        <v>0</v>
      </c>
      <c r="AB345" s="11">
        <v>0</v>
      </c>
      <c r="AC345" s="11">
        <v>0</v>
      </c>
      <c r="AD345" s="11">
        <v>0</v>
      </c>
      <c r="AE345" s="11">
        <v>0</v>
      </c>
      <c r="AF345" s="11">
        <v>1</v>
      </c>
      <c r="AG345" s="11">
        <v>1</v>
      </c>
      <c r="AH345" s="9" t="s">
        <v>4909</v>
      </c>
      <c r="AI345" s="11">
        <v>1</v>
      </c>
      <c r="AJ345" s="11">
        <v>1</v>
      </c>
      <c r="AK345" s="11">
        <v>0</v>
      </c>
      <c r="AL345" s="11">
        <v>0</v>
      </c>
      <c r="AN345" s="11">
        <v>0</v>
      </c>
      <c r="AO345" s="11">
        <v>0</v>
      </c>
      <c r="AP345" s="11">
        <v>0</v>
      </c>
      <c r="AQ345" s="11">
        <v>0</v>
      </c>
      <c r="AR345" s="11">
        <v>0</v>
      </c>
      <c r="AS345" s="11">
        <v>0</v>
      </c>
      <c r="AT345" s="11">
        <v>1</v>
      </c>
      <c r="AU345" s="11">
        <v>0</v>
      </c>
      <c r="AV345" s="11">
        <v>0</v>
      </c>
      <c r="AW345" s="11">
        <v>0</v>
      </c>
      <c r="AX345" s="11">
        <v>0</v>
      </c>
      <c r="AY345" s="11">
        <v>0</v>
      </c>
      <c r="BA345" s="12" t="s">
        <v>4877</v>
      </c>
      <c r="BB345" s="12">
        <v>0</v>
      </c>
      <c r="BC345" s="9" t="s">
        <v>4878</v>
      </c>
      <c r="BD345" s="12">
        <v>0</v>
      </c>
      <c r="BE345" s="12">
        <v>0</v>
      </c>
      <c r="BF345" s="12">
        <v>0</v>
      </c>
      <c r="BI345" s="12">
        <v>0</v>
      </c>
      <c r="BJ345" s="12">
        <v>0</v>
      </c>
    </row>
    <row r="346" spans="1:62" x14ac:dyDescent="0.15">
      <c r="A346" s="7" t="s">
        <v>7218</v>
      </c>
      <c r="C346" s="7" t="s">
        <v>7219</v>
      </c>
      <c r="D346" s="7" t="s">
        <v>5292</v>
      </c>
      <c r="E346" s="9" t="s">
        <v>6526</v>
      </c>
      <c r="L346" s="10">
        <v>3762300</v>
      </c>
      <c r="M346" s="10">
        <v>658468</v>
      </c>
      <c r="N346" s="11">
        <v>15</v>
      </c>
      <c r="P346" s="7" t="s">
        <v>1134</v>
      </c>
      <c r="Q346" s="9" t="s">
        <v>6994</v>
      </c>
      <c r="S346" s="9" t="s">
        <v>5292</v>
      </c>
      <c r="T346" s="9" t="s">
        <v>4902</v>
      </c>
      <c r="U346" s="12" t="s">
        <v>4902</v>
      </c>
      <c r="V346" s="12" t="s">
        <v>4902</v>
      </c>
      <c r="W346" s="12">
        <v>0</v>
      </c>
      <c r="X346" s="12">
        <v>0</v>
      </c>
      <c r="Y346" s="12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9" t="s">
        <v>4878</v>
      </c>
      <c r="AI346" s="11">
        <v>0</v>
      </c>
      <c r="AJ346" s="11">
        <v>0</v>
      </c>
      <c r="AK346" s="11">
        <v>0</v>
      </c>
      <c r="AL346" s="11">
        <v>0</v>
      </c>
      <c r="AN346" s="11">
        <v>0</v>
      </c>
      <c r="AO346" s="11">
        <v>0</v>
      </c>
      <c r="AP346" s="11">
        <v>0</v>
      </c>
      <c r="AQ346" s="11">
        <v>0</v>
      </c>
      <c r="AR346" s="11">
        <v>0</v>
      </c>
      <c r="AS346" s="11">
        <v>0</v>
      </c>
      <c r="AT346" s="11">
        <v>0</v>
      </c>
      <c r="AU346" s="11">
        <v>0</v>
      </c>
      <c r="AV346" s="11">
        <v>0</v>
      </c>
      <c r="AW346" s="11">
        <v>0</v>
      </c>
      <c r="AX346" s="11">
        <v>0</v>
      </c>
      <c r="AY346" s="11">
        <v>0</v>
      </c>
      <c r="BA346" s="12" t="s">
        <v>4877</v>
      </c>
      <c r="BB346" s="12">
        <v>0</v>
      </c>
      <c r="BC346" s="9" t="s">
        <v>4878</v>
      </c>
      <c r="BD346" s="12">
        <v>0</v>
      </c>
      <c r="BE346" s="12">
        <v>0</v>
      </c>
      <c r="BF346" s="12">
        <v>0</v>
      </c>
      <c r="BI346" s="12">
        <v>0</v>
      </c>
      <c r="BJ346" s="12">
        <v>0</v>
      </c>
    </row>
    <row r="347" spans="1:62" x14ac:dyDescent="0.15">
      <c r="A347" s="7" t="s">
        <v>7220</v>
      </c>
      <c r="C347" s="7" t="s">
        <v>7221</v>
      </c>
      <c r="D347" s="7" t="s">
        <v>5292</v>
      </c>
      <c r="E347" s="9" t="s">
        <v>6526</v>
      </c>
      <c r="L347" s="10">
        <v>3737720</v>
      </c>
      <c r="M347" s="10">
        <v>660234</v>
      </c>
      <c r="N347" s="11">
        <v>15</v>
      </c>
      <c r="P347" s="7" t="s">
        <v>7222</v>
      </c>
      <c r="Q347" s="9" t="s">
        <v>1061</v>
      </c>
      <c r="R347" s="9" t="s">
        <v>1061</v>
      </c>
      <c r="S347" s="9" t="s">
        <v>5292</v>
      </c>
      <c r="T347" s="9" t="s">
        <v>5361</v>
      </c>
      <c r="U347" s="12" t="s">
        <v>5018</v>
      </c>
      <c r="V347" s="12" t="s">
        <v>5020</v>
      </c>
      <c r="W347" s="12">
        <v>0</v>
      </c>
      <c r="X347" s="12">
        <v>0</v>
      </c>
      <c r="Y347" s="12">
        <v>0</v>
      </c>
      <c r="Z347" s="11">
        <v>0</v>
      </c>
      <c r="AA347" s="11">
        <v>0</v>
      </c>
      <c r="AB347" s="11">
        <v>0</v>
      </c>
      <c r="AC347" s="11">
        <v>0</v>
      </c>
      <c r="AD347" s="11">
        <v>1</v>
      </c>
      <c r="AE347" s="11">
        <v>0</v>
      </c>
      <c r="AF347" s="11">
        <v>1</v>
      </c>
      <c r="AG347" s="11">
        <v>0</v>
      </c>
      <c r="AH347" s="9">
        <v>1</v>
      </c>
      <c r="AI347" s="11">
        <v>1</v>
      </c>
      <c r="AJ347" s="11">
        <v>1</v>
      </c>
      <c r="AK347" s="11">
        <v>0</v>
      </c>
      <c r="AL347" s="11">
        <v>1</v>
      </c>
      <c r="AN347" s="11">
        <v>0</v>
      </c>
      <c r="AO347" s="11">
        <v>0</v>
      </c>
      <c r="AP347" s="11">
        <v>0</v>
      </c>
      <c r="AQ347" s="11">
        <v>1</v>
      </c>
      <c r="AR347" s="11">
        <v>0</v>
      </c>
      <c r="AS347" s="11">
        <v>0</v>
      </c>
      <c r="AT347" s="11">
        <v>0</v>
      </c>
      <c r="AU347" s="11">
        <v>0</v>
      </c>
      <c r="AV347" s="11">
        <v>0</v>
      </c>
      <c r="AW347" s="11">
        <v>0</v>
      </c>
      <c r="AX347" s="11">
        <v>0</v>
      </c>
      <c r="AY347" s="11">
        <v>0</v>
      </c>
      <c r="BA347" s="12" t="s">
        <v>4877</v>
      </c>
      <c r="BB347" s="12">
        <v>0</v>
      </c>
      <c r="BC347" s="9" t="s">
        <v>4878</v>
      </c>
      <c r="BD347" s="12">
        <v>25</v>
      </c>
      <c r="BE347" s="12">
        <v>0</v>
      </c>
      <c r="BF347" s="12">
        <v>0</v>
      </c>
      <c r="BI347" s="12">
        <v>0</v>
      </c>
      <c r="BJ347" s="12">
        <v>0</v>
      </c>
    </row>
    <row r="348" spans="1:62" x14ac:dyDescent="0.15">
      <c r="A348" s="7" t="s">
        <v>7223</v>
      </c>
      <c r="C348" s="7" t="s">
        <v>7224</v>
      </c>
      <c r="D348" s="7" t="s">
        <v>5292</v>
      </c>
      <c r="E348" s="9" t="s">
        <v>6526</v>
      </c>
      <c r="L348" s="10">
        <v>3740130</v>
      </c>
      <c r="M348" s="10">
        <v>659546</v>
      </c>
      <c r="N348" s="11">
        <v>15</v>
      </c>
      <c r="P348" s="7" t="s">
        <v>6431</v>
      </c>
      <c r="Q348" s="9" t="s">
        <v>5311</v>
      </c>
      <c r="R348" s="9" t="s">
        <v>5318</v>
      </c>
      <c r="S348" s="9" t="s">
        <v>1125</v>
      </c>
      <c r="T348" s="9" t="s">
        <v>4884</v>
      </c>
      <c r="U348" s="12" t="s">
        <v>5016</v>
      </c>
      <c r="V348" s="12" t="s">
        <v>5017</v>
      </c>
      <c r="W348" s="12">
        <v>0</v>
      </c>
      <c r="X348" s="12">
        <v>0</v>
      </c>
      <c r="Y348" s="12">
        <v>0</v>
      </c>
      <c r="Z348" s="11">
        <v>0</v>
      </c>
      <c r="AA348" s="11">
        <v>0</v>
      </c>
      <c r="AB348" s="11">
        <v>1</v>
      </c>
      <c r="AC348" s="11">
        <v>1</v>
      </c>
      <c r="AD348" s="11">
        <v>0</v>
      </c>
      <c r="AE348" s="11">
        <v>0</v>
      </c>
      <c r="AF348" s="11">
        <v>0</v>
      </c>
      <c r="AG348" s="11">
        <v>0</v>
      </c>
      <c r="AH348" s="9">
        <v>1</v>
      </c>
      <c r="AI348" s="11">
        <v>1</v>
      </c>
      <c r="AJ348" s="11">
        <v>1</v>
      </c>
      <c r="AK348" s="11">
        <v>0</v>
      </c>
      <c r="AL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1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BA348" s="12" t="s">
        <v>4877</v>
      </c>
      <c r="BB348" s="12">
        <v>0</v>
      </c>
      <c r="BC348" s="9" t="s">
        <v>4878</v>
      </c>
      <c r="BD348" s="12">
        <v>4</v>
      </c>
      <c r="BE348" s="12">
        <v>0</v>
      </c>
      <c r="BF348" s="12">
        <f>VLOOKUP(A348,'[1]Conical Mounds'!A$1:O$65536,15,FALSE)</f>
        <v>1963.4954084936207</v>
      </c>
      <c r="BI348">
        <f>BD348/BF348</f>
        <v>2.0371832715762603E-3</v>
      </c>
      <c r="BJ348">
        <f>BI348*10000</f>
        <v>20.371832715762604</v>
      </c>
    </row>
    <row r="349" spans="1:62" x14ac:dyDescent="0.15">
      <c r="A349" s="7" t="s">
        <v>7225</v>
      </c>
      <c r="C349" s="7" t="s">
        <v>7226</v>
      </c>
      <c r="D349" s="7" t="s">
        <v>5292</v>
      </c>
      <c r="E349" s="9" t="s">
        <v>6526</v>
      </c>
      <c r="L349" s="10">
        <v>3735930</v>
      </c>
      <c r="M349" s="10">
        <v>658649</v>
      </c>
      <c r="N349" s="11">
        <v>15</v>
      </c>
      <c r="P349" s="7" t="s">
        <v>6985</v>
      </c>
      <c r="Q349" s="9" t="s">
        <v>4873</v>
      </c>
      <c r="S349" s="9" t="s">
        <v>1125</v>
      </c>
      <c r="T349" s="9" t="s">
        <v>8280</v>
      </c>
      <c r="U349" s="12" t="s">
        <v>5016</v>
      </c>
      <c r="V349" s="12" t="s">
        <v>5021</v>
      </c>
      <c r="W349" s="12">
        <v>0</v>
      </c>
      <c r="X349" s="12">
        <v>0</v>
      </c>
      <c r="Y349" s="12">
        <v>0</v>
      </c>
      <c r="Z349" s="11">
        <v>0</v>
      </c>
      <c r="AA349" s="11">
        <v>0</v>
      </c>
      <c r="AB349" s="11">
        <v>1</v>
      </c>
      <c r="AC349" s="11">
        <v>0</v>
      </c>
      <c r="AD349" s="11">
        <v>0</v>
      </c>
      <c r="AE349" s="11">
        <v>0</v>
      </c>
      <c r="AF349" s="11">
        <v>0</v>
      </c>
      <c r="AG349" s="11">
        <v>1</v>
      </c>
      <c r="AH349" s="9" t="s">
        <v>8248</v>
      </c>
      <c r="AI349" s="11">
        <v>2</v>
      </c>
      <c r="AJ349" s="11">
        <v>1</v>
      </c>
      <c r="AK349" s="11">
        <v>1</v>
      </c>
      <c r="AL349" s="11">
        <v>0</v>
      </c>
      <c r="AN349" s="11">
        <v>0</v>
      </c>
      <c r="AO349" s="11">
        <v>0</v>
      </c>
      <c r="AP349" s="11">
        <v>0</v>
      </c>
      <c r="AQ349" s="11">
        <v>0</v>
      </c>
      <c r="AR349" s="11">
        <v>0</v>
      </c>
      <c r="AS349" s="11">
        <v>0</v>
      </c>
      <c r="AT349" s="11">
        <v>1</v>
      </c>
      <c r="AU349" s="11">
        <v>0</v>
      </c>
      <c r="AV349" s="11">
        <v>0</v>
      </c>
      <c r="AW349" s="11">
        <v>0</v>
      </c>
      <c r="AX349" s="11">
        <v>0</v>
      </c>
      <c r="AY349" s="11">
        <v>0</v>
      </c>
      <c r="BA349" s="12" t="s">
        <v>4877</v>
      </c>
      <c r="BB349" s="12">
        <v>0</v>
      </c>
      <c r="BC349" s="9" t="s">
        <v>4878</v>
      </c>
      <c r="BD349" s="12">
        <v>0</v>
      </c>
      <c r="BE349" s="12">
        <v>0</v>
      </c>
      <c r="BF349" s="12">
        <v>0</v>
      </c>
      <c r="BI349" s="12">
        <v>0</v>
      </c>
      <c r="BJ349" s="12">
        <v>0</v>
      </c>
    </row>
    <row r="350" spans="1:62" x14ac:dyDescent="0.15">
      <c r="A350" s="7" t="s">
        <v>7227</v>
      </c>
      <c r="C350" s="7" t="s">
        <v>7228</v>
      </c>
      <c r="D350" s="7" t="s">
        <v>5292</v>
      </c>
      <c r="E350" s="9" t="s">
        <v>6526</v>
      </c>
      <c r="L350" s="10">
        <v>3762660</v>
      </c>
      <c r="M350" s="10">
        <v>661971</v>
      </c>
      <c r="N350" s="11">
        <v>15</v>
      </c>
      <c r="P350" s="7" t="s">
        <v>6411</v>
      </c>
      <c r="Q350" s="9" t="s">
        <v>4873</v>
      </c>
      <c r="S350" s="9" t="s">
        <v>5292</v>
      </c>
      <c r="T350" s="9" t="s">
        <v>5376</v>
      </c>
      <c r="U350" s="12" t="s">
        <v>5016</v>
      </c>
      <c r="V350" s="12" t="s">
        <v>5020</v>
      </c>
      <c r="W350" s="12">
        <v>0</v>
      </c>
      <c r="X350" s="12">
        <v>0</v>
      </c>
      <c r="Y350" s="12">
        <v>0</v>
      </c>
      <c r="Z350" s="11">
        <v>0</v>
      </c>
      <c r="AA350" s="11">
        <v>0</v>
      </c>
      <c r="AB350" s="11">
        <v>1</v>
      </c>
      <c r="AC350" s="11">
        <v>0</v>
      </c>
      <c r="AD350" s="11">
        <v>0</v>
      </c>
      <c r="AE350" s="11">
        <v>0</v>
      </c>
      <c r="AF350" s="11">
        <v>1</v>
      </c>
      <c r="AG350" s="11">
        <v>0</v>
      </c>
      <c r="AH350" s="9" t="s">
        <v>8248</v>
      </c>
      <c r="AI350" s="11">
        <v>2</v>
      </c>
      <c r="AJ350" s="11">
        <v>1</v>
      </c>
      <c r="AK350" s="11">
        <v>1</v>
      </c>
      <c r="AL350" s="11">
        <v>0</v>
      </c>
      <c r="AN350" s="11">
        <v>0</v>
      </c>
      <c r="AO350" s="11">
        <v>0</v>
      </c>
      <c r="AP350" s="11">
        <v>0</v>
      </c>
      <c r="AQ350" s="11">
        <v>0</v>
      </c>
      <c r="AR350" s="11">
        <v>0</v>
      </c>
      <c r="AS350" s="11">
        <v>0</v>
      </c>
      <c r="AT350" s="11">
        <v>1</v>
      </c>
      <c r="AU350" s="11">
        <v>0</v>
      </c>
      <c r="AV350" s="11">
        <v>0</v>
      </c>
      <c r="AW350" s="11">
        <v>0</v>
      </c>
      <c r="AX350" s="11">
        <v>0</v>
      </c>
      <c r="AY350" s="11">
        <v>0</v>
      </c>
      <c r="BA350" s="12" t="s">
        <v>4877</v>
      </c>
      <c r="BB350" s="12">
        <v>0</v>
      </c>
      <c r="BC350" s="9" t="s">
        <v>4878</v>
      </c>
      <c r="BD350" s="12">
        <v>0</v>
      </c>
      <c r="BE350" s="12">
        <v>0</v>
      </c>
      <c r="BF350" s="12">
        <v>0</v>
      </c>
      <c r="BI350" s="12">
        <v>0</v>
      </c>
      <c r="BJ350" s="12">
        <v>0</v>
      </c>
    </row>
    <row r="351" spans="1:62" x14ac:dyDescent="0.15">
      <c r="A351" s="7" t="s">
        <v>7229</v>
      </c>
      <c r="C351" s="7" t="s">
        <v>7230</v>
      </c>
      <c r="D351" s="7" t="s">
        <v>5292</v>
      </c>
      <c r="E351" s="9" t="s">
        <v>6526</v>
      </c>
      <c r="L351" s="10">
        <v>3763111</v>
      </c>
      <c r="M351" s="10">
        <v>662283</v>
      </c>
      <c r="N351" s="11">
        <v>15</v>
      </c>
      <c r="P351" s="7" t="s">
        <v>1047</v>
      </c>
      <c r="Q351" s="9" t="s">
        <v>5322</v>
      </c>
      <c r="S351" s="9" t="s">
        <v>5292</v>
      </c>
      <c r="T351" s="9" t="s">
        <v>4902</v>
      </c>
      <c r="U351" s="12" t="s">
        <v>4902</v>
      </c>
      <c r="V351" s="12" t="s">
        <v>4902</v>
      </c>
      <c r="W351" s="12">
        <v>0</v>
      </c>
      <c r="X351" s="12">
        <v>0</v>
      </c>
      <c r="Y351" s="12">
        <v>0</v>
      </c>
      <c r="Z351" s="11">
        <v>0</v>
      </c>
      <c r="AA351" s="11">
        <v>0</v>
      </c>
      <c r="AB351" s="11">
        <v>0</v>
      </c>
      <c r="AC351" s="11">
        <v>0</v>
      </c>
      <c r="AD351" s="11">
        <v>0</v>
      </c>
      <c r="AE351" s="11">
        <v>0</v>
      </c>
      <c r="AF351" s="11">
        <v>0</v>
      </c>
      <c r="AG351" s="11">
        <v>0</v>
      </c>
      <c r="AH351" s="9" t="s">
        <v>8248</v>
      </c>
      <c r="AI351" s="11">
        <v>2</v>
      </c>
      <c r="AJ351" s="11">
        <v>1</v>
      </c>
      <c r="AK351" s="11">
        <v>1</v>
      </c>
      <c r="AL351" s="11">
        <v>0</v>
      </c>
      <c r="AN351" s="11">
        <v>0</v>
      </c>
      <c r="AO351" s="11">
        <v>0</v>
      </c>
      <c r="AP351" s="11">
        <v>0</v>
      </c>
      <c r="AQ351" s="11">
        <v>0</v>
      </c>
      <c r="AR351" s="11">
        <v>1</v>
      </c>
      <c r="AS351" s="11">
        <v>0</v>
      </c>
      <c r="AT351" s="11">
        <v>0</v>
      </c>
      <c r="AU351" s="11">
        <v>0</v>
      </c>
      <c r="AV351" s="11">
        <v>0</v>
      </c>
      <c r="AW351" s="11">
        <v>0</v>
      </c>
      <c r="AX351" s="11">
        <v>0</v>
      </c>
      <c r="AY351" s="11">
        <v>0</v>
      </c>
      <c r="BA351" s="12" t="s">
        <v>4877</v>
      </c>
      <c r="BB351" s="12">
        <v>0</v>
      </c>
      <c r="BC351" s="9" t="s">
        <v>4878</v>
      </c>
      <c r="BD351" s="12">
        <v>0</v>
      </c>
      <c r="BE351" s="12">
        <v>0</v>
      </c>
      <c r="BF351" s="12">
        <v>0</v>
      </c>
      <c r="BI351" s="12">
        <v>0</v>
      </c>
      <c r="BJ351" s="12">
        <v>0</v>
      </c>
    </row>
    <row r="352" spans="1:62" x14ac:dyDescent="0.15">
      <c r="A352" s="7" t="s">
        <v>7231</v>
      </c>
      <c r="B352" s="7" t="s">
        <v>7232</v>
      </c>
      <c r="C352" s="7" t="s">
        <v>7233</v>
      </c>
      <c r="D352" s="7" t="s">
        <v>5292</v>
      </c>
      <c r="E352" s="9" t="s">
        <v>6526</v>
      </c>
      <c r="L352" s="10">
        <v>3762288</v>
      </c>
      <c r="M352" s="10">
        <v>661484</v>
      </c>
      <c r="N352" s="11">
        <v>15</v>
      </c>
      <c r="P352" s="7" t="s">
        <v>1087</v>
      </c>
      <c r="Q352" s="9" t="s">
        <v>5311</v>
      </c>
      <c r="S352" s="9" t="s">
        <v>1125</v>
      </c>
      <c r="T352" s="9" t="s">
        <v>8372</v>
      </c>
      <c r="U352" s="12" t="s">
        <v>5017</v>
      </c>
      <c r="V352" s="12" t="s">
        <v>5019</v>
      </c>
      <c r="W352" s="12">
        <v>0</v>
      </c>
      <c r="X352" s="12">
        <v>0</v>
      </c>
      <c r="Y352" s="12">
        <v>0</v>
      </c>
      <c r="Z352" s="11">
        <v>0</v>
      </c>
      <c r="AA352" s="11">
        <v>0</v>
      </c>
      <c r="AB352" s="11">
        <v>0</v>
      </c>
      <c r="AC352" s="11">
        <v>1</v>
      </c>
      <c r="AD352" s="11">
        <v>1</v>
      </c>
      <c r="AE352" s="11">
        <v>1</v>
      </c>
      <c r="AF352" s="11">
        <v>0</v>
      </c>
      <c r="AG352" s="11">
        <v>0</v>
      </c>
      <c r="AH352" s="9" t="s">
        <v>1083</v>
      </c>
      <c r="AI352" s="11">
        <v>2</v>
      </c>
      <c r="AJ352" s="11">
        <v>1</v>
      </c>
      <c r="AK352" s="11">
        <v>1</v>
      </c>
      <c r="AL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1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BA352" s="12" t="s">
        <v>4877</v>
      </c>
      <c r="BB352" s="12">
        <v>0</v>
      </c>
      <c r="BC352" s="9" t="s">
        <v>4878</v>
      </c>
      <c r="BD352" s="12">
        <v>0</v>
      </c>
      <c r="BE352" s="12">
        <v>0</v>
      </c>
      <c r="BF352" s="12">
        <v>0</v>
      </c>
      <c r="BI352" s="12">
        <v>0</v>
      </c>
      <c r="BJ352" s="12">
        <v>0</v>
      </c>
    </row>
    <row r="353" spans="1:62" x14ac:dyDescent="0.15">
      <c r="A353" s="7" t="s">
        <v>7234</v>
      </c>
      <c r="C353" s="7" t="s">
        <v>7235</v>
      </c>
      <c r="D353" s="7" t="s">
        <v>5292</v>
      </c>
      <c r="E353" s="9" t="s">
        <v>6526</v>
      </c>
      <c r="L353" s="10">
        <v>3753780</v>
      </c>
      <c r="M353" s="10">
        <v>662679</v>
      </c>
      <c r="N353" s="11">
        <v>15</v>
      </c>
      <c r="P353" s="7" t="s">
        <v>7236</v>
      </c>
      <c r="Q353" s="9" t="s">
        <v>1061</v>
      </c>
      <c r="R353" s="9" t="s">
        <v>1061</v>
      </c>
      <c r="S353" s="9" t="s">
        <v>5292</v>
      </c>
      <c r="T353" s="9" t="s">
        <v>4797</v>
      </c>
      <c r="U353" s="12" t="s">
        <v>5018</v>
      </c>
      <c r="V353" s="12" t="s">
        <v>5019</v>
      </c>
      <c r="W353" s="12">
        <v>0</v>
      </c>
      <c r="X353" s="12">
        <v>0</v>
      </c>
      <c r="Y353" s="12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1</v>
      </c>
      <c r="AE353" s="11">
        <v>1</v>
      </c>
      <c r="AF353" s="11">
        <v>0</v>
      </c>
      <c r="AG353" s="11">
        <v>0</v>
      </c>
      <c r="AH353" s="9">
        <v>2</v>
      </c>
      <c r="AI353" s="11">
        <v>2</v>
      </c>
      <c r="AJ353" s="11">
        <v>1</v>
      </c>
      <c r="AK353" s="11">
        <v>1</v>
      </c>
      <c r="AL353" s="11">
        <v>1</v>
      </c>
      <c r="AN353" s="11">
        <v>0</v>
      </c>
      <c r="AO353" s="11">
        <v>0</v>
      </c>
      <c r="AP353" s="11">
        <v>0</v>
      </c>
      <c r="AQ353" s="11">
        <v>1</v>
      </c>
      <c r="AR353" s="11">
        <v>1</v>
      </c>
      <c r="AS353" s="11">
        <v>0</v>
      </c>
      <c r="AT353" s="11">
        <v>0</v>
      </c>
      <c r="AU353" s="11">
        <v>0</v>
      </c>
      <c r="AV353" s="11">
        <v>0</v>
      </c>
      <c r="AW353" s="11">
        <v>0</v>
      </c>
      <c r="AX353" s="11">
        <v>0</v>
      </c>
      <c r="AY353" s="11">
        <v>0</v>
      </c>
      <c r="BA353" s="12" t="s">
        <v>4877</v>
      </c>
      <c r="BB353" s="12">
        <v>1</v>
      </c>
      <c r="BC353" s="9" t="s">
        <v>4878</v>
      </c>
      <c r="BD353" s="12">
        <v>11</v>
      </c>
      <c r="BE353" s="12">
        <v>400</v>
      </c>
      <c r="BF353" s="12">
        <v>0</v>
      </c>
      <c r="BI353" s="12">
        <v>0</v>
      </c>
      <c r="BJ353" s="12">
        <v>0</v>
      </c>
    </row>
    <row r="354" spans="1:62" x14ac:dyDescent="0.15">
      <c r="A354" s="7" t="s">
        <v>7237</v>
      </c>
      <c r="C354" s="7" t="s">
        <v>7238</v>
      </c>
      <c r="D354" s="7" t="s">
        <v>5292</v>
      </c>
      <c r="E354" s="9" t="s">
        <v>4870</v>
      </c>
      <c r="L354" s="10">
        <v>3753260</v>
      </c>
      <c r="M354" s="10">
        <v>683037</v>
      </c>
      <c r="N354" s="11">
        <v>15</v>
      </c>
      <c r="P354" s="7" t="s">
        <v>7239</v>
      </c>
      <c r="Q354" s="9" t="s">
        <v>1112</v>
      </c>
      <c r="S354" s="9" t="s">
        <v>5292</v>
      </c>
      <c r="T354" s="9" t="s">
        <v>4902</v>
      </c>
      <c r="U354" s="12" t="s">
        <v>4902</v>
      </c>
      <c r="V354" s="12" t="s">
        <v>4902</v>
      </c>
      <c r="W354" s="12">
        <v>0</v>
      </c>
      <c r="X354" s="12">
        <v>0</v>
      </c>
      <c r="Y354" s="12">
        <v>0</v>
      </c>
      <c r="Z354" s="11">
        <v>0</v>
      </c>
      <c r="AA354" s="11">
        <v>0</v>
      </c>
      <c r="AB354" s="11">
        <v>0</v>
      </c>
      <c r="AC354" s="11">
        <v>0</v>
      </c>
      <c r="AD354" s="11">
        <v>0</v>
      </c>
      <c r="AE354" s="11">
        <v>0</v>
      </c>
      <c r="AF354" s="11">
        <v>0</v>
      </c>
      <c r="AG354" s="11">
        <v>0</v>
      </c>
      <c r="AH354" s="9" t="s">
        <v>8248</v>
      </c>
      <c r="AI354" s="11">
        <v>2</v>
      </c>
      <c r="AJ354" s="11">
        <v>1</v>
      </c>
      <c r="AK354" s="11">
        <v>1</v>
      </c>
      <c r="AL354" s="11">
        <v>1</v>
      </c>
      <c r="AN354" s="11">
        <v>0</v>
      </c>
      <c r="AO354" s="11">
        <v>0</v>
      </c>
      <c r="AP354" s="11">
        <v>0</v>
      </c>
      <c r="AQ354" s="11">
        <v>1</v>
      </c>
      <c r="AR354" s="11">
        <v>1</v>
      </c>
      <c r="AS354" s="11">
        <v>0</v>
      </c>
      <c r="AT354" s="11">
        <v>0</v>
      </c>
      <c r="AU354" s="11">
        <v>0</v>
      </c>
      <c r="AV354" s="11">
        <v>0</v>
      </c>
      <c r="AW354" s="11">
        <v>0</v>
      </c>
      <c r="AX354" s="11">
        <v>0</v>
      </c>
      <c r="AY354" s="11">
        <v>0</v>
      </c>
      <c r="BA354" s="12" t="s">
        <v>4877</v>
      </c>
      <c r="BB354" s="12">
        <v>0</v>
      </c>
      <c r="BC354" s="9" t="s">
        <v>4878</v>
      </c>
      <c r="BD354" s="12">
        <v>0</v>
      </c>
      <c r="BE354" s="12">
        <v>0</v>
      </c>
      <c r="BF354" s="12">
        <v>0</v>
      </c>
      <c r="BI354" s="12">
        <v>0</v>
      </c>
      <c r="BJ354" s="12">
        <v>0</v>
      </c>
    </row>
    <row r="355" spans="1:62" x14ac:dyDescent="0.15">
      <c r="A355" s="7" t="s">
        <v>7240</v>
      </c>
      <c r="C355" s="7" t="s">
        <v>7241</v>
      </c>
      <c r="D355" s="7" t="s">
        <v>5292</v>
      </c>
      <c r="E355" s="9" t="s">
        <v>4870</v>
      </c>
      <c r="L355" s="10">
        <v>3755230</v>
      </c>
      <c r="M355" s="10">
        <v>685270</v>
      </c>
      <c r="N355" s="11">
        <v>15</v>
      </c>
      <c r="P355" s="7" t="s">
        <v>6985</v>
      </c>
      <c r="Q355" s="9" t="s">
        <v>1061</v>
      </c>
      <c r="R355" s="9" t="s">
        <v>1061</v>
      </c>
      <c r="S355" s="9" t="s">
        <v>5292</v>
      </c>
      <c r="T355" s="9" t="s">
        <v>4797</v>
      </c>
      <c r="U355" s="12" t="s">
        <v>5018</v>
      </c>
      <c r="V355" s="12" t="s">
        <v>5019</v>
      </c>
      <c r="W355" s="12">
        <v>0</v>
      </c>
      <c r="X355" s="12">
        <v>0</v>
      </c>
      <c r="Y355" s="12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1</v>
      </c>
      <c r="AE355" s="11">
        <v>1</v>
      </c>
      <c r="AF355" s="11">
        <v>0</v>
      </c>
      <c r="AG355" s="11">
        <v>0</v>
      </c>
      <c r="AH355" s="9" t="s">
        <v>7242</v>
      </c>
      <c r="AI355" s="11">
        <v>6</v>
      </c>
      <c r="AJ355" s="11">
        <v>1</v>
      </c>
      <c r="AK355" s="11">
        <v>1</v>
      </c>
      <c r="AL355" s="11">
        <v>1</v>
      </c>
      <c r="AN355" s="11">
        <v>0</v>
      </c>
      <c r="AO355" s="11">
        <v>0</v>
      </c>
      <c r="AP355" s="11">
        <v>0</v>
      </c>
      <c r="AQ355" s="11">
        <v>1</v>
      </c>
      <c r="AR355" s="11">
        <v>1</v>
      </c>
      <c r="AS355" s="11">
        <v>0</v>
      </c>
      <c r="AT355" s="11">
        <v>1</v>
      </c>
      <c r="AU355" s="11">
        <v>0</v>
      </c>
      <c r="AV355" s="11">
        <v>0</v>
      </c>
      <c r="AW355" s="11">
        <v>0</v>
      </c>
      <c r="AX355" s="11">
        <v>0</v>
      </c>
      <c r="AY355" s="11">
        <v>0</v>
      </c>
      <c r="BA355" s="12" t="s">
        <v>4877</v>
      </c>
      <c r="BB355" s="12">
        <v>1</v>
      </c>
      <c r="BC355" s="9" t="s">
        <v>4878</v>
      </c>
      <c r="BD355" s="12">
        <v>10</v>
      </c>
      <c r="BE355" s="12">
        <v>200</v>
      </c>
      <c r="BF355" s="12">
        <v>0</v>
      </c>
      <c r="BI355" s="12">
        <v>0</v>
      </c>
      <c r="BJ355" s="12">
        <v>0</v>
      </c>
    </row>
    <row r="356" spans="1:62" x14ac:dyDescent="0.15">
      <c r="A356" s="7" t="s">
        <v>7243</v>
      </c>
      <c r="C356" s="7" t="s">
        <v>7244</v>
      </c>
      <c r="D356" s="7" t="s">
        <v>5292</v>
      </c>
      <c r="E356" s="9" t="s">
        <v>4870</v>
      </c>
      <c r="L356" s="10">
        <v>3746440</v>
      </c>
      <c r="M356" s="10">
        <v>695653</v>
      </c>
      <c r="N356" s="11">
        <v>15</v>
      </c>
      <c r="P356" s="7" t="s">
        <v>1134</v>
      </c>
      <c r="Q356" s="9" t="s">
        <v>6994</v>
      </c>
      <c r="S356" s="9" t="s">
        <v>5292</v>
      </c>
      <c r="T356" s="9" t="s">
        <v>8372</v>
      </c>
      <c r="U356" s="12" t="s">
        <v>5017</v>
      </c>
      <c r="V356" s="12" t="s">
        <v>5019</v>
      </c>
      <c r="W356" s="12">
        <v>0</v>
      </c>
      <c r="X356" s="12">
        <v>0</v>
      </c>
      <c r="Y356" s="12">
        <v>0</v>
      </c>
      <c r="Z356" s="11">
        <v>0</v>
      </c>
      <c r="AA356" s="11">
        <v>0</v>
      </c>
      <c r="AB356" s="11">
        <v>0</v>
      </c>
      <c r="AC356" s="11">
        <v>1</v>
      </c>
      <c r="AD356" s="11">
        <v>0</v>
      </c>
      <c r="AE356" s="11">
        <v>1</v>
      </c>
      <c r="AF356" s="11">
        <v>0</v>
      </c>
      <c r="AG356" s="11">
        <v>0</v>
      </c>
      <c r="AH356" s="9" t="s">
        <v>4878</v>
      </c>
      <c r="AI356" s="11">
        <v>0</v>
      </c>
      <c r="AJ356" s="11">
        <v>0</v>
      </c>
      <c r="AK356" s="11">
        <v>0</v>
      </c>
      <c r="AL356" s="11">
        <v>0</v>
      </c>
      <c r="AN356" s="11">
        <v>0</v>
      </c>
      <c r="AO356" s="11">
        <v>0</v>
      </c>
      <c r="AP356" s="11">
        <v>0</v>
      </c>
      <c r="AQ356" s="11">
        <v>0</v>
      </c>
      <c r="AR356" s="11">
        <v>0</v>
      </c>
      <c r="AS356" s="11">
        <v>0</v>
      </c>
      <c r="AT356" s="11">
        <v>0</v>
      </c>
      <c r="AU356" s="11">
        <v>0</v>
      </c>
      <c r="AV356" s="11">
        <v>0</v>
      </c>
      <c r="AW356" s="11">
        <v>0</v>
      </c>
      <c r="AX356" s="11">
        <v>0</v>
      </c>
      <c r="AY356" s="11">
        <v>0</v>
      </c>
      <c r="BA356" s="12" t="s">
        <v>4877</v>
      </c>
      <c r="BB356" s="12">
        <v>0</v>
      </c>
      <c r="BC356" s="9" t="s">
        <v>4878</v>
      </c>
      <c r="BD356" s="12">
        <v>0</v>
      </c>
      <c r="BE356" s="12">
        <v>0</v>
      </c>
      <c r="BF356" s="12">
        <v>0</v>
      </c>
      <c r="BI356" s="12">
        <v>0</v>
      </c>
      <c r="BJ356" s="12">
        <v>0</v>
      </c>
    </row>
    <row r="357" spans="1:62" x14ac:dyDescent="0.15">
      <c r="A357" s="7" t="s">
        <v>7002</v>
      </c>
      <c r="C357" s="7" t="s">
        <v>7003</v>
      </c>
      <c r="D357" s="7" t="s">
        <v>5292</v>
      </c>
      <c r="E357" s="9" t="s">
        <v>4870</v>
      </c>
      <c r="L357" s="10">
        <v>3749490</v>
      </c>
      <c r="M357" s="10">
        <v>692713</v>
      </c>
      <c r="N357" s="11">
        <v>15</v>
      </c>
      <c r="P357" s="7" t="s">
        <v>6503</v>
      </c>
      <c r="Q357" s="9" t="s">
        <v>1061</v>
      </c>
      <c r="R357" s="9" t="s">
        <v>1061</v>
      </c>
      <c r="S357" s="9" t="s">
        <v>5292</v>
      </c>
      <c r="T357" s="9" t="s">
        <v>8484</v>
      </c>
      <c r="U357" s="12" t="s">
        <v>5019</v>
      </c>
      <c r="V357" s="12" t="s">
        <v>5020</v>
      </c>
      <c r="W357" s="12">
        <v>0</v>
      </c>
      <c r="X357" s="12">
        <v>0</v>
      </c>
      <c r="Y357" s="12">
        <v>0</v>
      </c>
      <c r="Z357" s="11">
        <v>0</v>
      </c>
      <c r="AA357" s="11">
        <v>0</v>
      </c>
      <c r="AB357" s="11">
        <v>0</v>
      </c>
      <c r="AC357" s="11">
        <v>0</v>
      </c>
      <c r="AD357" s="11">
        <v>0</v>
      </c>
      <c r="AE357" s="11">
        <v>1</v>
      </c>
      <c r="AF357" s="11">
        <v>1</v>
      </c>
      <c r="AG357" s="11">
        <v>0</v>
      </c>
      <c r="AH357" s="9">
        <v>2</v>
      </c>
      <c r="AI357" s="11">
        <v>2</v>
      </c>
      <c r="AJ357" s="11">
        <v>1</v>
      </c>
      <c r="AK357" s="11">
        <v>1</v>
      </c>
      <c r="AL357" s="11">
        <v>1</v>
      </c>
      <c r="AN357" s="11">
        <v>0</v>
      </c>
      <c r="AO357" s="11">
        <v>0</v>
      </c>
      <c r="AP357" s="11">
        <v>0</v>
      </c>
      <c r="AQ357" s="11">
        <v>1</v>
      </c>
      <c r="AR357" s="11">
        <v>0</v>
      </c>
      <c r="AS357" s="11">
        <v>0</v>
      </c>
      <c r="AT357" s="11">
        <v>1</v>
      </c>
      <c r="AU357" s="11">
        <v>0</v>
      </c>
      <c r="AV357" s="11">
        <v>0</v>
      </c>
      <c r="AW357" s="11">
        <v>0</v>
      </c>
      <c r="AX357" s="11">
        <v>0</v>
      </c>
      <c r="AY357" s="11">
        <v>0</v>
      </c>
      <c r="BA357" s="12" t="s">
        <v>4877</v>
      </c>
      <c r="BB357" s="12">
        <v>1</v>
      </c>
      <c r="BC357" s="9" t="s">
        <v>4878</v>
      </c>
      <c r="BD357" s="12">
        <v>12</v>
      </c>
      <c r="BE357" s="12">
        <v>240</v>
      </c>
      <c r="BF357" s="12">
        <v>0</v>
      </c>
      <c r="BI357" s="12">
        <v>0</v>
      </c>
      <c r="BJ357" s="12">
        <v>0</v>
      </c>
    </row>
    <row r="358" spans="1:62" x14ac:dyDescent="0.15">
      <c r="A358" s="7" t="s">
        <v>7004</v>
      </c>
      <c r="C358" s="7" t="s">
        <v>7005</v>
      </c>
      <c r="D358" s="7" t="s">
        <v>5292</v>
      </c>
      <c r="E358" s="9" t="s">
        <v>4870</v>
      </c>
      <c r="L358" s="10">
        <v>3746610</v>
      </c>
      <c r="M358" s="10">
        <v>692098</v>
      </c>
      <c r="N358" s="11">
        <v>15</v>
      </c>
      <c r="P358" s="7" t="s">
        <v>7006</v>
      </c>
      <c r="Q358" s="9" t="s">
        <v>1061</v>
      </c>
      <c r="R358" s="9" t="s">
        <v>1061</v>
      </c>
      <c r="S358" s="9" t="s">
        <v>5292</v>
      </c>
      <c r="T358" s="9" t="s">
        <v>8484</v>
      </c>
      <c r="U358" s="12" t="s">
        <v>5019</v>
      </c>
      <c r="V358" s="12" t="s">
        <v>5020</v>
      </c>
      <c r="W358" s="12">
        <v>0</v>
      </c>
      <c r="X358" s="12">
        <v>0</v>
      </c>
      <c r="Y358" s="12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1</v>
      </c>
      <c r="AF358" s="11">
        <v>1</v>
      </c>
      <c r="AG358" s="11">
        <v>0</v>
      </c>
      <c r="AH358" s="9">
        <v>1</v>
      </c>
      <c r="AI358" s="11">
        <v>1</v>
      </c>
      <c r="AJ358" s="11">
        <v>1</v>
      </c>
      <c r="AK358" s="11">
        <v>0</v>
      </c>
      <c r="AL358" s="11">
        <v>1</v>
      </c>
      <c r="AN358" s="11">
        <v>0</v>
      </c>
      <c r="AO358" s="11">
        <v>0</v>
      </c>
      <c r="AP358" s="11">
        <v>0</v>
      </c>
      <c r="AQ358" s="11">
        <v>1</v>
      </c>
      <c r="AR358" s="11">
        <v>0</v>
      </c>
      <c r="AS358" s="11">
        <v>0</v>
      </c>
      <c r="AT358" s="11">
        <v>0</v>
      </c>
      <c r="AU358" s="11">
        <v>0</v>
      </c>
      <c r="AV358" s="11">
        <v>0</v>
      </c>
      <c r="AW358" s="11">
        <v>0</v>
      </c>
      <c r="AX358" s="11">
        <v>0</v>
      </c>
      <c r="AY358" s="11">
        <v>0</v>
      </c>
      <c r="BA358" s="12" t="s">
        <v>4877</v>
      </c>
      <c r="BB358" s="12">
        <v>0</v>
      </c>
      <c r="BC358" s="9" t="s">
        <v>4878</v>
      </c>
      <c r="BD358" s="12">
        <v>8</v>
      </c>
      <c r="BE358" s="12">
        <v>0</v>
      </c>
      <c r="BF358" s="12">
        <v>0</v>
      </c>
      <c r="BI358" s="12">
        <v>0</v>
      </c>
      <c r="BJ358" s="12">
        <v>0</v>
      </c>
    </row>
    <row r="359" spans="1:62" x14ac:dyDescent="0.15">
      <c r="A359" s="7" t="s">
        <v>7007</v>
      </c>
      <c r="C359" s="7" t="s">
        <v>7008</v>
      </c>
      <c r="D359" s="7" t="s">
        <v>5292</v>
      </c>
      <c r="E359" s="9" t="s">
        <v>4870</v>
      </c>
      <c r="L359" s="10">
        <v>3745220</v>
      </c>
      <c r="M359" s="10">
        <v>689311</v>
      </c>
      <c r="N359" s="11">
        <v>15</v>
      </c>
      <c r="P359" s="7" t="s">
        <v>5310</v>
      </c>
      <c r="Q359" s="9" t="s">
        <v>5311</v>
      </c>
      <c r="R359" s="9" t="s">
        <v>5318</v>
      </c>
      <c r="S359" s="9" t="s">
        <v>5292</v>
      </c>
      <c r="T359" s="9" t="s">
        <v>6655</v>
      </c>
      <c r="U359" s="12" t="s">
        <v>4898</v>
      </c>
      <c r="V359" s="12" t="s">
        <v>5016</v>
      </c>
      <c r="W359" s="12">
        <v>0</v>
      </c>
      <c r="X359" s="12">
        <v>0</v>
      </c>
      <c r="Y359" s="12">
        <v>0</v>
      </c>
      <c r="Z359" s="11">
        <v>0</v>
      </c>
      <c r="AA359" s="11">
        <v>1</v>
      </c>
      <c r="AB359" s="11">
        <v>1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9">
        <v>1</v>
      </c>
      <c r="AI359" s="11">
        <v>1</v>
      </c>
      <c r="AJ359" s="11">
        <v>1</v>
      </c>
      <c r="AK359" s="11">
        <v>0</v>
      </c>
      <c r="AL359" s="11">
        <v>0</v>
      </c>
      <c r="AN359" s="11">
        <v>0</v>
      </c>
      <c r="AO359" s="11">
        <v>0</v>
      </c>
      <c r="AP359" s="11">
        <v>0</v>
      </c>
      <c r="AQ359" s="11">
        <v>0</v>
      </c>
      <c r="AR359" s="11">
        <v>1</v>
      </c>
      <c r="AS359" s="11">
        <v>0</v>
      </c>
      <c r="AT359" s="11">
        <v>0</v>
      </c>
      <c r="AU359" s="11">
        <v>0</v>
      </c>
      <c r="AV359" s="11">
        <v>0</v>
      </c>
      <c r="AW359" s="11">
        <v>0</v>
      </c>
      <c r="AX359" s="11">
        <v>0</v>
      </c>
      <c r="AY359" s="11">
        <v>0</v>
      </c>
      <c r="BA359" s="12" t="s">
        <v>4877</v>
      </c>
      <c r="BB359" s="12">
        <v>0</v>
      </c>
      <c r="BC359" s="9" t="s">
        <v>4878</v>
      </c>
      <c r="BD359" s="12">
        <v>9</v>
      </c>
      <c r="BE359" s="12">
        <v>0</v>
      </c>
      <c r="BF359" s="12">
        <f>VLOOKUP(A359,'[1]Conical Mounds'!A$1:O$65536,15,FALSE)</f>
        <v>2827.4333882308138</v>
      </c>
      <c r="BI359">
        <f>BD359/BF359</f>
        <v>3.1830988618379067E-3</v>
      </c>
      <c r="BJ359">
        <f>BI359*10000</f>
        <v>31.830988618379067</v>
      </c>
    </row>
    <row r="360" spans="1:62" x14ac:dyDescent="0.15">
      <c r="A360" s="7" t="s">
        <v>7009</v>
      </c>
      <c r="C360" s="7" t="s">
        <v>7010</v>
      </c>
      <c r="D360" s="7" t="s">
        <v>5292</v>
      </c>
      <c r="E360" s="9" t="s">
        <v>4870</v>
      </c>
      <c r="L360" s="10">
        <v>3748200</v>
      </c>
      <c r="M360" s="10">
        <v>687720</v>
      </c>
      <c r="N360" s="11">
        <v>15</v>
      </c>
      <c r="P360" s="7" t="s">
        <v>6431</v>
      </c>
      <c r="Q360" s="9" t="s">
        <v>5311</v>
      </c>
      <c r="R360" s="9" t="s">
        <v>5318</v>
      </c>
      <c r="S360" s="9" t="s">
        <v>5292</v>
      </c>
      <c r="T360" s="9" t="s">
        <v>4797</v>
      </c>
      <c r="U360" s="12" t="s">
        <v>5018</v>
      </c>
      <c r="V360" s="12" t="s">
        <v>5019</v>
      </c>
      <c r="W360" s="12">
        <v>0</v>
      </c>
      <c r="X360" s="12">
        <v>0</v>
      </c>
      <c r="Y360" s="12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1</v>
      </c>
      <c r="AE360" s="11">
        <v>1</v>
      </c>
      <c r="AF360" s="11">
        <v>0</v>
      </c>
      <c r="AG360" s="11">
        <v>0</v>
      </c>
      <c r="AH360" s="9">
        <v>1</v>
      </c>
      <c r="AI360" s="11">
        <v>1</v>
      </c>
      <c r="AJ360" s="11">
        <v>1</v>
      </c>
      <c r="AK360" s="11">
        <v>0</v>
      </c>
      <c r="AL360" s="11">
        <v>0</v>
      </c>
      <c r="AN360" s="11">
        <v>0</v>
      </c>
      <c r="AO360" s="11">
        <v>0</v>
      </c>
      <c r="AP360" s="11">
        <v>0</v>
      </c>
      <c r="AQ360" s="11">
        <v>0</v>
      </c>
      <c r="AR360" s="11">
        <v>1</v>
      </c>
      <c r="AS360" s="11">
        <v>0</v>
      </c>
      <c r="AT360" s="11">
        <v>0</v>
      </c>
      <c r="AU360" s="11">
        <v>0</v>
      </c>
      <c r="AV360" s="11">
        <v>0</v>
      </c>
      <c r="AW360" s="11">
        <v>0</v>
      </c>
      <c r="AX360" s="11">
        <v>0</v>
      </c>
      <c r="AY360" s="11">
        <v>0</v>
      </c>
      <c r="BA360" s="12" t="s">
        <v>4877</v>
      </c>
      <c r="BB360" s="12">
        <v>0</v>
      </c>
      <c r="BC360" s="9" t="s">
        <v>4878</v>
      </c>
      <c r="BD360" s="12">
        <v>6</v>
      </c>
      <c r="BE360" s="12">
        <v>0</v>
      </c>
      <c r="BF360" s="12">
        <f>VLOOKUP(A360,'[1]Conical Mounds'!A$1:O$65536,15,FALSE)</f>
        <v>1963.4954084936207</v>
      </c>
      <c r="BI360">
        <f>BD360/BF360</f>
        <v>3.0557749073643905E-3</v>
      </c>
      <c r="BJ360">
        <f>BI360*10000</f>
        <v>30.557749073643905</v>
      </c>
    </row>
    <row r="361" spans="1:62" x14ac:dyDescent="0.15">
      <c r="A361" s="7" t="s">
        <v>7011</v>
      </c>
      <c r="C361" s="7" t="s">
        <v>7012</v>
      </c>
      <c r="D361" s="7" t="s">
        <v>5292</v>
      </c>
      <c r="E361" s="9" t="s">
        <v>4870</v>
      </c>
      <c r="L361" s="10">
        <v>3748910</v>
      </c>
      <c r="M361" s="10">
        <v>689484</v>
      </c>
      <c r="N361" s="11">
        <v>15</v>
      </c>
      <c r="P361" s="7" t="s">
        <v>1079</v>
      </c>
      <c r="Q361" s="9" t="s">
        <v>5322</v>
      </c>
      <c r="S361" s="9" t="s">
        <v>5292</v>
      </c>
      <c r="T361" s="9" t="s">
        <v>4902</v>
      </c>
      <c r="U361" s="12" t="s">
        <v>4902</v>
      </c>
      <c r="V361" s="12" t="s">
        <v>4902</v>
      </c>
      <c r="W361" s="12">
        <v>0</v>
      </c>
      <c r="X361" s="12">
        <v>0</v>
      </c>
      <c r="Y361" s="12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9" t="s">
        <v>4909</v>
      </c>
      <c r="AI361" s="11">
        <v>1</v>
      </c>
      <c r="AJ361" s="11">
        <v>1</v>
      </c>
      <c r="AK361" s="11">
        <v>0</v>
      </c>
      <c r="AL361" s="11">
        <v>0</v>
      </c>
      <c r="AN361" s="11">
        <v>0</v>
      </c>
      <c r="AO361" s="11">
        <v>0</v>
      </c>
      <c r="AP361" s="11">
        <v>0</v>
      </c>
      <c r="AQ361" s="11">
        <v>0</v>
      </c>
      <c r="AR361" s="11">
        <v>1</v>
      </c>
      <c r="AS361" s="11">
        <v>0</v>
      </c>
      <c r="AT361" s="11">
        <v>1</v>
      </c>
      <c r="AU361" s="11">
        <v>0</v>
      </c>
      <c r="AV361" s="11">
        <v>0</v>
      </c>
      <c r="AW361" s="11">
        <v>0</v>
      </c>
      <c r="AX361" s="11">
        <v>0</v>
      </c>
      <c r="AY361" s="11">
        <v>0</v>
      </c>
      <c r="BA361" s="12" t="s">
        <v>4877</v>
      </c>
      <c r="BB361" s="12">
        <v>0</v>
      </c>
      <c r="BC361" s="9" t="s">
        <v>4878</v>
      </c>
      <c r="BD361" s="12">
        <v>0</v>
      </c>
      <c r="BE361" s="12">
        <v>0</v>
      </c>
      <c r="BF361" s="12">
        <v>0</v>
      </c>
      <c r="BI361" s="12">
        <v>0</v>
      </c>
      <c r="BJ361" s="12">
        <v>0</v>
      </c>
    </row>
    <row r="362" spans="1:62" x14ac:dyDescent="0.15">
      <c r="A362" s="7" t="s">
        <v>7013</v>
      </c>
      <c r="C362" s="7" t="s">
        <v>7014</v>
      </c>
      <c r="D362" s="7" t="s">
        <v>5292</v>
      </c>
      <c r="E362" s="9" t="s">
        <v>4870</v>
      </c>
      <c r="L362" s="10">
        <v>3745900</v>
      </c>
      <c r="M362" s="10">
        <v>686378</v>
      </c>
      <c r="N362" s="11">
        <v>15</v>
      </c>
      <c r="P362" s="7" t="s">
        <v>5310</v>
      </c>
      <c r="Q362" s="9" t="s">
        <v>5311</v>
      </c>
      <c r="S362" s="9" t="s">
        <v>5292</v>
      </c>
      <c r="T362" s="9" t="s">
        <v>4797</v>
      </c>
      <c r="U362" s="12" t="s">
        <v>5018</v>
      </c>
      <c r="V362" s="12" t="s">
        <v>5019</v>
      </c>
      <c r="W362" s="12">
        <v>0</v>
      </c>
      <c r="X362" s="12">
        <v>0</v>
      </c>
      <c r="Y362" s="12">
        <v>0</v>
      </c>
      <c r="Z362" s="11">
        <v>0</v>
      </c>
      <c r="AA362" s="11">
        <v>0</v>
      </c>
      <c r="AB362" s="11">
        <v>0</v>
      </c>
      <c r="AC362" s="11">
        <v>0</v>
      </c>
      <c r="AD362" s="11">
        <v>1</v>
      </c>
      <c r="AE362" s="11">
        <v>1</v>
      </c>
      <c r="AF362" s="11">
        <v>0</v>
      </c>
      <c r="AG362" s="11">
        <v>0</v>
      </c>
      <c r="AH362" s="9" t="s">
        <v>4909</v>
      </c>
      <c r="AI362" s="11">
        <v>1</v>
      </c>
      <c r="AJ362" s="11">
        <v>1</v>
      </c>
      <c r="AK362" s="11">
        <v>0</v>
      </c>
      <c r="AL362" s="11">
        <v>0</v>
      </c>
      <c r="AN362" s="11">
        <v>0</v>
      </c>
      <c r="AO362" s="11">
        <v>0</v>
      </c>
      <c r="AP362" s="11">
        <v>0</v>
      </c>
      <c r="AQ362" s="11">
        <v>0</v>
      </c>
      <c r="AR362" s="11">
        <v>0</v>
      </c>
      <c r="AS362" s="11">
        <v>0</v>
      </c>
      <c r="AT362" s="11">
        <v>1</v>
      </c>
      <c r="AU362" s="11">
        <v>0</v>
      </c>
      <c r="AV362" s="11">
        <v>0</v>
      </c>
      <c r="AW362" s="11">
        <v>0</v>
      </c>
      <c r="AX362" s="11">
        <v>0</v>
      </c>
      <c r="AY362" s="11">
        <v>0</v>
      </c>
      <c r="BA362" s="12" t="s">
        <v>4877</v>
      </c>
      <c r="BB362" s="12">
        <v>0</v>
      </c>
      <c r="BC362" s="9" t="s">
        <v>4878</v>
      </c>
      <c r="BD362" s="12">
        <v>0</v>
      </c>
      <c r="BE362" s="12">
        <v>0</v>
      </c>
      <c r="BF362" s="12">
        <v>0</v>
      </c>
      <c r="BI362" s="12">
        <v>0</v>
      </c>
      <c r="BJ362" s="12">
        <v>0</v>
      </c>
    </row>
    <row r="363" spans="1:62" x14ac:dyDescent="0.15">
      <c r="A363" s="7" t="s">
        <v>7015</v>
      </c>
      <c r="C363" s="7" t="s">
        <v>7016</v>
      </c>
      <c r="D363" s="7" t="s">
        <v>5292</v>
      </c>
      <c r="E363" s="9" t="s">
        <v>4870</v>
      </c>
      <c r="L363" s="10">
        <v>3743370</v>
      </c>
      <c r="M363" s="10">
        <v>686501</v>
      </c>
      <c r="N363" s="11">
        <v>15</v>
      </c>
      <c r="P363" s="7" t="s">
        <v>7006</v>
      </c>
      <c r="Q363" s="9" t="s">
        <v>1061</v>
      </c>
      <c r="R363" s="9" t="s">
        <v>1061</v>
      </c>
      <c r="S363" s="9" t="s">
        <v>5292</v>
      </c>
      <c r="T363" s="9" t="s">
        <v>4884</v>
      </c>
      <c r="U363" s="12" t="s">
        <v>5016</v>
      </c>
      <c r="V363" s="12" t="s">
        <v>5017</v>
      </c>
      <c r="W363" s="12">
        <v>0</v>
      </c>
      <c r="X363" s="12">
        <v>0</v>
      </c>
      <c r="Y363" s="12">
        <v>0</v>
      </c>
      <c r="Z363" s="11">
        <v>0</v>
      </c>
      <c r="AA363" s="11">
        <v>0</v>
      </c>
      <c r="AB363" s="11">
        <v>1</v>
      </c>
      <c r="AC363" s="11">
        <v>1</v>
      </c>
      <c r="AD363" s="11">
        <v>0</v>
      </c>
      <c r="AE363" s="11">
        <v>0</v>
      </c>
      <c r="AF363" s="11">
        <v>0</v>
      </c>
      <c r="AG363" s="11">
        <v>0</v>
      </c>
      <c r="AH363" s="9">
        <v>2</v>
      </c>
      <c r="AI363" s="11">
        <v>2</v>
      </c>
      <c r="AJ363" s="11">
        <v>1</v>
      </c>
      <c r="AK363" s="11">
        <v>0</v>
      </c>
      <c r="AL363" s="11">
        <v>1</v>
      </c>
      <c r="AN363" s="11">
        <v>0</v>
      </c>
      <c r="AO363" s="11">
        <v>0</v>
      </c>
      <c r="AP363" s="11">
        <v>0</v>
      </c>
      <c r="AQ363" s="11">
        <v>1</v>
      </c>
      <c r="AR363" s="11">
        <v>0</v>
      </c>
      <c r="AS363" s="11">
        <v>0</v>
      </c>
      <c r="AT363" s="11">
        <v>1</v>
      </c>
      <c r="AU363" s="11">
        <v>0</v>
      </c>
      <c r="AV363" s="11">
        <v>0</v>
      </c>
      <c r="AW363" s="11">
        <v>0</v>
      </c>
      <c r="AX363" s="11">
        <v>0</v>
      </c>
      <c r="AY363" s="11">
        <v>0</v>
      </c>
      <c r="BA363" s="12" t="s">
        <v>4877</v>
      </c>
      <c r="BB363" s="12">
        <v>0</v>
      </c>
      <c r="BC363" s="9" t="s">
        <v>4878</v>
      </c>
      <c r="BD363" s="12">
        <v>5</v>
      </c>
      <c r="BE363" s="12">
        <v>0</v>
      </c>
      <c r="BF363" s="12">
        <v>0</v>
      </c>
      <c r="BI363" s="12">
        <v>0</v>
      </c>
      <c r="BJ363" s="12">
        <v>0</v>
      </c>
    </row>
    <row r="364" spans="1:62" x14ac:dyDescent="0.15">
      <c r="A364" s="7" t="s">
        <v>7017</v>
      </c>
      <c r="C364" s="7" t="s">
        <v>7018</v>
      </c>
      <c r="D364" s="7" t="s">
        <v>5292</v>
      </c>
      <c r="E364" s="9" t="s">
        <v>4870</v>
      </c>
      <c r="L364" s="10">
        <v>3749670</v>
      </c>
      <c r="M364" s="10">
        <v>701217</v>
      </c>
      <c r="N364" s="11">
        <v>15</v>
      </c>
      <c r="P364" s="7" t="s">
        <v>1053</v>
      </c>
      <c r="Q364" s="9" t="s">
        <v>1061</v>
      </c>
      <c r="R364" s="9" t="s">
        <v>1061</v>
      </c>
      <c r="S364" s="9" t="s">
        <v>5292</v>
      </c>
      <c r="T364" s="9" t="s">
        <v>4797</v>
      </c>
      <c r="U364" s="12" t="s">
        <v>5018</v>
      </c>
      <c r="V364" s="12" t="s">
        <v>5019</v>
      </c>
      <c r="W364" s="12">
        <v>0</v>
      </c>
      <c r="X364" s="12">
        <v>0</v>
      </c>
      <c r="Y364" s="12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1</v>
      </c>
      <c r="AE364" s="11">
        <v>1</v>
      </c>
      <c r="AF364" s="11">
        <v>0</v>
      </c>
      <c r="AG364" s="11">
        <v>0</v>
      </c>
      <c r="AH364" s="9">
        <v>2</v>
      </c>
      <c r="AI364" s="11">
        <v>2</v>
      </c>
      <c r="AJ364" s="11">
        <v>1</v>
      </c>
      <c r="AK364" s="11">
        <v>1</v>
      </c>
      <c r="AL364" s="11">
        <v>1</v>
      </c>
      <c r="AN364" s="11">
        <v>0</v>
      </c>
      <c r="AO364" s="11">
        <v>0</v>
      </c>
      <c r="AP364" s="11">
        <v>0</v>
      </c>
      <c r="AQ364" s="11">
        <v>0</v>
      </c>
      <c r="AR364" s="11">
        <v>0</v>
      </c>
      <c r="AS364" s="11">
        <v>0</v>
      </c>
      <c r="AT364" s="11">
        <v>1</v>
      </c>
      <c r="AU364" s="11">
        <v>0</v>
      </c>
      <c r="AV364" s="11">
        <v>0</v>
      </c>
      <c r="AW364" s="11">
        <v>0</v>
      </c>
      <c r="AX364" s="11">
        <v>0</v>
      </c>
      <c r="AY364" s="11">
        <v>0</v>
      </c>
      <c r="BA364" s="12" t="s">
        <v>4877</v>
      </c>
      <c r="BB364" s="12">
        <v>1</v>
      </c>
      <c r="BC364" s="9" t="s">
        <v>4878</v>
      </c>
      <c r="BD364" s="12">
        <v>5</v>
      </c>
      <c r="BE364" s="12">
        <v>300</v>
      </c>
      <c r="BF364" s="12">
        <v>0</v>
      </c>
      <c r="BI364" s="12">
        <v>0</v>
      </c>
      <c r="BJ364" s="12">
        <v>0</v>
      </c>
    </row>
    <row r="365" spans="1:62" x14ac:dyDescent="0.15">
      <c r="A365" s="7" t="s">
        <v>7019</v>
      </c>
      <c r="C365" s="7" t="s">
        <v>7020</v>
      </c>
      <c r="D365" s="7" t="s">
        <v>5292</v>
      </c>
      <c r="E365" s="9" t="s">
        <v>4870</v>
      </c>
      <c r="L365" s="10">
        <v>3752287</v>
      </c>
      <c r="M365" s="10">
        <v>698707</v>
      </c>
      <c r="N365" s="11">
        <v>15</v>
      </c>
      <c r="P365" s="7" t="s">
        <v>910</v>
      </c>
      <c r="Q365" s="9" t="s">
        <v>1112</v>
      </c>
      <c r="S365" s="9" t="s">
        <v>5292</v>
      </c>
      <c r="T365" s="9" t="s">
        <v>4902</v>
      </c>
      <c r="U365" s="12" t="s">
        <v>4902</v>
      </c>
      <c r="V365" s="12" t="s">
        <v>4902</v>
      </c>
      <c r="W365" s="12">
        <v>0</v>
      </c>
      <c r="X365" s="12">
        <v>0</v>
      </c>
      <c r="Y365" s="12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9" t="s">
        <v>4909</v>
      </c>
      <c r="AI365" s="11">
        <v>1</v>
      </c>
      <c r="AJ365" s="11">
        <v>1</v>
      </c>
      <c r="AK365" s="11">
        <v>0</v>
      </c>
      <c r="AL365" s="11">
        <v>0</v>
      </c>
      <c r="AN365" s="11">
        <v>0</v>
      </c>
      <c r="AO365" s="11">
        <v>0</v>
      </c>
      <c r="AP365" s="11">
        <v>0</v>
      </c>
      <c r="AQ365" s="11">
        <v>0</v>
      </c>
      <c r="AR365" s="11">
        <v>0</v>
      </c>
      <c r="AS365" s="11">
        <v>0</v>
      </c>
      <c r="AT365" s="11">
        <v>1</v>
      </c>
      <c r="AU365" s="11">
        <v>0</v>
      </c>
      <c r="AV365" s="11">
        <v>0</v>
      </c>
      <c r="AW365" s="11">
        <v>0</v>
      </c>
      <c r="AX365" s="11">
        <v>0</v>
      </c>
      <c r="AY365" s="11">
        <v>0</v>
      </c>
      <c r="BA365" s="12" t="s">
        <v>4877</v>
      </c>
      <c r="BB365" s="12">
        <v>0</v>
      </c>
      <c r="BC365" s="9" t="s">
        <v>4878</v>
      </c>
      <c r="BD365" s="12">
        <v>0</v>
      </c>
      <c r="BE365" s="12">
        <v>0</v>
      </c>
      <c r="BF365" s="12">
        <v>0</v>
      </c>
      <c r="BI365" s="12">
        <v>0</v>
      </c>
      <c r="BJ365" s="12">
        <v>0</v>
      </c>
    </row>
    <row r="366" spans="1:62" x14ac:dyDescent="0.15">
      <c r="A366" s="7" t="s">
        <v>7021</v>
      </c>
      <c r="C366" s="7" t="s">
        <v>7022</v>
      </c>
      <c r="D366" s="7" t="s">
        <v>5292</v>
      </c>
      <c r="E366" s="9" t="s">
        <v>4870</v>
      </c>
      <c r="L366" s="10">
        <v>3758170</v>
      </c>
      <c r="M366" s="10">
        <v>693955</v>
      </c>
      <c r="N366" s="11">
        <v>15</v>
      </c>
      <c r="P366" s="7" t="s">
        <v>7023</v>
      </c>
      <c r="Q366" s="9" t="s">
        <v>5295</v>
      </c>
      <c r="R366" s="9" t="s">
        <v>5295</v>
      </c>
      <c r="S366" s="9" t="s">
        <v>5292</v>
      </c>
      <c r="T366" s="9" t="s">
        <v>4875</v>
      </c>
      <c r="U366" s="12" t="s">
        <v>5020</v>
      </c>
      <c r="V366" s="12" t="s">
        <v>5021</v>
      </c>
      <c r="W366" s="12">
        <v>0</v>
      </c>
      <c r="X366" s="12">
        <v>0</v>
      </c>
      <c r="Y366" s="12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1</v>
      </c>
      <c r="AG366" s="11">
        <v>1</v>
      </c>
      <c r="AH366" s="9">
        <v>4</v>
      </c>
      <c r="AI366" s="11">
        <v>4</v>
      </c>
      <c r="AJ366" s="11">
        <v>1</v>
      </c>
      <c r="AK366" s="11">
        <v>1</v>
      </c>
      <c r="AL366" s="11">
        <v>1</v>
      </c>
      <c r="AN366" s="11">
        <v>0</v>
      </c>
      <c r="AO366" s="11">
        <v>0</v>
      </c>
      <c r="AP366" s="11">
        <v>0</v>
      </c>
      <c r="AQ366" s="11">
        <v>0</v>
      </c>
      <c r="AR366" s="11">
        <v>0</v>
      </c>
      <c r="AS366" s="11">
        <v>0</v>
      </c>
      <c r="AT366" s="11">
        <v>1</v>
      </c>
      <c r="AU366" s="11">
        <v>0</v>
      </c>
      <c r="AV366" s="11">
        <v>0</v>
      </c>
      <c r="AW366" s="11">
        <v>1</v>
      </c>
      <c r="AX366" s="11">
        <v>0</v>
      </c>
      <c r="AY366" s="11">
        <v>0</v>
      </c>
      <c r="AZ366" s="12" t="s">
        <v>4843</v>
      </c>
      <c r="BA366" s="12" t="s">
        <v>4911</v>
      </c>
      <c r="BB366" s="12">
        <v>1</v>
      </c>
      <c r="BC366" s="9" t="s">
        <v>4878</v>
      </c>
      <c r="BD366" s="12">
        <v>15</v>
      </c>
      <c r="BE366" s="12">
        <v>400</v>
      </c>
      <c r="BF366" s="12">
        <v>0</v>
      </c>
      <c r="BI366" s="12">
        <v>0</v>
      </c>
      <c r="BJ366" s="12">
        <v>0</v>
      </c>
    </row>
    <row r="367" spans="1:62" x14ac:dyDescent="0.15">
      <c r="A367" s="7" t="s">
        <v>7024</v>
      </c>
      <c r="C367" s="7" t="s">
        <v>7025</v>
      </c>
      <c r="D367" s="7" t="s">
        <v>5292</v>
      </c>
      <c r="E367" s="9" t="s">
        <v>4870</v>
      </c>
      <c r="L367" s="10">
        <v>3756069</v>
      </c>
      <c r="M367" s="10">
        <v>701541</v>
      </c>
      <c r="N367" s="11">
        <v>15</v>
      </c>
      <c r="P367" s="7" t="s">
        <v>910</v>
      </c>
      <c r="Q367" s="9" t="s">
        <v>1112</v>
      </c>
      <c r="S367" s="9" t="s">
        <v>5292</v>
      </c>
      <c r="T367" s="9" t="s">
        <v>4902</v>
      </c>
      <c r="U367" s="12" t="s">
        <v>4902</v>
      </c>
      <c r="V367" s="12" t="s">
        <v>4902</v>
      </c>
      <c r="W367" s="12">
        <v>0</v>
      </c>
      <c r="X367" s="12">
        <v>0</v>
      </c>
      <c r="Y367" s="12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9" t="s">
        <v>4909</v>
      </c>
      <c r="AI367" s="11">
        <v>1</v>
      </c>
      <c r="AJ367" s="11">
        <v>1</v>
      </c>
      <c r="AK367" s="11">
        <v>0</v>
      </c>
      <c r="AL367" s="11">
        <v>0</v>
      </c>
      <c r="AN367" s="11">
        <v>0</v>
      </c>
      <c r="AO367" s="11">
        <v>0</v>
      </c>
      <c r="AP367" s="11">
        <v>0</v>
      </c>
      <c r="AQ367" s="11">
        <v>0</v>
      </c>
      <c r="AR367" s="11">
        <v>0</v>
      </c>
      <c r="AS367" s="11">
        <v>0</v>
      </c>
      <c r="AT367" s="11">
        <v>1</v>
      </c>
      <c r="AU367" s="11">
        <v>0</v>
      </c>
      <c r="AV367" s="11">
        <v>0</v>
      </c>
      <c r="AW367" s="11">
        <v>0</v>
      </c>
      <c r="AX367" s="11">
        <v>0</v>
      </c>
      <c r="AY367" s="11">
        <v>0</v>
      </c>
      <c r="BA367" s="12" t="s">
        <v>4877</v>
      </c>
      <c r="BB367" s="12">
        <v>0</v>
      </c>
      <c r="BC367" s="9" t="s">
        <v>4878</v>
      </c>
      <c r="BD367" s="12">
        <v>0</v>
      </c>
      <c r="BE367" s="12">
        <v>0</v>
      </c>
      <c r="BF367" s="12">
        <v>0</v>
      </c>
      <c r="BI367" s="12">
        <v>0</v>
      </c>
      <c r="BJ367" s="12">
        <v>0</v>
      </c>
    </row>
    <row r="368" spans="1:62" x14ac:dyDescent="0.15">
      <c r="A368" s="7" t="s">
        <v>7026</v>
      </c>
      <c r="C368" s="7" t="s">
        <v>7027</v>
      </c>
      <c r="D368" s="7" t="s">
        <v>5292</v>
      </c>
      <c r="E368" s="9" t="s">
        <v>4870</v>
      </c>
      <c r="L368" s="10">
        <v>3746582</v>
      </c>
      <c r="M368" s="10">
        <v>686574</v>
      </c>
      <c r="N368" s="11">
        <v>15</v>
      </c>
      <c r="P368" s="7" t="s">
        <v>910</v>
      </c>
      <c r="Q368" s="9" t="s">
        <v>1112</v>
      </c>
      <c r="S368" s="9" t="s">
        <v>5292</v>
      </c>
      <c r="T368" s="9" t="s">
        <v>4902</v>
      </c>
      <c r="U368" s="12" t="s">
        <v>4902</v>
      </c>
      <c r="V368" s="12" t="s">
        <v>4902</v>
      </c>
      <c r="W368" s="12">
        <v>0</v>
      </c>
      <c r="X368" s="12">
        <v>0</v>
      </c>
      <c r="Y368" s="12">
        <v>0</v>
      </c>
      <c r="Z368" s="11">
        <v>0</v>
      </c>
      <c r="AA368" s="11">
        <v>0</v>
      </c>
      <c r="AB368" s="11">
        <v>0</v>
      </c>
      <c r="AC368" s="11">
        <v>0</v>
      </c>
      <c r="AD368" s="11">
        <v>0</v>
      </c>
      <c r="AE368" s="11">
        <v>0</v>
      </c>
      <c r="AF368" s="11">
        <v>0</v>
      </c>
      <c r="AG368" s="11">
        <v>0</v>
      </c>
      <c r="AH368" s="9" t="s">
        <v>4909</v>
      </c>
      <c r="AI368" s="11">
        <v>1</v>
      </c>
      <c r="AJ368" s="11">
        <v>1</v>
      </c>
      <c r="AK368" s="11">
        <v>0</v>
      </c>
      <c r="AL368" s="11">
        <v>0</v>
      </c>
      <c r="AN368" s="11">
        <v>0</v>
      </c>
      <c r="AO368" s="11">
        <v>0</v>
      </c>
      <c r="AP368" s="11">
        <v>0</v>
      </c>
      <c r="AQ368" s="11">
        <v>0</v>
      </c>
      <c r="AR368" s="11">
        <v>0</v>
      </c>
      <c r="AS368" s="11">
        <v>0</v>
      </c>
      <c r="AT368" s="11">
        <v>1</v>
      </c>
      <c r="AU368" s="11">
        <v>0</v>
      </c>
      <c r="AV368" s="11">
        <v>0</v>
      </c>
      <c r="AW368" s="11">
        <v>0</v>
      </c>
      <c r="AX368" s="11">
        <v>0</v>
      </c>
      <c r="AY368" s="11">
        <v>0</v>
      </c>
      <c r="BA368" s="12" t="s">
        <v>4877</v>
      </c>
      <c r="BB368" s="12">
        <v>0</v>
      </c>
      <c r="BC368" s="9" t="s">
        <v>4878</v>
      </c>
      <c r="BD368" s="12">
        <v>0</v>
      </c>
      <c r="BE368" s="12">
        <v>0</v>
      </c>
      <c r="BF368" s="12">
        <v>0</v>
      </c>
      <c r="BI368" s="12">
        <v>0</v>
      </c>
      <c r="BJ368" s="12">
        <v>0</v>
      </c>
    </row>
    <row r="369" spans="1:62" x14ac:dyDescent="0.15">
      <c r="A369" s="7" t="s">
        <v>7028</v>
      </c>
      <c r="C369" s="7" t="s">
        <v>7029</v>
      </c>
      <c r="D369" s="7" t="s">
        <v>5292</v>
      </c>
      <c r="E369" s="9" t="s">
        <v>4870</v>
      </c>
      <c r="L369" s="10">
        <v>3760722</v>
      </c>
      <c r="M369" s="10">
        <v>691966</v>
      </c>
      <c r="N369" s="11">
        <v>15</v>
      </c>
      <c r="P369" s="7" t="s">
        <v>1047</v>
      </c>
      <c r="Q369" s="9" t="s">
        <v>5322</v>
      </c>
      <c r="S369" s="9" t="s">
        <v>5292</v>
      </c>
      <c r="T369" s="9" t="s">
        <v>4902</v>
      </c>
      <c r="U369" s="12" t="s">
        <v>4902</v>
      </c>
      <c r="V369" s="12" t="s">
        <v>4902</v>
      </c>
      <c r="W369" s="12">
        <v>0</v>
      </c>
      <c r="X369" s="12">
        <v>0</v>
      </c>
      <c r="Y369" s="12">
        <v>0</v>
      </c>
      <c r="Z369" s="11">
        <v>0</v>
      </c>
      <c r="AA369" s="11">
        <v>0</v>
      </c>
      <c r="AB369" s="11">
        <v>0</v>
      </c>
      <c r="AC369" s="11">
        <v>0</v>
      </c>
      <c r="AD369" s="11">
        <v>0</v>
      </c>
      <c r="AE369" s="11">
        <v>0</v>
      </c>
      <c r="AF369" s="11">
        <v>0</v>
      </c>
      <c r="AG369" s="11">
        <v>0</v>
      </c>
      <c r="AH369" s="9" t="s">
        <v>8248</v>
      </c>
      <c r="AI369" s="11">
        <v>2</v>
      </c>
      <c r="AJ369" s="11">
        <v>1</v>
      </c>
      <c r="AK369" s="11">
        <v>1</v>
      </c>
      <c r="AL369" s="11">
        <v>0</v>
      </c>
      <c r="AN369" s="11">
        <v>0</v>
      </c>
      <c r="AO369" s="11">
        <v>0</v>
      </c>
      <c r="AP369" s="11">
        <v>0</v>
      </c>
      <c r="AQ369" s="11">
        <v>0</v>
      </c>
      <c r="AR369" s="11">
        <v>1</v>
      </c>
      <c r="AS369" s="11">
        <v>0</v>
      </c>
      <c r="AT369" s="11">
        <v>1</v>
      </c>
      <c r="AU369" s="11">
        <v>0</v>
      </c>
      <c r="AV369" s="11">
        <v>0</v>
      </c>
      <c r="AW369" s="11">
        <v>0</v>
      </c>
      <c r="AX369" s="11">
        <v>0</v>
      </c>
      <c r="AY369" s="11">
        <v>0</v>
      </c>
      <c r="BA369" s="12" t="s">
        <v>4877</v>
      </c>
      <c r="BB369" s="12">
        <v>0</v>
      </c>
      <c r="BC369" s="9" t="s">
        <v>4878</v>
      </c>
      <c r="BD369" s="12">
        <v>0</v>
      </c>
      <c r="BE369" s="12">
        <v>0</v>
      </c>
      <c r="BF369" s="12">
        <v>0</v>
      </c>
      <c r="BI369" s="12">
        <v>0</v>
      </c>
      <c r="BJ369" s="12">
        <v>0</v>
      </c>
    </row>
    <row r="370" spans="1:62" x14ac:dyDescent="0.15">
      <c r="A370" s="7" t="s">
        <v>7030</v>
      </c>
      <c r="C370" s="7" t="s">
        <v>7031</v>
      </c>
      <c r="D370" s="7" t="s">
        <v>5292</v>
      </c>
      <c r="E370" s="9" t="s">
        <v>4870</v>
      </c>
      <c r="L370" s="10">
        <v>3738114</v>
      </c>
      <c r="M370" s="10">
        <v>687171</v>
      </c>
      <c r="N370" s="11">
        <v>15</v>
      </c>
      <c r="P370" s="7" t="s">
        <v>1079</v>
      </c>
      <c r="Q370" s="9" t="s">
        <v>5322</v>
      </c>
      <c r="S370" s="9" t="s">
        <v>5292</v>
      </c>
      <c r="T370" s="9" t="s">
        <v>4902</v>
      </c>
      <c r="U370" s="12" t="s">
        <v>4902</v>
      </c>
      <c r="V370" s="12" t="s">
        <v>4902</v>
      </c>
      <c r="W370" s="12">
        <v>0</v>
      </c>
      <c r="X370" s="12">
        <v>0</v>
      </c>
      <c r="Y370" s="12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9" t="s">
        <v>4909</v>
      </c>
      <c r="AI370" s="11">
        <v>1</v>
      </c>
      <c r="AJ370" s="11">
        <v>1</v>
      </c>
      <c r="AK370" s="11">
        <v>0</v>
      </c>
      <c r="AL370" s="11">
        <v>0</v>
      </c>
      <c r="AN370" s="11">
        <v>0</v>
      </c>
      <c r="AO370" s="11">
        <v>0</v>
      </c>
      <c r="AP370" s="11">
        <v>0</v>
      </c>
      <c r="AQ370" s="11">
        <v>0</v>
      </c>
      <c r="AR370" s="11">
        <v>1</v>
      </c>
      <c r="AS370" s="11">
        <v>0</v>
      </c>
      <c r="AT370" s="11">
        <v>1</v>
      </c>
      <c r="AU370" s="11">
        <v>0</v>
      </c>
      <c r="AV370" s="11">
        <v>0</v>
      </c>
      <c r="AW370" s="11">
        <v>0</v>
      </c>
      <c r="AX370" s="11">
        <v>0</v>
      </c>
      <c r="AY370" s="11">
        <v>0</v>
      </c>
      <c r="BA370" s="12" t="s">
        <v>4877</v>
      </c>
      <c r="BB370" s="12">
        <v>0</v>
      </c>
      <c r="BC370" s="9" t="s">
        <v>4878</v>
      </c>
      <c r="BD370" s="12">
        <v>0</v>
      </c>
      <c r="BE370" s="12">
        <v>0</v>
      </c>
      <c r="BF370" s="12">
        <v>0</v>
      </c>
      <c r="BI370" s="12">
        <v>0</v>
      </c>
      <c r="BJ370" s="12">
        <v>0</v>
      </c>
    </row>
    <row r="371" spans="1:62" x14ac:dyDescent="0.15">
      <c r="A371" s="7" t="s">
        <v>7032</v>
      </c>
      <c r="C371" s="7" t="s">
        <v>7033</v>
      </c>
      <c r="D371" s="7" t="s">
        <v>5292</v>
      </c>
      <c r="E371" s="9" t="s">
        <v>4870</v>
      </c>
      <c r="L371" s="10">
        <v>3739123</v>
      </c>
      <c r="M371" s="10">
        <v>689419</v>
      </c>
      <c r="N371" s="11">
        <v>15</v>
      </c>
      <c r="P371" s="7" t="s">
        <v>910</v>
      </c>
      <c r="Q371" s="9" t="s">
        <v>1112</v>
      </c>
      <c r="S371" s="9" t="s">
        <v>5292</v>
      </c>
      <c r="T371" s="9" t="s">
        <v>4902</v>
      </c>
      <c r="U371" s="12" t="s">
        <v>4902</v>
      </c>
      <c r="V371" s="12" t="s">
        <v>4902</v>
      </c>
      <c r="W371" s="12">
        <v>0</v>
      </c>
      <c r="X371" s="12">
        <v>0</v>
      </c>
      <c r="Y371" s="12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9" t="s">
        <v>4909</v>
      </c>
      <c r="AI371" s="11">
        <v>1</v>
      </c>
      <c r="AJ371" s="11">
        <v>1</v>
      </c>
      <c r="AK371" s="11">
        <v>0</v>
      </c>
      <c r="AL371" s="11">
        <v>0</v>
      </c>
      <c r="AN371" s="11">
        <v>0</v>
      </c>
      <c r="AO371" s="11">
        <v>0</v>
      </c>
      <c r="AP371" s="11">
        <v>0</v>
      </c>
      <c r="AQ371" s="11">
        <v>0</v>
      </c>
      <c r="AR371" s="11">
        <v>0</v>
      </c>
      <c r="AS371" s="11">
        <v>0</v>
      </c>
      <c r="AT371" s="11">
        <v>1</v>
      </c>
      <c r="AU371" s="11">
        <v>0</v>
      </c>
      <c r="AV371" s="11">
        <v>0</v>
      </c>
      <c r="AW371" s="11">
        <v>0</v>
      </c>
      <c r="AX371" s="11">
        <v>0</v>
      </c>
      <c r="AY371" s="11">
        <v>0</v>
      </c>
      <c r="BA371" s="12" t="s">
        <v>4877</v>
      </c>
      <c r="BB371" s="12">
        <v>0</v>
      </c>
      <c r="BC371" s="9" t="s">
        <v>4878</v>
      </c>
      <c r="BD371" s="12">
        <v>0</v>
      </c>
      <c r="BE371" s="12">
        <v>0</v>
      </c>
      <c r="BF371" s="12">
        <v>0</v>
      </c>
      <c r="BI371" s="12">
        <v>0</v>
      </c>
      <c r="BJ371" s="12">
        <v>0</v>
      </c>
    </row>
    <row r="372" spans="1:62" x14ac:dyDescent="0.15">
      <c r="A372" s="7" t="s">
        <v>7034</v>
      </c>
      <c r="C372" s="7" t="s">
        <v>6982</v>
      </c>
      <c r="D372" s="7" t="s">
        <v>5292</v>
      </c>
      <c r="E372" s="9" t="s">
        <v>4870</v>
      </c>
      <c r="L372" s="10">
        <v>3738080</v>
      </c>
      <c r="M372" s="10">
        <v>691968</v>
      </c>
      <c r="N372" s="11">
        <v>15</v>
      </c>
      <c r="P372" s="7" t="s">
        <v>7035</v>
      </c>
      <c r="Q372" s="9" t="s">
        <v>4873</v>
      </c>
      <c r="S372" s="9" t="s">
        <v>5292</v>
      </c>
      <c r="T372" s="9" t="s">
        <v>4902</v>
      </c>
      <c r="U372" s="12" t="s">
        <v>4902</v>
      </c>
      <c r="V372" s="12" t="s">
        <v>4902</v>
      </c>
      <c r="W372" s="12">
        <v>0</v>
      </c>
      <c r="X372" s="12">
        <v>0</v>
      </c>
      <c r="Y372" s="12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9" t="s">
        <v>8248</v>
      </c>
      <c r="AI372" s="11">
        <v>2</v>
      </c>
      <c r="AJ372" s="11">
        <v>1</v>
      </c>
      <c r="AK372" s="11">
        <v>1</v>
      </c>
      <c r="AL372" s="11">
        <v>1</v>
      </c>
      <c r="AN372" s="11">
        <v>0</v>
      </c>
      <c r="AO372" s="11">
        <v>0</v>
      </c>
      <c r="AP372" s="11">
        <v>0</v>
      </c>
      <c r="AQ372" s="11">
        <v>1</v>
      </c>
      <c r="AR372" s="11">
        <v>0</v>
      </c>
      <c r="AS372" s="11">
        <v>0</v>
      </c>
      <c r="AT372" s="11">
        <v>1</v>
      </c>
      <c r="AU372" s="11">
        <v>0</v>
      </c>
      <c r="AV372" s="11">
        <v>0</v>
      </c>
      <c r="AW372" s="11">
        <v>0</v>
      </c>
      <c r="AX372" s="11">
        <v>0</v>
      </c>
      <c r="AY372" s="11">
        <v>0</v>
      </c>
      <c r="BA372" s="12" t="s">
        <v>4877</v>
      </c>
      <c r="BB372" s="12">
        <v>0</v>
      </c>
      <c r="BC372" s="9" t="s">
        <v>4878</v>
      </c>
      <c r="BD372" s="12">
        <v>0</v>
      </c>
      <c r="BE372" s="12">
        <v>0</v>
      </c>
      <c r="BF372" s="12">
        <v>0</v>
      </c>
      <c r="BI372" s="12">
        <v>0</v>
      </c>
      <c r="BJ372" s="12">
        <v>0</v>
      </c>
    </row>
    <row r="373" spans="1:62" x14ac:dyDescent="0.15">
      <c r="A373" s="7" t="s">
        <v>7036</v>
      </c>
      <c r="C373" s="7" t="s">
        <v>8338</v>
      </c>
      <c r="D373" s="7" t="s">
        <v>5292</v>
      </c>
      <c r="E373" s="9" t="s">
        <v>4870</v>
      </c>
      <c r="L373" s="10">
        <v>3739670</v>
      </c>
      <c r="M373" s="10">
        <v>691582</v>
      </c>
      <c r="N373" s="11">
        <v>15</v>
      </c>
      <c r="P373" s="7" t="s">
        <v>7037</v>
      </c>
      <c r="Q373" s="9" t="s">
        <v>5311</v>
      </c>
      <c r="S373" s="9" t="s">
        <v>5292</v>
      </c>
      <c r="T373" s="9" t="s">
        <v>4902</v>
      </c>
      <c r="U373" s="12" t="s">
        <v>4902</v>
      </c>
      <c r="V373" s="12" t="s">
        <v>4902</v>
      </c>
      <c r="W373" s="12">
        <v>0</v>
      </c>
      <c r="X373" s="12">
        <v>0</v>
      </c>
      <c r="Y373" s="12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9" t="s">
        <v>4909</v>
      </c>
      <c r="AI373" s="11">
        <v>1</v>
      </c>
      <c r="AJ373" s="11">
        <v>1</v>
      </c>
      <c r="AK373" s="11">
        <v>0</v>
      </c>
      <c r="AL373" s="11">
        <v>1</v>
      </c>
      <c r="AN373" s="11">
        <v>0</v>
      </c>
      <c r="AO373" s="11">
        <v>0</v>
      </c>
      <c r="AP373" s="11">
        <v>0</v>
      </c>
      <c r="AQ373" s="11">
        <v>1</v>
      </c>
      <c r="AR373" s="11">
        <v>0</v>
      </c>
      <c r="AS373" s="11">
        <v>0</v>
      </c>
      <c r="AT373" s="11">
        <v>0</v>
      </c>
      <c r="AU373" s="11">
        <v>0</v>
      </c>
      <c r="AV373" s="11">
        <v>0</v>
      </c>
      <c r="AW373" s="11">
        <v>0</v>
      </c>
      <c r="AX373" s="11">
        <v>0</v>
      </c>
      <c r="AY373" s="11">
        <v>0</v>
      </c>
      <c r="BA373" s="12" t="s">
        <v>4877</v>
      </c>
      <c r="BB373" s="12">
        <v>0</v>
      </c>
      <c r="BC373" s="9" t="s">
        <v>4878</v>
      </c>
      <c r="BD373" s="12">
        <v>0</v>
      </c>
      <c r="BE373" s="12">
        <v>0</v>
      </c>
      <c r="BF373" s="12">
        <v>0</v>
      </c>
      <c r="BI373" s="12">
        <v>0</v>
      </c>
      <c r="BJ373" s="12">
        <v>0</v>
      </c>
    </row>
    <row r="374" spans="1:62" x14ac:dyDescent="0.15">
      <c r="A374" s="7" t="s">
        <v>7038</v>
      </c>
      <c r="C374" s="7" t="s">
        <v>7039</v>
      </c>
      <c r="D374" s="7" t="s">
        <v>5292</v>
      </c>
      <c r="E374" s="9" t="s">
        <v>4870</v>
      </c>
      <c r="L374" s="10">
        <v>3746646</v>
      </c>
      <c r="M374" s="10">
        <v>702428</v>
      </c>
      <c r="N374" s="11">
        <v>15</v>
      </c>
      <c r="P374" s="7" t="s">
        <v>910</v>
      </c>
      <c r="Q374" s="9" t="s">
        <v>1112</v>
      </c>
      <c r="S374" s="9" t="s">
        <v>5292</v>
      </c>
      <c r="T374" s="9" t="s">
        <v>4902</v>
      </c>
      <c r="U374" s="12" t="s">
        <v>4902</v>
      </c>
      <c r="V374" s="12" t="s">
        <v>4902</v>
      </c>
      <c r="W374" s="12">
        <v>0</v>
      </c>
      <c r="X374" s="12">
        <v>0</v>
      </c>
      <c r="Y374" s="12">
        <v>0</v>
      </c>
      <c r="Z374" s="11">
        <v>0</v>
      </c>
      <c r="AA374" s="11">
        <v>0</v>
      </c>
      <c r="AB374" s="11">
        <v>0</v>
      </c>
      <c r="AC374" s="11">
        <v>0</v>
      </c>
      <c r="AD374" s="11">
        <v>0</v>
      </c>
      <c r="AE374" s="11">
        <v>0</v>
      </c>
      <c r="AF374" s="11">
        <v>0</v>
      </c>
      <c r="AG374" s="11">
        <v>0</v>
      </c>
      <c r="AH374" s="9" t="s">
        <v>4909</v>
      </c>
      <c r="AI374" s="11">
        <v>1</v>
      </c>
      <c r="AJ374" s="11">
        <v>1</v>
      </c>
      <c r="AK374" s="11">
        <v>0</v>
      </c>
      <c r="AL374" s="11">
        <v>0</v>
      </c>
      <c r="AN374" s="11">
        <v>0</v>
      </c>
      <c r="AO374" s="11">
        <v>0</v>
      </c>
      <c r="AP374" s="11">
        <v>0</v>
      </c>
      <c r="AQ374" s="11">
        <v>0</v>
      </c>
      <c r="AR374" s="11">
        <v>0</v>
      </c>
      <c r="AS374" s="11">
        <v>0</v>
      </c>
      <c r="AT374" s="11">
        <v>1</v>
      </c>
      <c r="AU374" s="11">
        <v>0</v>
      </c>
      <c r="AV374" s="11">
        <v>0</v>
      </c>
      <c r="AW374" s="11">
        <v>0</v>
      </c>
      <c r="AX374" s="11">
        <v>0</v>
      </c>
      <c r="AY374" s="11">
        <v>0</v>
      </c>
      <c r="BA374" s="12" t="s">
        <v>4877</v>
      </c>
      <c r="BB374" s="12">
        <v>0</v>
      </c>
      <c r="BC374" s="9" t="s">
        <v>4878</v>
      </c>
      <c r="BD374" s="12">
        <v>0</v>
      </c>
      <c r="BE374" s="12">
        <v>0</v>
      </c>
      <c r="BF374" s="12">
        <v>0</v>
      </c>
      <c r="BI374" s="12">
        <v>0</v>
      </c>
      <c r="BJ374" s="12">
        <v>0</v>
      </c>
    </row>
    <row r="375" spans="1:62" x14ac:dyDescent="0.15">
      <c r="A375" s="7" t="s">
        <v>7040</v>
      </c>
      <c r="C375" s="7" t="s">
        <v>7041</v>
      </c>
      <c r="D375" s="7" t="s">
        <v>5292</v>
      </c>
      <c r="E375" s="9" t="s">
        <v>4870</v>
      </c>
      <c r="L375" s="10">
        <v>3741710</v>
      </c>
      <c r="M375" s="10">
        <v>699280</v>
      </c>
      <c r="N375" s="11">
        <v>15</v>
      </c>
      <c r="P375" s="7" t="s">
        <v>1053</v>
      </c>
      <c r="Q375" s="9" t="s">
        <v>1112</v>
      </c>
      <c r="S375" s="9" t="s">
        <v>5292</v>
      </c>
      <c r="T375" s="9" t="s">
        <v>4902</v>
      </c>
      <c r="U375" s="12" t="s">
        <v>4902</v>
      </c>
      <c r="V375" s="12" t="s">
        <v>4902</v>
      </c>
      <c r="W375" s="12">
        <v>0</v>
      </c>
      <c r="X375" s="12">
        <v>0</v>
      </c>
      <c r="Y375" s="12">
        <v>0</v>
      </c>
      <c r="Z375" s="11">
        <v>0</v>
      </c>
      <c r="AA375" s="11">
        <v>0</v>
      </c>
      <c r="AB375" s="11">
        <v>0</v>
      </c>
      <c r="AC375" s="11">
        <v>0</v>
      </c>
      <c r="AD375" s="11">
        <v>0</v>
      </c>
      <c r="AE375" s="11">
        <v>0</v>
      </c>
      <c r="AF375" s="11">
        <v>0</v>
      </c>
      <c r="AG375" s="11">
        <v>0</v>
      </c>
      <c r="AH375" s="9" t="s">
        <v>8248</v>
      </c>
      <c r="AI375" s="11">
        <v>2</v>
      </c>
      <c r="AJ375" s="11">
        <v>1</v>
      </c>
      <c r="AK375" s="11">
        <v>1</v>
      </c>
      <c r="AL375" s="11">
        <v>0</v>
      </c>
      <c r="AN375" s="11">
        <v>0</v>
      </c>
      <c r="AO375" s="11">
        <v>0</v>
      </c>
      <c r="AP375" s="11">
        <v>0</v>
      </c>
      <c r="AQ375" s="11">
        <v>0</v>
      </c>
      <c r="AR375" s="11">
        <v>0</v>
      </c>
      <c r="AS375" s="11">
        <v>0</v>
      </c>
      <c r="AT375" s="11">
        <v>1</v>
      </c>
      <c r="AU375" s="11">
        <v>0</v>
      </c>
      <c r="AV375" s="11">
        <v>0</v>
      </c>
      <c r="AW375" s="11">
        <v>0</v>
      </c>
      <c r="AX375" s="11">
        <v>0</v>
      </c>
      <c r="AY375" s="11">
        <v>0</v>
      </c>
      <c r="BA375" s="12" t="s">
        <v>4877</v>
      </c>
      <c r="BB375" s="12">
        <v>0</v>
      </c>
      <c r="BC375" s="9" t="s">
        <v>4878</v>
      </c>
      <c r="BD375" s="12">
        <v>0</v>
      </c>
      <c r="BE375" s="12">
        <v>0</v>
      </c>
      <c r="BF375" s="12">
        <v>0</v>
      </c>
      <c r="BI375" s="12">
        <v>0</v>
      </c>
      <c r="BJ375" s="12">
        <v>0</v>
      </c>
    </row>
    <row r="376" spans="1:62" x14ac:dyDescent="0.15">
      <c r="A376" s="7" t="s">
        <v>7042</v>
      </c>
      <c r="C376" s="7" t="s">
        <v>7043</v>
      </c>
      <c r="D376" s="7" t="s">
        <v>5292</v>
      </c>
      <c r="E376" s="9" t="s">
        <v>4870</v>
      </c>
      <c r="L376" s="10">
        <v>3746510</v>
      </c>
      <c r="M376" s="10">
        <v>712155</v>
      </c>
      <c r="N376" s="11">
        <v>15</v>
      </c>
      <c r="P376" s="7" t="s">
        <v>7044</v>
      </c>
      <c r="Q376" s="9" t="s">
        <v>1061</v>
      </c>
      <c r="R376" s="9" t="s">
        <v>1061</v>
      </c>
      <c r="S376" s="9" t="s">
        <v>5292</v>
      </c>
      <c r="T376" s="9" t="s">
        <v>8484</v>
      </c>
      <c r="U376" s="12" t="s">
        <v>5019</v>
      </c>
      <c r="V376" s="12" t="s">
        <v>5020</v>
      </c>
      <c r="W376" s="12">
        <v>0</v>
      </c>
      <c r="X376" s="12">
        <v>0</v>
      </c>
      <c r="Y376" s="12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1</v>
      </c>
      <c r="AF376" s="11">
        <v>1</v>
      </c>
      <c r="AG376" s="11">
        <v>0</v>
      </c>
      <c r="AH376" s="9">
        <v>7</v>
      </c>
      <c r="AI376" s="11">
        <v>7</v>
      </c>
      <c r="AJ376" s="11">
        <v>1</v>
      </c>
      <c r="AK376" s="11">
        <v>1</v>
      </c>
      <c r="AL376" s="11">
        <v>1</v>
      </c>
      <c r="AN376" s="11">
        <v>1</v>
      </c>
      <c r="AO376" s="11">
        <v>0</v>
      </c>
      <c r="AP376" s="11">
        <v>0</v>
      </c>
      <c r="AQ376" s="11">
        <v>0</v>
      </c>
      <c r="AR376" s="11">
        <v>0</v>
      </c>
      <c r="AS376" s="11">
        <v>0</v>
      </c>
      <c r="AT376" s="11">
        <v>1</v>
      </c>
      <c r="AU376" s="11">
        <v>0</v>
      </c>
      <c r="AV376" s="11">
        <v>0</v>
      </c>
      <c r="AW376" s="11">
        <v>0</v>
      </c>
      <c r="AX376" s="11">
        <v>0</v>
      </c>
      <c r="AY376" s="11">
        <v>0</v>
      </c>
      <c r="BA376" s="12" t="s">
        <v>4877</v>
      </c>
      <c r="BB376" s="12">
        <v>1</v>
      </c>
      <c r="BC376" s="9" t="s">
        <v>4878</v>
      </c>
      <c r="BD376" s="12">
        <v>18</v>
      </c>
      <c r="BE376" s="12">
        <v>300</v>
      </c>
      <c r="BF376" s="12">
        <v>0</v>
      </c>
      <c r="BI376" s="12">
        <v>0</v>
      </c>
      <c r="BJ376" s="12">
        <v>0</v>
      </c>
    </row>
    <row r="377" spans="1:62" x14ac:dyDescent="0.15">
      <c r="A377" s="7" t="s">
        <v>7045</v>
      </c>
      <c r="C377" s="7" t="s">
        <v>7046</v>
      </c>
      <c r="D377" s="7" t="s">
        <v>5292</v>
      </c>
      <c r="E377" s="9" t="s">
        <v>4870</v>
      </c>
      <c r="L377" s="10">
        <v>3747623</v>
      </c>
      <c r="M377" s="10">
        <v>724081</v>
      </c>
      <c r="N377" s="11">
        <v>15</v>
      </c>
      <c r="P377" s="7" t="s">
        <v>5310</v>
      </c>
      <c r="Q377" s="9" t="s">
        <v>5311</v>
      </c>
      <c r="S377" s="9" t="s">
        <v>5292</v>
      </c>
      <c r="T377" s="9" t="s">
        <v>4902</v>
      </c>
      <c r="U377" s="12" t="s">
        <v>4902</v>
      </c>
      <c r="V377" s="12" t="s">
        <v>4902</v>
      </c>
      <c r="W377" s="12">
        <v>0</v>
      </c>
      <c r="X377" s="12">
        <v>0</v>
      </c>
      <c r="Y377" s="12">
        <v>0</v>
      </c>
      <c r="Z377" s="11">
        <v>0</v>
      </c>
      <c r="AA377" s="11">
        <v>0</v>
      </c>
      <c r="AB377" s="11">
        <v>0</v>
      </c>
      <c r="AC377" s="11">
        <v>0</v>
      </c>
      <c r="AD377" s="11">
        <v>0</v>
      </c>
      <c r="AE377" s="11">
        <v>0</v>
      </c>
      <c r="AF377" s="11">
        <v>0</v>
      </c>
      <c r="AG377" s="11">
        <v>0</v>
      </c>
      <c r="AH377" s="9" t="s">
        <v>4909</v>
      </c>
      <c r="AI377" s="11">
        <v>1</v>
      </c>
      <c r="AJ377" s="11">
        <v>1</v>
      </c>
      <c r="AK377" s="11">
        <v>0</v>
      </c>
      <c r="AL377" s="11">
        <v>0</v>
      </c>
      <c r="AN377" s="11">
        <v>0</v>
      </c>
      <c r="AO377" s="11">
        <v>0</v>
      </c>
      <c r="AP377" s="11">
        <v>0</v>
      </c>
      <c r="AQ377" s="11">
        <v>0</v>
      </c>
      <c r="AR377" s="11">
        <v>0</v>
      </c>
      <c r="AS377" s="11">
        <v>0</v>
      </c>
      <c r="AT377" s="11">
        <v>1</v>
      </c>
      <c r="AU377" s="11">
        <v>0</v>
      </c>
      <c r="AV377" s="11">
        <v>0</v>
      </c>
      <c r="AW377" s="11">
        <v>0</v>
      </c>
      <c r="AX377" s="11">
        <v>0</v>
      </c>
      <c r="AY377" s="11">
        <v>0</v>
      </c>
      <c r="BA377" s="12" t="s">
        <v>4877</v>
      </c>
      <c r="BB377" s="12">
        <v>0</v>
      </c>
      <c r="BC377" s="9" t="s">
        <v>4878</v>
      </c>
      <c r="BD377" s="12">
        <v>0</v>
      </c>
      <c r="BE377" s="12">
        <v>0</v>
      </c>
      <c r="BF377" s="12">
        <v>0</v>
      </c>
      <c r="BI377" s="12">
        <v>0</v>
      </c>
      <c r="BJ377" s="12">
        <v>0</v>
      </c>
    </row>
    <row r="378" spans="1:62" x14ac:dyDescent="0.15">
      <c r="A378" s="7" t="s">
        <v>7047</v>
      </c>
      <c r="C378" s="7" t="s">
        <v>7048</v>
      </c>
      <c r="D378" s="7" t="s">
        <v>5292</v>
      </c>
      <c r="E378" s="9" t="s">
        <v>4870</v>
      </c>
      <c r="L378" s="10">
        <v>3749500</v>
      </c>
      <c r="M378" s="10">
        <v>722617</v>
      </c>
      <c r="N378" s="11">
        <v>15</v>
      </c>
      <c r="P378" s="7" t="s">
        <v>910</v>
      </c>
      <c r="Q378" s="9" t="s">
        <v>1061</v>
      </c>
      <c r="R378" s="9" t="s">
        <v>1061</v>
      </c>
      <c r="S378" s="9" t="s">
        <v>5292</v>
      </c>
      <c r="T378" s="9" t="s">
        <v>8484</v>
      </c>
      <c r="U378" s="12" t="s">
        <v>5019</v>
      </c>
      <c r="V378" s="12" t="s">
        <v>5020</v>
      </c>
      <c r="W378" s="12">
        <v>0</v>
      </c>
      <c r="X378" s="12">
        <v>0</v>
      </c>
      <c r="Y378" s="12">
        <v>0</v>
      </c>
      <c r="Z378" s="11">
        <v>0</v>
      </c>
      <c r="AA378" s="11">
        <v>0</v>
      </c>
      <c r="AB378" s="11">
        <v>0</v>
      </c>
      <c r="AC378" s="11">
        <v>0</v>
      </c>
      <c r="AD378" s="11">
        <v>0</v>
      </c>
      <c r="AE378" s="11">
        <v>1</v>
      </c>
      <c r="AF378" s="11">
        <v>1</v>
      </c>
      <c r="AG378" s="11">
        <v>0</v>
      </c>
      <c r="AH378" s="9">
        <v>2</v>
      </c>
      <c r="AI378" s="11">
        <v>2</v>
      </c>
      <c r="AJ378" s="11">
        <v>1</v>
      </c>
      <c r="AK378" s="11">
        <v>0</v>
      </c>
      <c r="AL378" s="11">
        <v>1</v>
      </c>
      <c r="AN378" s="11">
        <v>0</v>
      </c>
      <c r="AO378" s="11">
        <v>0</v>
      </c>
      <c r="AP378" s="11">
        <v>0</v>
      </c>
      <c r="AQ378" s="11">
        <v>0</v>
      </c>
      <c r="AR378" s="11">
        <v>0</v>
      </c>
      <c r="AS378" s="11">
        <v>0</v>
      </c>
      <c r="AT378" s="11">
        <v>1</v>
      </c>
      <c r="AU378" s="11">
        <v>0</v>
      </c>
      <c r="AV378" s="11">
        <v>0</v>
      </c>
      <c r="AW378" s="11">
        <v>0</v>
      </c>
      <c r="AX378" s="11">
        <v>0</v>
      </c>
      <c r="AY378" s="11">
        <v>0</v>
      </c>
      <c r="BA378" s="12" t="s">
        <v>4877</v>
      </c>
      <c r="BB378" s="12">
        <v>1</v>
      </c>
      <c r="BC378" s="9" t="s">
        <v>4878</v>
      </c>
      <c r="BD378" s="12">
        <v>5</v>
      </c>
      <c r="BE378" s="12">
        <v>150</v>
      </c>
      <c r="BF378" s="12">
        <v>0</v>
      </c>
      <c r="BI378" s="12">
        <v>0</v>
      </c>
      <c r="BJ378" s="12">
        <v>0</v>
      </c>
    </row>
    <row r="379" spans="1:62" x14ac:dyDescent="0.15">
      <c r="A379" s="7" t="s">
        <v>7049</v>
      </c>
      <c r="C379" s="7" t="s">
        <v>7050</v>
      </c>
      <c r="D379" s="7" t="s">
        <v>5292</v>
      </c>
      <c r="E379" s="9" t="s">
        <v>4870</v>
      </c>
      <c r="L379" s="10">
        <v>3750420</v>
      </c>
      <c r="M379" s="10">
        <v>724949</v>
      </c>
      <c r="N379" s="11">
        <v>15</v>
      </c>
      <c r="P379" s="7" t="s">
        <v>1087</v>
      </c>
      <c r="Q379" s="9" t="s">
        <v>5311</v>
      </c>
      <c r="S379" s="9" t="s">
        <v>5292</v>
      </c>
      <c r="T379" s="9" t="s">
        <v>8484</v>
      </c>
      <c r="U379" s="12" t="s">
        <v>5019</v>
      </c>
      <c r="V379" s="12" t="s">
        <v>5020</v>
      </c>
      <c r="W379" s="12">
        <v>0</v>
      </c>
      <c r="X379" s="12">
        <v>0</v>
      </c>
      <c r="Y379" s="12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1</v>
      </c>
      <c r="AF379" s="11">
        <v>1</v>
      </c>
      <c r="AG379" s="11">
        <v>0</v>
      </c>
      <c r="AH379" s="9" t="s">
        <v>8248</v>
      </c>
      <c r="AI379" s="11">
        <v>2</v>
      </c>
      <c r="AJ379" s="11">
        <v>1</v>
      </c>
      <c r="AK379" s="11">
        <v>1</v>
      </c>
      <c r="AL379" s="11">
        <v>0</v>
      </c>
      <c r="AN379" s="11">
        <v>0</v>
      </c>
      <c r="AO379" s="11">
        <v>0</v>
      </c>
      <c r="AP379" s="11">
        <v>0</v>
      </c>
      <c r="AQ379" s="11">
        <v>0</v>
      </c>
      <c r="AR379" s="11">
        <v>0</v>
      </c>
      <c r="AS379" s="11">
        <v>0</v>
      </c>
      <c r="AT379" s="11">
        <v>1</v>
      </c>
      <c r="AU379" s="11">
        <v>0</v>
      </c>
      <c r="AV379" s="11">
        <v>0</v>
      </c>
      <c r="AW379" s="11">
        <v>0</v>
      </c>
      <c r="AX379" s="11">
        <v>0</v>
      </c>
      <c r="AY379" s="11">
        <v>0</v>
      </c>
      <c r="BA379" s="12" t="s">
        <v>4877</v>
      </c>
      <c r="BB379" s="12">
        <v>0</v>
      </c>
      <c r="BC379" s="9" t="s">
        <v>4878</v>
      </c>
      <c r="BD379" s="12">
        <v>0</v>
      </c>
      <c r="BE379" s="12">
        <v>0</v>
      </c>
      <c r="BF379" s="12">
        <v>0</v>
      </c>
      <c r="BI379" s="12">
        <v>0</v>
      </c>
      <c r="BJ379" s="12">
        <v>0</v>
      </c>
    </row>
    <row r="380" spans="1:62" x14ac:dyDescent="0.15">
      <c r="A380" s="7" t="s">
        <v>7051</v>
      </c>
      <c r="C380" s="7" t="s">
        <v>7052</v>
      </c>
      <c r="D380" s="7" t="s">
        <v>5292</v>
      </c>
      <c r="E380" s="9" t="s">
        <v>4870</v>
      </c>
      <c r="L380" s="10">
        <v>3748904</v>
      </c>
      <c r="M380" s="10">
        <v>724670</v>
      </c>
      <c r="N380" s="11">
        <v>15</v>
      </c>
      <c r="P380" s="7" t="s">
        <v>910</v>
      </c>
      <c r="Q380" s="9" t="s">
        <v>1112</v>
      </c>
      <c r="S380" s="9" t="s">
        <v>5292</v>
      </c>
      <c r="T380" s="9" t="s">
        <v>4902</v>
      </c>
      <c r="U380" s="12" t="s">
        <v>4902</v>
      </c>
      <c r="V380" s="12" t="s">
        <v>4902</v>
      </c>
      <c r="W380" s="12">
        <v>0</v>
      </c>
      <c r="X380" s="12">
        <v>0</v>
      </c>
      <c r="Y380" s="12">
        <v>0</v>
      </c>
      <c r="Z380" s="11">
        <v>0</v>
      </c>
      <c r="AA380" s="11">
        <v>0</v>
      </c>
      <c r="AB380" s="11">
        <v>0</v>
      </c>
      <c r="AC380" s="11">
        <v>0</v>
      </c>
      <c r="AD380" s="11">
        <v>0</v>
      </c>
      <c r="AE380" s="11">
        <v>0</v>
      </c>
      <c r="AF380" s="11">
        <v>0</v>
      </c>
      <c r="AG380" s="11">
        <v>0</v>
      </c>
      <c r="AH380" s="9" t="s">
        <v>4909</v>
      </c>
      <c r="AI380" s="11">
        <v>1</v>
      </c>
      <c r="AJ380" s="11">
        <v>1</v>
      </c>
      <c r="AK380" s="11">
        <v>0</v>
      </c>
      <c r="AL380" s="11">
        <v>0</v>
      </c>
      <c r="AN380" s="11">
        <v>0</v>
      </c>
      <c r="AO380" s="11">
        <v>0</v>
      </c>
      <c r="AP380" s="11">
        <v>0</v>
      </c>
      <c r="AQ380" s="11">
        <v>0</v>
      </c>
      <c r="AR380" s="11">
        <v>0</v>
      </c>
      <c r="AS380" s="11">
        <v>0</v>
      </c>
      <c r="AT380" s="11">
        <v>1</v>
      </c>
      <c r="AU380" s="11">
        <v>0</v>
      </c>
      <c r="AV380" s="11">
        <v>0</v>
      </c>
      <c r="AW380" s="11">
        <v>0</v>
      </c>
      <c r="AX380" s="11">
        <v>0</v>
      </c>
      <c r="AY380" s="11">
        <v>0</v>
      </c>
      <c r="BA380" s="12" t="s">
        <v>4877</v>
      </c>
      <c r="BB380" s="12">
        <v>0</v>
      </c>
      <c r="BC380" s="9" t="s">
        <v>4878</v>
      </c>
      <c r="BD380" s="12">
        <v>0</v>
      </c>
      <c r="BE380" s="12">
        <v>0</v>
      </c>
      <c r="BF380" s="12">
        <v>0</v>
      </c>
      <c r="BI380" s="12">
        <v>0</v>
      </c>
      <c r="BJ380" s="12">
        <v>0</v>
      </c>
    </row>
    <row r="381" spans="1:62" x14ac:dyDescent="0.15">
      <c r="A381" s="7" t="s">
        <v>7053</v>
      </c>
      <c r="C381" s="7" t="s">
        <v>7054</v>
      </c>
      <c r="D381" s="7" t="s">
        <v>5292</v>
      </c>
      <c r="E381" s="9" t="s">
        <v>4870</v>
      </c>
      <c r="L381" s="10">
        <v>3751680</v>
      </c>
      <c r="M381" s="10">
        <v>721317</v>
      </c>
      <c r="N381" s="11">
        <v>15</v>
      </c>
      <c r="P381" s="7" t="s">
        <v>1134</v>
      </c>
      <c r="Q381" s="9" t="s">
        <v>6994</v>
      </c>
      <c r="S381" s="9" t="s">
        <v>5292</v>
      </c>
      <c r="T381" s="9" t="s">
        <v>4797</v>
      </c>
      <c r="U381" s="12" t="s">
        <v>5018</v>
      </c>
      <c r="V381" s="12" t="s">
        <v>5019</v>
      </c>
      <c r="W381" s="12">
        <v>0</v>
      </c>
      <c r="X381" s="12">
        <v>0</v>
      </c>
      <c r="Y381" s="12">
        <v>0</v>
      </c>
      <c r="Z381" s="11">
        <v>0</v>
      </c>
      <c r="AA381" s="11">
        <v>0</v>
      </c>
      <c r="AB381" s="11">
        <v>0</v>
      </c>
      <c r="AC381" s="11">
        <v>0</v>
      </c>
      <c r="AD381" s="11">
        <v>1</v>
      </c>
      <c r="AE381" s="11">
        <v>1</v>
      </c>
      <c r="AF381" s="11">
        <v>0</v>
      </c>
      <c r="AG381" s="11">
        <v>0</v>
      </c>
      <c r="AH381" s="9" t="s">
        <v>4878</v>
      </c>
      <c r="AI381" s="11">
        <v>0</v>
      </c>
      <c r="AJ381" s="11">
        <v>0</v>
      </c>
      <c r="AK381" s="11">
        <v>0</v>
      </c>
      <c r="AL381" s="11">
        <v>0</v>
      </c>
      <c r="AN381" s="11">
        <v>0</v>
      </c>
      <c r="AO381" s="11">
        <v>0</v>
      </c>
      <c r="AP381" s="11">
        <v>0</v>
      </c>
      <c r="AQ381" s="11">
        <v>0</v>
      </c>
      <c r="AR381" s="11">
        <v>0</v>
      </c>
      <c r="AS381" s="11">
        <v>0</v>
      </c>
      <c r="AT381" s="11">
        <v>0</v>
      </c>
      <c r="AU381" s="11">
        <v>0</v>
      </c>
      <c r="AV381" s="11">
        <v>0</v>
      </c>
      <c r="AW381" s="11">
        <v>0</v>
      </c>
      <c r="AX381" s="11">
        <v>0</v>
      </c>
      <c r="AY381" s="11">
        <v>0</v>
      </c>
      <c r="BA381" s="12" t="s">
        <v>4877</v>
      </c>
      <c r="BB381" s="12">
        <v>0</v>
      </c>
      <c r="BC381" s="9" t="s">
        <v>4878</v>
      </c>
      <c r="BD381" s="12">
        <v>0</v>
      </c>
      <c r="BE381" s="12">
        <v>0</v>
      </c>
      <c r="BF381" s="12">
        <v>0</v>
      </c>
      <c r="BI381" s="12">
        <v>0</v>
      </c>
      <c r="BJ381" s="12">
        <v>0</v>
      </c>
    </row>
    <row r="382" spans="1:62" x14ac:dyDescent="0.15">
      <c r="A382" s="7" t="s">
        <v>7055</v>
      </c>
      <c r="C382" s="7" t="s">
        <v>7056</v>
      </c>
      <c r="D382" s="7" t="s">
        <v>5292</v>
      </c>
      <c r="E382" s="9" t="s">
        <v>4870</v>
      </c>
      <c r="L382" s="10">
        <v>3746290</v>
      </c>
      <c r="M382" s="10">
        <v>716142</v>
      </c>
      <c r="N382" s="11">
        <v>15</v>
      </c>
      <c r="P382" s="7" t="s">
        <v>1087</v>
      </c>
      <c r="Q382" s="9" t="s">
        <v>5311</v>
      </c>
      <c r="R382" s="9" t="s">
        <v>5318</v>
      </c>
      <c r="S382" s="9" t="s">
        <v>5292</v>
      </c>
      <c r="T382" s="9" t="s">
        <v>4797</v>
      </c>
      <c r="U382" s="12" t="s">
        <v>5018</v>
      </c>
      <c r="V382" s="12" t="s">
        <v>5019</v>
      </c>
      <c r="W382" s="12">
        <v>0</v>
      </c>
      <c r="X382" s="12">
        <v>0</v>
      </c>
      <c r="Y382" s="12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1</v>
      </c>
      <c r="AE382" s="11">
        <v>1</v>
      </c>
      <c r="AF382" s="11">
        <v>0</v>
      </c>
      <c r="AG382" s="11">
        <v>0</v>
      </c>
      <c r="AH382" s="9">
        <v>2</v>
      </c>
      <c r="AI382" s="11">
        <v>2</v>
      </c>
      <c r="AJ382" s="11">
        <v>1</v>
      </c>
      <c r="AK382" s="11">
        <v>1</v>
      </c>
      <c r="AL382" s="11">
        <v>0</v>
      </c>
      <c r="AN382" s="11">
        <v>0</v>
      </c>
      <c r="AO382" s="11">
        <v>0</v>
      </c>
      <c r="AP382" s="11">
        <v>0</v>
      </c>
      <c r="AQ382" s="11">
        <v>0</v>
      </c>
      <c r="AR382" s="11">
        <v>1</v>
      </c>
      <c r="AS382" s="11">
        <v>0</v>
      </c>
      <c r="AT382" s="11">
        <v>1</v>
      </c>
      <c r="AU382" s="11">
        <v>0</v>
      </c>
      <c r="AV382" s="11">
        <v>0</v>
      </c>
      <c r="AW382" s="11">
        <v>0</v>
      </c>
      <c r="AX382" s="11">
        <v>0</v>
      </c>
      <c r="AY382" s="11">
        <v>0</v>
      </c>
      <c r="BA382" s="12" t="s">
        <v>4877</v>
      </c>
      <c r="BB382" s="12">
        <v>0</v>
      </c>
      <c r="BC382" s="9" t="s">
        <v>4878</v>
      </c>
      <c r="BD382" s="12">
        <v>3</v>
      </c>
      <c r="BE382" s="12">
        <v>0</v>
      </c>
      <c r="BF382" s="12">
        <f>VLOOKUP(A382,'[1]Conical Mounds'!A$1:O$65536,15,FALSE)</f>
        <v>1590.4312808798327</v>
      </c>
      <c r="BI382">
        <f>BD382/BF382</f>
        <v>1.8862808070150561E-3</v>
      </c>
      <c r="BJ382">
        <f>BI382*10000</f>
        <v>18.86280807015056</v>
      </c>
    </row>
    <row r="383" spans="1:62" x14ac:dyDescent="0.15">
      <c r="A383" s="7" t="s">
        <v>7057</v>
      </c>
      <c r="C383" s="7" t="s">
        <v>7058</v>
      </c>
      <c r="D383" s="7" t="s">
        <v>5292</v>
      </c>
      <c r="E383" s="9" t="s">
        <v>4870</v>
      </c>
      <c r="L383" s="10">
        <v>3744300</v>
      </c>
      <c r="M383" s="10">
        <v>714802</v>
      </c>
      <c r="N383" s="11">
        <v>15</v>
      </c>
      <c r="P383" s="7" t="s">
        <v>1087</v>
      </c>
      <c r="Q383" s="9" t="s">
        <v>5311</v>
      </c>
      <c r="R383" s="9" t="s">
        <v>5318</v>
      </c>
      <c r="S383" s="9" t="s">
        <v>5292</v>
      </c>
      <c r="T383" s="9" t="s">
        <v>6655</v>
      </c>
      <c r="U383" s="12" t="s">
        <v>4898</v>
      </c>
      <c r="V383" s="12" t="s">
        <v>5016</v>
      </c>
      <c r="W383" s="12">
        <v>0</v>
      </c>
      <c r="X383" s="12">
        <v>0</v>
      </c>
      <c r="Y383" s="12">
        <v>0</v>
      </c>
      <c r="Z383" s="11">
        <v>0</v>
      </c>
      <c r="AA383" s="11">
        <v>1</v>
      </c>
      <c r="AB383" s="11">
        <v>1</v>
      </c>
      <c r="AC383" s="11">
        <v>0</v>
      </c>
      <c r="AD383" s="11">
        <v>0</v>
      </c>
      <c r="AE383" s="11">
        <v>0</v>
      </c>
      <c r="AF383" s="11">
        <v>0</v>
      </c>
      <c r="AG383" s="11">
        <v>0</v>
      </c>
      <c r="AH383" s="9">
        <v>1</v>
      </c>
      <c r="AI383" s="11">
        <v>1</v>
      </c>
      <c r="AJ383" s="11">
        <v>1</v>
      </c>
      <c r="AK383" s="11">
        <v>1</v>
      </c>
      <c r="AL383" s="11">
        <v>0</v>
      </c>
      <c r="AN383" s="11">
        <v>0</v>
      </c>
      <c r="AO383" s="11">
        <v>0</v>
      </c>
      <c r="AP383" s="11">
        <v>0</v>
      </c>
      <c r="AQ383" s="11">
        <v>0</v>
      </c>
      <c r="AR383" s="11">
        <v>1</v>
      </c>
      <c r="AS383" s="11">
        <v>0</v>
      </c>
      <c r="AT383" s="11">
        <v>0</v>
      </c>
      <c r="AU383" s="11">
        <v>0</v>
      </c>
      <c r="AV383" s="11">
        <v>0</v>
      </c>
      <c r="AW383" s="11">
        <v>0</v>
      </c>
      <c r="AX383" s="11">
        <v>0</v>
      </c>
      <c r="AY383" s="11">
        <v>0</v>
      </c>
      <c r="BA383" s="12" t="s">
        <v>4877</v>
      </c>
      <c r="BB383" s="12">
        <v>0</v>
      </c>
      <c r="BC383" s="9" t="s">
        <v>4878</v>
      </c>
      <c r="BD383" s="12">
        <v>3</v>
      </c>
      <c r="BE383" s="12">
        <v>0</v>
      </c>
      <c r="BF383" s="12">
        <f>VLOOKUP(A383,'[1]Conical Mounds'!A$1:O$65536,15,FALSE)</f>
        <v>2827.4333882308138</v>
      </c>
      <c r="BI383">
        <f>BD383/BF383</f>
        <v>1.061032953945969E-3</v>
      </c>
      <c r="BJ383">
        <f>BI383*10000</f>
        <v>10.610329539459691</v>
      </c>
    </row>
    <row r="384" spans="1:62" x14ac:dyDescent="0.15">
      <c r="A384" s="7" t="s">
        <v>7059</v>
      </c>
      <c r="C384" s="7" t="s">
        <v>7060</v>
      </c>
      <c r="D384" s="7" t="s">
        <v>5292</v>
      </c>
      <c r="E384" s="9" t="s">
        <v>4870</v>
      </c>
      <c r="L384" s="10">
        <v>3742286</v>
      </c>
      <c r="M384" s="10">
        <v>715659</v>
      </c>
      <c r="N384" s="11">
        <v>15</v>
      </c>
      <c r="P384" s="7" t="s">
        <v>910</v>
      </c>
      <c r="Q384" s="9" t="s">
        <v>1112</v>
      </c>
      <c r="S384" s="9" t="s">
        <v>5292</v>
      </c>
      <c r="T384" s="9" t="s">
        <v>6655</v>
      </c>
      <c r="U384" s="12" t="s">
        <v>4898</v>
      </c>
      <c r="V384" s="12" t="s">
        <v>5016</v>
      </c>
      <c r="W384" s="12">
        <v>0</v>
      </c>
      <c r="X384" s="12">
        <v>0</v>
      </c>
      <c r="Y384" s="12">
        <v>0</v>
      </c>
      <c r="Z384" s="11">
        <v>0</v>
      </c>
      <c r="AA384" s="11">
        <v>1</v>
      </c>
      <c r="AB384" s="11">
        <v>1</v>
      </c>
      <c r="AC384" s="11">
        <v>0</v>
      </c>
      <c r="AD384" s="11">
        <v>0</v>
      </c>
      <c r="AE384" s="11">
        <v>0</v>
      </c>
      <c r="AF384" s="11">
        <v>0</v>
      </c>
      <c r="AG384" s="11">
        <v>0</v>
      </c>
      <c r="AH384" s="9" t="s">
        <v>4909</v>
      </c>
      <c r="AI384" s="11">
        <v>1</v>
      </c>
      <c r="AJ384" s="11">
        <v>1</v>
      </c>
      <c r="AK384" s="11">
        <v>0</v>
      </c>
      <c r="AL384" s="11">
        <v>0</v>
      </c>
      <c r="AN384" s="11">
        <v>0</v>
      </c>
      <c r="AO384" s="11">
        <v>0</v>
      </c>
      <c r="AP384" s="11">
        <v>0</v>
      </c>
      <c r="AQ384" s="11">
        <v>0</v>
      </c>
      <c r="AR384" s="11">
        <v>0</v>
      </c>
      <c r="AS384" s="11">
        <v>0</v>
      </c>
      <c r="AT384" s="11">
        <v>1</v>
      </c>
      <c r="AU384" s="11">
        <v>0</v>
      </c>
      <c r="AV384" s="11">
        <v>0</v>
      </c>
      <c r="AW384" s="11">
        <v>0</v>
      </c>
      <c r="AX384" s="11">
        <v>0</v>
      </c>
      <c r="AY384" s="11">
        <v>0</v>
      </c>
      <c r="BA384" s="12" t="s">
        <v>4877</v>
      </c>
      <c r="BB384" s="12">
        <v>0</v>
      </c>
      <c r="BC384" s="9" t="s">
        <v>4878</v>
      </c>
      <c r="BD384" s="12">
        <v>0</v>
      </c>
      <c r="BE384" s="12">
        <v>0</v>
      </c>
      <c r="BF384" s="12">
        <v>0</v>
      </c>
      <c r="BI384" s="12">
        <v>0</v>
      </c>
      <c r="BJ384" s="12">
        <v>0</v>
      </c>
    </row>
    <row r="385" spans="1:62" x14ac:dyDescent="0.15">
      <c r="A385" s="7" t="s">
        <v>7061</v>
      </c>
      <c r="C385" s="7" t="s">
        <v>7062</v>
      </c>
      <c r="D385" s="7" t="s">
        <v>5292</v>
      </c>
      <c r="E385" s="9" t="s">
        <v>4870</v>
      </c>
      <c r="L385" s="10">
        <v>3742890</v>
      </c>
      <c r="M385" s="10">
        <v>717750</v>
      </c>
      <c r="N385" s="11">
        <v>15</v>
      </c>
      <c r="P385" s="7" t="s">
        <v>1087</v>
      </c>
      <c r="Q385" s="9" t="s">
        <v>5311</v>
      </c>
      <c r="R385" s="9" t="s">
        <v>5318</v>
      </c>
      <c r="S385" s="9" t="s">
        <v>5292</v>
      </c>
      <c r="T385" s="9" t="s">
        <v>4884</v>
      </c>
      <c r="U385" s="12" t="s">
        <v>5016</v>
      </c>
      <c r="V385" s="12" t="s">
        <v>5017</v>
      </c>
      <c r="W385" s="12">
        <v>0</v>
      </c>
      <c r="X385" s="12">
        <v>0</v>
      </c>
      <c r="Y385" s="12">
        <v>0</v>
      </c>
      <c r="Z385" s="11">
        <v>0</v>
      </c>
      <c r="AA385" s="11">
        <v>0</v>
      </c>
      <c r="AB385" s="11">
        <v>1</v>
      </c>
      <c r="AC385" s="11">
        <v>1</v>
      </c>
      <c r="AD385" s="11">
        <v>0</v>
      </c>
      <c r="AE385" s="11">
        <v>0</v>
      </c>
      <c r="AF385" s="11">
        <v>0</v>
      </c>
      <c r="AG385" s="11">
        <v>0</v>
      </c>
      <c r="AH385" s="9">
        <v>1</v>
      </c>
      <c r="AI385" s="11">
        <v>1</v>
      </c>
      <c r="AJ385" s="11">
        <v>1</v>
      </c>
      <c r="AK385" s="11">
        <v>1</v>
      </c>
      <c r="AL385" s="11">
        <v>0</v>
      </c>
      <c r="AN385" s="11">
        <v>0</v>
      </c>
      <c r="AO385" s="11">
        <v>0</v>
      </c>
      <c r="AP385" s="11">
        <v>0</v>
      </c>
      <c r="AQ385" s="11">
        <v>0</v>
      </c>
      <c r="AR385" s="11">
        <v>1</v>
      </c>
      <c r="AS385" s="11">
        <v>0</v>
      </c>
      <c r="AT385" s="11">
        <v>0</v>
      </c>
      <c r="AU385" s="11">
        <v>0</v>
      </c>
      <c r="AV385" s="11">
        <v>0</v>
      </c>
      <c r="AW385" s="11">
        <v>0</v>
      </c>
      <c r="AX385" s="11">
        <v>0</v>
      </c>
      <c r="AY385" s="11">
        <v>0</v>
      </c>
      <c r="BA385" s="12" t="s">
        <v>4877</v>
      </c>
      <c r="BB385" s="12">
        <v>0</v>
      </c>
      <c r="BC385" s="9" t="s">
        <v>4878</v>
      </c>
      <c r="BD385" s="12">
        <v>6</v>
      </c>
      <c r="BE385" s="12">
        <v>0</v>
      </c>
      <c r="BF385" s="12">
        <f>VLOOKUP(A385,'[1]Conical Mounds'!A$1:O$65536,15,FALSE)</f>
        <v>4417.8646691106469</v>
      </c>
      <c r="BI385">
        <f>BD385/BF385</f>
        <v>1.3581221810508401E-3</v>
      </c>
      <c r="BJ385">
        <f>BI385*10000</f>
        <v>13.581221810508401</v>
      </c>
    </row>
    <row r="386" spans="1:62" x14ac:dyDescent="0.15">
      <c r="A386" s="7" t="s">
        <v>7063</v>
      </c>
      <c r="C386" s="7" t="s">
        <v>7064</v>
      </c>
      <c r="D386" s="7" t="s">
        <v>5292</v>
      </c>
      <c r="E386" s="9" t="s">
        <v>4870</v>
      </c>
      <c r="L386" s="10">
        <v>3740632</v>
      </c>
      <c r="M386" s="10">
        <v>716013</v>
      </c>
      <c r="N386" s="11">
        <v>15</v>
      </c>
      <c r="P386" s="7" t="s">
        <v>1047</v>
      </c>
      <c r="Q386" s="9" t="s">
        <v>5322</v>
      </c>
      <c r="S386" s="9" t="s">
        <v>5292</v>
      </c>
      <c r="T386" s="9" t="s">
        <v>4902</v>
      </c>
      <c r="U386" s="12" t="s">
        <v>4902</v>
      </c>
      <c r="V386" s="12" t="s">
        <v>4902</v>
      </c>
      <c r="W386" s="12">
        <v>0</v>
      </c>
      <c r="X386" s="12">
        <v>0</v>
      </c>
      <c r="Y386" s="12">
        <v>0</v>
      </c>
      <c r="Z386" s="11">
        <v>0</v>
      </c>
      <c r="AA386" s="11">
        <v>0</v>
      </c>
      <c r="AB386" s="11">
        <v>0</v>
      </c>
      <c r="AC386" s="11">
        <v>0</v>
      </c>
      <c r="AD386" s="11">
        <v>0</v>
      </c>
      <c r="AE386" s="11">
        <v>0</v>
      </c>
      <c r="AF386" s="11">
        <v>0</v>
      </c>
      <c r="AG386" s="11">
        <v>0</v>
      </c>
      <c r="AH386" s="9" t="s">
        <v>8248</v>
      </c>
      <c r="AI386" s="11">
        <v>2</v>
      </c>
      <c r="AJ386" s="11">
        <v>1</v>
      </c>
      <c r="AK386" s="11">
        <v>1</v>
      </c>
      <c r="AL386" s="11">
        <v>0</v>
      </c>
      <c r="AN386" s="11">
        <v>0</v>
      </c>
      <c r="AO386" s="11">
        <v>0</v>
      </c>
      <c r="AP386" s="11">
        <v>0</v>
      </c>
      <c r="AQ386" s="11">
        <v>0</v>
      </c>
      <c r="AR386" s="11">
        <v>1</v>
      </c>
      <c r="AS386" s="11">
        <v>0</v>
      </c>
      <c r="AT386" s="11">
        <v>0</v>
      </c>
      <c r="AU386" s="11">
        <v>0</v>
      </c>
      <c r="AV386" s="11">
        <v>0</v>
      </c>
      <c r="AW386" s="11">
        <v>0</v>
      </c>
      <c r="AX386" s="11">
        <v>0</v>
      </c>
      <c r="AY386" s="11">
        <v>0</v>
      </c>
      <c r="BA386" s="12" t="s">
        <v>4877</v>
      </c>
      <c r="BB386" s="12">
        <v>0</v>
      </c>
      <c r="BC386" s="9" t="s">
        <v>4878</v>
      </c>
      <c r="BD386" s="12">
        <v>0</v>
      </c>
      <c r="BE386" s="12">
        <v>0</v>
      </c>
      <c r="BF386" s="12">
        <v>0</v>
      </c>
      <c r="BI386" s="12">
        <v>0</v>
      </c>
      <c r="BJ386" s="12">
        <v>0</v>
      </c>
    </row>
    <row r="387" spans="1:62" x14ac:dyDescent="0.15">
      <c r="A387" s="7" t="s">
        <v>7065</v>
      </c>
      <c r="C387" s="7" t="s">
        <v>7066</v>
      </c>
      <c r="D387" s="7" t="s">
        <v>5292</v>
      </c>
      <c r="E387" s="9" t="s">
        <v>4870</v>
      </c>
      <c r="L387" s="10">
        <v>3739900</v>
      </c>
      <c r="M387" s="10">
        <v>717172</v>
      </c>
      <c r="N387" s="11">
        <v>15</v>
      </c>
      <c r="P387" s="7" t="s">
        <v>7211</v>
      </c>
      <c r="Q387" s="9" t="s">
        <v>1061</v>
      </c>
      <c r="R387" s="9" t="s">
        <v>1061</v>
      </c>
      <c r="S387" s="9" t="s">
        <v>5292</v>
      </c>
      <c r="T387" s="9" t="s">
        <v>8484</v>
      </c>
      <c r="U387" s="12" t="s">
        <v>5019</v>
      </c>
      <c r="V387" s="12" t="s">
        <v>5020</v>
      </c>
      <c r="W387" s="12">
        <v>0</v>
      </c>
      <c r="X387" s="12">
        <v>0</v>
      </c>
      <c r="Y387" s="12">
        <v>0</v>
      </c>
      <c r="Z387" s="11">
        <v>0</v>
      </c>
      <c r="AA387" s="11">
        <v>0</v>
      </c>
      <c r="AB387" s="11">
        <v>0</v>
      </c>
      <c r="AC387" s="11">
        <v>0</v>
      </c>
      <c r="AD387" s="11">
        <v>0</v>
      </c>
      <c r="AE387" s="11">
        <v>1</v>
      </c>
      <c r="AF387" s="11">
        <v>1</v>
      </c>
      <c r="AG387" s="11">
        <v>0</v>
      </c>
      <c r="AH387" s="9">
        <v>2</v>
      </c>
      <c r="AI387" s="11">
        <v>2</v>
      </c>
      <c r="AJ387" s="11">
        <v>1</v>
      </c>
      <c r="AK387" s="11">
        <v>1</v>
      </c>
      <c r="AL387" s="11">
        <v>1</v>
      </c>
      <c r="AN387" s="11">
        <v>0</v>
      </c>
      <c r="AO387" s="11">
        <v>0</v>
      </c>
      <c r="AP387" s="11">
        <v>0</v>
      </c>
      <c r="AQ387" s="11">
        <v>0</v>
      </c>
      <c r="AR387" s="11">
        <v>0</v>
      </c>
      <c r="AS387" s="11">
        <v>0</v>
      </c>
      <c r="AT387" s="11">
        <v>1</v>
      </c>
      <c r="AU387" s="11">
        <v>0</v>
      </c>
      <c r="AV387" s="11">
        <v>0</v>
      </c>
      <c r="AW387" s="11">
        <v>0</v>
      </c>
      <c r="AX387" s="11">
        <v>0</v>
      </c>
      <c r="AY387" s="11">
        <v>0</v>
      </c>
      <c r="BA387" s="12" t="s">
        <v>4877</v>
      </c>
      <c r="BB387" s="12">
        <v>1</v>
      </c>
      <c r="BC387" s="9" t="s">
        <v>4878</v>
      </c>
      <c r="BD387" s="12">
        <v>10</v>
      </c>
      <c r="BE387" s="12">
        <v>400</v>
      </c>
      <c r="BF387" s="12">
        <v>0</v>
      </c>
      <c r="BI387" s="12">
        <v>0</v>
      </c>
      <c r="BJ387" s="12">
        <v>0</v>
      </c>
    </row>
    <row r="388" spans="1:62" x14ac:dyDescent="0.15">
      <c r="A388" s="7" t="s">
        <v>7067</v>
      </c>
      <c r="C388" s="7" t="s">
        <v>7068</v>
      </c>
      <c r="D388" s="7" t="s">
        <v>5292</v>
      </c>
      <c r="E388" s="9" t="s">
        <v>4870</v>
      </c>
      <c r="L388" s="10">
        <v>3746366</v>
      </c>
      <c r="M388" s="10">
        <v>721230</v>
      </c>
      <c r="N388" s="11">
        <v>15</v>
      </c>
      <c r="P388" s="7" t="s">
        <v>910</v>
      </c>
      <c r="Q388" s="9" t="s">
        <v>1112</v>
      </c>
      <c r="S388" s="9" t="s">
        <v>5292</v>
      </c>
      <c r="T388" s="9" t="s">
        <v>4902</v>
      </c>
      <c r="U388" s="12" t="s">
        <v>4902</v>
      </c>
      <c r="V388" s="12" t="s">
        <v>4902</v>
      </c>
      <c r="W388" s="12">
        <v>0</v>
      </c>
      <c r="X388" s="12">
        <v>0</v>
      </c>
      <c r="Y388" s="12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9" t="s">
        <v>4909</v>
      </c>
      <c r="AI388" s="11">
        <v>1</v>
      </c>
      <c r="AJ388" s="11">
        <v>1</v>
      </c>
      <c r="AK388" s="11">
        <v>0</v>
      </c>
      <c r="AL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1</v>
      </c>
      <c r="AU388" s="11">
        <v>0</v>
      </c>
      <c r="AV388" s="11">
        <v>0</v>
      </c>
      <c r="AW388" s="11">
        <v>0</v>
      </c>
      <c r="AX388" s="11">
        <v>0</v>
      </c>
      <c r="AY388" s="11">
        <v>0</v>
      </c>
      <c r="BA388" s="12" t="s">
        <v>4877</v>
      </c>
      <c r="BB388" s="12">
        <v>0</v>
      </c>
      <c r="BC388" s="9" t="s">
        <v>4878</v>
      </c>
      <c r="BD388" s="12">
        <v>0</v>
      </c>
      <c r="BE388" s="12">
        <v>0</v>
      </c>
      <c r="BF388" s="12">
        <v>0</v>
      </c>
      <c r="BI388" s="12">
        <v>0</v>
      </c>
      <c r="BJ388" s="12">
        <v>0</v>
      </c>
    </row>
    <row r="389" spans="1:62" x14ac:dyDescent="0.15">
      <c r="A389" s="7" t="s">
        <v>7069</v>
      </c>
      <c r="C389" s="7" t="s">
        <v>7070</v>
      </c>
      <c r="D389" s="7" t="s">
        <v>5292</v>
      </c>
      <c r="E389" s="9" t="s">
        <v>4870</v>
      </c>
      <c r="L389" s="10">
        <v>3745261</v>
      </c>
      <c r="M389" s="10">
        <v>721282</v>
      </c>
      <c r="N389" s="11">
        <v>15</v>
      </c>
      <c r="P389" s="7" t="s">
        <v>1064</v>
      </c>
      <c r="Q389" s="9" t="s">
        <v>5311</v>
      </c>
      <c r="S389" s="9" t="s">
        <v>5292</v>
      </c>
      <c r="T389" s="9" t="s">
        <v>4902</v>
      </c>
      <c r="U389" s="12" t="s">
        <v>4902</v>
      </c>
      <c r="V389" s="12" t="s">
        <v>4902</v>
      </c>
      <c r="W389" s="12">
        <v>0</v>
      </c>
      <c r="X389" s="12">
        <v>0</v>
      </c>
      <c r="Y389" s="12">
        <v>0</v>
      </c>
      <c r="Z389" s="11">
        <v>0</v>
      </c>
      <c r="AA389" s="11">
        <v>0</v>
      </c>
      <c r="AB389" s="11">
        <v>0</v>
      </c>
      <c r="AC389" s="11">
        <v>0</v>
      </c>
      <c r="AD389" s="11">
        <v>0</v>
      </c>
      <c r="AE389" s="11">
        <v>0</v>
      </c>
      <c r="AF389" s="11">
        <v>0</v>
      </c>
      <c r="AG389" s="11">
        <v>0</v>
      </c>
      <c r="AH389" s="9" t="s">
        <v>8248</v>
      </c>
      <c r="AI389" s="11">
        <v>2</v>
      </c>
      <c r="AJ389" s="11">
        <v>1</v>
      </c>
      <c r="AK389" s="11">
        <v>1</v>
      </c>
      <c r="AL389" s="11">
        <v>0</v>
      </c>
      <c r="AN389" s="11">
        <v>0</v>
      </c>
      <c r="AO389" s="11">
        <v>0</v>
      </c>
      <c r="AP389" s="11">
        <v>0</v>
      </c>
      <c r="AQ389" s="11">
        <v>0</v>
      </c>
      <c r="AR389" s="11">
        <v>0</v>
      </c>
      <c r="AS389" s="11">
        <v>0</v>
      </c>
      <c r="AT389" s="11">
        <v>1</v>
      </c>
      <c r="AU389" s="11">
        <v>0</v>
      </c>
      <c r="AV389" s="11">
        <v>0</v>
      </c>
      <c r="AW389" s="11">
        <v>0</v>
      </c>
      <c r="AX389" s="11">
        <v>0</v>
      </c>
      <c r="AY389" s="11">
        <v>0</v>
      </c>
      <c r="BA389" s="12" t="s">
        <v>4877</v>
      </c>
      <c r="BB389" s="12">
        <v>0</v>
      </c>
      <c r="BC389" s="9" t="s">
        <v>4878</v>
      </c>
      <c r="BD389" s="12">
        <v>0</v>
      </c>
      <c r="BE389" s="12">
        <v>0</v>
      </c>
      <c r="BF389" s="12">
        <v>0</v>
      </c>
      <c r="BI389" s="12">
        <v>0</v>
      </c>
      <c r="BJ389" s="12">
        <v>0</v>
      </c>
    </row>
    <row r="390" spans="1:62" x14ac:dyDescent="0.15">
      <c r="A390" s="7" t="s">
        <v>7071</v>
      </c>
      <c r="C390" s="7" t="s">
        <v>7072</v>
      </c>
      <c r="D390" s="7" t="s">
        <v>5292</v>
      </c>
      <c r="E390" s="9" t="s">
        <v>4870</v>
      </c>
      <c r="L390" s="10">
        <v>3762040</v>
      </c>
      <c r="M390" s="10">
        <v>724733</v>
      </c>
      <c r="N390" s="11">
        <v>15</v>
      </c>
      <c r="P390" s="7" t="s">
        <v>6411</v>
      </c>
      <c r="Q390" s="9" t="s">
        <v>4873</v>
      </c>
      <c r="S390" s="9" t="s">
        <v>5292</v>
      </c>
      <c r="T390" s="9" t="s">
        <v>7073</v>
      </c>
      <c r="U390" s="12" t="s">
        <v>4898</v>
      </c>
      <c r="V390" s="12" t="s">
        <v>5019</v>
      </c>
      <c r="W390" s="12">
        <v>0</v>
      </c>
      <c r="X390" s="12">
        <v>0</v>
      </c>
      <c r="Y390" s="12">
        <v>0</v>
      </c>
      <c r="Z390" s="11">
        <v>0</v>
      </c>
      <c r="AA390" s="11">
        <v>1</v>
      </c>
      <c r="AB390" s="11">
        <v>0</v>
      </c>
      <c r="AC390" s="11">
        <v>0</v>
      </c>
      <c r="AD390" s="11">
        <v>0</v>
      </c>
      <c r="AE390" s="11">
        <v>1</v>
      </c>
      <c r="AF390" s="11">
        <v>0</v>
      </c>
      <c r="AG390" s="11">
        <v>0</v>
      </c>
      <c r="AH390" s="9" t="s">
        <v>8248</v>
      </c>
      <c r="AI390" s="11">
        <v>2</v>
      </c>
      <c r="AJ390" s="11">
        <v>1</v>
      </c>
      <c r="AK390" s="11">
        <v>1</v>
      </c>
      <c r="AL390" s="11">
        <v>0</v>
      </c>
      <c r="AN390" s="11">
        <v>0</v>
      </c>
      <c r="AO390" s="11">
        <v>0</v>
      </c>
      <c r="AP390" s="11">
        <v>0</v>
      </c>
      <c r="AQ390" s="11">
        <v>0</v>
      </c>
      <c r="AR390" s="11">
        <v>0</v>
      </c>
      <c r="AS390" s="11">
        <v>0</v>
      </c>
      <c r="AT390" s="11">
        <v>1</v>
      </c>
      <c r="AU390" s="11">
        <v>0</v>
      </c>
      <c r="AV390" s="11">
        <v>0</v>
      </c>
      <c r="AW390" s="11">
        <v>0</v>
      </c>
      <c r="AX390" s="11">
        <v>0</v>
      </c>
      <c r="AY390" s="11">
        <v>0</v>
      </c>
      <c r="BA390" s="12" t="s">
        <v>4877</v>
      </c>
      <c r="BB390" s="12">
        <v>0</v>
      </c>
      <c r="BC390" s="9" t="s">
        <v>4878</v>
      </c>
      <c r="BD390" s="12">
        <v>0</v>
      </c>
      <c r="BE390" s="12">
        <v>0</v>
      </c>
      <c r="BF390" s="12">
        <v>0</v>
      </c>
      <c r="BI390" s="12">
        <v>0</v>
      </c>
      <c r="BJ390" s="12">
        <v>0</v>
      </c>
    </row>
    <row r="391" spans="1:62" x14ac:dyDescent="0.15">
      <c r="A391" s="7" t="s">
        <v>7074</v>
      </c>
      <c r="C391" s="7" t="s">
        <v>7075</v>
      </c>
      <c r="D391" s="7" t="s">
        <v>5292</v>
      </c>
      <c r="E391" s="9" t="s">
        <v>4870</v>
      </c>
      <c r="L391" s="10">
        <v>3753390</v>
      </c>
      <c r="M391" s="10">
        <v>727586</v>
      </c>
      <c r="N391" s="11">
        <v>15</v>
      </c>
      <c r="P391" s="7" t="s">
        <v>1087</v>
      </c>
      <c r="Q391" s="9" t="s">
        <v>5311</v>
      </c>
      <c r="S391" s="9" t="s">
        <v>5292</v>
      </c>
      <c r="T391" s="9" t="s">
        <v>8484</v>
      </c>
      <c r="U391" s="12" t="s">
        <v>5019</v>
      </c>
      <c r="V391" s="12" t="s">
        <v>5020</v>
      </c>
      <c r="W391" s="12">
        <v>0</v>
      </c>
      <c r="X391" s="12">
        <v>0</v>
      </c>
      <c r="Y391" s="12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1</v>
      </c>
      <c r="AF391" s="11">
        <v>1</v>
      </c>
      <c r="AG391" s="11">
        <v>0</v>
      </c>
      <c r="AH391" s="9" t="s">
        <v>8248</v>
      </c>
      <c r="AI391" s="11">
        <v>2</v>
      </c>
      <c r="AJ391" s="11">
        <v>1</v>
      </c>
      <c r="AK391" s="11">
        <v>1</v>
      </c>
      <c r="AL391" s="11">
        <v>0</v>
      </c>
      <c r="AN391" s="11">
        <v>0</v>
      </c>
      <c r="AO391" s="11">
        <v>0</v>
      </c>
      <c r="AP391" s="11">
        <v>0</v>
      </c>
      <c r="AQ391" s="11">
        <v>0</v>
      </c>
      <c r="AR391" s="11">
        <v>0</v>
      </c>
      <c r="AS391" s="11">
        <v>0</v>
      </c>
      <c r="AT391" s="11">
        <v>1</v>
      </c>
      <c r="AU391" s="11">
        <v>0</v>
      </c>
      <c r="AV391" s="11">
        <v>0</v>
      </c>
      <c r="AW391" s="11">
        <v>0</v>
      </c>
      <c r="AX391" s="11">
        <v>0</v>
      </c>
      <c r="AY391" s="11">
        <v>0</v>
      </c>
      <c r="BA391" s="12" t="s">
        <v>4877</v>
      </c>
      <c r="BB391" s="12">
        <v>0</v>
      </c>
      <c r="BC391" s="9" t="s">
        <v>4878</v>
      </c>
      <c r="BD391" s="12">
        <v>0</v>
      </c>
      <c r="BE391" s="12">
        <v>0</v>
      </c>
      <c r="BF391" s="12">
        <v>0</v>
      </c>
      <c r="BI391" s="12">
        <v>0</v>
      </c>
      <c r="BJ391" s="12">
        <v>0</v>
      </c>
    </row>
    <row r="392" spans="1:62" x14ac:dyDescent="0.15">
      <c r="A392" s="7" t="s">
        <v>7076</v>
      </c>
      <c r="C392" s="7" t="s">
        <v>3458</v>
      </c>
      <c r="D392" s="7" t="s">
        <v>5292</v>
      </c>
      <c r="E392" s="9" t="s">
        <v>4870</v>
      </c>
      <c r="L392" s="10">
        <v>3757850</v>
      </c>
      <c r="M392" s="10">
        <v>718743</v>
      </c>
      <c r="N392" s="11">
        <v>15</v>
      </c>
      <c r="P392" s="7" t="s">
        <v>5310</v>
      </c>
      <c r="Q392" s="9" t="s">
        <v>5311</v>
      </c>
      <c r="R392" s="9" t="s">
        <v>5318</v>
      </c>
      <c r="S392" s="9" t="s">
        <v>5292</v>
      </c>
      <c r="T392" s="9" t="s">
        <v>4797</v>
      </c>
      <c r="U392" s="12" t="s">
        <v>5018</v>
      </c>
      <c r="V392" s="12" t="s">
        <v>5019</v>
      </c>
      <c r="W392" s="12">
        <v>0</v>
      </c>
      <c r="X392" s="12">
        <v>0</v>
      </c>
      <c r="Y392" s="12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1</v>
      </c>
      <c r="AE392" s="11">
        <v>1</v>
      </c>
      <c r="AF392" s="11">
        <v>0</v>
      </c>
      <c r="AG392" s="11">
        <v>0</v>
      </c>
      <c r="AH392" s="9">
        <v>1</v>
      </c>
      <c r="AI392" s="11">
        <v>1</v>
      </c>
      <c r="AJ392" s="11">
        <v>1</v>
      </c>
      <c r="AK392" s="11">
        <v>0</v>
      </c>
      <c r="AL392" s="11">
        <v>0</v>
      </c>
      <c r="AN392" s="11">
        <v>0</v>
      </c>
      <c r="AO392" s="11">
        <v>0</v>
      </c>
      <c r="AP392" s="11">
        <v>0</v>
      </c>
      <c r="AQ392" s="11">
        <v>0</v>
      </c>
      <c r="AR392" s="11">
        <v>1</v>
      </c>
      <c r="AS392" s="11">
        <v>0</v>
      </c>
      <c r="AT392" s="11">
        <v>0</v>
      </c>
      <c r="AU392" s="11">
        <v>0</v>
      </c>
      <c r="AV392" s="11">
        <v>0</v>
      </c>
      <c r="AW392" s="11">
        <v>0</v>
      </c>
      <c r="AX392" s="11">
        <v>0</v>
      </c>
      <c r="AY392" s="11">
        <v>0</v>
      </c>
      <c r="BA392" s="12" t="s">
        <v>4877</v>
      </c>
      <c r="BB392" s="12">
        <v>0</v>
      </c>
      <c r="BC392" s="9" t="s">
        <v>4878</v>
      </c>
      <c r="BD392" s="12">
        <v>3</v>
      </c>
      <c r="BE392" s="12">
        <v>0</v>
      </c>
      <c r="BF392" s="12">
        <f>VLOOKUP(A392,'[1]Conical Mounds'!A$1:O$65536,15,FALSE)</f>
        <v>7853.981633974483</v>
      </c>
      <c r="BI392">
        <f>BD392/BF392</f>
        <v>3.8197186342054881E-4</v>
      </c>
      <c r="BJ392">
        <f>BI392*10000</f>
        <v>3.8197186342054881</v>
      </c>
    </row>
    <row r="393" spans="1:62" x14ac:dyDescent="0.15">
      <c r="A393" s="7" t="s">
        <v>3459</v>
      </c>
      <c r="C393" s="7" t="s">
        <v>3460</v>
      </c>
      <c r="D393" s="7" t="s">
        <v>5292</v>
      </c>
      <c r="E393" s="9" t="s">
        <v>4870</v>
      </c>
      <c r="L393" s="10">
        <v>3757310</v>
      </c>
      <c r="M393" s="10">
        <v>721501</v>
      </c>
      <c r="N393" s="11">
        <v>15</v>
      </c>
      <c r="P393" s="7" t="s">
        <v>1087</v>
      </c>
      <c r="Q393" s="9" t="s">
        <v>5311</v>
      </c>
      <c r="S393" s="9" t="s">
        <v>5292</v>
      </c>
      <c r="T393" s="9" t="s">
        <v>4902</v>
      </c>
      <c r="U393" s="12" t="s">
        <v>4902</v>
      </c>
      <c r="V393" s="12" t="s">
        <v>4902</v>
      </c>
      <c r="W393" s="12">
        <v>0</v>
      </c>
      <c r="X393" s="12">
        <v>0</v>
      </c>
      <c r="Y393" s="12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9" t="s">
        <v>8248</v>
      </c>
      <c r="AI393" s="11">
        <v>2</v>
      </c>
      <c r="AJ393" s="11">
        <v>1</v>
      </c>
      <c r="AK393" s="11">
        <v>1</v>
      </c>
      <c r="AL393" s="11">
        <v>0</v>
      </c>
      <c r="AN393" s="11">
        <v>0</v>
      </c>
      <c r="AO393" s="11">
        <v>0</v>
      </c>
      <c r="AP393" s="11">
        <v>0</v>
      </c>
      <c r="AQ393" s="11">
        <v>0</v>
      </c>
      <c r="AR393" s="11">
        <v>0</v>
      </c>
      <c r="AS393" s="11">
        <v>0</v>
      </c>
      <c r="AT393" s="11">
        <v>1</v>
      </c>
      <c r="AU393" s="11">
        <v>0</v>
      </c>
      <c r="AV393" s="11">
        <v>0</v>
      </c>
      <c r="AW393" s="11">
        <v>0</v>
      </c>
      <c r="AX393" s="11">
        <v>0</v>
      </c>
      <c r="AY393" s="11">
        <v>0</v>
      </c>
      <c r="BA393" s="12" t="s">
        <v>4877</v>
      </c>
      <c r="BB393" s="12">
        <v>0</v>
      </c>
      <c r="BC393" s="9" t="s">
        <v>4878</v>
      </c>
      <c r="BD393" s="12">
        <v>0</v>
      </c>
      <c r="BE393" s="12">
        <v>0</v>
      </c>
      <c r="BF393" s="12">
        <v>0</v>
      </c>
      <c r="BI393" s="12">
        <v>0</v>
      </c>
      <c r="BJ393" s="12">
        <v>0</v>
      </c>
    </row>
    <row r="394" spans="1:62" x14ac:dyDescent="0.15">
      <c r="A394" s="7" t="s">
        <v>3461</v>
      </c>
      <c r="C394" s="7" t="s">
        <v>3462</v>
      </c>
      <c r="D394" s="7" t="s">
        <v>5292</v>
      </c>
      <c r="E394" s="9" t="s">
        <v>4870</v>
      </c>
      <c r="L394" s="10">
        <v>3763230</v>
      </c>
      <c r="M394" s="10">
        <v>722422</v>
      </c>
      <c r="N394" s="11">
        <v>15</v>
      </c>
      <c r="P394" s="7" t="s">
        <v>5310</v>
      </c>
      <c r="Q394" s="9" t="s">
        <v>5311</v>
      </c>
      <c r="S394" s="9" t="s">
        <v>5292</v>
      </c>
      <c r="T394" s="9" t="s">
        <v>4902</v>
      </c>
      <c r="U394" s="12" t="s">
        <v>4902</v>
      </c>
      <c r="V394" s="12" t="s">
        <v>4902</v>
      </c>
      <c r="W394" s="12">
        <v>0</v>
      </c>
      <c r="X394" s="12">
        <v>0</v>
      </c>
      <c r="Y394" s="12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9" t="s">
        <v>4909</v>
      </c>
      <c r="AI394" s="11">
        <v>1</v>
      </c>
      <c r="AJ394" s="11">
        <v>1</v>
      </c>
      <c r="AK394" s="11">
        <v>0</v>
      </c>
      <c r="AL394" s="11">
        <v>0</v>
      </c>
      <c r="AN394" s="11">
        <v>0</v>
      </c>
      <c r="AO394" s="11">
        <v>0</v>
      </c>
      <c r="AP394" s="11">
        <v>0</v>
      </c>
      <c r="AQ394" s="11">
        <v>0</v>
      </c>
      <c r="AR394" s="11">
        <v>0</v>
      </c>
      <c r="AS394" s="11">
        <v>0</v>
      </c>
      <c r="AT394" s="11">
        <v>1</v>
      </c>
      <c r="AU394" s="11">
        <v>0</v>
      </c>
      <c r="AV394" s="11">
        <v>0</v>
      </c>
      <c r="AW394" s="11">
        <v>0</v>
      </c>
      <c r="AX394" s="11">
        <v>0</v>
      </c>
      <c r="AY394" s="11">
        <v>0</v>
      </c>
      <c r="BA394" s="12" t="s">
        <v>4877</v>
      </c>
      <c r="BB394" s="12">
        <v>0</v>
      </c>
      <c r="BC394" s="9" t="s">
        <v>4878</v>
      </c>
      <c r="BD394" s="12">
        <v>0</v>
      </c>
      <c r="BE394" s="12">
        <v>0</v>
      </c>
      <c r="BF394" s="12">
        <v>0</v>
      </c>
      <c r="BI394" s="12">
        <v>0</v>
      </c>
      <c r="BJ394" s="12">
        <v>0</v>
      </c>
    </row>
    <row r="395" spans="1:62" x14ac:dyDescent="0.15">
      <c r="A395" s="7" t="s">
        <v>3463</v>
      </c>
      <c r="C395" s="7" t="s">
        <v>3464</v>
      </c>
      <c r="D395" s="7" t="s">
        <v>5292</v>
      </c>
      <c r="E395" s="9" t="s">
        <v>4870</v>
      </c>
      <c r="L395" s="10">
        <v>3746770</v>
      </c>
      <c r="M395" s="10">
        <v>720805</v>
      </c>
      <c r="N395" s="11">
        <v>15</v>
      </c>
      <c r="P395" s="7" t="s">
        <v>5310</v>
      </c>
      <c r="Q395" s="9" t="s">
        <v>5311</v>
      </c>
      <c r="R395" s="9" t="s">
        <v>5318</v>
      </c>
      <c r="S395" s="9" t="s">
        <v>5292</v>
      </c>
      <c r="T395" s="9" t="s">
        <v>4884</v>
      </c>
      <c r="U395" s="12" t="s">
        <v>5016</v>
      </c>
      <c r="V395" s="12" t="s">
        <v>5017</v>
      </c>
      <c r="W395" s="12">
        <v>0</v>
      </c>
      <c r="X395" s="12">
        <v>0</v>
      </c>
      <c r="Y395" s="12">
        <v>0</v>
      </c>
      <c r="Z395" s="11">
        <v>0</v>
      </c>
      <c r="AA395" s="11">
        <v>0</v>
      </c>
      <c r="AB395" s="11">
        <v>1</v>
      </c>
      <c r="AC395" s="11">
        <v>1</v>
      </c>
      <c r="AD395" s="11">
        <v>0</v>
      </c>
      <c r="AE395" s="11">
        <v>0</v>
      </c>
      <c r="AF395" s="11">
        <v>0</v>
      </c>
      <c r="AG395" s="11">
        <v>0</v>
      </c>
      <c r="AH395" s="9">
        <v>1</v>
      </c>
      <c r="AI395" s="11">
        <v>1</v>
      </c>
      <c r="AJ395" s="11">
        <v>1</v>
      </c>
      <c r="AK395" s="11">
        <v>0</v>
      </c>
      <c r="AL395" s="11">
        <v>0</v>
      </c>
      <c r="AN395" s="11">
        <v>0</v>
      </c>
      <c r="AO395" s="11">
        <v>0</v>
      </c>
      <c r="AP395" s="11">
        <v>0</v>
      </c>
      <c r="AQ395" s="11">
        <v>0</v>
      </c>
      <c r="AR395" s="11">
        <v>1</v>
      </c>
      <c r="AS395" s="11">
        <v>0</v>
      </c>
      <c r="AT395" s="11">
        <v>0</v>
      </c>
      <c r="AU395" s="11">
        <v>0</v>
      </c>
      <c r="AV395" s="11">
        <v>0</v>
      </c>
      <c r="AW395" s="11">
        <v>0</v>
      </c>
      <c r="AX395" s="11">
        <v>0</v>
      </c>
      <c r="AY395" s="11">
        <v>0</v>
      </c>
      <c r="BA395" s="12" t="s">
        <v>4877</v>
      </c>
      <c r="BB395" s="12">
        <v>0</v>
      </c>
      <c r="BC395" s="9" t="s">
        <v>4878</v>
      </c>
      <c r="BD395" s="12">
        <v>9</v>
      </c>
      <c r="BE395" s="12">
        <v>0</v>
      </c>
      <c r="BF395" s="12">
        <f>VLOOKUP(A395,'[1]Conical Mounds'!A$1:O$65536,15,FALSE)</f>
        <v>7853.981633974483</v>
      </c>
      <c r="BI395">
        <f>BD395/BF395</f>
        <v>1.1459155902616464E-3</v>
      </c>
      <c r="BJ395">
        <f>BI395*10000</f>
        <v>11.459155902616464</v>
      </c>
    </row>
    <row r="396" spans="1:62" x14ac:dyDescent="0.15">
      <c r="A396" s="7" t="s">
        <v>3465</v>
      </c>
      <c r="C396" s="7" t="s">
        <v>3466</v>
      </c>
      <c r="D396" s="7" t="s">
        <v>5292</v>
      </c>
      <c r="E396" s="9" t="s">
        <v>4870</v>
      </c>
      <c r="L396" s="10">
        <v>3744880</v>
      </c>
      <c r="M396" s="10">
        <v>723418</v>
      </c>
      <c r="N396" s="11">
        <v>15</v>
      </c>
      <c r="P396" s="7" t="s">
        <v>5310</v>
      </c>
      <c r="Q396" s="9" t="s">
        <v>1061</v>
      </c>
      <c r="R396" s="9" t="s">
        <v>1061</v>
      </c>
      <c r="S396" s="9" t="s">
        <v>5292</v>
      </c>
      <c r="T396" s="9" t="s">
        <v>4875</v>
      </c>
      <c r="U396" s="12" t="s">
        <v>5020</v>
      </c>
      <c r="V396" s="12" t="s">
        <v>5021</v>
      </c>
      <c r="W396" s="12">
        <v>0</v>
      </c>
      <c r="X396" s="12">
        <v>0</v>
      </c>
      <c r="Y396" s="12">
        <v>0</v>
      </c>
      <c r="Z396" s="11">
        <v>0</v>
      </c>
      <c r="AA396" s="11">
        <v>0</v>
      </c>
      <c r="AB396" s="11">
        <v>0</v>
      </c>
      <c r="AC396" s="11">
        <v>0</v>
      </c>
      <c r="AD396" s="11">
        <v>0</v>
      </c>
      <c r="AE396" s="11">
        <v>0</v>
      </c>
      <c r="AF396" s="11">
        <v>1</v>
      </c>
      <c r="AG396" s="11">
        <v>1</v>
      </c>
      <c r="AH396" s="9">
        <v>1</v>
      </c>
      <c r="AI396" s="11">
        <v>1</v>
      </c>
      <c r="AJ396" s="11">
        <v>1</v>
      </c>
      <c r="AK396" s="11">
        <v>0</v>
      </c>
      <c r="AL396" s="11">
        <v>1</v>
      </c>
      <c r="AN396" s="11">
        <v>0</v>
      </c>
      <c r="AO396" s="11">
        <v>0</v>
      </c>
      <c r="AP396" s="11">
        <v>0</v>
      </c>
      <c r="AQ396" s="11">
        <v>0</v>
      </c>
      <c r="AR396" s="11">
        <v>0</v>
      </c>
      <c r="AS396" s="11">
        <v>0</v>
      </c>
      <c r="AT396" s="11">
        <v>0</v>
      </c>
      <c r="AU396" s="11">
        <v>0</v>
      </c>
      <c r="AV396" s="11">
        <v>0</v>
      </c>
      <c r="AW396" s="11">
        <v>0</v>
      </c>
      <c r="AX396" s="11">
        <v>0</v>
      </c>
      <c r="AY396" s="11">
        <v>0</v>
      </c>
      <c r="BA396" s="12" t="s">
        <v>4877</v>
      </c>
      <c r="BB396" s="12">
        <v>0</v>
      </c>
      <c r="BC396" s="9" t="s">
        <v>4878</v>
      </c>
      <c r="BD396" s="12">
        <v>0</v>
      </c>
      <c r="BE396" s="12">
        <v>0</v>
      </c>
      <c r="BF396" s="12">
        <v>0</v>
      </c>
      <c r="BI396" s="12">
        <v>0</v>
      </c>
      <c r="BJ396" s="12">
        <v>0</v>
      </c>
    </row>
    <row r="397" spans="1:62" x14ac:dyDescent="0.15">
      <c r="A397" s="7" t="s">
        <v>3467</v>
      </c>
      <c r="C397" s="7" t="s">
        <v>3468</v>
      </c>
      <c r="D397" s="7" t="s">
        <v>5292</v>
      </c>
      <c r="E397" s="9" t="s">
        <v>4870</v>
      </c>
      <c r="L397" s="10">
        <v>3763070</v>
      </c>
      <c r="M397" s="10">
        <v>744284</v>
      </c>
      <c r="N397" s="11">
        <v>15</v>
      </c>
      <c r="P397" s="7" t="s">
        <v>3469</v>
      </c>
      <c r="Q397" s="9" t="s">
        <v>1061</v>
      </c>
      <c r="R397" s="9" t="s">
        <v>1061</v>
      </c>
      <c r="S397" s="9" t="s">
        <v>5292</v>
      </c>
      <c r="T397" s="9" t="s">
        <v>4797</v>
      </c>
      <c r="U397" s="12" t="s">
        <v>5018</v>
      </c>
      <c r="V397" s="12" t="s">
        <v>5019</v>
      </c>
      <c r="W397" s="12">
        <v>0</v>
      </c>
      <c r="X397" s="12">
        <v>0</v>
      </c>
      <c r="Y397" s="12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1</v>
      </c>
      <c r="AE397" s="11">
        <v>1</v>
      </c>
      <c r="AF397" s="11">
        <v>0</v>
      </c>
      <c r="AG397" s="11">
        <v>0</v>
      </c>
      <c r="AH397" s="9">
        <v>3</v>
      </c>
      <c r="AI397" s="11">
        <v>3</v>
      </c>
      <c r="AJ397" s="11">
        <v>1</v>
      </c>
      <c r="AK397" s="11">
        <v>1</v>
      </c>
      <c r="AL397" s="11">
        <v>1</v>
      </c>
      <c r="AN397" s="11">
        <v>0</v>
      </c>
      <c r="AO397" s="11">
        <v>0</v>
      </c>
      <c r="AP397" s="11">
        <v>0</v>
      </c>
      <c r="AQ397" s="11">
        <v>1</v>
      </c>
      <c r="AR397" s="11">
        <v>1</v>
      </c>
      <c r="AS397" s="11">
        <v>0</v>
      </c>
      <c r="AT397" s="11">
        <v>0</v>
      </c>
      <c r="AU397" s="11">
        <v>0</v>
      </c>
      <c r="AV397" s="11">
        <v>0</v>
      </c>
      <c r="AW397" s="11">
        <v>0</v>
      </c>
      <c r="AX397" s="11">
        <v>0</v>
      </c>
      <c r="AY397" s="11">
        <v>0</v>
      </c>
      <c r="BA397" s="12" t="s">
        <v>4877</v>
      </c>
      <c r="BB397" s="12">
        <v>0</v>
      </c>
      <c r="BC397" s="9" t="s">
        <v>4878</v>
      </c>
      <c r="BD397" s="12">
        <v>30</v>
      </c>
      <c r="BE397" s="12">
        <v>0</v>
      </c>
      <c r="BF397" s="12">
        <v>0</v>
      </c>
      <c r="BI397" s="12">
        <v>0</v>
      </c>
      <c r="BJ397" s="12">
        <v>0</v>
      </c>
    </row>
    <row r="398" spans="1:62" x14ac:dyDescent="0.15">
      <c r="A398" s="7" t="s">
        <v>3470</v>
      </c>
      <c r="C398" s="7" t="s">
        <v>3471</v>
      </c>
      <c r="D398" s="7" t="s">
        <v>5292</v>
      </c>
      <c r="E398" s="9" t="s">
        <v>4870</v>
      </c>
      <c r="L398" s="10">
        <v>3746533</v>
      </c>
      <c r="M398" s="10">
        <v>739106</v>
      </c>
      <c r="N398" s="11">
        <v>15</v>
      </c>
      <c r="P398" s="7" t="s">
        <v>910</v>
      </c>
      <c r="Q398" s="9" t="s">
        <v>1112</v>
      </c>
      <c r="S398" s="9" t="s">
        <v>5292</v>
      </c>
      <c r="T398" s="9" t="s">
        <v>4902</v>
      </c>
      <c r="U398" s="12" t="s">
        <v>4902</v>
      </c>
      <c r="V398" s="12" t="s">
        <v>4902</v>
      </c>
      <c r="W398" s="12">
        <v>0</v>
      </c>
      <c r="X398" s="12">
        <v>0</v>
      </c>
      <c r="Y398" s="12">
        <v>0</v>
      </c>
      <c r="Z398" s="11">
        <v>0</v>
      </c>
      <c r="AA398" s="11">
        <v>0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9" t="s">
        <v>4909</v>
      </c>
      <c r="AI398" s="11">
        <v>1</v>
      </c>
      <c r="AJ398" s="11">
        <v>1</v>
      </c>
      <c r="AK398" s="11">
        <v>0</v>
      </c>
      <c r="AL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1</v>
      </c>
      <c r="AU398" s="11">
        <v>0</v>
      </c>
      <c r="AV398" s="11">
        <v>0</v>
      </c>
      <c r="AW398" s="11">
        <v>0</v>
      </c>
      <c r="AX398" s="11">
        <v>0</v>
      </c>
      <c r="AY398" s="11">
        <v>0</v>
      </c>
      <c r="BA398" s="12" t="s">
        <v>4877</v>
      </c>
      <c r="BB398" s="12">
        <v>0</v>
      </c>
      <c r="BC398" s="9" t="s">
        <v>4878</v>
      </c>
      <c r="BD398" s="12">
        <v>0</v>
      </c>
      <c r="BE398" s="12">
        <v>0</v>
      </c>
      <c r="BF398" s="12">
        <v>0</v>
      </c>
      <c r="BI398" s="12">
        <v>0</v>
      </c>
      <c r="BJ398" s="12">
        <v>0</v>
      </c>
    </row>
    <row r="399" spans="1:62" x14ac:dyDescent="0.15">
      <c r="A399" s="7" t="s">
        <v>3472</v>
      </c>
      <c r="C399" s="7" t="s">
        <v>3473</v>
      </c>
      <c r="D399" s="7" t="s">
        <v>5292</v>
      </c>
      <c r="E399" s="9" t="s">
        <v>4870</v>
      </c>
      <c r="L399" s="10">
        <v>3760620</v>
      </c>
      <c r="M399" s="10">
        <v>747168</v>
      </c>
      <c r="N399" s="11">
        <v>15</v>
      </c>
      <c r="P399" s="7" t="s">
        <v>6645</v>
      </c>
      <c r="Q399" s="9" t="s">
        <v>4873</v>
      </c>
      <c r="R399" s="9" t="s">
        <v>5318</v>
      </c>
      <c r="S399" s="9" t="s">
        <v>5292</v>
      </c>
      <c r="T399" s="9" t="s">
        <v>4884</v>
      </c>
      <c r="U399" s="12" t="s">
        <v>5016</v>
      </c>
      <c r="V399" s="12" t="s">
        <v>5017</v>
      </c>
      <c r="W399" s="12">
        <v>0</v>
      </c>
      <c r="X399" s="12">
        <v>0</v>
      </c>
      <c r="Y399" s="12">
        <v>0</v>
      </c>
      <c r="Z399" s="11">
        <v>0</v>
      </c>
      <c r="AA399" s="11">
        <v>0</v>
      </c>
      <c r="AB399" s="11">
        <v>1</v>
      </c>
      <c r="AC399" s="11">
        <v>1</v>
      </c>
      <c r="AD399" s="11">
        <v>0</v>
      </c>
      <c r="AE399" s="11">
        <v>0</v>
      </c>
      <c r="AF399" s="11">
        <v>0</v>
      </c>
      <c r="AG399" s="11">
        <v>0</v>
      </c>
      <c r="AH399" s="9">
        <v>1</v>
      </c>
      <c r="AI399" s="11">
        <v>1</v>
      </c>
      <c r="AJ399" s="11">
        <v>1</v>
      </c>
      <c r="AK399" s="11">
        <v>0</v>
      </c>
      <c r="AL399" s="11">
        <v>0</v>
      </c>
      <c r="AN399" s="11">
        <v>0</v>
      </c>
      <c r="AO399" s="11">
        <v>0</v>
      </c>
      <c r="AP399" s="11">
        <v>0</v>
      </c>
      <c r="AQ399" s="11">
        <v>0</v>
      </c>
      <c r="AR399" s="11">
        <v>1</v>
      </c>
      <c r="AS399" s="11">
        <v>0</v>
      </c>
      <c r="AT399" s="11">
        <v>0</v>
      </c>
      <c r="AU399" s="11">
        <v>0</v>
      </c>
      <c r="AV399" s="11">
        <v>0</v>
      </c>
      <c r="AW399" s="11">
        <v>0</v>
      </c>
      <c r="AX399" s="11">
        <v>0</v>
      </c>
      <c r="AY399" s="11">
        <v>0</v>
      </c>
      <c r="BA399" s="12" t="s">
        <v>4877</v>
      </c>
      <c r="BB399" s="12">
        <v>0</v>
      </c>
      <c r="BC399" s="9" t="s">
        <v>4878</v>
      </c>
      <c r="BD399" s="12">
        <v>9</v>
      </c>
      <c r="BE399" s="12">
        <v>0</v>
      </c>
      <c r="BF399" s="12">
        <f>VLOOKUP(A399,'[1]Conical Mounds'!A$1:O$65536,15,FALSE)</f>
        <v>6361.7251235193307</v>
      </c>
      <c r="BI399">
        <f>BD399/BF399</f>
        <v>1.4147106052612921E-3</v>
      </c>
      <c r="BJ399">
        <f>BI399*10000</f>
        <v>14.147106052612921</v>
      </c>
    </row>
    <row r="400" spans="1:62" x14ac:dyDescent="0.15">
      <c r="A400" s="7" t="s">
        <v>3474</v>
      </c>
      <c r="C400" s="7" t="s">
        <v>3475</v>
      </c>
      <c r="D400" s="7" t="s">
        <v>5292</v>
      </c>
      <c r="E400" s="9" t="s">
        <v>4870</v>
      </c>
      <c r="L400" s="10">
        <v>3758840</v>
      </c>
      <c r="M400" s="10">
        <v>732607</v>
      </c>
      <c r="N400" s="11">
        <v>15</v>
      </c>
      <c r="P400" s="7" t="s">
        <v>1087</v>
      </c>
      <c r="Q400" s="9" t="s">
        <v>5311</v>
      </c>
      <c r="S400" s="9" t="s">
        <v>5292</v>
      </c>
      <c r="T400" s="9" t="s">
        <v>5401</v>
      </c>
      <c r="U400" s="12" t="s">
        <v>5017</v>
      </c>
      <c r="V400" s="12" t="s">
        <v>5020</v>
      </c>
      <c r="W400" s="12">
        <v>0</v>
      </c>
      <c r="X400" s="12">
        <v>0</v>
      </c>
      <c r="Y400" s="12">
        <v>0</v>
      </c>
      <c r="Z400" s="11">
        <v>0</v>
      </c>
      <c r="AA400" s="11">
        <v>0</v>
      </c>
      <c r="AB400" s="11">
        <v>0</v>
      </c>
      <c r="AC400" s="11">
        <v>1</v>
      </c>
      <c r="AD400" s="11">
        <v>0</v>
      </c>
      <c r="AE400" s="11">
        <v>0</v>
      </c>
      <c r="AF400" s="11">
        <v>1</v>
      </c>
      <c r="AG400" s="11">
        <v>0</v>
      </c>
      <c r="AH400" s="9" t="s">
        <v>8248</v>
      </c>
      <c r="AI400" s="11">
        <v>2</v>
      </c>
      <c r="AJ400" s="11">
        <v>1</v>
      </c>
      <c r="AK400" s="11">
        <v>1</v>
      </c>
      <c r="AL400" s="11">
        <v>0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0</v>
      </c>
      <c r="AT400" s="11">
        <v>1</v>
      </c>
      <c r="AU400" s="11">
        <v>0</v>
      </c>
      <c r="AV400" s="11">
        <v>0</v>
      </c>
      <c r="AW400" s="11">
        <v>0</v>
      </c>
      <c r="AX400" s="11">
        <v>0</v>
      </c>
      <c r="AY400" s="11">
        <v>0</v>
      </c>
      <c r="BA400" s="12" t="s">
        <v>4877</v>
      </c>
      <c r="BB400" s="12">
        <v>0</v>
      </c>
      <c r="BC400" s="9" t="s">
        <v>4878</v>
      </c>
      <c r="BD400" s="12">
        <v>0</v>
      </c>
      <c r="BE400" s="12">
        <v>0</v>
      </c>
      <c r="BF400" s="12">
        <v>0</v>
      </c>
      <c r="BI400" s="12">
        <v>0</v>
      </c>
      <c r="BJ400" s="12">
        <v>0</v>
      </c>
    </row>
    <row r="401" spans="1:62" x14ac:dyDescent="0.15">
      <c r="A401" s="7" t="s">
        <v>3476</v>
      </c>
      <c r="C401" s="7" t="s">
        <v>3204</v>
      </c>
      <c r="D401" s="7" t="s">
        <v>5292</v>
      </c>
      <c r="E401" s="9" t="s">
        <v>4870</v>
      </c>
      <c r="L401" s="10">
        <v>3761261</v>
      </c>
      <c r="M401" s="10">
        <v>743184</v>
      </c>
      <c r="N401" s="11">
        <v>15</v>
      </c>
      <c r="P401" s="7" t="s">
        <v>3205</v>
      </c>
      <c r="Q401" s="9" t="s">
        <v>5322</v>
      </c>
      <c r="S401" s="9" t="s">
        <v>5292</v>
      </c>
      <c r="T401" s="9" t="s">
        <v>4902</v>
      </c>
      <c r="U401" s="12" t="s">
        <v>4902</v>
      </c>
      <c r="V401" s="12" t="s">
        <v>4902</v>
      </c>
      <c r="W401" s="12">
        <v>0</v>
      </c>
      <c r="X401" s="12">
        <v>0</v>
      </c>
      <c r="Y401" s="12">
        <v>0</v>
      </c>
      <c r="Z401" s="11">
        <v>0</v>
      </c>
      <c r="AA401" s="11">
        <v>0</v>
      </c>
      <c r="AB401" s="11">
        <v>0</v>
      </c>
      <c r="AC401" s="11">
        <v>0</v>
      </c>
      <c r="AD401" s="11">
        <v>0</v>
      </c>
      <c r="AE401" s="11">
        <v>0</v>
      </c>
      <c r="AF401" s="11">
        <v>0</v>
      </c>
      <c r="AG401" s="11">
        <v>0</v>
      </c>
      <c r="AH401" s="9" t="s">
        <v>4909</v>
      </c>
      <c r="AI401" s="11">
        <v>1</v>
      </c>
      <c r="AJ401" s="11">
        <v>1</v>
      </c>
      <c r="AK401" s="11">
        <v>0</v>
      </c>
      <c r="AL401" s="11">
        <v>0</v>
      </c>
      <c r="AN401" s="11">
        <v>0</v>
      </c>
      <c r="AO401" s="11">
        <v>0</v>
      </c>
      <c r="AP401" s="11">
        <v>0</v>
      </c>
      <c r="AQ401" s="11">
        <v>0</v>
      </c>
      <c r="AR401" s="11">
        <v>1</v>
      </c>
      <c r="AS401" s="11">
        <v>0</v>
      </c>
      <c r="AT401" s="11">
        <v>0</v>
      </c>
      <c r="AU401" s="11">
        <v>0</v>
      </c>
      <c r="AV401" s="11">
        <v>0</v>
      </c>
      <c r="AW401" s="11">
        <v>0</v>
      </c>
      <c r="AX401" s="11">
        <v>0</v>
      </c>
      <c r="AY401" s="11">
        <v>0</v>
      </c>
      <c r="BA401" s="12" t="s">
        <v>4877</v>
      </c>
      <c r="BB401" s="12">
        <v>0</v>
      </c>
      <c r="BC401" s="9" t="s">
        <v>4878</v>
      </c>
      <c r="BD401" s="12">
        <v>0</v>
      </c>
      <c r="BE401" s="12">
        <v>0</v>
      </c>
      <c r="BF401" s="12">
        <v>0</v>
      </c>
      <c r="BI401" s="12">
        <v>0</v>
      </c>
      <c r="BJ401" s="12">
        <v>0</v>
      </c>
    </row>
    <row r="402" spans="1:62" x14ac:dyDescent="0.15">
      <c r="A402" s="7" t="s">
        <v>3206</v>
      </c>
      <c r="C402" s="7" t="s">
        <v>3207</v>
      </c>
      <c r="D402" s="7" t="s">
        <v>5292</v>
      </c>
      <c r="E402" s="9" t="s">
        <v>4870</v>
      </c>
      <c r="L402" s="10">
        <v>3759100</v>
      </c>
      <c r="M402" s="10">
        <v>744166</v>
      </c>
      <c r="N402" s="11">
        <v>15</v>
      </c>
      <c r="P402" s="7" t="s">
        <v>3208</v>
      </c>
      <c r="Q402" s="9" t="s">
        <v>5311</v>
      </c>
      <c r="S402" s="9" t="s">
        <v>5292</v>
      </c>
      <c r="T402" s="9" t="s">
        <v>4902</v>
      </c>
      <c r="U402" s="12" t="s">
        <v>4902</v>
      </c>
      <c r="V402" s="12" t="s">
        <v>4902</v>
      </c>
      <c r="W402" s="12">
        <v>0</v>
      </c>
      <c r="X402" s="12">
        <v>0</v>
      </c>
      <c r="Y402" s="12">
        <v>0</v>
      </c>
      <c r="Z402" s="11">
        <v>0</v>
      </c>
      <c r="AA402" s="11">
        <v>0</v>
      </c>
      <c r="AB402" s="11">
        <v>0</v>
      </c>
      <c r="AC402" s="11">
        <v>0</v>
      </c>
      <c r="AD402" s="11">
        <v>0</v>
      </c>
      <c r="AE402" s="11">
        <v>0</v>
      </c>
      <c r="AF402" s="11">
        <v>0</v>
      </c>
      <c r="AG402" s="11">
        <v>0</v>
      </c>
      <c r="AH402" s="9" t="s">
        <v>8248</v>
      </c>
      <c r="AI402" s="11">
        <v>2</v>
      </c>
      <c r="AJ402" s="11">
        <v>1</v>
      </c>
      <c r="AK402" s="11">
        <v>1</v>
      </c>
      <c r="AL402" s="11">
        <v>0</v>
      </c>
      <c r="AN402" s="11">
        <v>0</v>
      </c>
      <c r="AO402" s="11">
        <v>0</v>
      </c>
      <c r="AP402" s="11">
        <v>0</v>
      </c>
      <c r="AQ402" s="11">
        <v>0</v>
      </c>
      <c r="AR402" s="11">
        <v>0</v>
      </c>
      <c r="AS402" s="11">
        <v>0</v>
      </c>
      <c r="AT402" s="11">
        <v>1</v>
      </c>
      <c r="AU402" s="11">
        <v>0</v>
      </c>
      <c r="AV402" s="11">
        <v>0</v>
      </c>
      <c r="AW402" s="11">
        <v>0</v>
      </c>
      <c r="AX402" s="11">
        <v>0</v>
      </c>
      <c r="AY402" s="11">
        <v>0</v>
      </c>
      <c r="BA402" s="12" t="s">
        <v>4877</v>
      </c>
      <c r="BB402" s="12">
        <v>0</v>
      </c>
      <c r="BC402" s="9" t="s">
        <v>4878</v>
      </c>
      <c r="BD402" s="12">
        <v>0</v>
      </c>
      <c r="BE402" s="12">
        <v>0</v>
      </c>
      <c r="BF402" s="12">
        <v>0</v>
      </c>
      <c r="BI402" s="12">
        <v>0</v>
      </c>
      <c r="BJ402" s="12">
        <v>0</v>
      </c>
    </row>
    <row r="403" spans="1:62" x14ac:dyDescent="0.15">
      <c r="A403" s="7" t="s">
        <v>3209</v>
      </c>
      <c r="C403" s="7" t="s">
        <v>3210</v>
      </c>
      <c r="D403" s="7" t="s">
        <v>5292</v>
      </c>
      <c r="E403" s="9" t="s">
        <v>4870</v>
      </c>
      <c r="L403" s="10">
        <v>3751410</v>
      </c>
      <c r="M403" s="10">
        <v>749424</v>
      </c>
      <c r="N403" s="11">
        <v>15</v>
      </c>
      <c r="P403" s="7" t="s">
        <v>7162</v>
      </c>
      <c r="Q403" s="9" t="s">
        <v>5311</v>
      </c>
      <c r="S403" s="9" t="s">
        <v>5292</v>
      </c>
      <c r="T403" s="9" t="s">
        <v>4902</v>
      </c>
      <c r="U403" s="12" t="s">
        <v>4902</v>
      </c>
      <c r="V403" s="12" t="s">
        <v>4902</v>
      </c>
      <c r="W403" s="12">
        <v>0</v>
      </c>
      <c r="X403" s="12">
        <v>0</v>
      </c>
      <c r="Y403" s="12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9" t="s">
        <v>1083</v>
      </c>
      <c r="AI403" s="11">
        <v>2</v>
      </c>
      <c r="AJ403" s="11">
        <v>1</v>
      </c>
      <c r="AK403" s="11">
        <v>1</v>
      </c>
      <c r="AL403" s="11">
        <v>0</v>
      </c>
      <c r="AN403" s="11">
        <v>0</v>
      </c>
      <c r="AO403" s="11">
        <v>0</v>
      </c>
      <c r="AP403" s="11">
        <v>0</v>
      </c>
      <c r="AQ403" s="11">
        <v>0</v>
      </c>
      <c r="AR403" s="11">
        <v>0</v>
      </c>
      <c r="AS403" s="11">
        <v>0</v>
      </c>
      <c r="AT403" s="11">
        <v>1</v>
      </c>
      <c r="AU403" s="11">
        <v>0</v>
      </c>
      <c r="AV403" s="11">
        <v>0</v>
      </c>
      <c r="AW403" s="11">
        <v>0</v>
      </c>
      <c r="AX403" s="11">
        <v>0</v>
      </c>
      <c r="AY403" s="11">
        <v>0</v>
      </c>
      <c r="BA403" s="12" t="s">
        <v>4877</v>
      </c>
      <c r="BB403" s="12">
        <v>0</v>
      </c>
      <c r="BC403" s="9" t="s">
        <v>4878</v>
      </c>
      <c r="BD403" s="12">
        <v>0</v>
      </c>
      <c r="BE403" s="12">
        <v>0</v>
      </c>
      <c r="BF403" s="12">
        <v>0</v>
      </c>
      <c r="BI403" s="12">
        <v>0</v>
      </c>
      <c r="BJ403" s="12">
        <v>0</v>
      </c>
    </row>
    <row r="404" spans="1:62" x14ac:dyDescent="0.15">
      <c r="A404" s="7" t="s">
        <v>3211</v>
      </c>
      <c r="C404" s="7" t="s">
        <v>3212</v>
      </c>
      <c r="D404" s="7" t="s">
        <v>5292</v>
      </c>
      <c r="E404" s="9" t="s">
        <v>4870</v>
      </c>
      <c r="L404" s="10">
        <v>3755410</v>
      </c>
      <c r="M404" s="10">
        <v>750972</v>
      </c>
      <c r="N404" s="11">
        <v>15</v>
      </c>
      <c r="P404" s="7" t="s">
        <v>1145</v>
      </c>
      <c r="Q404" s="9" t="s">
        <v>5311</v>
      </c>
      <c r="S404" s="9" t="s">
        <v>5292</v>
      </c>
      <c r="T404" s="9" t="s">
        <v>4884</v>
      </c>
      <c r="U404" s="12" t="s">
        <v>5016</v>
      </c>
      <c r="V404" s="12" t="s">
        <v>5017</v>
      </c>
      <c r="W404" s="12">
        <v>0</v>
      </c>
      <c r="X404" s="12">
        <v>0</v>
      </c>
      <c r="Y404" s="12">
        <v>0</v>
      </c>
      <c r="Z404" s="11">
        <v>0</v>
      </c>
      <c r="AA404" s="11">
        <v>0</v>
      </c>
      <c r="AB404" s="11">
        <v>1</v>
      </c>
      <c r="AC404" s="11">
        <v>1</v>
      </c>
      <c r="AD404" s="11">
        <v>0</v>
      </c>
      <c r="AE404" s="11">
        <v>0</v>
      </c>
      <c r="AF404" s="11">
        <v>0</v>
      </c>
      <c r="AG404" s="11">
        <v>0</v>
      </c>
      <c r="AH404" s="9" t="s">
        <v>8248</v>
      </c>
      <c r="AI404" s="11">
        <v>2</v>
      </c>
      <c r="AJ404" s="11">
        <v>1</v>
      </c>
      <c r="AK404" s="11">
        <v>1</v>
      </c>
      <c r="AL404" s="11">
        <v>0</v>
      </c>
      <c r="AN404" s="11">
        <v>0</v>
      </c>
      <c r="AO404" s="11">
        <v>0</v>
      </c>
      <c r="AP404" s="11">
        <v>0</v>
      </c>
      <c r="AQ404" s="11">
        <v>1</v>
      </c>
      <c r="AR404" s="11">
        <v>0</v>
      </c>
      <c r="AS404" s="11">
        <v>0</v>
      </c>
      <c r="AT404" s="11">
        <v>1</v>
      </c>
      <c r="AU404" s="11">
        <v>0</v>
      </c>
      <c r="AV404" s="11">
        <v>0</v>
      </c>
      <c r="AW404" s="11">
        <v>0</v>
      </c>
      <c r="AX404" s="11">
        <v>0</v>
      </c>
      <c r="AY404" s="11">
        <v>0</v>
      </c>
      <c r="BA404" s="12" t="s">
        <v>4877</v>
      </c>
      <c r="BB404" s="12">
        <v>0</v>
      </c>
      <c r="BC404" s="9" t="s">
        <v>4878</v>
      </c>
      <c r="BD404" s="12">
        <v>0</v>
      </c>
      <c r="BE404" s="12">
        <v>0</v>
      </c>
      <c r="BF404" s="12">
        <v>0</v>
      </c>
      <c r="BI404" s="12">
        <v>0</v>
      </c>
      <c r="BJ404" s="12">
        <v>0</v>
      </c>
    </row>
    <row r="405" spans="1:62" x14ac:dyDescent="0.15">
      <c r="A405" s="7" t="s">
        <v>3213</v>
      </c>
      <c r="C405" s="7" t="s">
        <v>3214</v>
      </c>
      <c r="D405" s="7" t="s">
        <v>5292</v>
      </c>
      <c r="E405" s="9" t="s">
        <v>4870</v>
      </c>
      <c r="L405" s="10">
        <v>3757750</v>
      </c>
      <c r="M405" s="10">
        <v>740443</v>
      </c>
      <c r="N405" s="11">
        <v>15</v>
      </c>
      <c r="P405" s="7" t="s">
        <v>3215</v>
      </c>
      <c r="Q405" s="9" t="s">
        <v>5311</v>
      </c>
      <c r="S405" s="9" t="s">
        <v>5292</v>
      </c>
      <c r="T405" s="9" t="s">
        <v>4797</v>
      </c>
      <c r="U405" s="12" t="s">
        <v>5018</v>
      </c>
      <c r="V405" s="12" t="s">
        <v>5019</v>
      </c>
      <c r="W405" s="12">
        <v>0</v>
      </c>
      <c r="X405" s="12">
        <v>0</v>
      </c>
      <c r="Y405" s="12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1</v>
      </c>
      <c r="AE405" s="11">
        <v>1</v>
      </c>
      <c r="AF405" s="11">
        <v>0</v>
      </c>
      <c r="AG405" s="11">
        <v>0</v>
      </c>
      <c r="AH405" s="9" t="s">
        <v>8248</v>
      </c>
      <c r="AI405" s="11">
        <v>2</v>
      </c>
      <c r="AJ405" s="11">
        <v>1</v>
      </c>
      <c r="AK405" s="11">
        <v>1</v>
      </c>
      <c r="AL405" s="11">
        <v>0</v>
      </c>
      <c r="AN405" s="11">
        <v>0</v>
      </c>
      <c r="AO405" s="11">
        <v>0</v>
      </c>
      <c r="AP405" s="11">
        <v>0</v>
      </c>
      <c r="AQ405" s="11">
        <v>0</v>
      </c>
      <c r="AR405" s="11">
        <v>0</v>
      </c>
      <c r="AS405" s="11">
        <v>0</v>
      </c>
      <c r="AT405" s="11">
        <v>1</v>
      </c>
      <c r="AU405" s="11">
        <v>0</v>
      </c>
      <c r="AV405" s="11">
        <v>0</v>
      </c>
      <c r="AW405" s="11">
        <v>0</v>
      </c>
      <c r="AX405" s="11">
        <v>0</v>
      </c>
      <c r="AY405" s="11">
        <v>0</v>
      </c>
      <c r="BA405" s="12" t="s">
        <v>4877</v>
      </c>
      <c r="BB405" s="12">
        <v>0</v>
      </c>
      <c r="BC405" s="9" t="s">
        <v>4878</v>
      </c>
      <c r="BD405" s="12">
        <v>0</v>
      </c>
      <c r="BE405" s="12">
        <v>0</v>
      </c>
      <c r="BF405" s="12">
        <v>0</v>
      </c>
      <c r="BI405" s="12">
        <v>0</v>
      </c>
      <c r="BJ405" s="12">
        <v>0</v>
      </c>
    </row>
    <row r="406" spans="1:62" x14ac:dyDescent="0.15">
      <c r="A406" s="7" t="s">
        <v>3216</v>
      </c>
      <c r="C406" s="7" t="s">
        <v>3217</v>
      </c>
      <c r="D406" s="7" t="s">
        <v>5292</v>
      </c>
      <c r="E406" s="9" t="s">
        <v>4870</v>
      </c>
      <c r="L406" s="10">
        <v>3741029</v>
      </c>
      <c r="M406" s="10">
        <v>748453</v>
      </c>
      <c r="N406" s="11">
        <v>15</v>
      </c>
      <c r="P406" s="7" t="s">
        <v>6473</v>
      </c>
      <c r="Q406" s="9" t="s">
        <v>5322</v>
      </c>
      <c r="S406" s="9" t="s">
        <v>5292</v>
      </c>
      <c r="T406" s="9" t="s">
        <v>4902</v>
      </c>
      <c r="U406" s="12" t="s">
        <v>4902</v>
      </c>
      <c r="V406" s="12" t="s">
        <v>4902</v>
      </c>
      <c r="W406" s="12">
        <v>0</v>
      </c>
      <c r="X406" s="12">
        <v>0</v>
      </c>
      <c r="Y406" s="12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9" t="s">
        <v>4909</v>
      </c>
      <c r="AI406" s="11">
        <v>1</v>
      </c>
      <c r="AJ406" s="11">
        <v>1</v>
      </c>
      <c r="AK406" s="11">
        <v>0</v>
      </c>
      <c r="AL406" s="11">
        <v>0</v>
      </c>
      <c r="AN406" s="11">
        <v>0</v>
      </c>
      <c r="AO406" s="11">
        <v>0</v>
      </c>
      <c r="AP406" s="11">
        <v>0</v>
      </c>
      <c r="AQ406" s="11">
        <v>0</v>
      </c>
      <c r="AR406" s="11">
        <v>1</v>
      </c>
      <c r="AS406" s="11">
        <v>0</v>
      </c>
      <c r="AT406" s="11">
        <v>0</v>
      </c>
      <c r="AU406" s="11">
        <v>0</v>
      </c>
      <c r="AV406" s="11">
        <v>0</v>
      </c>
      <c r="AW406" s="11">
        <v>0</v>
      </c>
      <c r="AX406" s="11">
        <v>0</v>
      </c>
      <c r="AY406" s="11">
        <v>0</v>
      </c>
      <c r="BA406" s="12" t="s">
        <v>4877</v>
      </c>
      <c r="BB406" s="12">
        <v>0</v>
      </c>
      <c r="BC406" s="9" t="s">
        <v>4878</v>
      </c>
      <c r="BD406" s="12">
        <v>0</v>
      </c>
      <c r="BE406" s="12">
        <v>0</v>
      </c>
      <c r="BF406" s="12">
        <v>0</v>
      </c>
      <c r="BI406" s="12">
        <v>0</v>
      </c>
      <c r="BJ406" s="12">
        <v>0</v>
      </c>
    </row>
    <row r="407" spans="1:62" x14ac:dyDescent="0.15">
      <c r="A407" s="7" t="s">
        <v>3218</v>
      </c>
      <c r="C407" s="7" t="s">
        <v>3219</v>
      </c>
      <c r="D407" s="7" t="s">
        <v>5292</v>
      </c>
      <c r="E407" s="9" t="s">
        <v>4870</v>
      </c>
      <c r="L407" s="10">
        <v>3742890</v>
      </c>
      <c r="M407" s="10">
        <v>749833</v>
      </c>
      <c r="N407" s="11">
        <v>15</v>
      </c>
      <c r="P407" s="7" t="s">
        <v>3220</v>
      </c>
      <c r="Q407" s="9" t="s">
        <v>5311</v>
      </c>
      <c r="S407" s="9" t="s">
        <v>7185</v>
      </c>
      <c r="T407" s="9" t="s">
        <v>3221</v>
      </c>
      <c r="U407" s="12" t="s">
        <v>4897</v>
      </c>
      <c r="V407" s="12" t="s">
        <v>5018</v>
      </c>
      <c r="W407" s="12">
        <v>0</v>
      </c>
      <c r="X407" s="12">
        <v>0</v>
      </c>
      <c r="Y407" s="12">
        <v>0</v>
      </c>
      <c r="Z407" s="11">
        <v>1</v>
      </c>
      <c r="AA407" s="11">
        <v>1</v>
      </c>
      <c r="AB407" s="11">
        <v>0</v>
      </c>
      <c r="AC407" s="11">
        <v>1</v>
      </c>
      <c r="AD407" s="12">
        <v>1</v>
      </c>
      <c r="AE407" s="12">
        <v>1</v>
      </c>
      <c r="AF407" s="12">
        <v>0</v>
      </c>
      <c r="AG407" s="12">
        <v>0</v>
      </c>
      <c r="AH407" s="9" t="s">
        <v>8248</v>
      </c>
      <c r="AI407" s="11">
        <v>2</v>
      </c>
      <c r="AJ407" s="11">
        <v>1</v>
      </c>
      <c r="AK407" s="11">
        <v>1</v>
      </c>
      <c r="AL407" s="11">
        <v>0</v>
      </c>
      <c r="AN407" s="11">
        <v>0</v>
      </c>
      <c r="AO407" s="11">
        <v>0</v>
      </c>
      <c r="AP407" s="11">
        <v>0</v>
      </c>
      <c r="AQ407" s="11">
        <v>0</v>
      </c>
      <c r="AR407" s="11">
        <v>0</v>
      </c>
      <c r="AS407" s="11">
        <v>0</v>
      </c>
      <c r="AT407" s="11">
        <v>1</v>
      </c>
      <c r="AU407" s="11">
        <v>0</v>
      </c>
      <c r="AV407" s="11">
        <v>0</v>
      </c>
      <c r="AW407" s="11">
        <v>0</v>
      </c>
      <c r="AX407" s="11">
        <v>0</v>
      </c>
      <c r="AY407" s="11">
        <v>0</v>
      </c>
      <c r="BA407" s="12" t="s">
        <v>4877</v>
      </c>
      <c r="BB407" s="12">
        <v>0</v>
      </c>
      <c r="BC407" s="9" t="s">
        <v>4878</v>
      </c>
      <c r="BD407" s="12">
        <v>0</v>
      </c>
      <c r="BE407" s="12">
        <v>0</v>
      </c>
      <c r="BF407" s="12">
        <v>0</v>
      </c>
      <c r="BI407" s="12">
        <v>0</v>
      </c>
      <c r="BJ407" s="12">
        <v>0</v>
      </c>
    </row>
    <row r="408" spans="1:62" x14ac:dyDescent="0.15">
      <c r="A408" s="7" t="s">
        <v>3222</v>
      </c>
      <c r="C408" s="7" t="s">
        <v>3223</v>
      </c>
      <c r="D408" s="7" t="s">
        <v>5292</v>
      </c>
      <c r="E408" s="9" t="s">
        <v>4870</v>
      </c>
      <c r="L408" s="10">
        <v>3746000</v>
      </c>
      <c r="M408" s="10">
        <v>732311</v>
      </c>
      <c r="N408" s="11">
        <v>15</v>
      </c>
      <c r="P408" s="7" t="s">
        <v>929</v>
      </c>
      <c r="Q408" s="9" t="s">
        <v>1061</v>
      </c>
      <c r="R408" s="9" t="s">
        <v>1061</v>
      </c>
      <c r="S408" s="9" t="s">
        <v>5292</v>
      </c>
      <c r="T408" s="9" t="s">
        <v>8484</v>
      </c>
      <c r="U408" s="12" t="s">
        <v>5019</v>
      </c>
      <c r="V408" s="12" t="s">
        <v>5020</v>
      </c>
      <c r="W408" s="12">
        <v>0</v>
      </c>
      <c r="X408" s="12">
        <v>0</v>
      </c>
      <c r="Y408" s="12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1</v>
      </c>
      <c r="AF408" s="11">
        <v>1</v>
      </c>
      <c r="AG408" s="11">
        <v>0</v>
      </c>
      <c r="AH408" s="9">
        <v>4</v>
      </c>
      <c r="AI408" s="11">
        <v>4</v>
      </c>
      <c r="AJ408" s="11">
        <v>1</v>
      </c>
      <c r="AK408" s="11">
        <v>1</v>
      </c>
      <c r="AL408" s="11">
        <v>1</v>
      </c>
      <c r="AN408" s="11">
        <v>0</v>
      </c>
      <c r="AO408" s="11">
        <v>0</v>
      </c>
      <c r="AP408" s="11">
        <v>0</v>
      </c>
      <c r="AQ408" s="11">
        <v>1</v>
      </c>
      <c r="AR408" s="11">
        <v>0</v>
      </c>
      <c r="AS408" s="11">
        <v>0</v>
      </c>
      <c r="AT408" s="11">
        <v>1</v>
      </c>
      <c r="AU408" s="11">
        <v>0</v>
      </c>
      <c r="AV408" s="11">
        <v>0</v>
      </c>
      <c r="AW408" s="11">
        <v>0</v>
      </c>
      <c r="AX408" s="11">
        <v>0</v>
      </c>
      <c r="AY408" s="11">
        <v>0</v>
      </c>
      <c r="BA408" s="12" t="s">
        <v>4877</v>
      </c>
      <c r="BB408" s="12">
        <v>1</v>
      </c>
      <c r="BC408" s="9" t="s">
        <v>4878</v>
      </c>
      <c r="BD408" s="12">
        <v>12</v>
      </c>
      <c r="BE408" s="12">
        <v>150</v>
      </c>
      <c r="BF408" s="12">
        <v>0</v>
      </c>
      <c r="BI408" s="12">
        <v>0</v>
      </c>
      <c r="BJ408" s="12">
        <v>0</v>
      </c>
    </row>
    <row r="409" spans="1:62" x14ac:dyDescent="0.15">
      <c r="A409" s="7" t="s">
        <v>3224</v>
      </c>
      <c r="C409" s="7" t="s">
        <v>3225</v>
      </c>
      <c r="D409" s="7" t="s">
        <v>5292</v>
      </c>
      <c r="E409" s="9" t="s">
        <v>4870</v>
      </c>
      <c r="L409" s="10">
        <v>3760720</v>
      </c>
      <c r="M409" s="10">
        <v>761077</v>
      </c>
      <c r="N409" s="11">
        <v>15</v>
      </c>
      <c r="P409" s="7" t="s">
        <v>5310</v>
      </c>
      <c r="Q409" s="9" t="s">
        <v>5311</v>
      </c>
      <c r="S409" s="9" t="s">
        <v>5292</v>
      </c>
      <c r="T409" s="9" t="s">
        <v>8484</v>
      </c>
      <c r="U409" s="12" t="s">
        <v>5019</v>
      </c>
      <c r="V409" s="12" t="s">
        <v>5020</v>
      </c>
      <c r="W409" s="12">
        <v>0</v>
      </c>
      <c r="X409" s="12">
        <v>0</v>
      </c>
      <c r="Y409" s="12">
        <v>0</v>
      </c>
      <c r="Z409" s="11">
        <v>0</v>
      </c>
      <c r="AA409" s="11">
        <v>0</v>
      </c>
      <c r="AB409" s="11">
        <v>0</v>
      </c>
      <c r="AC409" s="11">
        <v>0</v>
      </c>
      <c r="AD409" s="11">
        <v>0</v>
      </c>
      <c r="AE409" s="11">
        <v>1</v>
      </c>
      <c r="AF409" s="11">
        <v>1</v>
      </c>
      <c r="AG409" s="11">
        <v>0</v>
      </c>
      <c r="AH409" s="9" t="s">
        <v>4909</v>
      </c>
      <c r="AI409" s="11">
        <v>1</v>
      </c>
      <c r="AJ409" s="11">
        <v>1</v>
      </c>
      <c r="AK409" s="11">
        <v>0</v>
      </c>
      <c r="AL409" s="11">
        <v>0</v>
      </c>
      <c r="AN409" s="11">
        <v>0</v>
      </c>
      <c r="AO409" s="11">
        <v>0</v>
      </c>
      <c r="AP409" s="11">
        <v>0</v>
      </c>
      <c r="AQ409" s="11">
        <v>0</v>
      </c>
      <c r="AR409" s="11">
        <v>0</v>
      </c>
      <c r="AS409" s="11">
        <v>0</v>
      </c>
      <c r="AT409" s="11">
        <v>1</v>
      </c>
      <c r="AU409" s="11">
        <v>0</v>
      </c>
      <c r="AV409" s="11">
        <v>0</v>
      </c>
      <c r="AW409" s="11">
        <v>0</v>
      </c>
      <c r="AX409" s="11">
        <v>0</v>
      </c>
      <c r="AY409" s="11">
        <v>0</v>
      </c>
      <c r="BA409" s="12" t="s">
        <v>4877</v>
      </c>
      <c r="BB409" s="12">
        <v>0</v>
      </c>
      <c r="BC409" s="9" t="s">
        <v>4878</v>
      </c>
      <c r="BD409" s="12">
        <v>0</v>
      </c>
      <c r="BE409" s="12">
        <v>0</v>
      </c>
      <c r="BF409" s="12">
        <v>0</v>
      </c>
      <c r="BI409" s="12">
        <v>0</v>
      </c>
      <c r="BJ409" s="12">
        <v>0</v>
      </c>
    </row>
    <row r="410" spans="1:62" x14ac:dyDescent="0.15">
      <c r="A410" s="7" t="s">
        <v>3226</v>
      </c>
      <c r="C410" s="7" t="s">
        <v>3227</v>
      </c>
      <c r="D410" s="7" t="s">
        <v>5292</v>
      </c>
      <c r="E410" s="9" t="s">
        <v>4870</v>
      </c>
      <c r="L410" s="10">
        <v>3738610</v>
      </c>
      <c r="M410" s="10">
        <v>756494</v>
      </c>
      <c r="N410" s="11">
        <v>15</v>
      </c>
      <c r="P410" s="7" t="s">
        <v>6407</v>
      </c>
      <c r="Q410" s="9" t="s">
        <v>712</v>
      </c>
      <c r="R410" s="9" t="s">
        <v>712</v>
      </c>
      <c r="S410" s="9" t="s">
        <v>5292</v>
      </c>
      <c r="T410" s="9" t="s">
        <v>5401</v>
      </c>
      <c r="U410" s="12" t="s">
        <v>5017</v>
      </c>
      <c r="V410" s="12" t="s">
        <v>5020</v>
      </c>
      <c r="W410" s="12">
        <v>0</v>
      </c>
      <c r="X410" s="12">
        <v>0</v>
      </c>
      <c r="Y410" s="12">
        <v>0</v>
      </c>
      <c r="Z410" s="11">
        <v>0</v>
      </c>
      <c r="AA410" s="11">
        <v>0</v>
      </c>
      <c r="AB410" s="11">
        <v>0</v>
      </c>
      <c r="AC410" s="11">
        <v>1</v>
      </c>
      <c r="AD410" s="11">
        <v>0</v>
      </c>
      <c r="AE410" s="11">
        <v>0</v>
      </c>
      <c r="AF410" s="11">
        <v>1</v>
      </c>
      <c r="AG410" s="11">
        <v>0</v>
      </c>
      <c r="AH410" s="9">
        <v>4</v>
      </c>
      <c r="AI410" s="11">
        <v>4</v>
      </c>
      <c r="AJ410" s="11">
        <v>1</v>
      </c>
      <c r="AK410" s="11">
        <v>1</v>
      </c>
      <c r="AL410" s="11">
        <v>1</v>
      </c>
      <c r="AN410" s="11">
        <v>0</v>
      </c>
      <c r="AO410" s="11">
        <v>0</v>
      </c>
      <c r="AP410" s="11">
        <v>0</v>
      </c>
      <c r="AQ410" s="11">
        <v>1</v>
      </c>
      <c r="AR410" s="11">
        <v>0</v>
      </c>
      <c r="AS410" s="11">
        <v>0</v>
      </c>
      <c r="AT410" s="11">
        <v>1</v>
      </c>
      <c r="AU410" s="11">
        <v>0</v>
      </c>
      <c r="AV410" s="11">
        <v>0</v>
      </c>
      <c r="AW410" s="11">
        <v>0</v>
      </c>
      <c r="AX410" s="11">
        <v>0</v>
      </c>
      <c r="AY410" s="11">
        <v>0</v>
      </c>
      <c r="BA410" s="12" t="s">
        <v>4877</v>
      </c>
      <c r="BB410" s="12">
        <v>0</v>
      </c>
      <c r="BC410" s="9" t="s">
        <v>4878</v>
      </c>
      <c r="BD410" s="12">
        <v>18</v>
      </c>
      <c r="BE410" s="12">
        <v>0</v>
      </c>
      <c r="BF410" s="12">
        <v>0</v>
      </c>
      <c r="BI410" s="12">
        <v>0</v>
      </c>
      <c r="BJ410" s="12">
        <v>0</v>
      </c>
    </row>
    <row r="411" spans="1:62" x14ac:dyDescent="0.15">
      <c r="A411" s="7" t="s">
        <v>3228</v>
      </c>
      <c r="C411" s="7" t="s">
        <v>3229</v>
      </c>
      <c r="D411" s="7" t="s">
        <v>5292</v>
      </c>
      <c r="E411" s="9" t="s">
        <v>6526</v>
      </c>
      <c r="L411" s="10">
        <v>3710200</v>
      </c>
      <c r="M411" s="10">
        <v>657161</v>
      </c>
      <c r="N411" s="11">
        <v>15</v>
      </c>
      <c r="P411" s="7" t="s">
        <v>3230</v>
      </c>
      <c r="Q411" s="9" t="s">
        <v>1061</v>
      </c>
      <c r="R411" s="9" t="s">
        <v>1061</v>
      </c>
      <c r="S411" s="9" t="s">
        <v>5292</v>
      </c>
      <c r="T411" s="9" t="s">
        <v>4780</v>
      </c>
      <c r="U411" s="12" t="s">
        <v>5016</v>
      </c>
      <c r="V411" s="12" t="s">
        <v>5019</v>
      </c>
      <c r="W411" s="12">
        <v>0</v>
      </c>
      <c r="X411" s="12">
        <v>0</v>
      </c>
      <c r="Y411" s="12">
        <v>0</v>
      </c>
      <c r="Z411" s="11">
        <v>0</v>
      </c>
      <c r="AA411" s="11">
        <v>0</v>
      </c>
      <c r="AB411" s="11">
        <v>1</v>
      </c>
      <c r="AC411" s="11">
        <v>0</v>
      </c>
      <c r="AD411" s="11">
        <v>0</v>
      </c>
      <c r="AE411" s="11">
        <v>1</v>
      </c>
      <c r="AF411" s="11">
        <v>0</v>
      </c>
      <c r="AG411" s="11">
        <v>0</v>
      </c>
      <c r="AH411" s="9">
        <v>2</v>
      </c>
      <c r="AI411" s="11">
        <v>2</v>
      </c>
      <c r="AJ411" s="11">
        <v>1</v>
      </c>
      <c r="AK411" s="11">
        <v>1</v>
      </c>
      <c r="AL411" s="11">
        <v>1</v>
      </c>
      <c r="AN411" s="11">
        <v>0</v>
      </c>
      <c r="AO411" s="11">
        <v>0</v>
      </c>
      <c r="AP411" s="11">
        <v>0</v>
      </c>
      <c r="AQ411" s="11">
        <v>1</v>
      </c>
      <c r="AR411" s="11">
        <v>0</v>
      </c>
      <c r="AS411" s="11">
        <v>0</v>
      </c>
      <c r="AT411" s="11">
        <v>1</v>
      </c>
      <c r="AU411" s="11">
        <v>0</v>
      </c>
      <c r="AV411" s="11">
        <v>0</v>
      </c>
      <c r="AW411" s="11">
        <v>0</v>
      </c>
      <c r="AX411" s="11">
        <v>0</v>
      </c>
      <c r="AY411" s="11">
        <v>0</v>
      </c>
      <c r="BA411" s="12" t="s">
        <v>4877</v>
      </c>
      <c r="BB411" s="12">
        <v>1</v>
      </c>
      <c r="BC411" s="9" t="s">
        <v>4878</v>
      </c>
      <c r="BD411" s="12">
        <v>5</v>
      </c>
      <c r="BE411" s="12">
        <v>150</v>
      </c>
      <c r="BF411" s="12">
        <v>0</v>
      </c>
      <c r="BI411" s="12">
        <v>0</v>
      </c>
      <c r="BJ411" s="12">
        <v>0</v>
      </c>
    </row>
    <row r="412" spans="1:62" x14ac:dyDescent="0.15">
      <c r="A412" s="7" t="s">
        <v>3231</v>
      </c>
      <c r="C412" s="7" t="s">
        <v>3232</v>
      </c>
      <c r="D412" s="7" t="s">
        <v>5292</v>
      </c>
      <c r="E412" s="9" t="s">
        <v>6526</v>
      </c>
      <c r="L412" s="10">
        <v>3712740</v>
      </c>
      <c r="M412" s="10">
        <v>655034</v>
      </c>
      <c r="N412" s="11">
        <v>15</v>
      </c>
      <c r="P412" s="7" t="s">
        <v>1087</v>
      </c>
      <c r="Q412" s="9" t="s">
        <v>5311</v>
      </c>
      <c r="R412" s="9" t="s">
        <v>5318</v>
      </c>
      <c r="S412" s="9" t="s">
        <v>1125</v>
      </c>
      <c r="T412" s="9" t="s">
        <v>4884</v>
      </c>
      <c r="U412" s="12" t="s">
        <v>5016</v>
      </c>
      <c r="V412" s="12" t="s">
        <v>5017</v>
      </c>
      <c r="W412" s="12">
        <v>0</v>
      </c>
      <c r="X412" s="12">
        <v>0</v>
      </c>
      <c r="Y412" s="12">
        <v>0</v>
      </c>
      <c r="Z412" s="11">
        <v>0</v>
      </c>
      <c r="AA412" s="11">
        <v>0</v>
      </c>
      <c r="AB412" s="11">
        <v>1</v>
      </c>
      <c r="AC412" s="11">
        <v>1</v>
      </c>
      <c r="AD412" s="11">
        <v>0</v>
      </c>
      <c r="AE412" s="11">
        <v>0</v>
      </c>
      <c r="AF412" s="11">
        <v>0</v>
      </c>
      <c r="AG412" s="11">
        <v>0</v>
      </c>
      <c r="AH412" s="9">
        <v>2</v>
      </c>
      <c r="AI412" s="11">
        <v>2</v>
      </c>
      <c r="AJ412" s="11">
        <v>1</v>
      </c>
      <c r="AK412" s="11">
        <v>1</v>
      </c>
      <c r="AL412" s="11">
        <v>0</v>
      </c>
      <c r="AN412" s="11">
        <v>0</v>
      </c>
      <c r="AO412" s="11">
        <v>0</v>
      </c>
      <c r="AP412" s="11">
        <v>0</v>
      </c>
      <c r="AQ412" s="11">
        <v>0</v>
      </c>
      <c r="AR412" s="11">
        <v>1</v>
      </c>
      <c r="AS412" s="11">
        <v>0</v>
      </c>
      <c r="AT412" s="11">
        <v>1</v>
      </c>
      <c r="AU412" s="11">
        <v>0</v>
      </c>
      <c r="AV412" s="11">
        <v>0</v>
      </c>
      <c r="AW412" s="11">
        <v>0</v>
      </c>
      <c r="AX412" s="11">
        <v>0</v>
      </c>
      <c r="AY412" s="11">
        <v>0</v>
      </c>
      <c r="BA412" s="12" t="s">
        <v>4877</v>
      </c>
      <c r="BB412" s="12">
        <v>0</v>
      </c>
      <c r="BC412" s="9" t="s">
        <v>4878</v>
      </c>
      <c r="BD412" s="12">
        <v>3</v>
      </c>
      <c r="BE412" s="12">
        <v>0</v>
      </c>
      <c r="BF412" s="12">
        <f>VLOOKUP(A412,'[1]Conical Mounds'!A$1:O$65536,15,FALSE)</f>
        <v>706.85834705770344</v>
      </c>
      <c r="BI412">
        <f>BD412/BF412</f>
        <v>4.2441318157838762E-3</v>
      </c>
      <c r="BJ412">
        <f>BI412*10000</f>
        <v>42.441318157838765</v>
      </c>
    </row>
    <row r="413" spans="1:62" x14ac:dyDescent="0.15">
      <c r="A413" s="7" t="s">
        <v>3233</v>
      </c>
      <c r="C413" s="7" t="s">
        <v>3234</v>
      </c>
      <c r="D413" s="7" t="s">
        <v>5292</v>
      </c>
      <c r="E413" s="9" t="s">
        <v>4882</v>
      </c>
      <c r="L413" s="10">
        <v>3731260</v>
      </c>
      <c r="M413" s="10">
        <v>683519</v>
      </c>
      <c r="N413" s="11">
        <v>15</v>
      </c>
      <c r="P413" s="7" t="s">
        <v>3235</v>
      </c>
      <c r="Q413" s="9" t="s">
        <v>1061</v>
      </c>
      <c r="R413" s="9" t="s">
        <v>1061</v>
      </c>
      <c r="S413" s="9" t="s">
        <v>5292</v>
      </c>
      <c r="T413" s="9" t="s">
        <v>5361</v>
      </c>
      <c r="U413" s="12" t="s">
        <v>5018</v>
      </c>
      <c r="V413" s="12" t="s">
        <v>5020</v>
      </c>
      <c r="W413" s="12">
        <v>0</v>
      </c>
      <c r="X413" s="12">
        <v>0</v>
      </c>
      <c r="Y413" s="12">
        <v>0</v>
      </c>
      <c r="Z413" s="11">
        <v>0</v>
      </c>
      <c r="AA413" s="11">
        <v>0</v>
      </c>
      <c r="AB413" s="11">
        <v>0</v>
      </c>
      <c r="AC413" s="11">
        <v>0</v>
      </c>
      <c r="AD413" s="11">
        <v>1</v>
      </c>
      <c r="AE413" s="11">
        <v>0</v>
      </c>
      <c r="AF413" s="11">
        <v>1</v>
      </c>
      <c r="AG413" s="11">
        <v>0</v>
      </c>
      <c r="AH413" s="9">
        <v>2</v>
      </c>
      <c r="AI413" s="11">
        <v>2</v>
      </c>
      <c r="AJ413" s="11">
        <v>1</v>
      </c>
      <c r="AK413" s="11">
        <v>1</v>
      </c>
      <c r="AL413" s="11">
        <v>1</v>
      </c>
      <c r="AN413" s="11">
        <v>0</v>
      </c>
      <c r="AO413" s="11">
        <v>0</v>
      </c>
      <c r="AP413" s="11">
        <v>0</v>
      </c>
      <c r="AQ413" s="11">
        <v>1</v>
      </c>
      <c r="AR413" s="11">
        <v>0</v>
      </c>
      <c r="AS413" s="11">
        <v>0</v>
      </c>
      <c r="AT413" s="11">
        <v>0</v>
      </c>
      <c r="AU413" s="11">
        <v>0</v>
      </c>
      <c r="AV413" s="11">
        <v>0</v>
      </c>
      <c r="AW413" s="11">
        <v>0</v>
      </c>
      <c r="AX413" s="11">
        <v>0</v>
      </c>
      <c r="AY413" s="11">
        <v>0</v>
      </c>
      <c r="BA413" s="12" t="s">
        <v>4877</v>
      </c>
      <c r="BB413" s="12">
        <v>1</v>
      </c>
      <c r="BC413" s="9" t="s">
        <v>4878</v>
      </c>
      <c r="BD413" s="12">
        <v>9</v>
      </c>
      <c r="BE413" s="12">
        <v>300</v>
      </c>
      <c r="BF413" s="12">
        <v>0</v>
      </c>
      <c r="BI413" s="12">
        <v>0</v>
      </c>
      <c r="BJ413" s="12">
        <v>0</v>
      </c>
    </row>
    <row r="414" spans="1:62" x14ac:dyDescent="0.15">
      <c r="A414" s="7" t="s">
        <v>3236</v>
      </c>
      <c r="C414" s="7" t="s">
        <v>3237</v>
      </c>
      <c r="D414" s="7" t="s">
        <v>5292</v>
      </c>
      <c r="E414" s="9" t="s">
        <v>4882</v>
      </c>
      <c r="L414" s="10">
        <v>3716990</v>
      </c>
      <c r="M414" s="10">
        <v>704900</v>
      </c>
      <c r="N414" s="11">
        <v>15</v>
      </c>
      <c r="P414" s="7" t="s">
        <v>3238</v>
      </c>
      <c r="Q414" s="9" t="s">
        <v>5311</v>
      </c>
      <c r="R414" s="9" t="s">
        <v>5318</v>
      </c>
      <c r="S414" s="9" t="s">
        <v>5292</v>
      </c>
      <c r="T414" s="9" t="s">
        <v>4884</v>
      </c>
      <c r="U414" s="12" t="s">
        <v>5016</v>
      </c>
      <c r="V414" s="12" t="s">
        <v>5017</v>
      </c>
      <c r="W414" s="12">
        <v>0</v>
      </c>
      <c r="X414" s="12">
        <v>0</v>
      </c>
      <c r="Y414" s="12">
        <v>0</v>
      </c>
      <c r="Z414" s="11">
        <v>0</v>
      </c>
      <c r="AA414" s="11">
        <v>0</v>
      </c>
      <c r="AB414" s="11">
        <v>1</v>
      </c>
      <c r="AC414" s="11">
        <v>1</v>
      </c>
      <c r="AD414" s="11">
        <v>0</v>
      </c>
      <c r="AE414" s="11">
        <v>0</v>
      </c>
      <c r="AF414" s="11">
        <v>0</v>
      </c>
      <c r="AG414" s="11">
        <v>0</v>
      </c>
      <c r="AH414" s="9">
        <v>3</v>
      </c>
      <c r="AI414" s="11">
        <v>3</v>
      </c>
      <c r="AJ414" s="11">
        <v>1</v>
      </c>
      <c r="AK414" s="11">
        <v>1</v>
      </c>
      <c r="AL414" s="11">
        <v>0</v>
      </c>
      <c r="AN414" s="11">
        <v>0</v>
      </c>
      <c r="AO414" s="11">
        <v>0</v>
      </c>
      <c r="AP414" s="11">
        <v>0</v>
      </c>
      <c r="AQ414" s="11">
        <v>0</v>
      </c>
      <c r="AR414" s="11">
        <v>1</v>
      </c>
      <c r="AS414" s="11">
        <v>0</v>
      </c>
      <c r="AT414" s="11">
        <v>1</v>
      </c>
      <c r="AU414" s="11">
        <v>0</v>
      </c>
      <c r="AV414" s="11">
        <v>0</v>
      </c>
      <c r="AW414" s="11">
        <v>0</v>
      </c>
      <c r="AX414" s="11">
        <v>0</v>
      </c>
      <c r="AY414" s="11">
        <v>0</v>
      </c>
      <c r="BA414" s="12" t="s">
        <v>4877</v>
      </c>
      <c r="BB414" s="12">
        <v>0</v>
      </c>
      <c r="BC414" s="9" t="s">
        <v>4878</v>
      </c>
      <c r="BD414" s="12">
        <v>12</v>
      </c>
      <c r="BE414" s="12">
        <v>0</v>
      </c>
      <c r="BF414" s="12">
        <f>VLOOKUP(A414,'[1]Conical Mounds'!A$1:O$65536,15,FALSE)</f>
        <v>2040</v>
      </c>
      <c r="BI414">
        <f>BD414/BF414</f>
        <v>5.8823529411764705E-3</v>
      </c>
      <c r="BJ414">
        <f>BI414*10000</f>
        <v>58.823529411764703</v>
      </c>
    </row>
    <row r="415" spans="1:62" x14ac:dyDescent="0.15">
      <c r="A415" s="7" t="s">
        <v>3239</v>
      </c>
      <c r="C415" s="7" t="s">
        <v>3240</v>
      </c>
      <c r="D415" s="7" t="s">
        <v>5292</v>
      </c>
      <c r="E415" s="9" t="s">
        <v>4882</v>
      </c>
      <c r="L415" s="10">
        <v>3722200</v>
      </c>
      <c r="M415" s="10">
        <v>686720</v>
      </c>
      <c r="N415" s="11">
        <v>15</v>
      </c>
      <c r="P415" s="7" t="s">
        <v>910</v>
      </c>
      <c r="Q415" s="9" t="s">
        <v>1112</v>
      </c>
      <c r="S415" s="9" t="s">
        <v>5292</v>
      </c>
      <c r="T415" s="9" t="s">
        <v>4902</v>
      </c>
      <c r="U415" s="12" t="s">
        <v>4902</v>
      </c>
      <c r="V415" s="12" t="s">
        <v>4902</v>
      </c>
      <c r="W415" s="12">
        <v>0</v>
      </c>
      <c r="X415" s="12">
        <v>0</v>
      </c>
      <c r="Y415" s="12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9" t="s">
        <v>4909</v>
      </c>
      <c r="AI415" s="11">
        <v>1</v>
      </c>
      <c r="AJ415" s="11">
        <v>1</v>
      </c>
      <c r="AK415" s="11">
        <v>0</v>
      </c>
      <c r="AL415" s="11">
        <v>0</v>
      </c>
      <c r="AN415" s="11">
        <v>0</v>
      </c>
      <c r="AO415" s="11">
        <v>0</v>
      </c>
      <c r="AP415" s="11">
        <v>0</v>
      </c>
      <c r="AQ415" s="11">
        <v>0</v>
      </c>
      <c r="AR415" s="11">
        <v>0</v>
      </c>
      <c r="AS415" s="11">
        <v>0</v>
      </c>
      <c r="AT415" s="11">
        <v>1</v>
      </c>
      <c r="AU415" s="11">
        <v>0</v>
      </c>
      <c r="AV415" s="11">
        <v>0</v>
      </c>
      <c r="AW415" s="11">
        <v>0</v>
      </c>
      <c r="AX415" s="11">
        <v>0</v>
      </c>
      <c r="AY415" s="11">
        <v>0</v>
      </c>
      <c r="BA415" s="12" t="s">
        <v>4877</v>
      </c>
      <c r="BB415" s="12">
        <v>0</v>
      </c>
      <c r="BC415" s="9" t="s">
        <v>4878</v>
      </c>
      <c r="BD415" s="12">
        <v>0</v>
      </c>
      <c r="BE415" s="12">
        <v>0</v>
      </c>
      <c r="BF415" s="12">
        <v>0</v>
      </c>
      <c r="BI415" s="12">
        <v>0</v>
      </c>
      <c r="BJ415" s="12">
        <v>0</v>
      </c>
    </row>
    <row r="416" spans="1:62" x14ac:dyDescent="0.15">
      <c r="A416" s="7" t="s">
        <v>3241</v>
      </c>
      <c r="C416" s="7" t="s">
        <v>3242</v>
      </c>
      <c r="D416" s="7" t="s">
        <v>5292</v>
      </c>
      <c r="E416" s="9" t="s">
        <v>4882</v>
      </c>
      <c r="L416" s="10">
        <v>3716110</v>
      </c>
      <c r="M416" s="10">
        <v>686117</v>
      </c>
      <c r="N416" s="11">
        <v>15</v>
      </c>
      <c r="P416" s="7" t="s">
        <v>910</v>
      </c>
      <c r="Q416" s="9" t="s">
        <v>1112</v>
      </c>
      <c r="S416" s="9" t="s">
        <v>5292</v>
      </c>
      <c r="T416" s="9" t="s">
        <v>4902</v>
      </c>
      <c r="U416" s="12" t="s">
        <v>4902</v>
      </c>
      <c r="V416" s="12" t="s">
        <v>4902</v>
      </c>
      <c r="W416" s="12">
        <v>0</v>
      </c>
      <c r="X416" s="12">
        <v>0</v>
      </c>
      <c r="Y416" s="12">
        <v>0</v>
      </c>
      <c r="Z416" s="11">
        <v>0</v>
      </c>
      <c r="AA416" s="11">
        <v>0</v>
      </c>
      <c r="AB416" s="11">
        <v>0</v>
      </c>
      <c r="AC416" s="11">
        <v>0</v>
      </c>
      <c r="AD416" s="11">
        <v>0</v>
      </c>
      <c r="AE416" s="11">
        <v>0</v>
      </c>
      <c r="AF416" s="11">
        <v>0</v>
      </c>
      <c r="AG416" s="11">
        <v>0</v>
      </c>
      <c r="AH416" s="9" t="s">
        <v>4909</v>
      </c>
      <c r="AI416" s="11">
        <v>1</v>
      </c>
      <c r="AJ416" s="11">
        <v>1</v>
      </c>
      <c r="AK416" s="11">
        <v>0</v>
      </c>
      <c r="AL416" s="11">
        <v>0</v>
      </c>
      <c r="AN416" s="11">
        <v>0</v>
      </c>
      <c r="AO416" s="11">
        <v>0</v>
      </c>
      <c r="AP416" s="11">
        <v>0</v>
      </c>
      <c r="AQ416" s="11">
        <v>0</v>
      </c>
      <c r="AR416" s="11">
        <v>0</v>
      </c>
      <c r="AS416" s="11">
        <v>0</v>
      </c>
      <c r="AT416" s="11">
        <v>1</v>
      </c>
      <c r="AU416" s="11">
        <v>0</v>
      </c>
      <c r="AV416" s="11">
        <v>0</v>
      </c>
      <c r="AW416" s="11">
        <v>0</v>
      </c>
      <c r="AX416" s="11">
        <v>0</v>
      </c>
      <c r="AY416" s="11">
        <v>0</v>
      </c>
      <c r="BA416" s="12" t="s">
        <v>4877</v>
      </c>
      <c r="BB416" s="12">
        <v>0</v>
      </c>
      <c r="BC416" s="9" t="s">
        <v>4878</v>
      </c>
      <c r="BD416" s="12">
        <v>0</v>
      </c>
      <c r="BE416" s="12">
        <v>0</v>
      </c>
      <c r="BF416" s="12">
        <v>0</v>
      </c>
      <c r="BI416" s="12">
        <v>0</v>
      </c>
      <c r="BJ416" s="12">
        <v>0</v>
      </c>
    </row>
    <row r="417" spans="1:62" x14ac:dyDescent="0.15">
      <c r="A417" s="7" t="s">
        <v>3243</v>
      </c>
      <c r="C417" s="7" t="s">
        <v>3244</v>
      </c>
      <c r="D417" s="7" t="s">
        <v>5292</v>
      </c>
      <c r="E417" s="9" t="s">
        <v>4882</v>
      </c>
      <c r="L417" s="10">
        <v>3716240</v>
      </c>
      <c r="M417" s="10">
        <v>701980</v>
      </c>
      <c r="N417" s="11">
        <v>15</v>
      </c>
      <c r="P417" s="7" t="s">
        <v>6411</v>
      </c>
      <c r="Q417" s="9" t="s">
        <v>4873</v>
      </c>
      <c r="S417" s="9" t="s">
        <v>5292</v>
      </c>
      <c r="T417" s="9" t="s">
        <v>5361</v>
      </c>
      <c r="U417" s="12" t="s">
        <v>5018</v>
      </c>
      <c r="V417" s="12" t="s">
        <v>5020</v>
      </c>
      <c r="W417" s="12">
        <v>0</v>
      </c>
      <c r="X417" s="12">
        <v>0</v>
      </c>
      <c r="Y417" s="12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1</v>
      </c>
      <c r="AE417" s="11">
        <v>0</v>
      </c>
      <c r="AF417" s="11">
        <v>1</v>
      </c>
      <c r="AG417" s="11">
        <v>0</v>
      </c>
      <c r="AH417" s="9" t="s">
        <v>8248</v>
      </c>
      <c r="AI417" s="11">
        <v>2</v>
      </c>
      <c r="AJ417" s="11">
        <v>1</v>
      </c>
      <c r="AK417" s="11">
        <v>1</v>
      </c>
      <c r="AL417" s="11">
        <v>0</v>
      </c>
      <c r="AN417" s="11">
        <v>0</v>
      </c>
      <c r="AO417" s="11">
        <v>0</v>
      </c>
      <c r="AP417" s="11">
        <v>0</v>
      </c>
      <c r="AQ417" s="11">
        <v>0</v>
      </c>
      <c r="AR417" s="11">
        <v>0</v>
      </c>
      <c r="AS417" s="11">
        <v>0</v>
      </c>
      <c r="AT417" s="11">
        <v>1</v>
      </c>
      <c r="AU417" s="11">
        <v>0</v>
      </c>
      <c r="AV417" s="11">
        <v>0</v>
      </c>
      <c r="AW417" s="11">
        <v>0</v>
      </c>
      <c r="AX417" s="11">
        <v>0</v>
      </c>
      <c r="AY417" s="11">
        <v>0</v>
      </c>
      <c r="BA417" s="12" t="s">
        <v>4877</v>
      </c>
      <c r="BB417" s="12">
        <v>0</v>
      </c>
      <c r="BC417" s="9" t="s">
        <v>4878</v>
      </c>
      <c r="BD417" s="12">
        <v>0</v>
      </c>
      <c r="BE417" s="12">
        <v>0</v>
      </c>
      <c r="BF417" s="12">
        <v>0</v>
      </c>
      <c r="BI417" s="12">
        <v>0</v>
      </c>
      <c r="BJ417" s="12">
        <v>0</v>
      </c>
    </row>
    <row r="418" spans="1:62" x14ac:dyDescent="0.15">
      <c r="A418" s="7" t="s">
        <v>3245</v>
      </c>
      <c r="C418" s="7" t="s">
        <v>4806</v>
      </c>
      <c r="D418" s="7" t="s">
        <v>5292</v>
      </c>
      <c r="E418" s="9" t="s">
        <v>4882</v>
      </c>
      <c r="L418" s="10">
        <v>3734470</v>
      </c>
      <c r="M418" s="10">
        <v>695292</v>
      </c>
      <c r="N418" s="11">
        <v>15</v>
      </c>
      <c r="P418" s="7" t="s">
        <v>7331</v>
      </c>
      <c r="Q418" s="9" t="s">
        <v>5322</v>
      </c>
      <c r="R418" s="9" t="s">
        <v>5318</v>
      </c>
      <c r="S418" s="9" t="s">
        <v>5292</v>
      </c>
      <c r="T418" s="9" t="s">
        <v>4891</v>
      </c>
      <c r="U418" s="12" t="s">
        <v>5017</v>
      </c>
      <c r="V418" s="12" t="s">
        <v>5018</v>
      </c>
      <c r="W418" s="12">
        <v>0</v>
      </c>
      <c r="X418" s="12">
        <v>0</v>
      </c>
      <c r="Y418" s="12">
        <v>0</v>
      </c>
      <c r="Z418" s="11">
        <v>0</v>
      </c>
      <c r="AA418" s="11">
        <v>0</v>
      </c>
      <c r="AB418" s="11">
        <v>0</v>
      </c>
      <c r="AC418" s="11">
        <v>1</v>
      </c>
      <c r="AD418" s="11">
        <v>1</v>
      </c>
      <c r="AE418" s="11">
        <v>0</v>
      </c>
      <c r="AF418" s="11">
        <v>0</v>
      </c>
      <c r="AG418" s="11">
        <v>0</v>
      </c>
      <c r="AH418" s="9">
        <v>1</v>
      </c>
      <c r="AI418" s="11">
        <v>1</v>
      </c>
      <c r="AJ418" s="11">
        <v>1</v>
      </c>
      <c r="AK418" s="11">
        <v>0</v>
      </c>
      <c r="AL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1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0</v>
      </c>
      <c r="AY418" s="11">
        <v>0</v>
      </c>
      <c r="BA418" s="12" t="s">
        <v>4877</v>
      </c>
      <c r="BB418" s="12">
        <v>0</v>
      </c>
      <c r="BC418" s="9" t="s">
        <v>4878</v>
      </c>
      <c r="BD418" s="12">
        <v>10</v>
      </c>
      <c r="BE418" s="12">
        <v>0</v>
      </c>
      <c r="BF418" s="12">
        <f>VLOOKUP(A418,'[1]Conical Mounds'!A$1:O$65536,15,FALSE)</f>
        <v>9000</v>
      </c>
      <c r="BI418">
        <f>BD418/BF418</f>
        <v>1.1111111111111111E-3</v>
      </c>
      <c r="BJ418">
        <f>BI418*10000</f>
        <v>11.111111111111111</v>
      </c>
    </row>
    <row r="419" spans="1:62" x14ac:dyDescent="0.15">
      <c r="A419" s="7" t="s">
        <v>3246</v>
      </c>
      <c r="C419" s="7" t="s">
        <v>3247</v>
      </c>
      <c r="D419" s="7" t="s">
        <v>5292</v>
      </c>
      <c r="E419" s="9" t="s">
        <v>4882</v>
      </c>
      <c r="L419" s="10">
        <v>3713830</v>
      </c>
      <c r="M419" s="10">
        <v>704836</v>
      </c>
      <c r="N419" s="11">
        <v>15</v>
      </c>
      <c r="P419" s="7" t="s">
        <v>3208</v>
      </c>
      <c r="Q419" s="9" t="s">
        <v>1061</v>
      </c>
      <c r="R419" s="9" t="s">
        <v>3248</v>
      </c>
      <c r="S419" s="9" t="s">
        <v>7185</v>
      </c>
      <c r="T419" s="9" t="s">
        <v>3221</v>
      </c>
      <c r="U419" s="12" t="s">
        <v>4897</v>
      </c>
      <c r="V419" s="12" t="s">
        <v>5018</v>
      </c>
      <c r="W419" s="12">
        <v>0</v>
      </c>
      <c r="X419" s="12">
        <v>0</v>
      </c>
      <c r="Y419" s="12">
        <v>0</v>
      </c>
      <c r="Z419" s="11">
        <v>1</v>
      </c>
      <c r="AA419" s="11">
        <v>1</v>
      </c>
      <c r="AB419" s="11">
        <v>0</v>
      </c>
      <c r="AC419" s="11">
        <v>1</v>
      </c>
      <c r="AD419" s="11">
        <v>1</v>
      </c>
      <c r="AE419" s="11">
        <v>0</v>
      </c>
      <c r="AF419" s="11">
        <v>0</v>
      </c>
      <c r="AG419" s="11">
        <v>0</v>
      </c>
      <c r="AH419" s="9" t="s">
        <v>8248</v>
      </c>
      <c r="AI419" s="11">
        <v>2</v>
      </c>
      <c r="AJ419" s="11">
        <v>1</v>
      </c>
      <c r="AK419" s="11">
        <v>1</v>
      </c>
      <c r="AL419" s="11">
        <v>1</v>
      </c>
      <c r="AN419" s="11">
        <v>0</v>
      </c>
      <c r="AO419" s="11">
        <v>0</v>
      </c>
      <c r="AP419" s="11">
        <v>0</v>
      </c>
      <c r="AQ419" s="11">
        <v>0</v>
      </c>
      <c r="AR419" s="11">
        <v>0</v>
      </c>
      <c r="AS419" s="11">
        <v>0</v>
      </c>
      <c r="AT419" s="11">
        <v>1</v>
      </c>
      <c r="AU419" s="11">
        <v>0</v>
      </c>
      <c r="AV419" s="11">
        <v>0</v>
      </c>
      <c r="AW419" s="11">
        <v>0</v>
      </c>
      <c r="AX419" s="11">
        <v>0</v>
      </c>
      <c r="AY419" s="11">
        <v>0</v>
      </c>
      <c r="BA419" s="12" t="s">
        <v>4877</v>
      </c>
      <c r="BB419" s="12">
        <v>0</v>
      </c>
      <c r="BC419" s="9" t="s">
        <v>4878</v>
      </c>
      <c r="BD419" s="12">
        <v>12</v>
      </c>
      <c r="BE419" s="12">
        <v>0</v>
      </c>
      <c r="BF419" s="12">
        <v>0</v>
      </c>
      <c r="BI419" s="12">
        <v>0</v>
      </c>
      <c r="BJ419" s="12">
        <v>0</v>
      </c>
    </row>
    <row r="420" spans="1:62" x14ac:dyDescent="0.15">
      <c r="A420" s="7" t="s">
        <v>3249</v>
      </c>
      <c r="C420" s="7" t="s">
        <v>3250</v>
      </c>
      <c r="D420" s="7" t="s">
        <v>5292</v>
      </c>
      <c r="E420" s="9" t="s">
        <v>4882</v>
      </c>
      <c r="L420" s="10">
        <v>3712260</v>
      </c>
      <c r="M420" s="10">
        <v>686230</v>
      </c>
      <c r="N420" s="11">
        <v>15</v>
      </c>
      <c r="P420" s="7" t="s">
        <v>1087</v>
      </c>
      <c r="Q420" s="9" t="s">
        <v>5311</v>
      </c>
      <c r="S420" s="9" t="s">
        <v>5292</v>
      </c>
      <c r="T420" s="9" t="s">
        <v>8484</v>
      </c>
      <c r="U420" s="12" t="s">
        <v>5019</v>
      </c>
      <c r="V420" s="12" t="s">
        <v>5020</v>
      </c>
      <c r="W420" s="12">
        <v>0</v>
      </c>
      <c r="X420" s="12">
        <v>0</v>
      </c>
      <c r="Y420" s="12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1</v>
      </c>
      <c r="AF420" s="11">
        <v>1</v>
      </c>
      <c r="AG420" s="11">
        <v>0</v>
      </c>
      <c r="AH420" s="9" t="s">
        <v>8248</v>
      </c>
      <c r="AI420" s="11">
        <v>2</v>
      </c>
      <c r="AJ420" s="11">
        <v>1</v>
      </c>
      <c r="AK420" s="11">
        <v>1</v>
      </c>
      <c r="AL420" s="11">
        <v>0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0</v>
      </c>
      <c r="AT420" s="11">
        <v>1</v>
      </c>
      <c r="AU420" s="11">
        <v>0</v>
      </c>
      <c r="AV420" s="11">
        <v>0</v>
      </c>
      <c r="AW420" s="11">
        <v>0</v>
      </c>
      <c r="AX420" s="11">
        <v>0</v>
      </c>
      <c r="AY420" s="11">
        <v>0</v>
      </c>
      <c r="BA420" s="12" t="s">
        <v>4877</v>
      </c>
      <c r="BB420" s="12">
        <v>0</v>
      </c>
      <c r="BC420" s="9" t="s">
        <v>4878</v>
      </c>
      <c r="BD420" s="12">
        <v>0</v>
      </c>
      <c r="BE420" s="12">
        <v>0</v>
      </c>
      <c r="BF420" s="12">
        <v>0</v>
      </c>
      <c r="BI420" s="12">
        <v>0</v>
      </c>
      <c r="BJ420" s="12">
        <v>0</v>
      </c>
    </row>
    <row r="421" spans="1:62" x14ac:dyDescent="0.15">
      <c r="A421" s="7" t="s">
        <v>3251</v>
      </c>
      <c r="C421" s="7" t="s">
        <v>3252</v>
      </c>
      <c r="D421" s="7" t="s">
        <v>5292</v>
      </c>
      <c r="E421" s="9" t="s">
        <v>4882</v>
      </c>
      <c r="L421" s="10">
        <v>3732700</v>
      </c>
      <c r="M421" s="10">
        <v>723842</v>
      </c>
      <c r="N421" s="11">
        <v>15</v>
      </c>
      <c r="P421" s="7" t="s">
        <v>3253</v>
      </c>
      <c r="Q421" s="9" t="s">
        <v>1061</v>
      </c>
      <c r="R421" s="9" t="s">
        <v>1061</v>
      </c>
      <c r="S421" s="9" t="s">
        <v>5292</v>
      </c>
      <c r="T421" s="9" t="s">
        <v>8484</v>
      </c>
      <c r="U421" s="12" t="s">
        <v>5019</v>
      </c>
      <c r="V421" s="12" t="s">
        <v>5020</v>
      </c>
      <c r="W421" s="12">
        <v>0</v>
      </c>
      <c r="X421" s="12">
        <v>0</v>
      </c>
      <c r="Y421" s="12">
        <v>0</v>
      </c>
      <c r="Z421" s="11">
        <v>0</v>
      </c>
      <c r="AA421" s="11">
        <v>0</v>
      </c>
      <c r="AB421" s="11">
        <v>0</v>
      </c>
      <c r="AC421" s="11">
        <v>0</v>
      </c>
      <c r="AD421" s="11">
        <v>0</v>
      </c>
      <c r="AE421" s="11">
        <v>1</v>
      </c>
      <c r="AF421" s="11">
        <v>1</v>
      </c>
      <c r="AG421" s="11">
        <v>0</v>
      </c>
      <c r="AH421" s="9">
        <v>1</v>
      </c>
      <c r="AI421" s="11">
        <v>1</v>
      </c>
      <c r="AJ421" s="11">
        <v>1</v>
      </c>
      <c r="AK421" s="11">
        <v>0</v>
      </c>
      <c r="AL421" s="11">
        <v>1</v>
      </c>
      <c r="AN421" s="11">
        <v>0</v>
      </c>
      <c r="AO421" s="11">
        <v>0</v>
      </c>
      <c r="AP421" s="11">
        <v>0</v>
      </c>
      <c r="AQ421" s="11">
        <v>0</v>
      </c>
      <c r="AR421" s="11">
        <v>0</v>
      </c>
      <c r="AS421" s="11">
        <v>0</v>
      </c>
      <c r="AT421" s="11">
        <v>0</v>
      </c>
      <c r="AU421" s="11">
        <v>0</v>
      </c>
      <c r="AV421" s="11">
        <v>0</v>
      </c>
      <c r="AW421" s="11">
        <v>0</v>
      </c>
      <c r="AX421" s="11">
        <v>0</v>
      </c>
      <c r="AY421" s="11">
        <v>0</v>
      </c>
      <c r="BA421" s="12" t="s">
        <v>4877</v>
      </c>
      <c r="BB421" s="12">
        <v>0</v>
      </c>
      <c r="BC421" s="9" t="s">
        <v>4878</v>
      </c>
      <c r="BD421" s="12">
        <v>12</v>
      </c>
      <c r="BE421" s="12">
        <v>0</v>
      </c>
      <c r="BF421" s="12">
        <v>0</v>
      </c>
      <c r="BI421" s="12">
        <v>0</v>
      </c>
      <c r="BJ421" s="12">
        <v>0</v>
      </c>
    </row>
    <row r="422" spans="1:62" x14ac:dyDescent="0.15">
      <c r="A422" s="7" t="s">
        <v>3254</v>
      </c>
      <c r="C422" s="7" t="s">
        <v>3255</v>
      </c>
      <c r="D422" s="7" t="s">
        <v>5292</v>
      </c>
      <c r="E422" s="9" t="s">
        <v>4882</v>
      </c>
      <c r="L422" s="10">
        <v>3726357</v>
      </c>
      <c r="M422" s="10">
        <v>726643</v>
      </c>
      <c r="N422" s="11">
        <v>15</v>
      </c>
      <c r="P422" s="7" t="s">
        <v>1079</v>
      </c>
      <c r="Q422" s="9" t="s">
        <v>5322</v>
      </c>
      <c r="S422" s="9" t="s">
        <v>5292</v>
      </c>
      <c r="T422" s="9" t="s">
        <v>4902</v>
      </c>
      <c r="U422" s="12" t="s">
        <v>4902</v>
      </c>
      <c r="V422" s="12" t="s">
        <v>4902</v>
      </c>
      <c r="W422" s="12">
        <v>0</v>
      </c>
      <c r="X422" s="12">
        <v>0</v>
      </c>
      <c r="Y422" s="12">
        <v>0</v>
      </c>
      <c r="Z422" s="11">
        <v>0</v>
      </c>
      <c r="AA422" s="11">
        <v>0</v>
      </c>
      <c r="AB422" s="11">
        <v>0</v>
      </c>
      <c r="AC422" s="11">
        <v>0</v>
      </c>
      <c r="AD422" s="11">
        <v>0</v>
      </c>
      <c r="AE422" s="11">
        <v>0</v>
      </c>
      <c r="AF422" s="11">
        <v>0</v>
      </c>
      <c r="AG422" s="11">
        <v>0</v>
      </c>
      <c r="AH422" s="9" t="s">
        <v>4909</v>
      </c>
      <c r="AI422" s="11">
        <v>1</v>
      </c>
      <c r="AJ422" s="11">
        <v>1</v>
      </c>
      <c r="AK422" s="11">
        <v>0</v>
      </c>
      <c r="AL422" s="11">
        <v>0</v>
      </c>
      <c r="AN422" s="11">
        <v>0</v>
      </c>
      <c r="AO422" s="11">
        <v>0</v>
      </c>
      <c r="AP422" s="11">
        <v>0</v>
      </c>
      <c r="AQ422" s="11">
        <v>0</v>
      </c>
      <c r="AR422" s="11">
        <v>1</v>
      </c>
      <c r="AS422" s="11">
        <v>0</v>
      </c>
      <c r="AT422" s="11">
        <v>0</v>
      </c>
      <c r="AU422" s="11">
        <v>0</v>
      </c>
      <c r="AV422" s="11">
        <v>0</v>
      </c>
      <c r="AW422" s="11">
        <v>0</v>
      </c>
      <c r="AX422" s="11">
        <v>0</v>
      </c>
      <c r="AY422" s="11">
        <v>0</v>
      </c>
      <c r="BA422" s="12" t="s">
        <v>4877</v>
      </c>
      <c r="BB422" s="12">
        <v>0</v>
      </c>
      <c r="BC422" s="9" t="s">
        <v>4878</v>
      </c>
      <c r="BD422" s="12">
        <v>0</v>
      </c>
      <c r="BE422" s="12">
        <v>0</v>
      </c>
      <c r="BF422" s="12">
        <v>0</v>
      </c>
      <c r="BI422" s="12">
        <v>0</v>
      </c>
      <c r="BJ422" s="12">
        <v>0</v>
      </c>
    </row>
    <row r="423" spans="1:62" x14ac:dyDescent="0.15">
      <c r="A423" s="7" t="s">
        <v>3256</v>
      </c>
      <c r="C423" s="7" t="s">
        <v>3257</v>
      </c>
      <c r="D423" s="7" t="s">
        <v>5292</v>
      </c>
      <c r="E423" s="9" t="s">
        <v>4882</v>
      </c>
      <c r="L423" s="10">
        <v>3734730</v>
      </c>
      <c r="M423" s="10">
        <v>725412</v>
      </c>
      <c r="N423" s="11">
        <v>15</v>
      </c>
      <c r="P423" s="7" t="s">
        <v>6431</v>
      </c>
      <c r="Q423" s="9" t="s">
        <v>5311</v>
      </c>
      <c r="R423" s="9" t="s">
        <v>5318</v>
      </c>
      <c r="S423" s="9" t="s">
        <v>5292</v>
      </c>
      <c r="T423" s="9" t="s">
        <v>4797</v>
      </c>
      <c r="U423" s="12" t="s">
        <v>5018</v>
      </c>
      <c r="V423" s="12" t="s">
        <v>5019</v>
      </c>
      <c r="W423" s="12">
        <v>0</v>
      </c>
      <c r="X423" s="12">
        <v>0</v>
      </c>
      <c r="Y423" s="12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1</v>
      </c>
      <c r="AE423" s="11">
        <v>1</v>
      </c>
      <c r="AF423" s="11">
        <v>0</v>
      </c>
      <c r="AG423" s="11">
        <v>0</v>
      </c>
      <c r="AH423" s="9">
        <v>1</v>
      </c>
      <c r="AI423" s="11">
        <v>1</v>
      </c>
      <c r="AJ423" s="11">
        <v>1</v>
      </c>
      <c r="AK423" s="11">
        <v>0</v>
      </c>
      <c r="AL423" s="11">
        <v>0</v>
      </c>
      <c r="AN423" s="11">
        <v>0</v>
      </c>
      <c r="AO423" s="11">
        <v>0</v>
      </c>
      <c r="AP423" s="11">
        <v>0</v>
      </c>
      <c r="AQ423" s="11">
        <v>0</v>
      </c>
      <c r="AR423" s="11">
        <v>1</v>
      </c>
      <c r="AS423" s="11">
        <v>0</v>
      </c>
      <c r="AT423" s="11">
        <v>0</v>
      </c>
      <c r="AU423" s="11">
        <v>0</v>
      </c>
      <c r="AV423" s="11">
        <v>0</v>
      </c>
      <c r="AW423" s="11">
        <v>0</v>
      </c>
      <c r="AX423" s="11">
        <v>0</v>
      </c>
      <c r="AY423" s="11">
        <v>0</v>
      </c>
      <c r="BA423" s="12" t="s">
        <v>4877</v>
      </c>
      <c r="BB423" s="12">
        <v>0</v>
      </c>
      <c r="BC423" s="9" t="s">
        <v>4878</v>
      </c>
      <c r="BD423" s="12">
        <v>8</v>
      </c>
      <c r="BE423" s="12">
        <v>0</v>
      </c>
      <c r="BF423" s="12">
        <f>VLOOKUP(A423,'[1]Conical Mounds'!A$1:O$65536,15,FALSE)</f>
        <v>2827.4333882308138</v>
      </c>
      <c r="BI423">
        <f>BD423/BF423</f>
        <v>2.8294212105225841E-3</v>
      </c>
      <c r="BJ423">
        <f>BI423*10000</f>
        <v>28.294212105225842</v>
      </c>
    </row>
    <row r="424" spans="1:62" x14ac:dyDescent="0.15">
      <c r="A424" s="7" t="s">
        <v>3258</v>
      </c>
      <c r="C424" s="7" t="s">
        <v>3259</v>
      </c>
      <c r="D424" s="7" t="s">
        <v>5292</v>
      </c>
      <c r="E424" s="9" t="s">
        <v>4882</v>
      </c>
      <c r="L424" s="10">
        <v>3733940</v>
      </c>
      <c r="M424" s="10">
        <v>714695</v>
      </c>
      <c r="N424" s="11">
        <v>15</v>
      </c>
      <c r="P424" s="7" t="s">
        <v>5310</v>
      </c>
      <c r="Q424" s="9" t="s">
        <v>5311</v>
      </c>
      <c r="S424" s="9" t="s">
        <v>5292</v>
      </c>
      <c r="T424" s="9" t="s">
        <v>4884</v>
      </c>
      <c r="U424" s="12" t="s">
        <v>5016</v>
      </c>
      <c r="V424" s="12" t="s">
        <v>5017</v>
      </c>
      <c r="W424" s="12">
        <v>0</v>
      </c>
      <c r="X424" s="12">
        <v>0</v>
      </c>
      <c r="Y424" s="12">
        <v>0</v>
      </c>
      <c r="Z424" s="11">
        <v>0</v>
      </c>
      <c r="AA424" s="11">
        <v>0</v>
      </c>
      <c r="AB424" s="11">
        <v>1</v>
      </c>
      <c r="AC424" s="11">
        <v>1</v>
      </c>
      <c r="AD424" s="11">
        <v>0</v>
      </c>
      <c r="AE424" s="11">
        <v>0</v>
      </c>
      <c r="AF424" s="11">
        <v>0</v>
      </c>
      <c r="AG424" s="11">
        <v>0</v>
      </c>
      <c r="AH424" s="9" t="s">
        <v>4909</v>
      </c>
      <c r="AI424" s="11">
        <v>1</v>
      </c>
      <c r="AJ424" s="11">
        <v>1</v>
      </c>
      <c r="AK424" s="11">
        <v>0</v>
      </c>
      <c r="AL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</v>
      </c>
      <c r="AS424" s="11">
        <v>0</v>
      </c>
      <c r="AT424" s="11">
        <v>1</v>
      </c>
      <c r="AU424" s="11">
        <v>0</v>
      </c>
      <c r="AV424" s="11">
        <v>0</v>
      </c>
      <c r="AW424" s="11">
        <v>0</v>
      </c>
      <c r="AX424" s="11">
        <v>0</v>
      </c>
      <c r="AY424" s="11">
        <v>0</v>
      </c>
      <c r="BA424" s="12" t="s">
        <v>4877</v>
      </c>
      <c r="BB424" s="12">
        <v>0</v>
      </c>
      <c r="BC424" s="9" t="s">
        <v>4878</v>
      </c>
      <c r="BD424" s="12">
        <v>0</v>
      </c>
      <c r="BE424" s="12">
        <v>0</v>
      </c>
      <c r="BF424" s="12">
        <v>0</v>
      </c>
      <c r="BI424" s="12">
        <v>0</v>
      </c>
      <c r="BJ424" s="12">
        <v>0</v>
      </c>
    </row>
    <row r="425" spans="1:62" x14ac:dyDescent="0.15">
      <c r="A425" s="7" t="s">
        <v>3260</v>
      </c>
      <c r="C425" s="7" t="s">
        <v>3261</v>
      </c>
      <c r="D425" s="7" t="s">
        <v>5292</v>
      </c>
      <c r="E425" s="9" t="s">
        <v>4882</v>
      </c>
      <c r="L425" s="10">
        <v>3719990</v>
      </c>
      <c r="M425" s="10">
        <v>721258</v>
      </c>
      <c r="N425" s="11">
        <v>15</v>
      </c>
      <c r="P425" s="7" t="s">
        <v>5310</v>
      </c>
      <c r="Q425" s="9" t="s">
        <v>1061</v>
      </c>
      <c r="R425" s="9" t="s">
        <v>1061</v>
      </c>
      <c r="S425" s="9" t="s">
        <v>5292</v>
      </c>
      <c r="T425" s="9" t="s">
        <v>8484</v>
      </c>
      <c r="U425" s="12" t="s">
        <v>5019</v>
      </c>
      <c r="V425" s="12" t="s">
        <v>5020</v>
      </c>
      <c r="W425" s="12">
        <v>0</v>
      </c>
      <c r="X425" s="12">
        <v>0</v>
      </c>
      <c r="Y425" s="12">
        <v>0</v>
      </c>
      <c r="Z425" s="11">
        <v>0</v>
      </c>
      <c r="AA425" s="11">
        <v>0</v>
      </c>
      <c r="AB425" s="11">
        <v>0</v>
      </c>
      <c r="AC425" s="11">
        <v>0</v>
      </c>
      <c r="AD425" s="11">
        <v>0</v>
      </c>
      <c r="AE425" s="11">
        <v>1</v>
      </c>
      <c r="AF425" s="11">
        <v>1</v>
      </c>
      <c r="AG425" s="11">
        <v>0</v>
      </c>
      <c r="AH425" s="9">
        <v>1</v>
      </c>
      <c r="AI425" s="11">
        <v>1</v>
      </c>
      <c r="AJ425" s="11">
        <v>1</v>
      </c>
      <c r="AK425" s="11">
        <v>0</v>
      </c>
      <c r="AL425" s="11">
        <v>1</v>
      </c>
      <c r="AN425" s="11">
        <v>0</v>
      </c>
      <c r="AO425" s="11">
        <v>0</v>
      </c>
      <c r="AP425" s="11">
        <v>0</v>
      </c>
      <c r="AQ425" s="11">
        <v>0</v>
      </c>
      <c r="AR425" s="11">
        <v>0</v>
      </c>
      <c r="AS425" s="11">
        <v>0</v>
      </c>
      <c r="AT425" s="11">
        <v>0</v>
      </c>
      <c r="AU425" s="11">
        <v>0</v>
      </c>
      <c r="AV425" s="11">
        <v>0</v>
      </c>
      <c r="AW425" s="11">
        <v>0</v>
      </c>
      <c r="AX425" s="11">
        <v>0</v>
      </c>
      <c r="AY425" s="11">
        <v>0</v>
      </c>
      <c r="BA425" s="12" t="s">
        <v>4877</v>
      </c>
      <c r="BB425" s="12">
        <v>0</v>
      </c>
      <c r="BC425" s="9" t="s">
        <v>4878</v>
      </c>
      <c r="BD425" s="12">
        <v>0</v>
      </c>
      <c r="BE425" s="12">
        <v>0</v>
      </c>
      <c r="BF425" s="12">
        <v>0</v>
      </c>
      <c r="BI425" s="12">
        <v>0</v>
      </c>
      <c r="BJ425" s="12">
        <v>0</v>
      </c>
    </row>
    <row r="426" spans="1:62" x14ac:dyDescent="0.15">
      <c r="A426" s="7" t="s">
        <v>3262</v>
      </c>
      <c r="C426" s="7" t="s">
        <v>3263</v>
      </c>
      <c r="D426" s="7" t="s">
        <v>5292</v>
      </c>
      <c r="E426" s="9" t="s">
        <v>4882</v>
      </c>
      <c r="L426" s="10">
        <v>3715609</v>
      </c>
      <c r="M426" s="10">
        <v>716218</v>
      </c>
      <c r="N426" s="11">
        <v>15</v>
      </c>
      <c r="P426" s="7" t="s">
        <v>910</v>
      </c>
      <c r="Q426" s="9" t="s">
        <v>1112</v>
      </c>
      <c r="S426" s="9" t="s">
        <v>5292</v>
      </c>
      <c r="T426" s="9" t="s">
        <v>4902</v>
      </c>
      <c r="U426" s="12" t="s">
        <v>4902</v>
      </c>
      <c r="V426" s="12" t="s">
        <v>4902</v>
      </c>
      <c r="W426" s="12">
        <v>0</v>
      </c>
      <c r="X426" s="12">
        <v>0</v>
      </c>
      <c r="Y426" s="12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9" t="s">
        <v>4909</v>
      </c>
      <c r="AI426" s="11">
        <v>1</v>
      </c>
      <c r="AJ426" s="11">
        <v>1</v>
      </c>
      <c r="AK426" s="11">
        <v>0</v>
      </c>
      <c r="AL426" s="11">
        <v>0</v>
      </c>
      <c r="AN426" s="11">
        <v>0</v>
      </c>
      <c r="AO426" s="11">
        <v>0</v>
      </c>
      <c r="AP426" s="11">
        <v>0</v>
      </c>
      <c r="AQ426" s="11">
        <v>0</v>
      </c>
      <c r="AR426" s="11">
        <v>0</v>
      </c>
      <c r="AS426" s="11">
        <v>0</v>
      </c>
      <c r="AT426" s="11">
        <v>1</v>
      </c>
      <c r="AU426" s="11">
        <v>0</v>
      </c>
      <c r="AV426" s="11">
        <v>0</v>
      </c>
      <c r="AW426" s="11">
        <v>0</v>
      </c>
      <c r="AX426" s="11">
        <v>0</v>
      </c>
      <c r="AY426" s="11">
        <v>0</v>
      </c>
      <c r="BA426" s="12" t="s">
        <v>4877</v>
      </c>
      <c r="BB426" s="12">
        <v>0</v>
      </c>
      <c r="BC426" s="9" t="s">
        <v>4878</v>
      </c>
      <c r="BD426" s="12">
        <v>0</v>
      </c>
      <c r="BE426" s="12">
        <v>0</v>
      </c>
      <c r="BF426" s="12">
        <v>0</v>
      </c>
      <c r="BI426" s="12">
        <v>0</v>
      </c>
      <c r="BJ426" s="12">
        <v>0</v>
      </c>
    </row>
    <row r="427" spans="1:62" x14ac:dyDescent="0.15">
      <c r="A427" s="7" t="s">
        <v>3264</v>
      </c>
      <c r="C427" s="7" t="s">
        <v>3265</v>
      </c>
      <c r="D427" s="7" t="s">
        <v>5292</v>
      </c>
      <c r="E427" s="9" t="s">
        <v>4882</v>
      </c>
      <c r="L427" s="10">
        <v>3713751</v>
      </c>
      <c r="M427" s="10">
        <v>720290</v>
      </c>
      <c r="N427" s="11">
        <v>15</v>
      </c>
      <c r="P427" s="7" t="s">
        <v>910</v>
      </c>
      <c r="Q427" s="9" t="s">
        <v>1112</v>
      </c>
      <c r="S427" s="9" t="s">
        <v>5292</v>
      </c>
      <c r="T427" s="9" t="s">
        <v>4902</v>
      </c>
      <c r="U427" s="12" t="s">
        <v>4902</v>
      </c>
      <c r="V427" s="12" t="s">
        <v>4902</v>
      </c>
      <c r="W427" s="12">
        <v>0</v>
      </c>
      <c r="X427" s="12">
        <v>0</v>
      </c>
      <c r="Y427" s="12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9" t="s">
        <v>4909</v>
      </c>
      <c r="AI427" s="11">
        <v>1</v>
      </c>
      <c r="AJ427" s="11">
        <v>1</v>
      </c>
      <c r="AK427" s="11">
        <v>0</v>
      </c>
      <c r="AL427" s="11">
        <v>0</v>
      </c>
      <c r="AN427" s="11">
        <v>0</v>
      </c>
      <c r="AO427" s="11">
        <v>0</v>
      </c>
      <c r="AP427" s="11">
        <v>0</v>
      </c>
      <c r="AQ427" s="11">
        <v>0</v>
      </c>
      <c r="AR427" s="11">
        <v>0</v>
      </c>
      <c r="AS427" s="11">
        <v>0</v>
      </c>
      <c r="AT427" s="11">
        <v>1</v>
      </c>
      <c r="AU427" s="11">
        <v>0</v>
      </c>
      <c r="AV427" s="11">
        <v>0</v>
      </c>
      <c r="AW427" s="11">
        <v>0</v>
      </c>
      <c r="AX427" s="11">
        <v>0</v>
      </c>
      <c r="AY427" s="11">
        <v>0</v>
      </c>
      <c r="BA427" s="12" t="s">
        <v>4877</v>
      </c>
      <c r="BB427" s="12">
        <v>0</v>
      </c>
      <c r="BC427" s="9" t="s">
        <v>4878</v>
      </c>
      <c r="BD427" s="12">
        <v>0</v>
      </c>
      <c r="BE427" s="12">
        <v>0</v>
      </c>
      <c r="BF427" s="12">
        <v>0</v>
      </c>
      <c r="BI427" s="12">
        <v>0</v>
      </c>
      <c r="BJ427" s="12">
        <v>0</v>
      </c>
    </row>
    <row r="428" spans="1:62" x14ac:dyDescent="0.15">
      <c r="A428" s="7" t="s">
        <v>3266</v>
      </c>
      <c r="C428" s="7" t="s">
        <v>3464</v>
      </c>
      <c r="D428" s="7" t="s">
        <v>5292</v>
      </c>
      <c r="E428" s="9" t="s">
        <v>4882</v>
      </c>
      <c r="L428" s="10">
        <v>3711300</v>
      </c>
      <c r="M428" s="10">
        <v>718394</v>
      </c>
      <c r="N428" s="11">
        <v>15</v>
      </c>
      <c r="P428" s="7" t="s">
        <v>1087</v>
      </c>
      <c r="Q428" s="9" t="s">
        <v>5311</v>
      </c>
      <c r="S428" s="9" t="s">
        <v>5292</v>
      </c>
      <c r="T428" s="9" t="s">
        <v>8484</v>
      </c>
      <c r="U428" s="12" t="s">
        <v>5019</v>
      </c>
      <c r="V428" s="12" t="s">
        <v>5020</v>
      </c>
      <c r="W428" s="12">
        <v>0</v>
      </c>
      <c r="X428" s="12">
        <v>0</v>
      </c>
      <c r="Y428" s="12">
        <v>0</v>
      </c>
      <c r="Z428" s="11">
        <v>0</v>
      </c>
      <c r="AA428" s="11">
        <v>0</v>
      </c>
      <c r="AB428" s="11">
        <v>0</v>
      </c>
      <c r="AC428" s="11">
        <v>0</v>
      </c>
      <c r="AD428" s="11">
        <v>0</v>
      </c>
      <c r="AE428" s="11">
        <v>1</v>
      </c>
      <c r="AF428" s="11">
        <v>1</v>
      </c>
      <c r="AG428" s="11">
        <v>0</v>
      </c>
      <c r="AH428" s="9" t="s">
        <v>8248</v>
      </c>
      <c r="AI428" s="11">
        <v>2</v>
      </c>
      <c r="AJ428" s="11">
        <v>1</v>
      </c>
      <c r="AK428" s="11">
        <v>1</v>
      </c>
      <c r="AL428" s="11">
        <v>0</v>
      </c>
      <c r="AN428" s="11">
        <v>0</v>
      </c>
      <c r="AO428" s="11">
        <v>0</v>
      </c>
      <c r="AP428" s="11">
        <v>0</v>
      </c>
      <c r="AQ428" s="11">
        <v>0</v>
      </c>
      <c r="AR428" s="11">
        <v>0</v>
      </c>
      <c r="AS428" s="11">
        <v>0</v>
      </c>
      <c r="AT428" s="11">
        <v>1</v>
      </c>
      <c r="AU428" s="11">
        <v>0</v>
      </c>
      <c r="AV428" s="11">
        <v>0</v>
      </c>
      <c r="AW428" s="11">
        <v>0</v>
      </c>
      <c r="AX428" s="11">
        <v>0</v>
      </c>
      <c r="AY428" s="11">
        <v>0</v>
      </c>
      <c r="BA428" s="12" t="s">
        <v>4877</v>
      </c>
      <c r="BB428" s="12">
        <v>0</v>
      </c>
      <c r="BC428" s="9" t="s">
        <v>4878</v>
      </c>
      <c r="BD428" s="12">
        <v>0</v>
      </c>
      <c r="BE428" s="12">
        <v>0</v>
      </c>
      <c r="BF428" s="12">
        <v>0</v>
      </c>
      <c r="BI428" s="12">
        <v>0</v>
      </c>
      <c r="BJ428" s="12">
        <v>0</v>
      </c>
    </row>
    <row r="429" spans="1:62" x14ac:dyDescent="0.15">
      <c r="A429" s="7" t="s">
        <v>3267</v>
      </c>
      <c r="C429" s="7" t="s">
        <v>3268</v>
      </c>
      <c r="D429" s="7" t="s">
        <v>5292</v>
      </c>
      <c r="E429" s="9" t="s">
        <v>4882</v>
      </c>
      <c r="L429" s="10">
        <v>3719880</v>
      </c>
      <c r="M429" s="10">
        <v>726232</v>
      </c>
      <c r="N429" s="11">
        <v>15</v>
      </c>
      <c r="P429" s="7" t="s">
        <v>3269</v>
      </c>
      <c r="Q429" s="9" t="s">
        <v>4854</v>
      </c>
      <c r="R429" s="9" t="s">
        <v>4854</v>
      </c>
      <c r="S429" s="9" t="s">
        <v>5292</v>
      </c>
      <c r="T429" s="9" t="s">
        <v>4797</v>
      </c>
      <c r="U429" s="12" t="s">
        <v>5018</v>
      </c>
      <c r="V429" s="12" t="s">
        <v>5019</v>
      </c>
      <c r="W429" s="12">
        <v>0</v>
      </c>
      <c r="X429" s="12">
        <v>0</v>
      </c>
      <c r="Y429" s="12">
        <v>0</v>
      </c>
      <c r="Z429" s="11">
        <v>0</v>
      </c>
      <c r="AA429" s="11">
        <v>0</v>
      </c>
      <c r="AB429" s="11">
        <v>0</v>
      </c>
      <c r="AC429" s="11">
        <v>0</v>
      </c>
      <c r="AD429" s="11">
        <v>1</v>
      </c>
      <c r="AE429" s="11">
        <v>1</v>
      </c>
      <c r="AF429" s="11">
        <v>0</v>
      </c>
      <c r="AG429" s="11">
        <v>0</v>
      </c>
      <c r="AH429" s="9" t="s">
        <v>4878</v>
      </c>
      <c r="AI429" s="11">
        <v>0</v>
      </c>
      <c r="AJ429" s="11">
        <v>0</v>
      </c>
      <c r="AK429" s="11">
        <v>0</v>
      </c>
      <c r="AL429" s="11">
        <v>0</v>
      </c>
      <c r="AN429" s="11">
        <v>0</v>
      </c>
      <c r="AO429" s="11">
        <v>0</v>
      </c>
      <c r="AP429" s="11">
        <v>0</v>
      </c>
      <c r="AQ429" s="11">
        <v>0</v>
      </c>
      <c r="AR429" s="11">
        <v>0</v>
      </c>
      <c r="AS429" s="11">
        <v>0</v>
      </c>
      <c r="AT429" s="11">
        <v>0</v>
      </c>
      <c r="AU429" s="11">
        <v>0</v>
      </c>
      <c r="AV429" s="11">
        <v>0</v>
      </c>
      <c r="AW429" s="11">
        <v>0</v>
      </c>
      <c r="AX429" s="11">
        <v>1</v>
      </c>
      <c r="AY429" s="11">
        <v>0</v>
      </c>
      <c r="BA429" s="12" t="s">
        <v>4877</v>
      </c>
      <c r="BB429" s="12">
        <v>0</v>
      </c>
      <c r="BC429" s="9" t="s">
        <v>4878</v>
      </c>
      <c r="BD429" s="12">
        <v>0</v>
      </c>
      <c r="BE429" s="12">
        <v>0</v>
      </c>
      <c r="BF429" s="12">
        <v>0</v>
      </c>
      <c r="BI429" s="12">
        <v>0</v>
      </c>
      <c r="BJ429" s="12">
        <v>0</v>
      </c>
    </row>
    <row r="430" spans="1:62" x14ac:dyDescent="0.15">
      <c r="A430" s="7" t="s">
        <v>3270</v>
      </c>
      <c r="C430" s="7" t="s">
        <v>3271</v>
      </c>
      <c r="D430" s="7" t="s">
        <v>5292</v>
      </c>
      <c r="E430" s="9" t="s">
        <v>4882</v>
      </c>
      <c r="L430" s="10">
        <v>3727730</v>
      </c>
      <c r="M430" s="10">
        <v>725886</v>
      </c>
      <c r="N430" s="11">
        <v>15</v>
      </c>
      <c r="P430" s="7" t="s">
        <v>3272</v>
      </c>
      <c r="Q430" s="9" t="s">
        <v>4854</v>
      </c>
      <c r="R430" s="9" t="s">
        <v>4854</v>
      </c>
      <c r="S430" s="9" t="s">
        <v>5292</v>
      </c>
      <c r="T430" s="9" t="s">
        <v>4797</v>
      </c>
      <c r="U430" s="12" t="s">
        <v>5018</v>
      </c>
      <c r="V430" s="12" t="s">
        <v>5019</v>
      </c>
      <c r="W430" s="12">
        <v>0</v>
      </c>
      <c r="X430" s="12">
        <v>0</v>
      </c>
      <c r="Y430" s="12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1</v>
      </c>
      <c r="AE430" s="11">
        <v>1</v>
      </c>
      <c r="AF430" s="11">
        <v>0</v>
      </c>
      <c r="AG430" s="11">
        <v>0</v>
      </c>
      <c r="AH430" s="9" t="s">
        <v>4878</v>
      </c>
      <c r="AI430" s="11">
        <v>0</v>
      </c>
      <c r="AJ430" s="11">
        <v>0</v>
      </c>
      <c r="AK430" s="11">
        <v>0</v>
      </c>
      <c r="AL430" s="11">
        <v>0</v>
      </c>
      <c r="AN430" s="11">
        <v>0</v>
      </c>
      <c r="AO430" s="11">
        <v>0</v>
      </c>
      <c r="AP430" s="11">
        <v>0</v>
      </c>
      <c r="AQ430" s="11">
        <v>0</v>
      </c>
      <c r="AR430" s="11">
        <v>0</v>
      </c>
      <c r="AS430" s="11">
        <v>0</v>
      </c>
      <c r="AT430" s="11">
        <v>0</v>
      </c>
      <c r="AU430" s="11">
        <v>0</v>
      </c>
      <c r="AV430" s="11">
        <v>0</v>
      </c>
      <c r="AW430" s="11">
        <v>0</v>
      </c>
      <c r="AX430" s="11">
        <v>1</v>
      </c>
      <c r="AY430" s="11">
        <v>0</v>
      </c>
      <c r="BA430" s="12" t="s">
        <v>4877</v>
      </c>
      <c r="BB430" s="12">
        <v>0</v>
      </c>
      <c r="BC430" s="9" t="s">
        <v>4878</v>
      </c>
      <c r="BD430" s="12">
        <v>0</v>
      </c>
      <c r="BE430" s="12">
        <v>0</v>
      </c>
      <c r="BF430" s="12">
        <v>0</v>
      </c>
      <c r="BI430" s="12">
        <v>0</v>
      </c>
      <c r="BJ430" s="12">
        <v>0</v>
      </c>
    </row>
    <row r="431" spans="1:62" x14ac:dyDescent="0.15">
      <c r="A431" s="7" t="s">
        <v>3273</v>
      </c>
      <c r="C431" s="7" t="s">
        <v>5269</v>
      </c>
      <c r="D431" s="7" t="s">
        <v>5292</v>
      </c>
      <c r="E431" s="9" t="s">
        <v>4882</v>
      </c>
      <c r="L431" s="10">
        <v>3720200</v>
      </c>
      <c r="M431" s="10">
        <v>752322</v>
      </c>
      <c r="N431" s="11">
        <v>15</v>
      </c>
      <c r="P431" s="7" t="s">
        <v>3272</v>
      </c>
      <c r="Q431" s="9" t="s">
        <v>4854</v>
      </c>
      <c r="R431" s="9" t="s">
        <v>4854</v>
      </c>
      <c r="S431" s="9" t="s">
        <v>5292</v>
      </c>
      <c r="T431" s="9" t="s">
        <v>4891</v>
      </c>
      <c r="U431" s="12" t="s">
        <v>5017</v>
      </c>
      <c r="V431" s="12" t="s">
        <v>5018</v>
      </c>
      <c r="W431" s="12">
        <v>0</v>
      </c>
      <c r="X431" s="12">
        <v>0</v>
      </c>
      <c r="Y431" s="12">
        <v>0</v>
      </c>
      <c r="Z431" s="11">
        <v>0</v>
      </c>
      <c r="AA431" s="11">
        <v>0</v>
      </c>
      <c r="AB431" s="11">
        <v>0</v>
      </c>
      <c r="AC431" s="11">
        <v>1</v>
      </c>
      <c r="AD431" s="11">
        <v>1</v>
      </c>
      <c r="AE431" s="11">
        <v>0</v>
      </c>
      <c r="AF431" s="11">
        <v>0</v>
      </c>
      <c r="AG431" s="11">
        <v>0</v>
      </c>
      <c r="AH431" s="9" t="s">
        <v>4878</v>
      </c>
      <c r="AI431" s="11">
        <v>0</v>
      </c>
      <c r="AJ431" s="11">
        <v>0</v>
      </c>
      <c r="AK431" s="11">
        <v>0</v>
      </c>
      <c r="AL431" s="11">
        <v>0</v>
      </c>
      <c r="AN431" s="11">
        <v>0</v>
      </c>
      <c r="AO431" s="11">
        <v>0</v>
      </c>
      <c r="AP431" s="11">
        <v>0</v>
      </c>
      <c r="AQ431" s="11">
        <v>0</v>
      </c>
      <c r="AR431" s="11">
        <v>0</v>
      </c>
      <c r="AS431" s="11">
        <v>0</v>
      </c>
      <c r="AT431" s="11">
        <v>0</v>
      </c>
      <c r="AU431" s="11">
        <v>0</v>
      </c>
      <c r="AV431" s="11">
        <v>0</v>
      </c>
      <c r="AW431" s="11">
        <v>0</v>
      </c>
      <c r="AX431" s="11">
        <v>1</v>
      </c>
      <c r="AY431" s="11">
        <v>0</v>
      </c>
      <c r="BA431" s="12" t="s">
        <v>4877</v>
      </c>
      <c r="BB431" s="12">
        <v>0</v>
      </c>
      <c r="BC431" s="9" t="s">
        <v>4878</v>
      </c>
      <c r="BD431" s="12">
        <v>0</v>
      </c>
      <c r="BE431" s="12">
        <v>0</v>
      </c>
      <c r="BF431" s="12">
        <v>0</v>
      </c>
      <c r="BI431" s="12">
        <v>0</v>
      </c>
      <c r="BJ431" s="12">
        <v>0</v>
      </c>
    </row>
    <row r="432" spans="1:62" x14ac:dyDescent="0.15">
      <c r="A432" s="7" t="s">
        <v>3274</v>
      </c>
      <c r="C432" s="7" t="s">
        <v>3275</v>
      </c>
      <c r="D432" s="7" t="s">
        <v>5292</v>
      </c>
      <c r="E432" s="9" t="s">
        <v>4882</v>
      </c>
      <c r="L432" s="10">
        <v>3726165</v>
      </c>
      <c r="M432" s="10">
        <v>745204</v>
      </c>
      <c r="N432" s="11">
        <v>15</v>
      </c>
      <c r="P432" s="7" t="s">
        <v>7162</v>
      </c>
      <c r="Q432" s="9" t="s">
        <v>5311</v>
      </c>
      <c r="S432" s="9" t="s">
        <v>5292</v>
      </c>
      <c r="T432" s="9" t="s">
        <v>4902</v>
      </c>
      <c r="U432" s="12" t="s">
        <v>4902</v>
      </c>
      <c r="V432" s="12" t="s">
        <v>4902</v>
      </c>
      <c r="W432" s="12">
        <v>0</v>
      </c>
      <c r="X432" s="12">
        <v>0</v>
      </c>
      <c r="Y432" s="12">
        <v>0</v>
      </c>
      <c r="Z432" s="11">
        <v>0</v>
      </c>
      <c r="AA432" s="11">
        <v>0</v>
      </c>
      <c r="AB432" s="11">
        <v>0</v>
      </c>
      <c r="AC432" s="11">
        <v>0</v>
      </c>
      <c r="AD432" s="11">
        <v>0</v>
      </c>
      <c r="AE432" s="11">
        <v>0</v>
      </c>
      <c r="AF432" s="11">
        <v>0</v>
      </c>
      <c r="AG432" s="11">
        <v>0</v>
      </c>
      <c r="AH432" s="9" t="s">
        <v>1083</v>
      </c>
      <c r="AI432" s="11">
        <v>2</v>
      </c>
      <c r="AJ432" s="11">
        <v>1</v>
      </c>
      <c r="AK432" s="11">
        <v>1</v>
      </c>
      <c r="AL432" s="11">
        <v>0</v>
      </c>
      <c r="AN432" s="11">
        <v>0</v>
      </c>
      <c r="AO432" s="11">
        <v>0</v>
      </c>
      <c r="AP432" s="11">
        <v>0</v>
      </c>
      <c r="AQ432" s="11">
        <v>0</v>
      </c>
      <c r="AR432" s="11">
        <v>0</v>
      </c>
      <c r="AS432" s="11">
        <v>0</v>
      </c>
      <c r="AT432" s="11">
        <v>1</v>
      </c>
      <c r="AU432" s="11">
        <v>0</v>
      </c>
      <c r="AV432" s="11">
        <v>0</v>
      </c>
      <c r="AW432" s="11">
        <v>0</v>
      </c>
      <c r="AX432" s="11">
        <v>0</v>
      </c>
      <c r="AY432" s="11">
        <v>0</v>
      </c>
      <c r="BA432" s="12" t="s">
        <v>4877</v>
      </c>
      <c r="BB432" s="12">
        <v>0</v>
      </c>
      <c r="BC432" s="9" t="s">
        <v>4878</v>
      </c>
      <c r="BD432" s="12">
        <v>0</v>
      </c>
      <c r="BE432" s="12">
        <v>0</v>
      </c>
      <c r="BF432" s="12">
        <v>0</v>
      </c>
      <c r="BI432" s="12">
        <v>0</v>
      </c>
      <c r="BJ432" s="12">
        <v>0</v>
      </c>
    </row>
    <row r="433" spans="1:62" x14ac:dyDescent="0.15">
      <c r="A433" s="7" t="s">
        <v>3276</v>
      </c>
      <c r="C433" s="7" t="s">
        <v>3277</v>
      </c>
      <c r="D433" s="7" t="s">
        <v>5292</v>
      </c>
      <c r="E433" s="9" t="s">
        <v>4882</v>
      </c>
      <c r="L433" s="10">
        <v>3714690</v>
      </c>
      <c r="M433" s="10">
        <v>756552</v>
      </c>
      <c r="N433" s="11">
        <v>15</v>
      </c>
      <c r="P433" s="7" t="s">
        <v>5310</v>
      </c>
      <c r="Q433" s="9" t="s">
        <v>5311</v>
      </c>
      <c r="S433" s="9" t="s">
        <v>5292</v>
      </c>
      <c r="T433" s="9" t="s">
        <v>4891</v>
      </c>
      <c r="U433" s="12" t="s">
        <v>5017</v>
      </c>
      <c r="V433" s="12" t="s">
        <v>5018</v>
      </c>
      <c r="W433" s="12">
        <v>0</v>
      </c>
      <c r="X433" s="12">
        <v>0</v>
      </c>
      <c r="Y433" s="12">
        <v>0</v>
      </c>
      <c r="Z433" s="11">
        <v>0</v>
      </c>
      <c r="AA433" s="11">
        <v>0</v>
      </c>
      <c r="AB433" s="11">
        <v>0</v>
      </c>
      <c r="AC433" s="11">
        <v>1</v>
      </c>
      <c r="AD433" s="11">
        <v>1</v>
      </c>
      <c r="AE433" s="11">
        <v>0</v>
      </c>
      <c r="AF433" s="11">
        <v>0</v>
      </c>
      <c r="AG433" s="11">
        <v>0</v>
      </c>
      <c r="AH433" s="9" t="s">
        <v>4909</v>
      </c>
      <c r="AI433" s="11">
        <v>1</v>
      </c>
      <c r="AJ433" s="11">
        <v>1</v>
      </c>
      <c r="AK433" s="11">
        <v>0</v>
      </c>
      <c r="AL433" s="11">
        <v>0</v>
      </c>
      <c r="AN433" s="11">
        <v>0</v>
      </c>
      <c r="AO433" s="11">
        <v>0</v>
      </c>
      <c r="AP433" s="11">
        <v>0</v>
      </c>
      <c r="AQ433" s="11">
        <v>0</v>
      </c>
      <c r="AR433" s="11">
        <v>0</v>
      </c>
      <c r="AS433" s="11">
        <v>0</v>
      </c>
      <c r="AT433" s="11">
        <v>1</v>
      </c>
      <c r="AU433" s="11">
        <v>0</v>
      </c>
      <c r="AV433" s="11">
        <v>0</v>
      </c>
      <c r="AW433" s="11">
        <v>0</v>
      </c>
      <c r="AX433" s="11">
        <v>0</v>
      </c>
      <c r="AY433" s="11">
        <v>0</v>
      </c>
      <c r="BA433" s="12" t="s">
        <v>4877</v>
      </c>
      <c r="BB433" s="12">
        <v>0</v>
      </c>
      <c r="BC433" s="9" t="s">
        <v>4878</v>
      </c>
      <c r="BD433" s="12">
        <v>0</v>
      </c>
      <c r="BE433" s="12">
        <v>0</v>
      </c>
      <c r="BF433" s="12">
        <v>0</v>
      </c>
      <c r="BI433" s="12">
        <v>0</v>
      </c>
      <c r="BJ433" s="12">
        <v>0</v>
      </c>
    </row>
    <row r="434" spans="1:62" x14ac:dyDescent="0.15">
      <c r="A434" s="7" t="s">
        <v>3278</v>
      </c>
      <c r="C434" s="7" t="s">
        <v>3279</v>
      </c>
      <c r="D434" s="7" t="s">
        <v>5292</v>
      </c>
      <c r="E434" s="9" t="s">
        <v>4882</v>
      </c>
      <c r="L434" s="10">
        <v>3724190</v>
      </c>
      <c r="M434" s="10">
        <v>767295</v>
      </c>
      <c r="N434" s="11">
        <v>15</v>
      </c>
      <c r="P434" s="7" t="s">
        <v>1087</v>
      </c>
      <c r="Q434" s="9" t="s">
        <v>1061</v>
      </c>
      <c r="R434" s="9" t="s">
        <v>1061</v>
      </c>
      <c r="S434" s="9" t="s">
        <v>5292</v>
      </c>
      <c r="T434" s="9" t="s">
        <v>4797</v>
      </c>
      <c r="U434" s="12" t="s">
        <v>5018</v>
      </c>
      <c r="V434" s="12" t="s">
        <v>5019</v>
      </c>
      <c r="W434" s="12">
        <v>0</v>
      </c>
      <c r="X434" s="12">
        <v>0</v>
      </c>
      <c r="Y434" s="12">
        <v>0</v>
      </c>
      <c r="Z434" s="11">
        <v>0</v>
      </c>
      <c r="AA434" s="11">
        <v>0</v>
      </c>
      <c r="AB434" s="11">
        <v>0</v>
      </c>
      <c r="AC434" s="11">
        <v>0</v>
      </c>
      <c r="AD434" s="11">
        <v>1</v>
      </c>
      <c r="AE434" s="11">
        <v>1</v>
      </c>
      <c r="AF434" s="11">
        <v>0</v>
      </c>
      <c r="AG434" s="11">
        <v>0</v>
      </c>
      <c r="AH434" s="9">
        <v>4</v>
      </c>
      <c r="AI434" s="11">
        <v>4</v>
      </c>
      <c r="AJ434" s="11">
        <v>1</v>
      </c>
      <c r="AK434" s="11">
        <v>1</v>
      </c>
      <c r="AL434" s="11">
        <v>1</v>
      </c>
      <c r="AN434" s="11">
        <v>0</v>
      </c>
      <c r="AO434" s="11">
        <v>0</v>
      </c>
      <c r="AP434" s="11">
        <v>0</v>
      </c>
      <c r="AQ434" s="11">
        <v>0</v>
      </c>
      <c r="AR434" s="11">
        <v>0</v>
      </c>
      <c r="AS434" s="11">
        <v>0</v>
      </c>
      <c r="AT434" s="11">
        <v>1</v>
      </c>
      <c r="AU434" s="11">
        <v>0</v>
      </c>
      <c r="AV434" s="11">
        <v>0</v>
      </c>
      <c r="AW434" s="11">
        <v>0</v>
      </c>
      <c r="AX434" s="11">
        <v>0</v>
      </c>
      <c r="AY434" s="11">
        <v>0</v>
      </c>
      <c r="BA434" s="12" t="s">
        <v>4877</v>
      </c>
      <c r="BB434" s="12">
        <v>1</v>
      </c>
      <c r="BC434" s="9" t="s">
        <v>4878</v>
      </c>
      <c r="BD434" s="12">
        <v>5</v>
      </c>
      <c r="BE434" s="12">
        <v>150</v>
      </c>
      <c r="BF434" s="12">
        <v>0</v>
      </c>
      <c r="BI434" s="12">
        <v>0</v>
      </c>
      <c r="BJ434" s="12">
        <v>0</v>
      </c>
    </row>
    <row r="435" spans="1:62" x14ac:dyDescent="0.15">
      <c r="A435" s="7" t="s">
        <v>3280</v>
      </c>
      <c r="C435" s="7" t="s">
        <v>3281</v>
      </c>
      <c r="D435" s="7" t="s">
        <v>5292</v>
      </c>
      <c r="E435" s="9" t="s">
        <v>4882</v>
      </c>
      <c r="L435" s="10">
        <v>3705750</v>
      </c>
      <c r="M435" s="10">
        <v>679336</v>
      </c>
      <c r="N435" s="11">
        <v>15</v>
      </c>
      <c r="O435" s="11" t="s">
        <v>4871</v>
      </c>
      <c r="P435" s="7" t="s">
        <v>4169</v>
      </c>
      <c r="Q435" s="9" t="s">
        <v>712</v>
      </c>
      <c r="R435" s="9" t="s">
        <v>712</v>
      </c>
      <c r="S435" s="9" t="s">
        <v>1125</v>
      </c>
      <c r="T435" s="9" t="s">
        <v>8484</v>
      </c>
      <c r="U435" s="12" t="s">
        <v>5019</v>
      </c>
      <c r="V435" s="12" t="s">
        <v>5020</v>
      </c>
      <c r="W435" s="12">
        <v>0</v>
      </c>
      <c r="X435" s="12">
        <v>0</v>
      </c>
      <c r="Y435" s="12">
        <v>0</v>
      </c>
      <c r="Z435" s="11">
        <v>0</v>
      </c>
      <c r="AA435" s="11">
        <v>0</v>
      </c>
      <c r="AB435" s="11">
        <v>0</v>
      </c>
      <c r="AC435" s="11">
        <v>0</v>
      </c>
      <c r="AD435" s="11">
        <v>0</v>
      </c>
      <c r="AE435" s="11">
        <v>1</v>
      </c>
      <c r="AF435" s="11">
        <v>1</v>
      </c>
      <c r="AG435" s="11">
        <v>0</v>
      </c>
      <c r="AH435" s="9">
        <v>7</v>
      </c>
      <c r="AI435" s="11">
        <v>7</v>
      </c>
      <c r="AJ435" s="11">
        <v>1</v>
      </c>
      <c r="AK435" s="11">
        <v>1</v>
      </c>
      <c r="AL435" s="11">
        <v>1</v>
      </c>
      <c r="AM435" s="11">
        <v>1</v>
      </c>
      <c r="AN435" s="11">
        <v>1</v>
      </c>
      <c r="AO435" s="11">
        <v>0</v>
      </c>
      <c r="AP435" s="11">
        <v>0</v>
      </c>
      <c r="AQ435" s="11">
        <v>1</v>
      </c>
      <c r="AR435" s="11">
        <v>0</v>
      </c>
      <c r="AS435" s="11">
        <v>0</v>
      </c>
      <c r="AT435" s="11">
        <v>1</v>
      </c>
      <c r="AU435" s="11">
        <v>0</v>
      </c>
      <c r="AV435" s="11">
        <v>0</v>
      </c>
      <c r="AW435" s="11">
        <v>0</v>
      </c>
      <c r="AX435" s="11">
        <v>0</v>
      </c>
      <c r="AY435" s="11">
        <v>0</v>
      </c>
      <c r="AZ435" s="12" t="s">
        <v>4170</v>
      </c>
      <c r="BA435" s="12" t="s">
        <v>4911</v>
      </c>
      <c r="BB435" s="12">
        <v>1</v>
      </c>
      <c r="BC435" s="9" t="s">
        <v>4878</v>
      </c>
      <c r="BD435" s="12">
        <v>54</v>
      </c>
      <c r="BE435" s="12">
        <v>350</v>
      </c>
      <c r="BF435" s="12">
        <f>100*100</f>
        <v>10000</v>
      </c>
      <c r="BI435" s="12">
        <v>0</v>
      </c>
      <c r="BJ435" s="12">
        <v>0</v>
      </c>
    </row>
    <row r="436" spans="1:62" x14ac:dyDescent="0.15">
      <c r="A436" s="7" t="s">
        <v>3282</v>
      </c>
      <c r="C436" s="7" t="s">
        <v>3283</v>
      </c>
      <c r="D436" s="7" t="s">
        <v>5292</v>
      </c>
      <c r="E436" s="9" t="s">
        <v>4882</v>
      </c>
      <c r="L436" s="10">
        <v>3705421</v>
      </c>
      <c r="M436" s="10">
        <v>677073</v>
      </c>
      <c r="N436" s="11">
        <v>15</v>
      </c>
      <c r="O436" s="11" t="s">
        <v>4871</v>
      </c>
      <c r="P436" s="7" t="s">
        <v>1087</v>
      </c>
      <c r="Q436" s="9" t="s">
        <v>5311</v>
      </c>
      <c r="S436" s="9" t="s">
        <v>1125</v>
      </c>
      <c r="T436" s="9" t="s">
        <v>4902</v>
      </c>
      <c r="U436" s="12" t="s">
        <v>4902</v>
      </c>
      <c r="V436" s="12" t="s">
        <v>4902</v>
      </c>
      <c r="W436" s="12">
        <v>0</v>
      </c>
      <c r="X436" s="12">
        <v>0</v>
      </c>
      <c r="Y436" s="12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9" t="s">
        <v>8248</v>
      </c>
      <c r="AI436" s="11">
        <v>2</v>
      </c>
      <c r="AJ436" s="11">
        <v>1</v>
      </c>
      <c r="AK436" s="11">
        <v>1</v>
      </c>
      <c r="AL436" s="11">
        <v>0</v>
      </c>
      <c r="AN436" s="11">
        <v>0</v>
      </c>
      <c r="AO436" s="11">
        <v>0</v>
      </c>
      <c r="AP436" s="11">
        <v>0</v>
      </c>
      <c r="AQ436" s="11">
        <v>0</v>
      </c>
      <c r="AR436" s="11">
        <v>0</v>
      </c>
      <c r="AS436" s="11">
        <v>0</v>
      </c>
      <c r="AT436" s="11">
        <v>1</v>
      </c>
      <c r="AU436" s="11">
        <v>0</v>
      </c>
      <c r="AV436" s="11">
        <v>0</v>
      </c>
      <c r="AW436" s="11">
        <v>0</v>
      </c>
      <c r="AX436" s="11">
        <v>0</v>
      </c>
      <c r="AY436" s="11">
        <v>0</v>
      </c>
      <c r="BA436" s="12" t="s">
        <v>4877</v>
      </c>
      <c r="BB436" s="12">
        <v>0</v>
      </c>
      <c r="BC436" s="9" t="s">
        <v>4878</v>
      </c>
      <c r="BD436" s="12">
        <v>0</v>
      </c>
      <c r="BE436" s="12">
        <v>0</v>
      </c>
      <c r="BF436" s="12">
        <v>0</v>
      </c>
      <c r="BI436" s="12">
        <v>0</v>
      </c>
      <c r="BJ436" s="12">
        <v>0</v>
      </c>
    </row>
    <row r="437" spans="1:62" x14ac:dyDescent="0.15">
      <c r="A437" s="7" t="s">
        <v>3284</v>
      </c>
      <c r="C437" s="7" t="s">
        <v>3285</v>
      </c>
      <c r="D437" s="7" t="s">
        <v>5292</v>
      </c>
      <c r="E437" s="9" t="s">
        <v>4882</v>
      </c>
      <c r="L437" s="10">
        <v>3704530</v>
      </c>
      <c r="M437" s="10">
        <v>681400</v>
      </c>
      <c r="N437" s="11">
        <v>15</v>
      </c>
      <c r="O437" s="11" t="s">
        <v>4871</v>
      </c>
      <c r="P437" s="7" t="s">
        <v>5310</v>
      </c>
      <c r="Q437" s="9" t="s">
        <v>1061</v>
      </c>
      <c r="R437" s="9" t="s">
        <v>1061</v>
      </c>
      <c r="S437" s="9" t="s">
        <v>1125</v>
      </c>
      <c r="T437" s="9" t="s">
        <v>4797</v>
      </c>
      <c r="U437" s="12" t="s">
        <v>5018</v>
      </c>
      <c r="V437" s="12" t="s">
        <v>5019</v>
      </c>
      <c r="W437" s="12">
        <v>0</v>
      </c>
      <c r="X437" s="12">
        <v>0</v>
      </c>
      <c r="Y437" s="12">
        <v>0</v>
      </c>
      <c r="Z437" s="11">
        <v>0</v>
      </c>
      <c r="AA437" s="11">
        <v>0</v>
      </c>
      <c r="AB437" s="11">
        <v>0</v>
      </c>
      <c r="AC437" s="11">
        <v>0</v>
      </c>
      <c r="AD437" s="11">
        <v>1</v>
      </c>
      <c r="AE437" s="11">
        <v>1</v>
      </c>
      <c r="AF437" s="11">
        <v>0</v>
      </c>
      <c r="AG437" s="11">
        <v>0</v>
      </c>
      <c r="AH437" s="9">
        <v>1</v>
      </c>
      <c r="AI437" s="11">
        <v>1</v>
      </c>
      <c r="AJ437" s="11">
        <v>1</v>
      </c>
      <c r="AK437" s="11">
        <v>0</v>
      </c>
      <c r="AL437" s="11">
        <v>1</v>
      </c>
      <c r="AN437" s="11">
        <v>0</v>
      </c>
      <c r="AO437" s="11">
        <v>0</v>
      </c>
      <c r="AP437" s="11">
        <v>0</v>
      </c>
      <c r="AQ437" s="11">
        <v>0</v>
      </c>
      <c r="AR437" s="11">
        <v>0</v>
      </c>
      <c r="AS437" s="11">
        <v>0</v>
      </c>
      <c r="AT437" s="11">
        <v>0</v>
      </c>
      <c r="AU437" s="11">
        <v>0</v>
      </c>
      <c r="AV437" s="11">
        <v>0</v>
      </c>
      <c r="AW437" s="11">
        <v>0</v>
      </c>
      <c r="AX437" s="11">
        <v>0</v>
      </c>
      <c r="AY437" s="11">
        <v>0</v>
      </c>
      <c r="BA437" s="12" t="s">
        <v>4877</v>
      </c>
      <c r="BB437" s="12">
        <v>1</v>
      </c>
      <c r="BC437" s="9" t="s">
        <v>4878</v>
      </c>
      <c r="BD437" s="12">
        <v>3</v>
      </c>
      <c r="BE437" s="12">
        <v>300</v>
      </c>
      <c r="BF437" s="12">
        <v>0</v>
      </c>
      <c r="BI437" s="12">
        <v>0</v>
      </c>
      <c r="BJ437" s="12">
        <v>0</v>
      </c>
    </row>
    <row r="438" spans="1:62" x14ac:dyDescent="0.15">
      <c r="A438" s="7" t="s">
        <v>3286</v>
      </c>
      <c r="C438" s="7" t="s">
        <v>3287</v>
      </c>
      <c r="D438" s="7" t="s">
        <v>5292</v>
      </c>
      <c r="E438" s="9" t="s">
        <v>4882</v>
      </c>
      <c r="L438" s="10">
        <v>3703710</v>
      </c>
      <c r="M438" s="10">
        <v>684664</v>
      </c>
      <c r="N438" s="11">
        <v>15</v>
      </c>
      <c r="O438" s="11" t="s">
        <v>4871</v>
      </c>
      <c r="P438" s="7" t="s">
        <v>1087</v>
      </c>
      <c r="Q438" s="9" t="s">
        <v>1061</v>
      </c>
      <c r="R438" s="9" t="s">
        <v>1061</v>
      </c>
      <c r="S438" s="9" t="s">
        <v>1125</v>
      </c>
      <c r="T438" s="9" t="s">
        <v>8484</v>
      </c>
      <c r="U438" s="12" t="s">
        <v>5019</v>
      </c>
      <c r="V438" s="12" t="s">
        <v>5020</v>
      </c>
      <c r="W438" s="12">
        <v>0</v>
      </c>
      <c r="X438" s="12">
        <v>0</v>
      </c>
      <c r="Y438" s="12">
        <v>0</v>
      </c>
      <c r="Z438" s="11">
        <v>0</v>
      </c>
      <c r="AA438" s="11">
        <v>0</v>
      </c>
      <c r="AB438" s="11">
        <v>0</v>
      </c>
      <c r="AC438" s="11">
        <v>0</v>
      </c>
      <c r="AD438" s="11">
        <v>0</v>
      </c>
      <c r="AE438" s="11">
        <v>1</v>
      </c>
      <c r="AF438" s="11">
        <v>1</v>
      </c>
      <c r="AG438" s="11">
        <v>0</v>
      </c>
      <c r="AH438" s="9">
        <v>2</v>
      </c>
      <c r="AI438" s="11">
        <v>2</v>
      </c>
      <c r="AJ438" s="11">
        <v>1</v>
      </c>
      <c r="AK438" s="11">
        <v>1</v>
      </c>
      <c r="AL438" s="11">
        <v>1</v>
      </c>
      <c r="AN438" s="11">
        <v>0</v>
      </c>
      <c r="AO438" s="11">
        <v>0</v>
      </c>
      <c r="AP438" s="11">
        <v>0</v>
      </c>
      <c r="AQ438" s="11">
        <v>0</v>
      </c>
      <c r="AR438" s="11">
        <v>0</v>
      </c>
      <c r="AS438" s="11">
        <v>0</v>
      </c>
      <c r="AT438" s="11">
        <v>1</v>
      </c>
      <c r="AU438" s="11">
        <v>0</v>
      </c>
      <c r="AV438" s="11">
        <v>0</v>
      </c>
      <c r="AW438" s="11">
        <v>0</v>
      </c>
      <c r="AX438" s="11">
        <v>0</v>
      </c>
      <c r="AY438" s="11">
        <v>0</v>
      </c>
      <c r="BA438" s="12" t="s">
        <v>4877</v>
      </c>
      <c r="BB438" s="12">
        <v>0</v>
      </c>
      <c r="BC438" s="9" t="s">
        <v>4878</v>
      </c>
      <c r="BD438" s="12">
        <v>12</v>
      </c>
      <c r="BE438" s="12">
        <v>0</v>
      </c>
      <c r="BF438" s="12">
        <f>VLOOKUP(A438,'[1]Phillips 1970'!H$1:AC$65536,22,FALSE)</f>
        <v>2238.8933666756225</v>
      </c>
      <c r="BI438">
        <f>BD438/BF438</f>
        <v>5.3597907692307691E-3</v>
      </c>
      <c r="BJ438">
        <f>BI438*10000</f>
        <v>53.597907692307693</v>
      </c>
    </row>
    <row r="439" spans="1:62" x14ac:dyDescent="0.15">
      <c r="A439" s="7" t="s">
        <v>3288</v>
      </c>
      <c r="C439" s="7" t="s">
        <v>3289</v>
      </c>
      <c r="D439" s="7" t="s">
        <v>5292</v>
      </c>
      <c r="E439" s="9" t="s">
        <v>4882</v>
      </c>
      <c r="L439" s="10">
        <v>3704760</v>
      </c>
      <c r="M439" s="10">
        <v>684088</v>
      </c>
      <c r="N439" s="11">
        <v>15</v>
      </c>
      <c r="O439" s="11" t="s">
        <v>4871</v>
      </c>
      <c r="P439" s="7" t="s">
        <v>718</v>
      </c>
      <c r="Q439" s="9" t="s">
        <v>5294</v>
      </c>
      <c r="S439" s="9" t="s">
        <v>1125</v>
      </c>
      <c r="T439" s="9" t="s">
        <v>4891</v>
      </c>
      <c r="U439" s="12" t="s">
        <v>5017</v>
      </c>
      <c r="V439" s="12" t="s">
        <v>5018</v>
      </c>
      <c r="W439" s="12">
        <v>0</v>
      </c>
      <c r="X439" s="12">
        <v>0</v>
      </c>
      <c r="Y439" s="12">
        <v>0</v>
      </c>
      <c r="Z439" s="11">
        <v>0</v>
      </c>
      <c r="AA439" s="11">
        <v>0</v>
      </c>
      <c r="AB439" s="11">
        <v>0</v>
      </c>
      <c r="AC439" s="11">
        <v>1</v>
      </c>
      <c r="AD439" s="11">
        <v>1</v>
      </c>
      <c r="AE439" s="11">
        <v>0</v>
      </c>
      <c r="AF439" s="11">
        <v>0</v>
      </c>
      <c r="AG439" s="11">
        <v>0</v>
      </c>
      <c r="AH439" s="9" t="s">
        <v>4878</v>
      </c>
      <c r="AI439" s="11">
        <v>0</v>
      </c>
      <c r="AJ439" s="11">
        <v>0</v>
      </c>
      <c r="AK439" s="11">
        <v>0</v>
      </c>
      <c r="AL439" s="11">
        <v>0</v>
      </c>
      <c r="AN439" s="11">
        <v>0</v>
      </c>
      <c r="AO439" s="11">
        <v>0</v>
      </c>
      <c r="AP439" s="11">
        <v>0</v>
      </c>
      <c r="AQ439" s="11">
        <v>0</v>
      </c>
      <c r="AR439" s="11">
        <v>0</v>
      </c>
      <c r="AS439" s="11">
        <v>0</v>
      </c>
      <c r="AT439" s="11">
        <v>0</v>
      </c>
      <c r="AU439" s="11">
        <v>0</v>
      </c>
      <c r="AV439" s="11">
        <v>0</v>
      </c>
      <c r="AW439" s="11">
        <v>0</v>
      </c>
      <c r="AX439" s="11">
        <v>0</v>
      </c>
      <c r="AY439" s="11">
        <v>0</v>
      </c>
      <c r="BA439" s="12" t="s">
        <v>4877</v>
      </c>
      <c r="BB439" s="12">
        <v>0</v>
      </c>
      <c r="BC439" s="9" t="s">
        <v>4878</v>
      </c>
      <c r="BD439" s="12">
        <v>0</v>
      </c>
      <c r="BE439" s="12">
        <v>0</v>
      </c>
      <c r="BF439" s="12">
        <v>0</v>
      </c>
      <c r="BI439" s="12">
        <v>0</v>
      </c>
      <c r="BJ439" s="12">
        <v>0</v>
      </c>
    </row>
    <row r="440" spans="1:62" x14ac:dyDescent="0.15">
      <c r="A440" s="7" t="s">
        <v>3290</v>
      </c>
      <c r="C440" s="7" t="s">
        <v>3291</v>
      </c>
      <c r="D440" s="7" t="s">
        <v>5292</v>
      </c>
      <c r="E440" s="9" t="s">
        <v>4882</v>
      </c>
      <c r="L440" s="10">
        <v>3686170</v>
      </c>
      <c r="M440" s="10">
        <v>676824</v>
      </c>
      <c r="N440" s="11">
        <v>15</v>
      </c>
      <c r="O440" s="11" t="s">
        <v>4871</v>
      </c>
      <c r="P440" s="7" t="s">
        <v>929</v>
      </c>
      <c r="Q440" s="9" t="s">
        <v>712</v>
      </c>
      <c r="R440" s="9" t="s">
        <v>712</v>
      </c>
      <c r="S440" s="9" t="s">
        <v>1125</v>
      </c>
      <c r="T440" s="9" t="s">
        <v>4875</v>
      </c>
      <c r="U440" s="12" t="s">
        <v>5020</v>
      </c>
      <c r="V440" s="12" t="s">
        <v>5021</v>
      </c>
      <c r="W440" s="12">
        <v>0</v>
      </c>
      <c r="X440" s="12">
        <v>0</v>
      </c>
      <c r="Y440" s="12">
        <v>0</v>
      </c>
      <c r="Z440" s="11">
        <v>0</v>
      </c>
      <c r="AA440" s="11">
        <v>0</v>
      </c>
      <c r="AB440" s="11">
        <v>0</v>
      </c>
      <c r="AC440" s="11">
        <v>0</v>
      </c>
      <c r="AD440" s="11">
        <v>0</v>
      </c>
      <c r="AE440" s="11">
        <v>0</v>
      </c>
      <c r="AF440" s="11">
        <v>1</v>
      </c>
      <c r="AG440" s="11">
        <v>1</v>
      </c>
      <c r="AH440" s="9">
        <v>3</v>
      </c>
      <c r="AI440" s="11">
        <v>3</v>
      </c>
      <c r="AJ440" s="11">
        <v>1</v>
      </c>
      <c r="AK440" s="11">
        <v>1</v>
      </c>
      <c r="AL440" s="11">
        <v>1</v>
      </c>
      <c r="AN440" s="11">
        <v>1</v>
      </c>
      <c r="AO440" s="11">
        <v>0</v>
      </c>
      <c r="AP440" s="11">
        <v>0</v>
      </c>
      <c r="AQ440" s="11">
        <v>1</v>
      </c>
      <c r="AR440" s="11">
        <v>0</v>
      </c>
      <c r="AS440" s="11">
        <v>0</v>
      </c>
      <c r="AT440" s="11">
        <v>1</v>
      </c>
      <c r="AU440" s="11">
        <v>0</v>
      </c>
      <c r="AV440" s="11">
        <v>0</v>
      </c>
      <c r="AW440" s="11">
        <v>0</v>
      </c>
      <c r="AX440" s="11">
        <v>0</v>
      </c>
      <c r="AY440" s="11">
        <v>0</v>
      </c>
      <c r="BA440" s="12" t="s">
        <v>4877</v>
      </c>
      <c r="BB440" s="12">
        <v>1</v>
      </c>
      <c r="BC440" s="9" t="s">
        <v>4878</v>
      </c>
      <c r="BD440" s="12">
        <v>15</v>
      </c>
      <c r="BE440" s="12">
        <v>300</v>
      </c>
      <c r="BF440" s="12">
        <f>VLOOKUP(A440,'[1]Phillips 1970'!H$1:AC$65536,22,FALSE)</f>
        <v>7104.1808750284172</v>
      </c>
      <c r="BI440">
        <f>BD440/BF440</f>
        <v>2.1114327272727272E-3</v>
      </c>
      <c r="BJ440">
        <f>BI440*10000</f>
        <v>21.114327272727273</v>
      </c>
    </row>
    <row r="441" spans="1:62" x14ac:dyDescent="0.15">
      <c r="A441" s="7" t="s">
        <v>3292</v>
      </c>
      <c r="C441" s="7" t="s">
        <v>3293</v>
      </c>
      <c r="D441" s="7" t="s">
        <v>5292</v>
      </c>
      <c r="E441" s="9" t="s">
        <v>4882</v>
      </c>
      <c r="L441" s="10">
        <v>3691360</v>
      </c>
      <c r="M441" s="10">
        <v>681276</v>
      </c>
      <c r="N441" s="11">
        <v>15</v>
      </c>
      <c r="O441" s="11" t="s">
        <v>4871</v>
      </c>
      <c r="P441" s="7" t="s">
        <v>910</v>
      </c>
      <c r="Q441" s="9" t="s">
        <v>1112</v>
      </c>
      <c r="S441" s="9" t="s">
        <v>1125</v>
      </c>
      <c r="T441" s="9" t="s">
        <v>4902</v>
      </c>
      <c r="U441" s="12" t="s">
        <v>4902</v>
      </c>
      <c r="V441" s="12" t="s">
        <v>4902</v>
      </c>
      <c r="W441" s="12">
        <v>0</v>
      </c>
      <c r="X441" s="12">
        <v>0</v>
      </c>
      <c r="Y441" s="12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9" t="s">
        <v>4909</v>
      </c>
      <c r="AI441" s="11">
        <v>1</v>
      </c>
      <c r="AJ441" s="11">
        <v>1</v>
      </c>
      <c r="AK441" s="11">
        <v>0</v>
      </c>
      <c r="AL441" s="11">
        <v>0</v>
      </c>
      <c r="AN441" s="11">
        <v>0</v>
      </c>
      <c r="AO441" s="11">
        <v>0</v>
      </c>
      <c r="AP441" s="11">
        <v>0</v>
      </c>
      <c r="AQ441" s="11">
        <v>0</v>
      </c>
      <c r="AR441" s="11">
        <v>0</v>
      </c>
      <c r="AS441" s="11">
        <v>0</v>
      </c>
      <c r="AT441" s="11">
        <v>1</v>
      </c>
      <c r="AU441" s="11">
        <v>0</v>
      </c>
      <c r="AV441" s="11">
        <v>0</v>
      </c>
      <c r="AW441" s="11">
        <v>0</v>
      </c>
      <c r="AX441" s="11">
        <v>0</v>
      </c>
      <c r="AY441" s="11">
        <v>0</v>
      </c>
      <c r="BA441" s="12" t="s">
        <v>4877</v>
      </c>
      <c r="BB441" s="12">
        <v>0</v>
      </c>
      <c r="BC441" s="9" t="s">
        <v>4878</v>
      </c>
      <c r="BD441" s="12">
        <v>0</v>
      </c>
      <c r="BE441" s="12">
        <v>0</v>
      </c>
      <c r="BF441" s="12">
        <f>VLOOKUP(A441,'[1]Phillips 1970'!H$1:AC$65536,22,FALSE)</f>
        <v>13526.328755613566</v>
      </c>
      <c r="BI441" s="12">
        <v>0</v>
      </c>
      <c r="BJ441" s="12">
        <v>0</v>
      </c>
    </row>
    <row r="442" spans="1:62" x14ac:dyDescent="0.15">
      <c r="A442" s="7" t="s">
        <v>3294</v>
      </c>
      <c r="C442" s="7" t="s">
        <v>3295</v>
      </c>
      <c r="D442" s="7" t="s">
        <v>5292</v>
      </c>
      <c r="E442" s="9" t="s">
        <v>4882</v>
      </c>
      <c r="L442" s="10">
        <v>3699360</v>
      </c>
      <c r="M442" s="10">
        <v>696616</v>
      </c>
      <c r="N442" s="11">
        <v>15</v>
      </c>
      <c r="O442" s="11" t="s">
        <v>4871</v>
      </c>
      <c r="P442" s="7" t="s">
        <v>8044</v>
      </c>
      <c r="Q442" s="9" t="s">
        <v>712</v>
      </c>
      <c r="R442" s="9" t="s">
        <v>712</v>
      </c>
      <c r="S442" s="9" t="s">
        <v>1125</v>
      </c>
      <c r="T442" s="9" t="s">
        <v>8484</v>
      </c>
      <c r="U442" s="12" t="s">
        <v>5019</v>
      </c>
      <c r="V442" s="12" t="s">
        <v>5020</v>
      </c>
      <c r="W442" s="12">
        <v>0</v>
      </c>
      <c r="X442" s="12">
        <v>0</v>
      </c>
      <c r="Y442" s="12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1</v>
      </c>
      <c r="AF442" s="11">
        <v>1</v>
      </c>
      <c r="AG442" s="11">
        <v>0</v>
      </c>
      <c r="AH442" s="9">
        <v>5</v>
      </c>
      <c r="AI442" s="11">
        <v>5</v>
      </c>
      <c r="AJ442" s="11">
        <v>1</v>
      </c>
      <c r="AK442" s="11">
        <v>1</v>
      </c>
      <c r="AL442" s="11">
        <v>1</v>
      </c>
      <c r="AM442" s="11">
        <v>1</v>
      </c>
      <c r="AN442" s="11">
        <v>1</v>
      </c>
      <c r="AO442" s="11">
        <v>0</v>
      </c>
      <c r="AP442" s="11">
        <v>0</v>
      </c>
      <c r="AQ442" s="11">
        <v>0</v>
      </c>
      <c r="AR442" s="11">
        <v>0</v>
      </c>
      <c r="AS442" s="11">
        <v>0</v>
      </c>
      <c r="AT442" s="11">
        <v>1</v>
      </c>
      <c r="AU442" s="11">
        <v>0</v>
      </c>
      <c r="AV442" s="11">
        <v>0</v>
      </c>
      <c r="AW442" s="11">
        <v>0</v>
      </c>
      <c r="AX442" s="11">
        <v>0</v>
      </c>
      <c r="AY442" s="11">
        <v>0</v>
      </c>
      <c r="BA442" s="12" t="s">
        <v>4877</v>
      </c>
      <c r="BB442" s="12">
        <v>1</v>
      </c>
      <c r="BC442" s="9" t="s">
        <v>4878</v>
      </c>
      <c r="BD442" s="12">
        <v>31</v>
      </c>
      <c r="BE442" s="12">
        <v>300</v>
      </c>
      <c r="BF442" s="12">
        <v>0</v>
      </c>
      <c r="BI442" s="12">
        <v>0</v>
      </c>
      <c r="BJ442" s="12">
        <v>0</v>
      </c>
    </row>
    <row r="443" spans="1:62" x14ac:dyDescent="0.15">
      <c r="A443" s="7" t="s">
        <v>3296</v>
      </c>
      <c r="C443" s="7" t="s">
        <v>3297</v>
      </c>
      <c r="D443" s="7" t="s">
        <v>5292</v>
      </c>
      <c r="E443" s="9" t="s">
        <v>4882</v>
      </c>
      <c r="L443" s="10">
        <v>3704450</v>
      </c>
      <c r="M443" s="10">
        <v>687779</v>
      </c>
      <c r="N443" s="11">
        <v>15</v>
      </c>
      <c r="O443" s="11" t="s">
        <v>4871</v>
      </c>
      <c r="P443" s="7" t="s">
        <v>5310</v>
      </c>
      <c r="Q443" s="9" t="s">
        <v>1061</v>
      </c>
      <c r="R443" s="9" t="s">
        <v>1061</v>
      </c>
      <c r="S443" s="9" t="s">
        <v>1125</v>
      </c>
      <c r="T443" s="9" t="s">
        <v>8484</v>
      </c>
      <c r="U443" s="12" t="s">
        <v>5019</v>
      </c>
      <c r="V443" s="12" t="s">
        <v>5020</v>
      </c>
      <c r="W443" s="12">
        <v>0</v>
      </c>
      <c r="X443" s="12">
        <v>0</v>
      </c>
      <c r="Y443" s="12">
        <v>0</v>
      </c>
      <c r="Z443" s="11">
        <v>0</v>
      </c>
      <c r="AA443" s="11">
        <v>0</v>
      </c>
      <c r="AB443" s="11">
        <v>0</v>
      </c>
      <c r="AC443" s="11">
        <v>0</v>
      </c>
      <c r="AD443" s="11">
        <v>0</v>
      </c>
      <c r="AE443" s="11">
        <v>1</v>
      </c>
      <c r="AF443" s="11">
        <v>1</v>
      </c>
      <c r="AG443" s="11">
        <v>0</v>
      </c>
      <c r="AH443" s="9">
        <v>2</v>
      </c>
      <c r="AI443" s="11">
        <v>2</v>
      </c>
      <c r="AJ443" s="11">
        <v>1</v>
      </c>
      <c r="AK443" s="11">
        <v>0</v>
      </c>
      <c r="AL443" s="11">
        <v>1</v>
      </c>
      <c r="AN443" s="11">
        <v>0</v>
      </c>
      <c r="AO443" s="11">
        <v>0</v>
      </c>
      <c r="AP443" s="11">
        <v>0</v>
      </c>
      <c r="AQ443" s="11">
        <v>0</v>
      </c>
      <c r="AR443" s="11">
        <v>0</v>
      </c>
      <c r="AS443" s="11">
        <v>0</v>
      </c>
      <c r="AT443" s="11">
        <v>1</v>
      </c>
      <c r="AU443" s="11">
        <v>0</v>
      </c>
      <c r="AV443" s="11">
        <v>0</v>
      </c>
      <c r="AW443" s="11">
        <v>0</v>
      </c>
      <c r="AX443" s="11">
        <v>0</v>
      </c>
      <c r="AY443" s="11">
        <v>0</v>
      </c>
      <c r="BA443" s="12" t="s">
        <v>4877</v>
      </c>
      <c r="BB443" s="12">
        <v>0</v>
      </c>
      <c r="BC443" s="9" t="s">
        <v>4878</v>
      </c>
      <c r="BD443" s="12">
        <v>0</v>
      </c>
      <c r="BE443" s="12">
        <v>0</v>
      </c>
      <c r="BF443" s="12">
        <v>0</v>
      </c>
      <c r="BI443" s="12">
        <v>0</v>
      </c>
      <c r="BJ443" s="12">
        <v>0</v>
      </c>
    </row>
    <row r="444" spans="1:62" x14ac:dyDescent="0.15">
      <c r="A444" s="7" t="s">
        <v>3298</v>
      </c>
      <c r="C444" s="7" t="s">
        <v>3299</v>
      </c>
      <c r="D444" s="7" t="s">
        <v>5292</v>
      </c>
      <c r="E444" s="9" t="s">
        <v>4882</v>
      </c>
      <c r="L444" s="10">
        <v>3697740</v>
      </c>
      <c r="M444" s="10">
        <v>693504</v>
      </c>
      <c r="N444" s="11">
        <v>15</v>
      </c>
      <c r="O444" s="11" t="s">
        <v>4871</v>
      </c>
      <c r="P444" s="7" t="s">
        <v>1087</v>
      </c>
      <c r="Q444" s="9" t="s">
        <v>1061</v>
      </c>
      <c r="R444" s="9" t="s">
        <v>1061</v>
      </c>
      <c r="S444" s="9" t="s">
        <v>1125</v>
      </c>
      <c r="T444" s="9" t="s">
        <v>4875</v>
      </c>
      <c r="U444" s="12" t="s">
        <v>5020</v>
      </c>
      <c r="V444" s="12" t="s">
        <v>5021</v>
      </c>
      <c r="W444" s="12">
        <v>0</v>
      </c>
      <c r="X444" s="12">
        <v>0</v>
      </c>
      <c r="Y444" s="12">
        <v>0</v>
      </c>
      <c r="Z444" s="11">
        <v>0</v>
      </c>
      <c r="AA444" s="11">
        <v>0</v>
      </c>
      <c r="AB444" s="11">
        <v>0</v>
      </c>
      <c r="AC444" s="11">
        <v>0</v>
      </c>
      <c r="AD444" s="11">
        <v>0</v>
      </c>
      <c r="AE444" s="11">
        <v>0</v>
      </c>
      <c r="AF444" s="11">
        <v>1</v>
      </c>
      <c r="AG444" s="11">
        <v>1</v>
      </c>
      <c r="AH444" s="9" t="s">
        <v>8248</v>
      </c>
      <c r="AI444" s="11">
        <v>2</v>
      </c>
      <c r="AJ444" s="11">
        <v>1</v>
      </c>
      <c r="AK444" s="11">
        <v>1</v>
      </c>
      <c r="AL444" s="11">
        <v>1</v>
      </c>
      <c r="AN444" s="11">
        <v>0</v>
      </c>
      <c r="AO444" s="11">
        <v>0</v>
      </c>
      <c r="AP444" s="11">
        <v>0</v>
      </c>
      <c r="AQ444" s="11">
        <v>0</v>
      </c>
      <c r="AR444" s="11">
        <v>0</v>
      </c>
      <c r="AS444" s="11">
        <v>0</v>
      </c>
      <c r="AT444" s="11">
        <v>1</v>
      </c>
      <c r="AU444" s="11">
        <v>0</v>
      </c>
      <c r="AV444" s="11">
        <v>0</v>
      </c>
      <c r="AW444" s="11">
        <v>0</v>
      </c>
      <c r="AX444" s="11">
        <v>0</v>
      </c>
      <c r="AY444" s="11">
        <v>0</v>
      </c>
      <c r="BA444" s="12" t="s">
        <v>4877</v>
      </c>
      <c r="BB444" s="12">
        <v>1</v>
      </c>
      <c r="BC444" s="9" t="s">
        <v>4878</v>
      </c>
      <c r="BD444" s="12">
        <v>6</v>
      </c>
      <c r="BE444" s="12">
        <v>150</v>
      </c>
      <c r="BF444" s="12">
        <f>VLOOKUP(A444,'[1]Phillips 1970'!H$1:AC$65536,22,FALSE)</f>
        <v>30434.239700130522</v>
      </c>
      <c r="BI444">
        <f>BD444/BF444</f>
        <v>1.9714637392352101E-4</v>
      </c>
      <c r="BJ444">
        <f>BI444*10000</f>
        <v>1.9714637392352101</v>
      </c>
    </row>
    <row r="445" spans="1:62" x14ac:dyDescent="0.15">
      <c r="A445" s="7" t="s">
        <v>3300</v>
      </c>
      <c r="C445" s="7" t="s">
        <v>3301</v>
      </c>
      <c r="D445" s="7" t="s">
        <v>5292</v>
      </c>
      <c r="E445" s="9" t="s">
        <v>4882</v>
      </c>
      <c r="L445" s="10">
        <v>3698070</v>
      </c>
      <c r="M445" s="10">
        <v>700945</v>
      </c>
      <c r="N445" s="11">
        <v>15</v>
      </c>
      <c r="O445" s="11" t="s">
        <v>4871</v>
      </c>
      <c r="P445" s="7" t="s">
        <v>6243</v>
      </c>
      <c r="Q445" s="9" t="s">
        <v>5311</v>
      </c>
      <c r="S445" s="9" t="s">
        <v>1125</v>
      </c>
      <c r="T445" s="9" t="s">
        <v>4902</v>
      </c>
      <c r="U445" s="12" t="s">
        <v>4902</v>
      </c>
      <c r="V445" s="12" t="s">
        <v>4902</v>
      </c>
      <c r="W445" s="12">
        <v>0</v>
      </c>
      <c r="X445" s="12">
        <v>0</v>
      </c>
      <c r="Y445" s="12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9" t="s">
        <v>8248</v>
      </c>
      <c r="AI445" s="11">
        <v>2</v>
      </c>
      <c r="AJ445" s="11">
        <v>1</v>
      </c>
      <c r="AK445" s="11">
        <v>1</v>
      </c>
      <c r="AL445" s="11">
        <v>1</v>
      </c>
      <c r="AN445" s="11">
        <v>0</v>
      </c>
      <c r="AO445" s="11">
        <v>0</v>
      </c>
      <c r="AP445" s="11">
        <v>0</v>
      </c>
      <c r="AQ445" s="11">
        <v>1</v>
      </c>
      <c r="AR445" s="11">
        <v>0</v>
      </c>
      <c r="AS445" s="11">
        <v>0</v>
      </c>
      <c r="AT445" s="11">
        <v>1</v>
      </c>
      <c r="AU445" s="11">
        <v>0</v>
      </c>
      <c r="AV445" s="11">
        <v>0</v>
      </c>
      <c r="AW445" s="11">
        <v>0</v>
      </c>
      <c r="AX445" s="11">
        <v>0</v>
      </c>
      <c r="AY445" s="11">
        <v>0</v>
      </c>
      <c r="BA445" s="12" t="s">
        <v>4877</v>
      </c>
      <c r="BB445" s="12">
        <v>1</v>
      </c>
      <c r="BC445" s="9" t="s">
        <v>4878</v>
      </c>
      <c r="BD445" s="12">
        <v>0</v>
      </c>
      <c r="BE445" s="12">
        <v>0</v>
      </c>
      <c r="BF445" s="12">
        <v>0</v>
      </c>
      <c r="BI445" s="12">
        <v>0</v>
      </c>
      <c r="BJ445" s="12">
        <v>0</v>
      </c>
    </row>
    <row r="446" spans="1:62" x14ac:dyDescent="0.15">
      <c r="A446" s="7" t="s">
        <v>3302</v>
      </c>
      <c r="C446" s="7" t="s">
        <v>3303</v>
      </c>
      <c r="D446" s="7" t="s">
        <v>5292</v>
      </c>
      <c r="E446" s="9" t="s">
        <v>4882</v>
      </c>
      <c r="L446" s="10">
        <v>3695720</v>
      </c>
      <c r="M446" s="10">
        <v>701359</v>
      </c>
      <c r="N446" s="11">
        <v>15</v>
      </c>
      <c r="O446" s="11" t="s">
        <v>4871</v>
      </c>
      <c r="P446" s="7" t="s">
        <v>5310</v>
      </c>
      <c r="Q446" s="9" t="s">
        <v>1061</v>
      </c>
      <c r="R446" s="9" t="s">
        <v>1061</v>
      </c>
      <c r="S446" s="9" t="s">
        <v>1125</v>
      </c>
      <c r="T446" s="9" t="s">
        <v>4797</v>
      </c>
      <c r="U446" s="12" t="s">
        <v>5018</v>
      </c>
      <c r="V446" s="12" t="s">
        <v>5019</v>
      </c>
      <c r="W446" s="12">
        <v>0</v>
      </c>
      <c r="X446" s="12">
        <v>0</v>
      </c>
      <c r="Y446" s="12">
        <v>0</v>
      </c>
      <c r="Z446" s="11">
        <v>0</v>
      </c>
      <c r="AA446" s="11">
        <v>0</v>
      </c>
      <c r="AB446" s="11">
        <v>0</v>
      </c>
      <c r="AC446" s="11">
        <v>0</v>
      </c>
      <c r="AD446" s="11">
        <v>1</v>
      </c>
      <c r="AE446" s="11">
        <v>1</v>
      </c>
      <c r="AF446" s="11">
        <v>0</v>
      </c>
      <c r="AG446" s="11">
        <v>0</v>
      </c>
      <c r="AH446" s="9">
        <v>1</v>
      </c>
      <c r="AI446" s="11">
        <v>1</v>
      </c>
      <c r="AJ446" s="11">
        <v>1</v>
      </c>
      <c r="AK446" s="11">
        <v>0</v>
      </c>
      <c r="AL446" s="11">
        <v>1</v>
      </c>
      <c r="AN446" s="11">
        <v>0</v>
      </c>
      <c r="AO446" s="11">
        <v>0</v>
      </c>
      <c r="AP446" s="11">
        <v>0</v>
      </c>
      <c r="AQ446" s="11">
        <v>0</v>
      </c>
      <c r="AR446" s="11">
        <v>0</v>
      </c>
      <c r="AS446" s="11">
        <v>0</v>
      </c>
      <c r="AT446" s="11">
        <v>0</v>
      </c>
      <c r="AU446" s="11">
        <v>0</v>
      </c>
      <c r="AV446" s="11">
        <v>0</v>
      </c>
      <c r="AW446" s="11">
        <v>0</v>
      </c>
      <c r="AX446" s="11">
        <v>0</v>
      </c>
      <c r="AY446" s="11">
        <v>0</v>
      </c>
      <c r="BA446" s="12" t="s">
        <v>4877</v>
      </c>
      <c r="BB446" s="12">
        <v>1</v>
      </c>
      <c r="BC446" s="9" t="s">
        <v>4878</v>
      </c>
      <c r="BD446" s="12">
        <v>5</v>
      </c>
      <c r="BE446" s="12">
        <v>225</v>
      </c>
      <c r="BF446" s="12">
        <f>VLOOKUP(A446,'[1]Phillips 1970'!H$1:AC$65536,22,FALSE)</f>
        <v>7608.5599250326304</v>
      </c>
      <c r="BI446">
        <f>BD446/BF446</f>
        <v>6.5715457974507006E-4</v>
      </c>
      <c r="BJ446">
        <f>BI446*10000</f>
        <v>6.5715457974507006</v>
      </c>
    </row>
    <row r="447" spans="1:62" x14ac:dyDescent="0.15">
      <c r="A447" s="7" t="s">
        <v>3304</v>
      </c>
      <c r="C447" s="7" t="s">
        <v>3305</v>
      </c>
      <c r="D447" s="7" t="s">
        <v>5292</v>
      </c>
      <c r="E447" s="9" t="s">
        <v>4882</v>
      </c>
      <c r="L447" s="10">
        <v>3682620</v>
      </c>
      <c r="M447" s="10">
        <v>696415</v>
      </c>
      <c r="N447" s="11">
        <v>15</v>
      </c>
      <c r="O447" s="11" t="s">
        <v>4871</v>
      </c>
      <c r="P447" s="7" t="s">
        <v>1087</v>
      </c>
      <c r="Q447" s="9" t="s">
        <v>1061</v>
      </c>
      <c r="R447" s="9" t="s">
        <v>1061</v>
      </c>
      <c r="S447" s="9" t="s">
        <v>1125</v>
      </c>
      <c r="T447" s="9" t="s">
        <v>8484</v>
      </c>
      <c r="U447" s="12" t="s">
        <v>5019</v>
      </c>
      <c r="V447" s="12" t="s">
        <v>5020</v>
      </c>
      <c r="W447" s="12">
        <v>0</v>
      </c>
      <c r="X447" s="12">
        <v>0</v>
      </c>
      <c r="Y447" s="12">
        <v>0</v>
      </c>
      <c r="Z447" s="11">
        <v>0</v>
      </c>
      <c r="AA447" s="11">
        <v>0</v>
      </c>
      <c r="AB447" s="11">
        <v>0</v>
      </c>
      <c r="AC447" s="11">
        <v>0</v>
      </c>
      <c r="AD447" s="11">
        <v>0</v>
      </c>
      <c r="AE447" s="11">
        <v>1</v>
      </c>
      <c r="AF447" s="11">
        <v>1</v>
      </c>
      <c r="AG447" s="11">
        <v>0</v>
      </c>
      <c r="AH447" s="9">
        <v>2</v>
      </c>
      <c r="AI447" s="11">
        <v>2</v>
      </c>
      <c r="AJ447" s="11">
        <v>1</v>
      </c>
      <c r="AK447" s="11">
        <v>1</v>
      </c>
      <c r="AL447" s="11">
        <v>1</v>
      </c>
      <c r="AN447" s="11">
        <v>0</v>
      </c>
      <c r="AO447" s="11">
        <v>0</v>
      </c>
      <c r="AP447" s="11">
        <v>0</v>
      </c>
      <c r="AQ447" s="11">
        <v>0</v>
      </c>
      <c r="AR447" s="11">
        <v>0</v>
      </c>
      <c r="AS447" s="11">
        <v>0</v>
      </c>
      <c r="AT447" s="11">
        <v>1</v>
      </c>
      <c r="AU447" s="11">
        <v>0</v>
      </c>
      <c r="AV447" s="11">
        <v>0</v>
      </c>
      <c r="AW447" s="11">
        <v>0</v>
      </c>
      <c r="AX447" s="11">
        <v>0</v>
      </c>
      <c r="AY447" s="11">
        <v>0</v>
      </c>
      <c r="BA447" s="12" t="s">
        <v>4877</v>
      </c>
      <c r="BB447" s="12">
        <v>1</v>
      </c>
      <c r="BC447" s="9" t="s">
        <v>4878</v>
      </c>
      <c r="BD447" s="12">
        <v>5</v>
      </c>
      <c r="BE447" s="12">
        <v>300</v>
      </c>
      <c r="BF447" s="12">
        <v>0</v>
      </c>
      <c r="BI447" s="12">
        <v>0</v>
      </c>
      <c r="BJ447" s="12">
        <v>0</v>
      </c>
    </row>
    <row r="448" spans="1:62" x14ac:dyDescent="0.15">
      <c r="A448" s="7" t="s">
        <v>3306</v>
      </c>
      <c r="C448" s="7" t="s">
        <v>4934</v>
      </c>
      <c r="D448" s="7" t="s">
        <v>5292</v>
      </c>
      <c r="E448" s="9" t="s">
        <v>4882</v>
      </c>
      <c r="L448" s="10">
        <v>3700030</v>
      </c>
      <c r="M448" s="10">
        <v>703309</v>
      </c>
      <c r="N448" s="11">
        <v>15</v>
      </c>
      <c r="O448" s="11" t="s">
        <v>4871</v>
      </c>
      <c r="P448" s="7" t="s">
        <v>5310</v>
      </c>
      <c r="Q448" s="9" t="s">
        <v>1061</v>
      </c>
      <c r="R448" s="9" t="s">
        <v>1061</v>
      </c>
      <c r="S448" s="9" t="s">
        <v>7185</v>
      </c>
      <c r="T448" s="9" t="s">
        <v>4801</v>
      </c>
      <c r="U448" s="12" t="s">
        <v>4897</v>
      </c>
      <c r="V448" s="12" t="s">
        <v>5019</v>
      </c>
      <c r="W448" s="12">
        <v>0</v>
      </c>
      <c r="X448" s="12">
        <v>0</v>
      </c>
      <c r="Y448" s="12">
        <v>0</v>
      </c>
      <c r="Z448" s="11">
        <v>1</v>
      </c>
      <c r="AA448" s="11">
        <v>1</v>
      </c>
      <c r="AB448" s="11">
        <v>0</v>
      </c>
      <c r="AC448" s="11">
        <v>0</v>
      </c>
      <c r="AD448" s="11">
        <v>1</v>
      </c>
      <c r="AE448" s="11">
        <v>1</v>
      </c>
      <c r="AF448" s="11">
        <v>0</v>
      </c>
      <c r="AG448" s="11">
        <v>0</v>
      </c>
      <c r="AH448" s="9">
        <v>1</v>
      </c>
      <c r="AI448" s="11">
        <v>1</v>
      </c>
      <c r="AJ448" s="11">
        <v>1</v>
      </c>
      <c r="AK448" s="11">
        <v>0</v>
      </c>
      <c r="AL448" s="11">
        <v>1</v>
      </c>
      <c r="AN448" s="11">
        <v>0</v>
      </c>
      <c r="AO448" s="11">
        <v>0</v>
      </c>
      <c r="AP448" s="11">
        <v>0</v>
      </c>
      <c r="AQ448" s="11">
        <v>0</v>
      </c>
      <c r="AR448" s="11">
        <v>0</v>
      </c>
      <c r="AS448" s="11">
        <v>0</v>
      </c>
      <c r="AT448" s="11">
        <v>0</v>
      </c>
      <c r="AU448" s="11">
        <v>0</v>
      </c>
      <c r="AV448" s="11">
        <v>0</v>
      </c>
      <c r="AW448" s="11">
        <v>0</v>
      </c>
      <c r="AX448" s="11">
        <v>0</v>
      </c>
      <c r="AY448" s="11">
        <v>0</v>
      </c>
      <c r="BA448" s="12" t="s">
        <v>4877</v>
      </c>
      <c r="BB448" s="12">
        <v>0</v>
      </c>
      <c r="BC448" s="9" t="s">
        <v>4878</v>
      </c>
      <c r="BD448" s="12">
        <v>5</v>
      </c>
      <c r="BE448" s="12">
        <v>0</v>
      </c>
      <c r="BF448" s="12">
        <v>0</v>
      </c>
      <c r="BI448" s="12">
        <v>0</v>
      </c>
      <c r="BJ448" s="12">
        <v>0</v>
      </c>
    </row>
    <row r="449" spans="1:62" x14ac:dyDescent="0.15">
      <c r="A449" s="7" t="s">
        <v>3307</v>
      </c>
      <c r="C449" s="7" t="s">
        <v>3308</v>
      </c>
      <c r="D449" s="7" t="s">
        <v>5292</v>
      </c>
      <c r="E449" s="9" t="s">
        <v>4882</v>
      </c>
      <c r="L449" s="10">
        <v>3688530</v>
      </c>
      <c r="M449" s="10">
        <v>712059</v>
      </c>
      <c r="N449" s="11">
        <v>15</v>
      </c>
      <c r="O449" s="11" t="s">
        <v>4871</v>
      </c>
      <c r="P449" s="7" t="s">
        <v>1064</v>
      </c>
      <c r="Q449" s="9" t="s">
        <v>1061</v>
      </c>
      <c r="R449" s="9" t="s">
        <v>1061</v>
      </c>
      <c r="S449" s="9" t="s">
        <v>7185</v>
      </c>
      <c r="T449" s="9" t="s">
        <v>3309</v>
      </c>
      <c r="U449" s="12" t="s">
        <v>4897</v>
      </c>
      <c r="V449" s="12" t="s">
        <v>5021</v>
      </c>
      <c r="W449" s="12">
        <v>0</v>
      </c>
      <c r="X449" s="12">
        <v>0</v>
      </c>
      <c r="Y449" s="12">
        <v>0</v>
      </c>
      <c r="Z449" s="11">
        <v>1</v>
      </c>
      <c r="AA449" s="11">
        <v>1</v>
      </c>
      <c r="AB449" s="11">
        <v>0</v>
      </c>
      <c r="AC449" s="11">
        <v>0</v>
      </c>
      <c r="AD449" s="11">
        <v>0</v>
      </c>
      <c r="AE449" s="11">
        <v>0</v>
      </c>
      <c r="AF449" s="11">
        <v>1</v>
      </c>
      <c r="AG449" s="11">
        <v>1</v>
      </c>
      <c r="AH449" s="9">
        <v>5</v>
      </c>
      <c r="AI449" s="11">
        <v>5</v>
      </c>
      <c r="AJ449" s="11">
        <v>1</v>
      </c>
      <c r="AK449" s="11">
        <v>1</v>
      </c>
      <c r="AL449" s="11">
        <v>1</v>
      </c>
      <c r="AN449" s="11">
        <v>0</v>
      </c>
      <c r="AO449" s="11">
        <v>0</v>
      </c>
      <c r="AP449" s="11">
        <v>0</v>
      </c>
      <c r="AQ449" s="11">
        <v>0</v>
      </c>
      <c r="AR449" s="11">
        <v>1</v>
      </c>
      <c r="AS449" s="11">
        <v>0</v>
      </c>
      <c r="AT449" s="11">
        <v>1</v>
      </c>
      <c r="AU449" s="11">
        <v>0</v>
      </c>
      <c r="AV449" s="11">
        <v>0</v>
      </c>
      <c r="AW449" s="11">
        <v>0</v>
      </c>
      <c r="AX449" s="11">
        <v>0</v>
      </c>
      <c r="AY449" s="11">
        <v>0</v>
      </c>
      <c r="BA449" s="12" t="s">
        <v>4877</v>
      </c>
      <c r="BB449" s="12">
        <v>1</v>
      </c>
      <c r="BC449" s="9" t="s">
        <v>4878</v>
      </c>
      <c r="BD449" s="12">
        <v>14</v>
      </c>
      <c r="BE449" s="12">
        <v>225</v>
      </c>
      <c r="BF449" s="12">
        <v>0</v>
      </c>
      <c r="BI449" s="12">
        <v>0</v>
      </c>
      <c r="BJ449" s="12">
        <v>0</v>
      </c>
    </row>
    <row r="450" spans="1:62" x14ac:dyDescent="0.15">
      <c r="A450" s="7" t="s">
        <v>3310</v>
      </c>
      <c r="C450" s="7" t="s">
        <v>3311</v>
      </c>
      <c r="D450" s="7" t="s">
        <v>5292</v>
      </c>
      <c r="E450" s="9" t="s">
        <v>4882</v>
      </c>
      <c r="L450" s="10">
        <v>3695340</v>
      </c>
      <c r="M450" s="10">
        <v>714533</v>
      </c>
      <c r="N450" s="11">
        <v>15</v>
      </c>
      <c r="O450" s="11" t="s">
        <v>4871</v>
      </c>
      <c r="P450" s="7" t="s">
        <v>3312</v>
      </c>
      <c r="Q450" s="9" t="s">
        <v>4854</v>
      </c>
      <c r="R450" s="9" t="s">
        <v>4854</v>
      </c>
      <c r="S450" s="9" t="s">
        <v>1125</v>
      </c>
      <c r="T450" s="9" t="s">
        <v>4884</v>
      </c>
      <c r="U450" s="12" t="s">
        <v>5016</v>
      </c>
      <c r="V450" s="12" t="s">
        <v>5017</v>
      </c>
      <c r="W450" s="12">
        <v>0</v>
      </c>
      <c r="X450" s="12">
        <v>0</v>
      </c>
      <c r="Y450" s="12">
        <v>0</v>
      </c>
      <c r="Z450" s="11">
        <v>0</v>
      </c>
      <c r="AA450" s="11">
        <v>0</v>
      </c>
      <c r="AB450" s="11">
        <v>1</v>
      </c>
      <c r="AC450" s="11">
        <v>1</v>
      </c>
      <c r="AD450" s="11">
        <v>0</v>
      </c>
      <c r="AE450" s="11">
        <v>0</v>
      </c>
      <c r="AF450" s="11">
        <v>0</v>
      </c>
      <c r="AG450" s="11">
        <v>0</v>
      </c>
      <c r="AH450" s="9" t="s">
        <v>8248</v>
      </c>
      <c r="AI450" s="11">
        <v>2</v>
      </c>
      <c r="AJ450" s="11">
        <v>1</v>
      </c>
      <c r="AK450" s="11">
        <v>1</v>
      </c>
      <c r="AL450" s="11">
        <v>0</v>
      </c>
      <c r="AN450" s="11">
        <v>0</v>
      </c>
      <c r="AO450" s="11">
        <v>0</v>
      </c>
      <c r="AP450" s="11">
        <v>0</v>
      </c>
      <c r="AQ450" s="11">
        <v>0</v>
      </c>
      <c r="AR450" s="11">
        <v>0</v>
      </c>
      <c r="AS450" s="11">
        <v>0</v>
      </c>
      <c r="AT450" s="11">
        <v>1</v>
      </c>
      <c r="AU450" s="11">
        <v>0</v>
      </c>
      <c r="AV450" s="11">
        <v>0</v>
      </c>
      <c r="AW450" s="11">
        <v>0</v>
      </c>
      <c r="AX450" s="11">
        <v>1</v>
      </c>
      <c r="AY450" s="11">
        <v>0</v>
      </c>
      <c r="BA450" s="12" t="s">
        <v>4877</v>
      </c>
      <c r="BB450" s="12">
        <v>0</v>
      </c>
      <c r="BC450" s="9" t="s">
        <v>4878</v>
      </c>
      <c r="BD450" s="12">
        <v>0</v>
      </c>
      <c r="BE450" s="12">
        <v>0</v>
      </c>
      <c r="BF450" s="12">
        <v>0</v>
      </c>
      <c r="BI450" s="12">
        <v>0</v>
      </c>
      <c r="BJ450" s="12">
        <v>0</v>
      </c>
    </row>
    <row r="451" spans="1:62" x14ac:dyDescent="0.15">
      <c r="A451" s="7" t="s">
        <v>3313</v>
      </c>
      <c r="C451" s="7" t="s">
        <v>3314</v>
      </c>
      <c r="D451" s="7" t="s">
        <v>5292</v>
      </c>
      <c r="E451" s="9" t="s">
        <v>4882</v>
      </c>
      <c r="L451" s="10">
        <v>3694960</v>
      </c>
      <c r="M451" s="10">
        <v>711987</v>
      </c>
      <c r="N451" s="11">
        <v>15</v>
      </c>
      <c r="O451" s="11" t="s">
        <v>4871</v>
      </c>
      <c r="P451" s="7" t="s">
        <v>6411</v>
      </c>
      <c r="Q451" s="9" t="s">
        <v>1061</v>
      </c>
      <c r="R451" s="9" t="s">
        <v>1061</v>
      </c>
      <c r="S451" s="9" t="s">
        <v>1125</v>
      </c>
      <c r="T451" s="9" t="s">
        <v>8484</v>
      </c>
      <c r="U451" s="12" t="s">
        <v>5019</v>
      </c>
      <c r="V451" s="12" t="s">
        <v>5020</v>
      </c>
      <c r="W451" s="12">
        <v>0</v>
      </c>
      <c r="X451" s="12">
        <v>0</v>
      </c>
      <c r="Y451" s="12">
        <v>0</v>
      </c>
      <c r="Z451" s="11">
        <v>0</v>
      </c>
      <c r="AA451" s="11">
        <v>0</v>
      </c>
      <c r="AB451" s="11">
        <v>0</v>
      </c>
      <c r="AC451" s="11">
        <v>0</v>
      </c>
      <c r="AD451" s="11">
        <v>0</v>
      </c>
      <c r="AE451" s="11">
        <v>1</v>
      </c>
      <c r="AF451" s="11">
        <v>1</v>
      </c>
      <c r="AG451" s="11">
        <v>0</v>
      </c>
      <c r="AH451" s="9">
        <v>3</v>
      </c>
      <c r="AI451" s="11">
        <v>3</v>
      </c>
      <c r="AJ451" s="11">
        <v>1</v>
      </c>
      <c r="AK451" s="11">
        <v>1</v>
      </c>
      <c r="AL451" s="11">
        <v>1</v>
      </c>
      <c r="AN451" s="11">
        <v>1</v>
      </c>
      <c r="AO451" s="11">
        <v>0</v>
      </c>
      <c r="AP451" s="11">
        <v>0</v>
      </c>
      <c r="AQ451" s="11">
        <v>0</v>
      </c>
      <c r="AR451" s="11">
        <v>0</v>
      </c>
      <c r="AS451" s="11">
        <v>0</v>
      </c>
      <c r="AT451" s="11">
        <v>0</v>
      </c>
      <c r="AU451" s="11">
        <v>0</v>
      </c>
      <c r="AV451" s="11">
        <v>0</v>
      </c>
      <c r="AW451" s="11">
        <v>0</v>
      </c>
      <c r="AX451" s="11">
        <v>1</v>
      </c>
      <c r="AY451" s="11">
        <v>0</v>
      </c>
      <c r="BA451" s="12" t="s">
        <v>4877</v>
      </c>
      <c r="BB451" s="12">
        <v>1</v>
      </c>
      <c r="BC451" s="9" t="s">
        <v>4878</v>
      </c>
      <c r="BD451" s="12">
        <v>6</v>
      </c>
      <c r="BE451" s="12">
        <v>300</v>
      </c>
      <c r="BF451" s="12">
        <f>VLOOKUP(A451,'[1]Phillips 1970'!H$1:AC$65536,22,FALSE)</f>
        <v>3487.5069750139501</v>
      </c>
      <c r="BI451">
        <f>BD451/BF451</f>
        <v>1.7204266666666667E-3</v>
      </c>
      <c r="BJ451">
        <f>BI451*10000</f>
        <v>17.204266666666665</v>
      </c>
    </row>
    <row r="452" spans="1:62" x14ac:dyDescent="0.15">
      <c r="A452" s="7" t="s">
        <v>3315</v>
      </c>
      <c r="C452" s="7" t="s">
        <v>3316</v>
      </c>
      <c r="D452" s="7" t="s">
        <v>5292</v>
      </c>
      <c r="E452" s="9" t="s">
        <v>4882</v>
      </c>
      <c r="L452" s="10">
        <v>3698490</v>
      </c>
      <c r="M452" s="10">
        <v>701100</v>
      </c>
      <c r="N452" s="11">
        <v>15</v>
      </c>
      <c r="O452" s="11" t="s">
        <v>4871</v>
      </c>
      <c r="P452" s="7" t="s">
        <v>3317</v>
      </c>
      <c r="Q452" s="9" t="s">
        <v>5322</v>
      </c>
      <c r="S452" s="9" t="s">
        <v>5292</v>
      </c>
      <c r="T452" s="9" t="s">
        <v>4902</v>
      </c>
      <c r="U452" s="12" t="s">
        <v>4902</v>
      </c>
      <c r="V452" s="12" t="s">
        <v>4902</v>
      </c>
      <c r="W452" s="12">
        <v>0</v>
      </c>
      <c r="X452" s="12">
        <v>0</v>
      </c>
      <c r="Y452" s="12">
        <v>0</v>
      </c>
      <c r="Z452" s="11">
        <v>0</v>
      </c>
      <c r="AA452" s="11">
        <v>0</v>
      </c>
      <c r="AB452" s="11">
        <v>0</v>
      </c>
      <c r="AC452" s="11">
        <v>0</v>
      </c>
      <c r="AD452" s="11">
        <v>0</v>
      </c>
      <c r="AE452" s="11">
        <v>0</v>
      </c>
      <c r="AF452" s="11">
        <v>0</v>
      </c>
      <c r="AG452" s="11">
        <v>0</v>
      </c>
      <c r="AH452" s="9" t="s">
        <v>1083</v>
      </c>
      <c r="AI452" s="11">
        <v>2</v>
      </c>
      <c r="AJ452" s="11">
        <v>1</v>
      </c>
      <c r="AK452" s="11">
        <v>1</v>
      </c>
      <c r="AL452" s="11">
        <v>0</v>
      </c>
      <c r="AN452" s="11">
        <v>0</v>
      </c>
      <c r="AO452" s="11">
        <v>0</v>
      </c>
      <c r="AP452" s="11">
        <v>0</v>
      </c>
      <c r="AQ452" s="11">
        <v>0</v>
      </c>
      <c r="AR452" s="11">
        <v>1</v>
      </c>
      <c r="AS452" s="11">
        <v>0</v>
      </c>
      <c r="AT452" s="11">
        <v>1</v>
      </c>
      <c r="AU452" s="11">
        <v>0</v>
      </c>
      <c r="AV452" s="11">
        <v>0</v>
      </c>
      <c r="AW452" s="11">
        <v>0</v>
      </c>
      <c r="AX452" s="11">
        <v>0</v>
      </c>
      <c r="AY452" s="11">
        <v>0</v>
      </c>
      <c r="BA452" s="12" t="s">
        <v>4877</v>
      </c>
      <c r="BB452" s="12">
        <v>0</v>
      </c>
      <c r="BC452" s="9" t="s">
        <v>4878</v>
      </c>
      <c r="BD452" s="12">
        <v>0</v>
      </c>
      <c r="BE452" s="12">
        <v>0</v>
      </c>
      <c r="BF452" s="12">
        <v>0</v>
      </c>
      <c r="BI452" s="12">
        <v>0</v>
      </c>
      <c r="BJ452" s="12">
        <v>0</v>
      </c>
    </row>
    <row r="453" spans="1:62" x14ac:dyDescent="0.15">
      <c r="A453" s="7" t="s">
        <v>3318</v>
      </c>
      <c r="C453" s="7" t="s">
        <v>3319</v>
      </c>
      <c r="D453" s="7" t="s">
        <v>5292</v>
      </c>
      <c r="E453" s="9" t="s">
        <v>4882</v>
      </c>
      <c r="L453" s="10">
        <v>3703550</v>
      </c>
      <c r="M453" s="10">
        <v>720713</v>
      </c>
      <c r="N453" s="11">
        <v>15</v>
      </c>
      <c r="O453" s="11" t="s">
        <v>4871</v>
      </c>
      <c r="P453" s="7" t="s">
        <v>6411</v>
      </c>
      <c r="Q453" s="9" t="s">
        <v>1061</v>
      </c>
      <c r="R453" s="9" t="s">
        <v>1061</v>
      </c>
      <c r="S453" s="9" t="s">
        <v>1125</v>
      </c>
      <c r="T453" s="9" t="s">
        <v>8484</v>
      </c>
      <c r="U453" s="12" t="s">
        <v>5019</v>
      </c>
      <c r="V453" s="12" t="s">
        <v>5020</v>
      </c>
      <c r="W453" s="12">
        <v>0</v>
      </c>
      <c r="X453" s="12">
        <v>0</v>
      </c>
      <c r="Y453" s="12">
        <v>0</v>
      </c>
      <c r="Z453" s="11">
        <v>0</v>
      </c>
      <c r="AA453" s="11">
        <v>0</v>
      </c>
      <c r="AB453" s="11">
        <v>0</v>
      </c>
      <c r="AC453" s="11">
        <v>0</v>
      </c>
      <c r="AD453" s="11">
        <v>0</v>
      </c>
      <c r="AE453" s="11">
        <v>1</v>
      </c>
      <c r="AF453" s="11">
        <v>1</v>
      </c>
      <c r="AG453" s="11">
        <v>0</v>
      </c>
      <c r="AH453" s="9">
        <v>2</v>
      </c>
      <c r="AI453" s="11">
        <v>2</v>
      </c>
      <c r="AJ453" s="11">
        <v>1</v>
      </c>
      <c r="AK453" s="11">
        <v>1</v>
      </c>
      <c r="AL453" s="11">
        <v>1</v>
      </c>
      <c r="AN453" s="11">
        <v>0</v>
      </c>
      <c r="AO453" s="11">
        <v>0</v>
      </c>
      <c r="AP453" s="11">
        <v>0</v>
      </c>
      <c r="AQ453" s="11">
        <v>0</v>
      </c>
      <c r="AR453" s="11">
        <v>0</v>
      </c>
      <c r="AS453" s="11">
        <v>0</v>
      </c>
      <c r="AT453" s="11">
        <v>1</v>
      </c>
      <c r="AU453" s="11">
        <v>0</v>
      </c>
      <c r="AV453" s="11">
        <v>0</v>
      </c>
      <c r="AW453" s="11">
        <v>0</v>
      </c>
      <c r="AX453" s="11">
        <v>0</v>
      </c>
      <c r="AY453" s="11">
        <v>0</v>
      </c>
      <c r="BA453" s="12" t="s">
        <v>4877</v>
      </c>
      <c r="BB453" s="12">
        <v>0</v>
      </c>
      <c r="BC453" s="9" t="s">
        <v>4878</v>
      </c>
      <c r="BD453" s="12">
        <v>0</v>
      </c>
      <c r="BE453" s="12">
        <v>0</v>
      </c>
      <c r="BF453" s="12">
        <v>0</v>
      </c>
      <c r="BI453" s="12">
        <v>0</v>
      </c>
      <c r="BJ453" s="12">
        <v>0</v>
      </c>
    </row>
    <row r="454" spans="1:62" x14ac:dyDescent="0.15">
      <c r="A454" s="7" t="s">
        <v>3320</v>
      </c>
      <c r="C454" s="7" t="s">
        <v>3321</v>
      </c>
      <c r="D454" s="7" t="s">
        <v>5292</v>
      </c>
      <c r="E454" s="9" t="s">
        <v>4882</v>
      </c>
      <c r="L454" s="10">
        <v>3686180</v>
      </c>
      <c r="M454" s="10">
        <v>720187</v>
      </c>
      <c r="N454" s="11">
        <v>15</v>
      </c>
      <c r="O454" s="11" t="s">
        <v>4871</v>
      </c>
      <c r="P454" s="7" t="s">
        <v>923</v>
      </c>
      <c r="Q454" s="9" t="s">
        <v>712</v>
      </c>
      <c r="R454" s="9" t="s">
        <v>712</v>
      </c>
      <c r="S454" s="9" t="s">
        <v>1125</v>
      </c>
      <c r="T454" s="9" t="s">
        <v>8484</v>
      </c>
      <c r="U454" s="12" t="s">
        <v>5019</v>
      </c>
      <c r="V454" s="12" t="s">
        <v>5020</v>
      </c>
      <c r="W454" s="12">
        <v>0</v>
      </c>
      <c r="X454" s="12">
        <v>0</v>
      </c>
      <c r="Y454" s="12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1</v>
      </c>
      <c r="AF454" s="11">
        <v>1</v>
      </c>
      <c r="AG454" s="11">
        <v>0</v>
      </c>
      <c r="AH454" s="9">
        <v>4</v>
      </c>
      <c r="AI454" s="11">
        <v>4</v>
      </c>
      <c r="AJ454" s="11">
        <v>1</v>
      </c>
      <c r="AK454" s="11">
        <v>1</v>
      </c>
      <c r="AL454" s="11">
        <v>1</v>
      </c>
      <c r="AN454" s="11">
        <v>0</v>
      </c>
      <c r="AO454" s="11">
        <v>0</v>
      </c>
      <c r="AP454" s="11">
        <v>0</v>
      </c>
      <c r="AQ454" s="11">
        <v>0</v>
      </c>
      <c r="AR454" s="11">
        <v>0</v>
      </c>
      <c r="AS454" s="11">
        <v>0</v>
      </c>
      <c r="AT454" s="11">
        <v>1</v>
      </c>
      <c r="AU454" s="11">
        <v>0</v>
      </c>
      <c r="AV454" s="11">
        <v>0</v>
      </c>
      <c r="AW454" s="11">
        <v>0</v>
      </c>
      <c r="AX454" s="11">
        <v>0</v>
      </c>
      <c r="AY454" s="11">
        <v>0</v>
      </c>
      <c r="BA454" s="12" t="s">
        <v>4877</v>
      </c>
      <c r="BB454" s="12">
        <v>1</v>
      </c>
      <c r="BC454" s="9" t="s">
        <v>4878</v>
      </c>
      <c r="BD454" s="12">
        <v>30</v>
      </c>
      <c r="BE454" s="12">
        <v>250</v>
      </c>
      <c r="BF454" s="12">
        <v>0</v>
      </c>
      <c r="BI454" s="12">
        <v>0</v>
      </c>
      <c r="BJ454" s="12">
        <v>0</v>
      </c>
    </row>
    <row r="455" spans="1:62" x14ac:dyDescent="0.15">
      <c r="A455" s="7" t="s">
        <v>3322</v>
      </c>
      <c r="C455" s="7" t="s">
        <v>7203</v>
      </c>
      <c r="D455" s="7" t="s">
        <v>5292</v>
      </c>
      <c r="E455" s="9" t="s">
        <v>4882</v>
      </c>
      <c r="L455" s="10">
        <v>3705840</v>
      </c>
      <c r="M455" s="10">
        <v>719493</v>
      </c>
      <c r="N455" s="11">
        <v>15</v>
      </c>
      <c r="O455" s="11" t="s">
        <v>4871</v>
      </c>
      <c r="P455" s="7" t="s">
        <v>7037</v>
      </c>
      <c r="Q455" s="9" t="s">
        <v>5311</v>
      </c>
      <c r="S455" s="9" t="s">
        <v>1125</v>
      </c>
      <c r="T455" s="9" t="s">
        <v>4797</v>
      </c>
      <c r="U455" s="12" t="s">
        <v>5018</v>
      </c>
      <c r="V455" s="12" t="s">
        <v>5019</v>
      </c>
      <c r="W455" s="12">
        <v>0</v>
      </c>
      <c r="X455" s="12">
        <v>0</v>
      </c>
      <c r="Y455" s="12">
        <v>0</v>
      </c>
      <c r="Z455" s="11">
        <v>0</v>
      </c>
      <c r="AA455" s="11">
        <v>0</v>
      </c>
      <c r="AB455" s="11">
        <v>0</v>
      </c>
      <c r="AC455" s="11">
        <v>0</v>
      </c>
      <c r="AD455" s="11">
        <v>1</v>
      </c>
      <c r="AE455" s="11">
        <v>1</v>
      </c>
      <c r="AF455" s="11">
        <v>0</v>
      </c>
      <c r="AG455" s="11">
        <v>0</v>
      </c>
      <c r="AH455" s="9" t="s">
        <v>4909</v>
      </c>
      <c r="AI455" s="11">
        <v>1</v>
      </c>
      <c r="AJ455" s="11">
        <v>1</v>
      </c>
      <c r="AK455" s="11">
        <v>0</v>
      </c>
      <c r="AL455" s="11">
        <v>1</v>
      </c>
      <c r="AN455" s="11">
        <v>0</v>
      </c>
      <c r="AO455" s="11">
        <v>0</v>
      </c>
      <c r="AP455" s="11">
        <v>0</v>
      </c>
      <c r="AQ455" s="11">
        <v>1</v>
      </c>
      <c r="AR455" s="11">
        <v>0</v>
      </c>
      <c r="AS455" s="11">
        <v>0</v>
      </c>
      <c r="AT455" s="11">
        <v>0</v>
      </c>
      <c r="AU455" s="11">
        <v>0</v>
      </c>
      <c r="AV455" s="11">
        <v>0</v>
      </c>
      <c r="AW455" s="11">
        <v>0</v>
      </c>
      <c r="AX455" s="11">
        <v>0</v>
      </c>
      <c r="AY455" s="11">
        <v>0</v>
      </c>
      <c r="BA455" s="12" t="s">
        <v>4877</v>
      </c>
      <c r="BB455" s="12">
        <v>0</v>
      </c>
      <c r="BC455" s="9" t="s">
        <v>4878</v>
      </c>
      <c r="BD455" s="12">
        <v>0</v>
      </c>
      <c r="BE455" s="12">
        <v>0</v>
      </c>
      <c r="BF455" s="12">
        <f>VLOOKUP(A455,'[1]Phillips 1970'!H$1:AC$65536,22,FALSE)</f>
        <v>6458.3462500258338</v>
      </c>
      <c r="BI455" s="12">
        <v>0</v>
      </c>
      <c r="BJ455" s="12">
        <v>0</v>
      </c>
    </row>
    <row r="456" spans="1:62" x14ac:dyDescent="0.15">
      <c r="A456" s="7" t="s">
        <v>3323</v>
      </c>
      <c r="C456" s="7" t="s">
        <v>3324</v>
      </c>
      <c r="D456" s="7" t="s">
        <v>5292</v>
      </c>
      <c r="E456" s="9" t="s">
        <v>4882</v>
      </c>
      <c r="L456" s="10">
        <v>3707676</v>
      </c>
      <c r="M456" s="10">
        <v>718187</v>
      </c>
      <c r="N456" s="11">
        <v>15</v>
      </c>
      <c r="O456" s="11" t="s">
        <v>4871</v>
      </c>
      <c r="P456" s="7" t="s">
        <v>910</v>
      </c>
      <c r="Q456" s="9" t="s">
        <v>1112</v>
      </c>
      <c r="S456" s="9" t="s">
        <v>1125</v>
      </c>
      <c r="T456" s="9" t="s">
        <v>4902</v>
      </c>
      <c r="U456" s="12" t="s">
        <v>4902</v>
      </c>
      <c r="V456" s="12" t="s">
        <v>4902</v>
      </c>
      <c r="W456" s="12">
        <v>0</v>
      </c>
      <c r="X456" s="12">
        <v>0</v>
      </c>
      <c r="Y456" s="12">
        <v>0</v>
      </c>
      <c r="Z456" s="11">
        <v>0</v>
      </c>
      <c r="AA456" s="11">
        <v>0</v>
      </c>
      <c r="AB456" s="11">
        <v>0</v>
      </c>
      <c r="AC456" s="11">
        <v>0</v>
      </c>
      <c r="AD456" s="11">
        <v>0</v>
      </c>
      <c r="AE456" s="11">
        <v>0</v>
      </c>
      <c r="AF456" s="11">
        <v>0</v>
      </c>
      <c r="AG456" s="11">
        <v>0</v>
      </c>
      <c r="AH456" s="9" t="s">
        <v>4909</v>
      </c>
      <c r="AI456" s="11">
        <v>1</v>
      </c>
      <c r="AJ456" s="11">
        <v>1</v>
      </c>
      <c r="AK456" s="11">
        <v>0</v>
      </c>
      <c r="AL456" s="11">
        <v>0</v>
      </c>
      <c r="AN456" s="11">
        <v>0</v>
      </c>
      <c r="AO456" s="11">
        <v>0</v>
      </c>
      <c r="AP456" s="11">
        <v>0</v>
      </c>
      <c r="AQ456" s="11">
        <v>0</v>
      </c>
      <c r="AR456" s="11">
        <v>0</v>
      </c>
      <c r="AS456" s="11">
        <v>0</v>
      </c>
      <c r="AT456" s="11">
        <v>1</v>
      </c>
      <c r="AU456" s="11">
        <v>0</v>
      </c>
      <c r="AV456" s="11">
        <v>0</v>
      </c>
      <c r="AW456" s="11">
        <v>0</v>
      </c>
      <c r="AX456" s="11">
        <v>0</v>
      </c>
      <c r="AY456" s="11">
        <v>0</v>
      </c>
      <c r="BA456" s="12" t="s">
        <v>4877</v>
      </c>
      <c r="BB456" s="12">
        <v>0</v>
      </c>
      <c r="BC456" s="9" t="s">
        <v>4878</v>
      </c>
      <c r="BD456" s="12">
        <v>0</v>
      </c>
      <c r="BE456" s="12">
        <v>0</v>
      </c>
      <c r="BF456" s="12">
        <v>0</v>
      </c>
      <c r="BI456" s="12">
        <v>0</v>
      </c>
      <c r="BJ456" s="12">
        <v>0</v>
      </c>
    </row>
    <row r="457" spans="1:62" x14ac:dyDescent="0.15">
      <c r="A457" s="7" t="s">
        <v>3325</v>
      </c>
      <c r="C457" s="7" t="s">
        <v>3326</v>
      </c>
      <c r="D457" s="7" t="s">
        <v>5292</v>
      </c>
      <c r="E457" s="9" t="s">
        <v>4882</v>
      </c>
      <c r="L457" s="10">
        <v>3706733</v>
      </c>
      <c r="M457" s="10">
        <v>749763</v>
      </c>
      <c r="N457" s="11">
        <v>15</v>
      </c>
      <c r="O457" s="11" t="s">
        <v>4871</v>
      </c>
      <c r="P457" s="7" t="s">
        <v>7162</v>
      </c>
      <c r="Q457" s="9" t="s">
        <v>1061</v>
      </c>
      <c r="R457" s="9" t="s">
        <v>1061</v>
      </c>
      <c r="S457" s="9" t="s">
        <v>1125</v>
      </c>
      <c r="T457" s="9" t="s">
        <v>4797</v>
      </c>
      <c r="U457" s="12" t="s">
        <v>5018</v>
      </c>
      <c r="V457" s="12" t="s">
        <v>5019</v>
      </c>
      <c r="W457" s="12">
        <v>0</v>
      </c>
      <c r="X457" s="12">
        <v>0</v>
      </c>
      <c r="Y457" s="12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1</v>
      </c>
      <c r="AE457" s="11">
        <v>1</v>
      </c>
      <c r="AF457" s="11">
        <v>0</v>
      </c>
      <c r="AG457" s="11">
        <v>0</v>
      </c>
      <c r="AH457" s="9">
        <v>2</v>
      </c>
      <c r="AI457" s="11">
        <v>2</v>
      </c>
      <c r="AJ457" s="11">
        <v>1</v>
      </c>
      <c r="AK457" s="11">
        <v>1</v>
      </c>
      <c r="AL457" s="11">
        <v>1</v>
      </c>
      <c r="AN457" s="11">
        <v>0</v>
      </c>
      <c r="AO457" s="11">
        <v>0</v>
      </c>
      <c r="AP457" s="11">
        <v>0</v>
      </c>
      <c r="AQ457" s="11">
        <v>0</v>
      </c>
      <c r="AR457" s="11">
        <v>0</v>
      </c>
      <c r="AS457" s="11">
        <v>0</v>
      </c>
      <c r="AT457" s="11">
        <v>1</v>
      </c>
      <c r="AU457" s="11">
        <v>0</v>
      </c>
      <c r="AV457" s="11">
        <v>0</v>
      </c>
      <c r="AW457" s="11">
        <v>0</v>
      </c>
      <c r="AX457" s="11">
        <v>0</v>
      </c>
      <c r="AY457" s="11">
        <v>0</v>
      </c>
      <c r="BA457" s="12" t="s">
        <v>4877</v>
      </c>
      <c r="BB457" s="12">
        <v>1</v>
      </c>
      <c r="BC457" s="9" t="s">
        <v>4878</v>
      </c>
      <c r="BD457" s="12">
        <v>15</v>
      </c>
      <c r="BE457" s="12">
        <v>120</v>
      </c>
      <c r="BF457" s="12">
        <f>VLOOKUP(A457,'[1]Phillips 1970'!H$1:AC$65536,22,FALSE)</f>
        <v>16145.865625064584</v>
      </c>
      <c r="BI457">
        <f>BD457/BF457</f>
        <v>9.2903039999999999E-4</v>
      </c>
      <c r="BJ457">
        <f>BI457*10000</f>
        <v>9.290303999999999</v>
      </c>
    </row>
    <row r="458" spans="1:62" x14ac:dyDescent="0.15">
      <c r="A458" s="7" t="s">
        <v>3327</v>
      </c>
      <c r="C458" s="7" t="s">
        <v>3328</v>
      </c>
      <c r="D458" s="7" t="s">
        <v>5292</v>
      </c>
      <c r="E458" s="9" t="s">
        <v>4882</v>
      </c>
      <c r="L458" s="10">
        <v>3698580</v>
      </c>
      <c r="M458" s="10">
        <v>751416</v>
      </c>
      <c r="N458" s="11">
        <v>15</v>
      </c>
      <c r="O458" s="11" t="s">
        <v>4871</v>
      </c>
      <c r="P458" s="7" t="s">
        <v>3329</v>
      </c>
      <c r="Q458" s="9" t="s">
        <v>4854</v>
      </c>
      <c r="R458" s="9" t="s">
        <v>4854</v>
      </c>
      <c r="S458" s="9" t="s">
        <v>1125</v>
      </c>
      <c r="T458" s="9" t="s">
        <v>8372</v>
      </c>
      <c r="U458" s="12" t="s">
        <v>5017</v>
      </c>
      <c r="V458" s="12" t="s">
        <v>5019</v>
      </c>
      <c r="W458" s="12">
        <v>0</v>
      </c>
      <c r="X458" s="12">
        <v>0</v>
      </c>
      <c r="Y458" s="12">
        <v>0</v>
      </c>
      <c r="Z458" s="11">
        <v>0</v>
      </c>
      <c r="AA458" s="11">
        <v>0</v>
      </c>
      <c r="AB458" s="11">
        <v>0</v>
      </c>
      <c r="AC458" s="11">
        <v>1</v>
      </c>
      <c r="AD458" s="11">
        <v>0</v>
      </c>
      <c r="AE458" s="11">
        <v>1</v>
      </c>
      <c r="AF458" s="11">
        <v>0</v>
      </c>
      <c r="AG458" s="11">
        <v>0</v>
      </c>
      <c r="AH458" s="9" t="s">
        <v>4878</v>
      </c>
      <c r="AI458" s="11">
        <v>0</v>
      </c>
      <c r="AJ458" s="11">
        <v>1</v>
      </c>
      <c r="AK458" s="11">
        <v>1</v>
      </c>
      <c r="AL458" s="11">
        <v>0</v>
      </c>
      <c r="AN458" s="11">
        <v>0</v>
      </c>
      <c r="AO458" s="11">
        <v>0</v>
      </c>
      <c r="AP458" s="11">
        <v>0</v>
      </c>
      <c r="AQ458" s="11">
        <v>0</v>
      </c>
      <c r="AR458" s="11">
        <v>0</v>
      </c>
      <c r="AS458" s="11">
        <v>0</v>
      </c>
      <c r="AT458" s="11">
        <v>1</v>
      </c>
      <c r="AU458" s="11">
        <v>0</v>
      </c>
      <c r="AV458" s="11">
        <v>0</v>
      </c>
      <c r="AW458" s="11">
        <v>0</v>
      </c>
      <c r="AX458" s="11">
        <v>1</v>
      </c>
      <c r="AY458" s="11">
        <v>0</v>
      </c>
      <c r="BA458" s="12" t="s">
        <v>4877</v>
      </c>
      <c r="BB458" s="12">
        <v>0</v>
      </c>
      <c r="BC458" s="9" t="s">
        <v>4878</v>
      </c>
      <c r="BD458" s="12">
        <v>0</v>
      </c>
      <c r="BE458" s="12">
        <v>0</v>
      </c>
      <c r="BF458" s="12">
        <f>VLOOKUP(A458,'[1]Phillips 1970'!H$1:AC$65536,22,FALSE)</f>
        <v>34444.513333471114</v>
      </c>
      <c r="BI458" s="12">
        <v>0</v>
      </c>
      <c r="BJ458" s="12">
        <v>0</v>
      </c>
    </row>
    <row r="459" spans="1:62" x14ac:dyDescent="0.15">
      <c r="A459" s="7" t="s">
        <v>3330</v>
      </c>
      <c r="C459" s="7" t="s">
        <v>3331</v>
      </c>
      <c r="D459" s="7" t="s">
        <v>5292</v>
      </c>
      <c r="E459" s="9" t="s">
        <v>4882</v>
      </c>
      <c r="L459" s="10">
        <v>3683590</v>
      </c>
      <c r="M459" s="10">
        <v>752467</v>
      </c>
      <c r="N459" s="11">
        <v>15</v>
      </c>
      <c r="O459" s="11" t="s">
        <v>4871</v>
      </c>
      <c r="P459" s="7" t="s">
        <v>3329</v>
      </c>
      <c r="Q459" s="9" t="s">
        <v>4854</v>
      </c>
      <c r="R459" s="9" t="s">
        <v>4854</v>
      </c>
      <c r="S459" s="9" t="s">
        <v>1125</v>
      </c>
      <c r="T459" s="9" t="s">
        <v>4797</v>
      </c>
      <c r="U459" s="12" t="s">
        <v>5018</v>
      </c>
      <c r="V459" s="12" t="s">
        <v>5019</v>
      </c>
      <c r="W459" s="12">
        <v>0</v>
      </c>
      <c r="X459" s="12">
        <v>0</v>
      </c>
      <c r="Y459" s="12">
        <v>0</v>
      </c>
      <c r="Z459" s="11">
        <v>0</v>
      </c>
      <c r="AA459" s="11">
        <v>0</v>
      </c>
      <c r="AB459" s="11">
        <v>0</v>
      </c>
      <c r="AC459" s="11">
        <v>0</v>
      </c>
      <c r="AD459" s="11">
        <v>1</v>
      </c>
      <c r="AE459" s="11">
        <v>1</v>
      </c>
      <c r="AF459" s="11">
        <v>0</v>
      </c>
      <c r="AG459" s="11">
        <v>0</v>
      </c>
      <c r="AH459" s="9" t="s">
        <v>4878</v>
      </c>
      <c r="AI459" s="11">
        <v>0</v>
      </c>
      <c r="AJ459" s="11">
        <v>1</v>
      </c>
      <c r="AK459" s="11">
        <v>1</v>
      </c>
      <c r="AL459" s="11">
        <v>0</v>
      </c>
      <c r="AN459" s="11">
        <v>0</v>
      </c>
      <c r="AO459" s="11">
        <v>0</v>
      </c>
      <c r="AP459" s="11">
        <v>0</v>
      </c>
      <c r="AQ459" s="11">
        <v>0</v>
      </c>
      <c r="AR459" s="11">
        <v>0</v>
      </c>
      <c r="AS459" s="11">
        <v>0</v>
      </c>
      <c r="AT459" s="11">
        <v>1</v>
      </c>
      <c r="AU459" s="11">
        <v>0</v>
      </c>
      <c r="AV459" s="11">
        <v>0</v>
      </c>
      <c r="AW459" s="11">
        <v>0</v>
      </c>
      <c r="AX459" s="11">
        <v>1</v>
      </c>
      <c r="AY459" s="11">
        <v>0</v>
      </c>
      <c r="BA459" s="12" t="s">
        <v>4877</v>
      </c>
      <c r="BB459" s="12">
        <v>0</v>
      </c>
      <c r="BC459" s="9" t="s">
        <v>4878</v>
      </c>
      <c r="BD459" s="12">
        <v>0</v>
      </c>
      <c r="BE459" s="12">
        <v>0</v>
      </c>
      <c r="BF459" s="12">
        <v>0</v>
      </c>
      <c r="BI459" s="12">
        <v>0</v>
      </c>
      <c r="BJ459" s="12">
        <v>0</v>
      </c>
    </row>
    <row r="460" spans="1:62" x14ac:dyDescent="0.15">
      <c r="A460" s="7" t="s">
        <v>3332</v>
      </c>
      <c r="C460" s="7" t="s">
        <v>3333</v>
      </c>
      <c r="D460" s="7" t="s">
        <v>5292</v>
      </c>
      <c r="E460" s="9" t="s">
        <v>4882</v>
      </c>
      <c r="L460" s="10">
        <v>3689580</v>
      </c>
      <c r="M460" s="10">
        <v>753434</v>
      </c>
      <c r="N460" s="11">
        <v>15</v>
      </c>
      <c r="O460" s="11" t="s">
        <v>4871</v>
      </c>
      <c r="P460" s="7" t="s">
        <v>3272</v>
      </c>
      <c r="Q460" s="9" t="s">
        <v>4854</v>
      </c>
      <c r="R460" s="9" t="s">
        <v>4854</v>
      </c>
      <c r="S460" s="9" t="s">
        <v>1125</v>
      </c>
      <c r="T460" s="9" t="s">
        <v>4891</v>
      </c>
      <c r="U460" s="12" t="s">
        <v>5017</v>
      </c>
      <c r="V460" s="12" t="s">
        <v>5018</v>
      </c>
      <c r="W460" s="12">
        <v>0</v>
      </c>
      <c r="X460" s="12">
        <v>0</v>
      </c>
      <c r="Y460" s="12">
        <v>0</v>
      </c>
      <c r="Z460" s="11">
        <v>0</v>
      </c>
      <c r="AA460" s="11">
        <v>0</v>
      </c>
      <c r="AB460" s="11">
        <v>0</v>
      </c>
      <c r="AC460" s="11">
        <v>1</v>
      </c>
      <c r="AD460" s="11">
        <v>1</v>
      </c>
      <c r="AE460" s="11">
        <v>0</v>
      </c>
      <c r="AF460" s="11">
        <v>0</v>
      </c>
      <c r="AG460" s="11">
        <v>0</v>
      </c>
      <c r="AH460" s="9" t="s">
        <v>4878</v>
      </c>
      <c r="AI460" s="11">
        <v>0</v>
      </c>
      <c r="AJ460" s="11">
        <v>0</v>
      </c>
      <c r="AK460" s="11">
        <v>0</v>
      </c>
      <c r="AL460" s="11">
        <v>0</v>
      </c>
      <c r="AN460" s="11">
        <v>0</v>
      </c>
      <c r="AO460" s="11">
        <v>0</v>
      </c>
      <c r="AP460" s="11">
        <v>0</v>
      </c>
      <c r="AQ460" s="11">
        <v>0</v>
      </c>
      <c r="AR460" s="11">
        <v>0</v>
      </c>
      <c r="AS460" s="11">
        <v>0</v>
      </c>
      <c r="AT460" s="11">
        <v>0</v>
      </c>
      <c r="AU460" s="11">
        <v>0</v>
      </c>
      <c r="AV460" s="11">
        <v>0</v>
      </c>
      <c r="AW460" s="11">
        <v>0</v>
      </c>
      <c r="AX460" s="11">
        <v>1</v>
      </c>
      <c r="AY460" s="11">
        <v>0</v>
      </c>
      <c r="BA460" s="12" t="s">
        <v>4877</v>
      </c>
      <c r="BB460" s="12">
        <v>0</v>
      </c>
      <c r="BC460" s="9" t="s">
        <v>4878</v>
      </c>
      <c r="BD460" s="12">
        <v>0</v>
      </c>
      <c r="BE460" s="12">
        <v>0</v>
      </c>
      <c r="BF460" s="12">
        <v>0</v>
      </c>
      <c r="BI460" s="12">
        <v>0</v>
      </c>
      <c r="BJ460" s="12">
        <v>0</v>
      </c>
    </row>
    <row r="461" spans="1:62" x14ac:dyDescent="0.15">
      <c r="A461" s="7" t="s">
        <v>3334</v>
      </c>
      <c r="C461" s="7" t="s">
        <v>3335</v>
      </c>
      <c r="D461" s="7" t="s">
        <v>5292</v>
      </c>
      <c r="E461" s="9" t="s">
        <v>4882</v>
      </c>
      <c r="L461" s="10">
        <v>3696290</v>
      </c>
      <c r="M461" s="10">
        <v>742553</v>
      </c>
      <c r="N461" s="11">
        <v>15</v>
      </c>
      <c r="O461" s="11" t="s">
        <v>4871</v>
      </c>
      <c r="P461" s="7" t="s">
        <v>1079</v>
      </c>
      <c r="Q461" s="9" t="s">
        <v>5322</v>
      </c>
      <c r="S461" s="9" t="s">
        <v>1125</v>
      </c>
      <c r="T461" s="9" t="s">
        <v>4902</v>
      </c>
      <c r="U461" s="12" t="s">
        <v>4902</v>
      </c>
      <c r="V461" s="12" t="s">
        <v>4902</v>
      </c>
      <c r="W461" s="12">
        <v>0</v>
      </c>
      <c r="X461" s="12">
        <v>0</v>
      </c>
      <c r="Y461" s="12">
        <v>0</v>
      </c>
      <c r="Z461" s="11">
        <v>0</v>
      </c>
      <c r="AA461" s="11">
        <v>0</v>
      </c>
      <c r="AB461" s="11">
        <v>0</v>
      </c>
      <c r="AC461" s="11">
        <v>0</v>
      </c>
      <c r="AD461" s="11">
        <v>0</v>
      </c>
      <c r="AE461" s="11">
        <v>0</v>
      </c>
      <c r="AF461" s="11">
        <v>0</v>
      </c>
      <c r="AG461" s="11">
        <v>0</v>
      </c>
      <c r="AH461" s="9" t="s">
        <v>4909</v>
      </c>
      <c r="AI461" s="11">
        <v>1</v>
      </c>
      <c r="AJ461" s="11">
        <v>1</v>
      </c>
      <c r="AK461" s="11">
        <v>0</v>
      </c>
      <c r="AL461" s="11">
        <v>0</v>
      </c>
      <c r="AN461" s="11">
        <v>0</v>
      </c>
      <c r="AO461" s="11">
        <v>0</v>
      </c>
      <c r="AP461" s="11">
        <v>0</v>
      </c>
      <c r="AQ461" s="11">
        <v>0</v>
      </c>
      <c r="AR461" s="11">
        <v>1</v>
      </c>
      <c r="AS461" s="11">
        <v>0</v>
      </c>
      <c r="AT461" s="11">
        <v>0</v>
      </c>
      <c r="AU461" s="11">
        <v>0</v>
      </c>
      <c r="AV461" s="11">
        <v>0</v>
      </c>
      <c r="AW461" s="11">
        <v>0</v>
      </c>
      <c r="AX461" s="11">
        <v>0</v>
      </c>
      <c r="AY461" s="11">
        <v>0</v>
      </c>
      <c r="BA461" s="12" t="s">
        <v>4877</v>
      </c>
      <c r="BB461" s="12">
        <v>0</v>
      </c>
      <c r="BC461" s="9" t="s">
        <v>4878</v>
      </c>
      <c r="BD461" s="12">
        <v>0</v>
      </c>
      <c r="BE461" s="12">
        <v>0</v>
      </c>
      <c r="BF461" s="12">
        <f>VLOOKUP(A461,'[1]Phillips 1970'!H$1:AC$65536,22,FALSE)</f>
        <v>1902.1399812581576</v>
      </c>
      <c r="BI461" s="12">
        <v>0</v>
      </c>
      <c r="BJ461" s="12">
        <v>0</v>
      </c>
    </row>
    <row r="462" spans="1:62" x14ac:dyDescent="0.15">
      <c r="A462" s="7" t="s">
        <v>3336</v>
      </c>
      <c r="C462" s="7" t="s">
        <v>3061</v>
      </c>
      <c r="D462" s="7" t="s">
        <v>5292</v>
      </c>
      <c r="E462" s="9" t="s">
        <v>4882</v>
      </c>
      <c r="L462" s="10">
        <v>3698319</v>
      </c>
      <c r="M462" s="10">
        <v>738882</v>
      </c>
      <c r="N462" s="11">
        <v>15</v>
      </c>
      <c r="O462" s="11" t="s">
        <v>4871</v>
      </c>
      <c r="P462" s="7" t="s">
        <v>3253</v>
      </c>
      <c r="Q462" s="9" t="s">
        <v>1112</v>
      </c>
      <c r="S462" s="9" t="s">
        <v>1125</v>
      </c>
      <c r="T462" s="9" t="s">
        <v>4902</v>
      </c>
      <c r="U462" s="12" t="s">
        <v>4902</v>
      </c>
      <c r="V462" s="12" t="s">
        <v>4902</v>
      </c>
      <c r="W462" s="12">
        <v>0</v>
      </c>
      <c r="X462" s="12">
        <v>0</v>
      </c>
      <c r="Y462" s="12">
        <v>0</v>
      </c>
      <c r="Z462" s="11">
        <v>0</v>
      </c>
      <c r="AA462" s="11">
        <v>0</v>
      </c>
      <c r="AB462" s="11">
        <v>0</v>
      </c>
      <c r="AC462" s="11">
        <v>0</v>
      </c>
      <c r="AD462" s="11">
        <v>0</v>
      </c>
      <c r="AE462" s="11">
        <v>0</v>
      </c>
      <c r="AF462" s="11">
        <v>0</v>
      </c>
      <c r="AG462" s="11">
        <v>0</v>
      </c>
      <c r="AH462" s="9" t="s">
        <v>4909</v>
      </c>
      <c r="AI462" s="11">
        <v>1</v>
      </c>
      <c r="AJ462" s="11">
        <v>1</v>
      </c>
      <c r="AK462" s="11">
        <v>0</v>
      </c>
      <c r="AL462" s="11">
        <v>1</v>
      </c>
      <c r="AN462" s="11">
        <v>0</v>
      </c>
      <c r="AO462" s="11">
        <v>0</v>
      </c>
      <c r="AP462" s="11">
        <v>0</v>
      </c>
      <c r="AQ462" s="11">
        <v>0</v>
      </c>
      <c r="AR462" s="11">
        <v>0</v>
      </c>
      <c r="AS462" s="11">
        <v>0</v>
      </c>
      <c r="AT462" s="11">
        <v>0</v>
      </c>
      <c r="AU462" s="11">
        <v>0</v>
      </c>
      <c r="AV462" s="11">
        <v>0</v>
      </c>
      <c r="AW462" s="11">
        <v>0</v>
      </c>
      <c r="AX462" s="11">
        <v>0</v>
      </c>
      <c r="AY462" s="11">
        <v>0</v>
      </c>
      <c r="BA462" s="12" t="s">
        <v>4877</v>
      </c>
      <c r="BB462" s="12">
        <v>0</v>
      </c>
      <c r="BC462" s="9" t="s">
        <v>4878</v>
      </c>
      <c r="BD462" s="12">
        <v>0</v>
      </c>
      <c r="BE462" s="12">
        <v>0</v>
      </c>
      <c r="BF462" s="12">
        <f>VLOOKUP(A462,'[1]Phillips 1970'!H$1:AC$65536,22,FALSE)</f>
        <v>3229.1731250129169</v>
      </c>
      <c r="BI462" s="12">
        <v>0</v>
      </c>
      <c r="BJ462" s="12">
        <v>0</v>
      </c>
    </row>
    <row r="463" spans="1:62" x14ac:dyDescent="0.15">
      <c r="A463" s="7" t="s">
        <v>3062</v>
      </c>
      <c r="C463" s="7" t="s">
        <v>3063</v>
      </c>
      <c r="D463" s="7" t="s">
        <v>5292</v>
      </c>
      <c r="E463" s="9" t="s">
        <v>4882</v>
      </c>
      <c r="L463" s="10">
        <v>3678140</v>
      </c>
      <c r="M463" s="10">
        <v>696839</v>
      </c>
      <c r="N463" s="11">
        <v>15</v>
      </c>
      <c r="O463" s="11" t="s">
        <v>4871</v>
      </c>
      <c r="P463" s="7" t="s">
        <v>1134</v>
      </c>
      <c r="Q463" s="9" t="s">
        <v>712</v>
      </c>
      <c r="R463" s="9" t="s">
        <v>712</v>
      </c>
      <c r="S463" s="9" t="s">
        <v>1125</v>
      </c>
      <c r="T463" s="9" t="s">
        <v>4875</v>
      </c>
      <c r="U463" s="12" t="s">
        <v>5020</v>
      </c>
      <c r="V463" s="12" t="s">
        <v>5021</v>
      </c>
      <c r="W463" s="12">
        <v>0</v>
      </c>
      <c r="X463" s="12">
        <v>0</v>
      </c>
      <c r="Y463" s="12">
        <v>0</v>
      </c>
      <c r="Z463" s="11">
        <v>0</v>
      </c>
      <c r="AA463" s="11">
        <v>0</v>
      </c>
      <c r="AB463" s="11">
        <v>0</v>
      </c>
      <c r="AC463" s="11">
        <v>0</v>
      </c>
      <c r="AD463" s="11">
        <v>0</v>
      </c>
      <c r="AE463" s="11">
        <v>0</v>
      </c>
      <c r="AF463" s="11">
        <v>1</v>
      </c>
      <c r="AG463" s="11">
        <v>1</v>
      </c>
      <c r="AH463" s="9">
        <v>3</v>
      </c>
      <c r="AI463" s="11">
        <v>3</v>
      </c>
      <c r="AJ463" s="11">
        <v>0</v>
      </c>
      <c r="AK463" s="11">
        <v>0</v>
      </c>
      <c r="AL463" s="11">
        <v>1</v>
      </c>
      <c r="AN463" s="11">
        <v>1</v>
      </c>
      <c r="AO463" s="11">
        <v>0</v>
      </c>
      <c r="AP463" s="11">
        <v>0</v>
      </c>
      <c r="AQ463" s="11">
        <v>0</v>
      </c>
      <c r="AR463" s="11">
        <v>0</v>
      </c>
      <c r="AS463" s="11">
        <v>0</v>
      </c>
      <c r="AT463" s="11">
        <v>1</v>
      </c>
      <c r="AU463" s="11">
        <v>0</v>
      </c>
      <c r="AV463" s="11">
        <v>0</v>
      </c>
      <c r="AW463" s="11">
        <v>0</v>
      </c>
      <c r="AX463" s="11">
        <v>0</v>
      </c>
      <c r="AY463" s="11">
        <v>0</v>
      </c>
      <c r="AZ463" s="12" t="s">
        <v>4246</v>
      </c>
      <c r="BA463" s="12" t="s">
        <v>3969</v>
      </c>
      <c r="BB463" s="12">
        <v>1</v>
      </c>
      <c r="BC463" s="9" t="s">
        <v>4878</v>
      </c>
      <c r="BD463" s="12">
        <v>43</v>
      </c>
      <c r="BE463" s="12">
        <v>250</v>
      </c>
      <c r="BF463" s="12">
        <f>VLOOKUP(A463,'[1]Phillips 1970'!H$1:AC$65536,22,FALSE)</f>
        <v>45208.423750180831</v>
      </c>
      <c r="BI463">
        <f>BD463/BF463</f>
        <v>9.5115017142857153E-4</v>
      </c>
      <c r="BJ463">
        <f>BI463*10000</f>
        <v>9.5115017142857159</v>
      </c>
    </row>
    <row r="464" spans="1:62" x14ac:dyDescent="0.15">
      <c r="A464" s="7" t="s">
        <v>3064</v>
      </c>
      <c r="C464" s="7" t="s">
        <v>3065</v>
      </c>
      <c r="D464" s="7" t="s">
        <v>5292</v>
      </c>
      <c r="E464" s="9" t="s">
        <v>4882</v>
      </c>
      <c r="L464" s="10">
        <v>3662880</v>
      </c>
      <c r="M464" s="10">
        <v>701081</v>
      </c>
      <c r="N464" s="11">
        <v>15</v>
      </c>
      <c r="O464" s="11" t="s">
        <v>4871</v>
      </c>
      <c r="P464" s="7" t="s">
        <v>7162</v>
      </c>
      <c r="Q464" s="9" t="s">
        <v>712</v>
      </c>
      <c r="R464" s="9" t="s">
        <v>712</v>
      </c>
      <c r="S464" s="9" t="s">
        <v>1125</v>
      </c>
      <c r="T464" s="9" t="s">
        <v>4875</v>
      </c>
      <c r="U464" s="12" t="s">
        <v>5020</v>
      </c>
      <c r="V464" s="12" t="s">
        <v>5021</v>
      </c>
      <c r="W464" s="12">
        <v>0</v>
      </c>
      <c r="X464" s="12">
        <v>0</v>
      </c>
      <c r="Y464" s="12">
        <v>0</v>
      </c>
      <c r="Z464" s="11">
        <v>0</v>
      </c>
      <c r="AA464" s="11">
        <v>0</v>
      </c>
      <c r="AB464" s="11">
        <v>0</v>
      </c>
      <c r="AC464" s="11">
        <v>0</v>
      </c>
      <c r="AD464" s="11">
        <v>0</v>
      </c>
      <c r="AE464" s="11">
        <v>0</v>
      </c>
      <c r="AF464" s="11">
        <v>1</v>
      </c>
      <c r="AG464" s="11">
        <v>1</v>
      </c>
      <c r="AH464" s="9">
        <v>4</v>
      </c>
      <c r="AI464" s="11">
        <v>4</v>
      </c>
      <c r="AJ464" s="11">
        <v>1</v>
      </c>
      <c r="AK464" s="11">
        <v>1</v>
      </c>
      <c r="AL464" s="11">
        <v>1</v>
      </c>
      <c r="AN464" s="11">
        <v>0</v>
      </c>
      <c r="AO464" s="11">
        <v>0</v>
      </c>
      <c r="AP464" s="11">
        <v>1</v>
      </c>
      <c r="AQ464" s="11">
        <v>0</v>
      </c>
      <c r="AR464" s="11">
        <v>0</v>
      </c>
      <c r="AS464" s="11">
        <v>0</v>
      </c>
      <c r="AT464" s="11">
        <v>1</v>
      </c>
      <c r="AU464" s="11">
        <v>0</v>
      </c>
      <c r="AV464" s="11">
        <v>0</v>
      </c>
      <c r="AW464" s="11">
        <v>0</v>
      </c>
      <c r="AX464" s="11">
        <v>0</v>
      </c>
      <c r="AY464" s="11">
        <v>0</v>
      </c>
      <c r="BA464" s="12" t="s">
        <v>4877</v>
      </c>
      <c r="BB464" s="12">
        <v>1</v>
      </c>
      <c r="BC464" s="9" t="s">
        <v>4878</v>
      </c>
      <c r="BD464" s="12">
        <v>40</v>
      </c>
      <c r="BE464" s="12">
        <v>300</v>
      </c>
      <c r="BF464" s="12">
        <v>0</v>
      </c>
      <c r="BI464" s="12">
        <v>0</v>
      </c>
      <c r="BJ464" s="12">
        <v>0</v>
      </c>
    </row>
    <row r="465" spans="1:62" x14ac:dyDescent="0.15">
      <c r="A465" s="7" t="s">
        <v>3066</v>
      </c>
      <c r="C465" s="7" t="s">
        <v>3067</v>
      </c>
      <c r="D465" s="7" t="s">
        <v>5292</v>
      </c>
      <c r="E465" s="9" t="s">
        <v>4882</v>
      </c>
      <c r="L465" s="10">
        <v>3660270</v>
      </c>
      <c r="M465" s="10">
        <v>698020</v>
      </c>
      <c r="N465" s="11">
        <v>15</v>
      </c>
      <c r="O465" s="11" t="s">
        <v>4871</v>
      </c>
      <c r="P465" s="7" t="s">
        <v>1087</v>
      </c>
      <c r="Q465" s="9" t="s">
        <v>1061</v>
      </c>
      <c r="R465" s="9" t="s">
        <v>1061</v>
      </c>
      <c r="S465" s="9" t="s">
        <v>1125</v>
      </c>
      <c r="T465" s="9" t="s">
        <v>8484</v>
      </c>
      <c r="U465" s="12" t="s">
        <v>5019</v>
      </c>
      <c r="V465" s="12" t="s">
        <v>5020</v>
      </c>
      <c r="W465" s="12">
        <v>0</v>
      </c>
      <c r="X465" s="12">
        <v>0</v>
      </c>
      <c r="Y465" s="12">
        <v>0</v>
      </c>
      <c r="Z465" s="11">
        <v>0</v>
      </c>
      <c r="AA465" s="11">
        <v>0</v>
      </c>
      <c r="AB465" s="11">
        <v>0</v>
      </c>
      <c r="AC465" s="11">
        <v>0</v>
      </c>
      <c r="AD465" s="11">
        <v>0</v>
      </c>
      <c r="AE465" s="11">
        <v>1</v>
      </c>
      <c r="AF465" s="11">
        <v>1</v>
      </c>
      <c r="AG465" s="11">
        <v>0</v>
      </c>
      <c r="AH465" s="9" t="s">
        <v>8248</v>
      </c>
      <c r="AI465" s="11">
        <v>2</v>
      </c>
      <c r="AJ465" s="11">
        <v>1</v>
      </c>
      <c r="AK465" s="11">
        <v>1</v>
      </c>
      <c r="AL465" s="11">
        <v>1</v>
      </c>
      <c r="AN465" s="11">
        <v>0</v>
      </c>
      <c r="AO465" s="11">
        <v>0</v>
      </c>
      <c r="AP465" s="11">
        <v>0</v>
      </c>
      <c r="AQ465" s="11">
        <v>0</v>
      </c>
      <c r="AR465" s="11">
        <v>0</v>
      </c>
      <c r="AS465" s="11">
        <v>0</v>
      </c>
      <c r="AT465" s="11">
        <v>1</v>
      </c>
      <c r="AU465" s="11">
        <v>0</v>
      </c>
      <c r="AV465" s="11">
        <v>0</v>
      </c>
      <c r="AW465" s="11">
        <v>0</v>
      </c>
      <c r="AX465" s="11">
        <v>0</v>
      </c>
      <c r="AY465" s="11">
        <v>0</v>
      </c>
      <c r="BA465" s="12" t="s">
        <v>4877</v>
      </c>
      <c r="BB465" s="12">
        <v>0</v>
      </c>
      <c r="BC465" s="9" t="s">
        <v>4878</v>
      </c>
      <c r="BD465" s="12">
        <v>8</v>
      </c>
      <c r="BE465" s="12">
        <v>0</v>
      </c>
      <c r="BF465" s="12">
        <f>VLOOKUP(A465,'[1]Phillips 1970'!H$1:AC$65536,22,FALSE)</f>
        <v>7608.5599250326304</v>
      </c>
      <c r="BI465">
        <f>BD465/BF465</f>
        <v>1.0514473275921121E-3</v>
      </c>
      <c r="BJ465">
        <f>BI465*10000</f>
        <v>10.514473275921121</v>
      </c>
    </row>
    <row r="466" spans="1:62" x14ac:dyDescent="0.15">
      <c r="A466" s="7" t="s">
        <v>3068</v>
      </c>
      <c r="C466" s="7" t="s">
        <v>3069</v>
      </c>
      <c r="D466" s="7" t="s">
        <v>5292</v>
      </c>
      <c r="E466" s="9" t="s">
        <v>4882</v>
      </c>
      <c r="L466" s="10">
        <v>3662670</v>
      </c>
      <c r="M466" s="10">
        <v>691027</v>
      </c>
      <c r="N466" s="11">
        <v>15</v>
      </c>
      <c r="O466" s="11" t="s">
        <v>4871</v>
      </c>
      <c r="P466" s="7" t="s">
        <v>7211</v>
      </c>
      <c r="Q466" s="9" t="s">
        <v>1061</v>
      </c>
      <c r="R466" s="9" t="s">
        <v>1061</v>
      </c>
      <c r="S466" s="9" t="s">
        <v>1125</v>
      </c>
      <c r="T466" s="9" t="s">
        <v>4797</v>
      </c>
      <c r="U466" s="12" t="s">
        <v>5018</v>
      </c>
      <c r="V466" s="12" t="s">
        <v>5019</v>
      </c>
      <c r="W466" s="12">
        <v>0</v>
      </c>
      <c r="X466" s="12">
        <v>0</v>
      </c>
      <c r="Y466" s="12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1</v>
      </c>
      <c r="AE466" s="11">
        <v>1</v>
      </c>
      <c r="AF466" s="11">
        <v>0</v>
      </c>
      <c r="AG466" s="11">
        <v>0</v>
      </c>
      <c r="AH466" s="9">
        <v>2</v>
      </c>
      <c r="AI466" s="11">
        <v>2</v>
      </c>
      <c r="AJ466" s="11">
        <v>1</v>
      </c>
      <c r="AK466" s="11">
        <v>1</v>
      </c>
      <c r="AL466" s="11">
        <v>1</v>
      </c>
      <c r="AN466" s="11">
        <v>0</v>
      </c>
      <c r="AO466" s="11">
        <v>0</v>
      </c>
      <c r="AP466" s="11">
        <v>0</v>
      </c>
      <c r="AQ466" s="11">
        <v>0</v>
      </c>
      <c r="AR466" s="11">
        <v>0</v>
      </c>
      <c r="AS466" s="11">
        <v>0</v>
      </c>
      <c r="AT466" s="11">
        <v>1</v>
      </c>
      <c r="AU466" s="11">
        <v>0</v>
      </c>
      <c r="AV466" s="11">
        <v>0</v>
      </c>
      <c r="AW466" s="11">
        <v>0</v>
      </c>
      <c r="AX466" s="11">
        <v>0</v>
      </c>
      <c r="AY466" s="11">
        <v>0</v>
      </c>
      <c r="BA466" s="12" t="s">
        <v>4877</v>
      </c>
      <c r="BB466" s="12">
        <v>1</v>
      </c>
      <c r="BC466" s="9" t="s">
        <v>4878</v>
      </c>
      <c r="BD466" s="12">
        <v>12</v>
      </c>
      <c r="BE466" s="12">
        <v>400</v>
      </c>
      <c r="BF466" s="12">
        <f>VLOOKUP(A466,'[1]Phillips 1970'!H$1:AC$65536,22,FALSE)</f>
        <v>15069.47458339361</v>
      </c>
      <c r="BI466">
        <f>BD466/BF466</f>
        <v>7.9631177142857148E-4</v>
      </c>
      <c r="BJ466">
        <f>BI466*10000</f>
        <v>7.9631177142857146</v>
      </c>
    </row>
    <row r="467" spans="1:62" x14ac:dyDescent="0.15">
      <c r="A467" s="7" t="s">
        <v>3070</v>
      </c>
      <c r="C467" s="7" t="s">
        <v>3071</v>
      </c>
      <c r="D467" s="7" t="s">
        <v>5292</v>
      </c>
      <c r="E467" s="9" t="s">
        <v>4882</v>
      </c>
      <c r="L467" s="10">
        <v>3664480</v>
      </c>
      <c r="M467" s="10">
        <v>688291</v>
      </c>
      <c r="N467" s="11">
        <v>15</v>
      </c>
      <c r="O467" s="11" t="s">
        <v>4871</v>
      </c>
      <c r="P467" s="7" t="s">
        <v>7211</v>
      </c>
      <c r="Q467" s="9" t="s">
        <v>3072</v>
      </c>
      <c r="R467" s="9" t="s">
        <v>1061</v>
      </c>
      <c r="S467" s="9" t="s">
        <v>7185</v>
      </c>
      <c r="T467" s="9" t="s">
        <v>4915</v>
      </c>
      <c r="U467" s="12" t="s">
        <v>4897</v>
      </c>
      <c r="V467" s="12" t="s">
        <v>5021</v>
      </c>
      <c r="W467" s="12">
        <v>0</v>
      </c>
      <c r="X467" s="12">
        <v>0</v>
      </c>
      <c r="Y467" s="12">
        <v>0</v>
      </c>
      <c r="Z467" s="11">
        <v>1</v>
      </c>
      <c r="AA467" s="11">
        <v>1</v>
      </c>
      <c r="AB467" s="11">
        <v>0</v>
      </c>
      <c r="AC467" s="11">
        <v>0</v>
      </c>
      <c r="AD467" s="11">
        <v>1</v>
      </c>
      <c r="AE467" s="11">
        <v>1</v>
      </c>
      <c r="AF467" s="11">
        <v>1</v>
      </c>
      <c r="AG467" s="11">
        <v>1</v>
      </c>
      <c r="AH467" s="9">
        <v>2</v>
      </c>
      <c r="AI467" s="11">
        <v>2</v>
      </c>
      <c r="AJ467" s="11">
        <v>1</v>
      </c>
      <c r="AK467" s="11">
        <v>1</v>
      </c>
      <c r="AL467" s="11">
        <v>1</v>
      </c>
      <c r="AN467" s="11">
        <v>1</v>
      </c>
      <c r="AO467" s="11">
        <v>0</v>
      </c>
      <c r="AP467" s="11">
        <v>0</v>
      </c>
      <c r="AQ467" s="11">
        <v>0</v>
      </c>
      <c r="AR467" s="11">
        <v>0</v>
      </c>
      <c r="AS467" s="11">
        <v>0</v>
      </c>
      <c r="AT467" s="11">
        <v>1</v>
      </c>
      <c r="AU467" s="11">
        <v>0</v>
      </c>
      <c r="AV467" s="11">
        <v>0</v>
      </c>
      <c r="AW467" s="11">
        <v>0</v>
      </c>
      <c r="AX467" s="11">
        <v>0</v>
      </c>
      <c r="AY467" s="11">
        <v>0</v>
      </c>
      <c r="BA467" s="12" t="s">
        <v>4877</v>
      </c>
      <c r="BB467" s="12">
        <v>1</v>
      </c>
      <c r="BC467" s="9" t="s">
        <v>4878</v>
      </c>
      <c r="BD467" s="12">
        <v>24</v>
      </c>
      <c r="BE467" s="12">
        <v>250</v>
      </c>
      <c r="BF467" s="12">
        <f>VLOOKUP(A467,'[1]Phillips 1970'!H$1:AC$65536,22,FALSE)</f>
        <v>45208.423750180831</v>
      </c>
      <c r="BI467">
        <f>BD467/BF467</f>
        <v>5.3087451428571436E-4</v>
      </c>
      <c r="BJ467">
        <f>BI467*10000</f>
        <v>5.3087451428571439</v>
      </c>
    </row>
    <row r="468" spans="1:62" x14ac:dyDescent="0.15">
      <c r="A468" s="7" t="s">
        <v>3073</v>
      </c>
      <c r="C468" s="7" t="s">
        <v>3074</v>
      </c>
      <c r="D468" s="7" t="s">
        <v>5292</v>
      </c>
      <c r="E468" s="9" t="s">
        <v>4882</v>
      </c>
      <c r="L468" s="10">
        <v>3668300</v>
      </c>
      <c r="M468" s="10">
        <v>702315</v>
      </c>
      <c r="N468" s="11">
        <v>15</v>
      </c>
      <c r="O468" s="11" t="s">
        <v>4871</v>
      </c>
      <c r="P468" s="7" t="s">
        <v>7331</v>
      </c>
      <c r="Q468" s="9" t="s">
        <v>1112</v>
      </c>
      <c r="S468" s="9" t="s">
        <v>1125</v>
      </c>
      <c r="T468" s="9" t="s">
        <v>4902</v>
      </c>
      <c r="U468" s="12" t="s">
        <v>4902</v>
      </c>
      <c r="V468" s="12" t="s">
        <v>4902</v>
      </c>
      <c r="W468" s="12">
        <v>0</v>
      </c>
      <c r="X468" s="12">
        <v>0</v>
      </c>
      <c r="Y468" s="12">
        <v>0</v>
      </c>
      <c r="Z468" s="11">
        <v>0</v>
      </c>
      <c r="AA468" s="11">
        <v>0</v>
      </c>
      <c r="AB468" s="11">
        <v>0</v>
      </c>
      <c r="AC468" s="11">
        <v>0</v>
      </c>
      <c r="AD468" s="11">
        <v>0</v>
      </c>
      <c r="AE468" s="11">
        <v>0</v>
      </c>
      <c r="AF468" s="11">
        <v>0</v>
      </c>
      <c r="AG468" s="11">
        <v>0</v>
      </c>
      <c r="AH468" s="9" t="s">
        <v>4909</v>
      </c>
      <c r="AI468" s="11">
        <v>1</v>
      </c>
      <c r="AJ468" s="11">
        <v>1</v>
      </c>
      <c r="AK468" s="11">
        <v>0</v>
      </c>
      <c r="AL468" s="11">
        <v>0</v>
      </c>
      <c r="AN468" s="11">
        <v>0</v>
      </c>
      <c r="AO468" s="11">
        <v>0</v>
      </c>
      <c r="AP468" s="11">
        <v>0</v>
      </c>
      <c r="AQ468" s="11">
        <v>0</v>
      </c>
      <c r="AR468" s="11">
        <v>0</v>
      </c>
      <c r="AS468" s="11">
        <v>0</v>
      </c>
      <c r="AT468" s="11">
        <v>1</v>
      </c>
      <c r="AU468" s="11">
        <v>0</v>
      </c>
      <c r="AV468" s="11">
        <v>0</v>
      </c>
      <c r="AW468" s="11">
        <v>0</v>
      </c>
      <c r="AX468" s="11">
        <v>0</v>
      </c>
      <c r="AY468" s="11">
        <v>0</v>
      </c>
      <c r="BA468" s="12" t="s">
        <v>4877</v>
      </c>
      <c r="BB468" s="12">
        <v>0</v>
      </c>
      <c r="BC468" s="9" t="s">
        <v>4878</v>
      </c>
      <c r="BD468" s="12">
        <v>0</v>
      </c>
      <c r="BE468" s="12">
        <v>0</v>
      </c>
      <c r="BF468" s="12">
        <f>VLOOKUP(A468,'[1]Phillips 1970'!H$1:AC$65536,22,FALSE)</f>
        <v>21134.888680646192</v>
      </c>
      <c r="BI468" s="12">
        <v>0</v>
      </c>
      <c r="BJ468" s="12">
        <v>0</v>
      </c>
    </row>
    <row r="469" spans="1:62" x14ac:dyDescent="0.15">
      <c r="A469" s="7" t="s">
        <v>3075</v>
      </c>
      <c r="C469" s="7" t="s">
        <v>3076</v>
      </c>
      <c r="D469" s="7" t="s">
        <v>5292</v>
      </c>
      <c r="E469" s="9" t="s">
        <v>4882</v>
      </c>
      <c r="L469" s="10">
        <v>3657440</v>
      </c>
      <c r="M469" s="10">
        <v>724827</v>
      </c>
      <c r="N469" s="11">
        <v>15</v>
      </c>
      <c r="O469" s="11" t="s">
        <v>4871</v>
      </c>
      <c r="P469" s="7" t="s">
        <v>1082</v>
      </c>
      <c r="Q469" s="9" t="s">
        <v>1061</v>
      </c>
      <c r="R469" s="9" t="s">
        <v>1061</v>
      </c>
      <c r="S469" s="9" t="s">
        <v>1125</v>
      </c>
      <c r="T469" s="9" t="s">
        <v>4797</v>
      </c>
      <c r="U469" s="12" t="s">
        <v>5018</v>
      </c>
      <c r="V469" s="12" t="s">
        <v>5019</v>
      </c>
      <c r="W469" s="12">
        <v>0</v>
      </c>
      <c r="X469" s="12">
        <v>0</v>
      </c>
      <c r="Y469" s="12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1</v>
      </c>
      <c r="AE469" s="11">
        <v>1</v>
      </c>
      <c r="AF469" s="11">
        <v>0</v>
      </c>
      <c r="AG469" s="11">
        <v>0</v>
      </c>
      <c r="AH469" s="9">
        <v>2</v>
      </c>
      <c r="AI469" s="11">
        <v>2</v>
      </c>
      <c r="AJ469" s="11">
        <v>1</v>
      </c>
      <c r="AK469" s="11">
        <v>1</v>
      </c>
      <c r="AL469" s="11">
        <v>1</v>
      </c>
      <c r="AN469" s="11">
        <v>1</v>
      </c>
      <c r="AO469" s="11">
        <v>0</v>
      </c>
      <c r="AP469" s="11">
        <v>0</v>
      </c>
      <c r="AQ469" s="11">
        <v>0</v>
      </c>
      <c r="AR469" s="11">
        <v>0</v>
      </c>
      <c r="AS469" s="11">
        <v>0</v>
      </c>
      <c r="AT469" s="11">
        <v>1</v>
      </c>
      <c r="AU469" s="11">
        <v>0</v>
      </c>
      <c r="AV469" s="11">
        <v>0</v>
      </c>
      <c r="AW469" s="11">
        <v>0</v>
      </c>
      <c r="AX469" s="11">
        <v>0</v>
      </c>
      <c r="AY469" s="11">
        <v>0</v>
      </c>
      <c r="BA469" s="12" t="s">
        <v>4877</v>
      </c>
      <c r="BB469" s="12">
        <v>0</v>
      </c>
      <c r="BC469" s="9" t="s">
        <v>4878</v>
      </c>
      <c r="BD469" s="12">
        <v>10</v>
      </c>
      <c r="BE469" s="12">
        <v>0</v>
      </c>
      <c r="BF469" s="12">
        <f>VLOOKUP(A469,'[1]Phillips 1970'!H$1:AC$65536,22,FALSE)</f>
        <v>8072.9328125322918</v>
      </c>
      <c r="BI469">
        <f>BD469/BF469</f>
        <v>1.2387072E-3</v>
      </c>
      <c r="BJ469">
        <f>BI469*10000</f>
        <v>12.387072</v>
      </c>
    </row>
    <row r="470" spans="1:62" x14ac:dyDescent="0.15">
      <c r="A470" s="7" t="s">
        <v>3077</v>
      </c>
      <c r="C470" s="7" t="s">
        <v>3078</v>
      </c>
      <c r="D470" s="7" t="s">
        <v>5292</v>
      </c>
      <c r="E470" s="9" t="s">
        <v>4882</v>
      </c>
      <c r="L470" s="10">
        <v>3658120</v>
      </c>
      <c r="M470" s="10">
        <v>718497</v>
      </c>
      <c r="N470" s="11">
        <v>15</v>
      </c>
      <c r="O470" s="11" t="s">
        <v>4871</v>
      </c>
      <c r="P470" s="7" t="s">
        <v>1145</v>
      </c>
      <c r="Q470" s="9" t="s">
        <v>712</v>
      </c>
      <c r="R470" s="9" t="s">
        <v>712</v>
      </c>
      <c r="S470" s="9" t="s">
        <v>1125</v>
      </c>
      <c r="T470" s="9" t="s">
        <v>4797</v>
      </c>
      <c r="U470" s="12" t="s">
        <v>5018</v>
      </c>
      <c r="V470" s="12" t="s">
        <v>5019</v>
      </c>
      <c r="W470" s="12">
        <v>0</v>
      </c>
      <c r="X470" s="12">
        <v>0</v>
      </c>
      <c r="Y470" s="12">
        <v>0</v>
      </c>
      <c r="Z470" s="11">
        <v>0</v>
      </c>
      <c r="AA470" s="11">
        <v>0</v>
      </c>
      <c r="AB470" s="11">
        <v>0</v>
      </c>
      <c r="AC470" s="11">
        <v>0</v>
      </c>
      <c r="AD470" s="11">
        <v>1</v>
      </c>
      <c r="AE470" s="11">
        <v>1</v>
      </c>
      <c r="AF470" s="11">
        <v>0</v>
      </c>
      <c r="AG470" s="11">
        <v>0</v>
      </c>
      <c r="AH470" s="9">
        <v>3</v>
      </c>
      <c r="AI470" s="11">
        <v>3</v>
      </c>
      <c r="AJ470" s="11">
        <v>1</v>
      </c>
      <c r="AK470" s="11">
        <v>1</v>
      </c>
      <c r="AL470" s="11">
        <v>1</v>
      </c>
      <c r="AN470" s="11">
        <v>0</v>
      </c>
      <c r="AO470" s="11">
        <v>0</v>
      </c>
      <c r="AP470" s="11">
        <v>0</v>
      </c>
      <c r="AQ470" s="11">
        <v>1</v>
      </c>
      <c r="AR470" s="11">
        <v>0</v>
      </c>
      <c r="AS470" s="11">
        <v>0</v>
      </c>
      <c r="AT470" s="11">
        <v>1</v>
      </c>
      <c r="AU470" s="11">
        <v>0</v>
      </c>
      <c r="AV470" s="11">
        <v>0</v>
      </c>
      <c r="AW470" s="11">
        <v>0</v>
      </c>
      <c r="AX470" s="11">
        <v>0</v>
      </c>
      <c r="AY470" s="11">
        <v>0</v>
      </c>
      <c r="BA470" s="12" t="s">
        <v>4877</v>
      </c>
      <c r="BB470" s="12">
        <v>1</v>
      </c>
      <c r="BC470" s="9" t="s">
        <v>4878</v>
      </c>
      <c r="BD470" s="12">
        <v>25</v>
      </c>
      <c r="BE470" s="12">
        <v>250</v>
      </c>
      <c r="BF470" s="12">
        <f>VLOOKUP(A470,'[1]Phillips 1970'!H$1:AC$65536,22,FALSE)</f>
        <v>17222.256666735557</v>
      </c>
      <c r="BI470">
        <f>BD470/BF470</f>
        <v>1.4516099999999999E-3</v>
      </c>
      <c r="BJ470">
        <f>BI470*10000</f>
        <v>14.516099999999998</v>
      </c>
    </row>
    <row r="471" spans="1:62" x14ac:dyDescent="0.15">
      <c r="A471" s="7" t="s">
        <v>3079</v>
      </c>
      <c r="C471" s="7" t="s">
        <v>3080</v>
      </c>
      <c r="D471" s="7" t="s">
        <v>5292</v>
      </c>
      <c r="E471" s="9" t="s">
        <v>4882</v>
      </c>
      <c r="L471" s="10">
        <v>3685237</v>
      </c>
      <c r="M471" s="10">
        <v>723800</v>
      </c>
      <c r="N471" s="11">
        <v>15</v>
      </c>
      <c r="O471" s="11" t="s">
        <v>4871</v>
      </c>
      <c r="P471" s="7" t="s">
        <v>910</v>
      </c>
      <c r="Q471" s="9" t="s">
        <v>1112</v>
      </c>
      <c r="S471" s="9" t="s">
        <v>1125</v>
      </c>
      <c r="T471" s="9" t="s">
        <v>4902</v>
      </c>
      <c r="U471" s="12" t="s">
        <v>4902</v>
      </c>
      <c r="V471" s="12" t="s">
        <v>4902</v>
      </c>
      <c r="W471" s="12">
        <v>0</v>
      </c>
      <c r="X471" s="12">
        <v>0</v>
      </c>
      <c r="Y471" s="12">
        <v>0</v>
      </c>
      <c r="Z471" s="11">
        <v>0</v>
      </c>
      <c r="AA471" s="11">
        <v>0</v>
      </c>
      <c r="AB471" s="11">
        <v>0</v>
      </c>
      <c r="AC471" s="11">
        <v>0</v>
      </c>
      <c r="AD471" s="11">
        <v>0</v>
      </c>
      <c r="AE471" s="11">
        <v>0</v>
      </c>
      <c r="AF471" s="11">
        <v>0</v>
      </c>
      <c r="AG471" s="11">
        <v>0</v>
      </c>
      <c r="AH471" s="9" t="s">
        <v>4909</v>
      </c>
      <c r="AI471" s="11">
        <v>1</v>
      </c>
      <c r="AJ471" s="11">
        <v>1</v>
      </c>
      <c r="AK471" s="11">
        <v>0</v>
      </c>
      <c r="AL471" s="11">
        <v>0</v>
      </c>
      <c r="AN471" s="11">
        <v>0</v>
      </c>
      <c r="AO471" s="11">
        <v>0</v>
      </c>
      <c r="AP471" s="11">
        <v>0</v>
      </c>
      <c r="AQ471" s="11">
        <v>0</v>
      </c>
      <c r="AR471" s="11">
        <v>0</v>
      </c>
      <c r="AS471" s="11">
        <v>0</v>
      </c>
      <c r="AT471" s="11">
        <v>1</v>
      </c>
      <c r="AU471" s="11">
        <v>0</v>
      </c>
      <c r="AV471" s="11">
        <v>0</v>
      </c>
      <c r="AW471" s="11">
        <v>0</v>
      </c>
      <c r="AX471" s="11">
        <v>0</v>
      </c>
      <c r="AY471" s="11">
        <v>0</v>
      </c>
      <c r="BA471" s="12" t="s">
        <v>4877</v>
      </c>
      <c r="BB471" s="12">
        <v>0</v>
      </c>
      <c r="BC471" s="9" t="s">
        <v>4878</v>
      </c>
      <c r="BD471" s="12">
        <v>0</v>
      </c>
      <c r="BE471" s="12">
        <v>0</v>
      </c>
      <c r="BF471" s="12">
        <f>VLOOKUP(A471,'[1]Phillips 1970'!H$1:AC$65536,22,FALSE)</f>
        <v>3381.5821889033914</v>
      </c>
      <c r="BI471" s="12">
        <v>0</v>
      </c>
      <c r="BJ471" s="12">
        <v>0</v>
      </c>
    </row>
    <row r="472" spans="1:62" x14ac:dyDescent="0.15">
      <c r="A472" s="7" t="s">
        <v>3081</v>
      </c>
      <c r="C472" s="7" t="s">
        <v>3082</v>
      </c>
      <c r="D472" s="7" t="s">
        <v>5292</v>
      </c>
      <c r="E472" s="9" t="s">
        <v>4882</v>
      </c>
      <c r="L472" s="10">
        <v>3666880</v>
      </c>
      <c r="M472" s="10">
        <v>711169</v>
      </c>
      <c r="N472" s="11">
        <v>15</v>
      </c>
      <c r="O472" s="11" t="s">
        <v>4871</v>
      </c>
      <c r="P472" s="7" t="s">
        <v>3083</v>
      </c>
      <c r="Q472" s="9" t="s">
        <v>1112</v>
      </c>
      <c r="S472" s="9" t="s">
        <v>1125</v>
      </c>
      <c r="T472" s="9" t="s">
        <v>4902</v>
      </c>
      <c r="U472" s="12" t="s">
        <v>4902</v>
      </c>
      <c r="V472" s="12" t="s">
        <v>4902</v>
      </c>
      <c r="W472" s="12">
        <v>0</v>
      </c>
      <c r="X472" s="12">
        <v>0</v>
      </c>
      <c r="Y472" s="12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9" t="s">
        <v>8248</v>
      </c>
      <c r="AI472" s="11">
        <v>2</v>
      </c>
      <c r="AJ472" s="11">
        <v>1</v>
      </c>
      <c r="AK472" s="11">
        <v>1</v>
      </c>
      <c r="AL472" s="11">
        <v>0</v>
      </c>
      <c r="AN472" s="11">
        <v>0</v>
      </c>
      <c r="AO472" s="11">
        <v>0</v>
      </c>
      <c r="AP472" s="11">
        <v>0</v>
      </c>
      <c r="AQ472" s="11">
        <v>0</v>
      </c>
      <c r="AR472" s="11">
        <v>0</v>
      </c>
      <c r="AS472" s="11">
        <v>0</v>
      </c>
      <c r="AT472" s="11">
        <v>1</v>
      </c>
      <c r="AU472" s="11">
        <v>0</v>
      </c>
      <c r="AV472" s="11">
        <v>0</v>
      </c>
      <c r="AW472" s="11">
        <v>0</v>
      </c>
      <c r="AX472" s="11">
        <v>0</v>
      </c>
      <c r="AY472" s="11">
        <v>0</v>
      </c>
      <c r="BA472" s="12" t="s">
        <v>4877</v>
      </c>
      <c r="BB472" s="12">
        <v>0</v>
      </c>
      <c r="BC472" s="9" t="s">
        <v>4878</v>
      </c>
      <c r="BD472" s="12">
        <v>0</v>
      </c>
      <c r="BE472" s="12">
        <v>0</v>
      </c>
      <c r="BF472" s="12">
        <f>VLOOKUP(A472,'[1]Phillips 1970'!H$1:AC$65536,22,FALSE)</f>
        <v>5166.677000020667</v>
      </c>
      <c r="BI472" s="12">
        <v>0</v>
      </c>
      <c r="BJ472" s="12">
        <v>0</v>
      </c>
    </row>
    <row r="473" spans="1:62" x14ac:dyDescent="0.15">
      <c r="A473" s="7" t="s">
        <v>3084</v>
      </c>
      <c r="C473" s="7" t="s">
        <v>3085</v>
      </c>
      <c r="D473" s="7" t="s">
        <v>5292</v>
      </c>
      <c r="E473" s="9" t="s">
        <v>4882</v>
      </c>
      <c r="L473" s="10">
        <v>3679240</v>
      </c>
      <c r="M473" s="10">
        <v>733349</v>
      </c>
      <c r="N473" s="11">
        <v>15</v>
      </c>
      <c r="O473" s="11" t="s">
        <v>4871</v>
      </c>
      <c r="P473" s="7" t="s">
        <v>3086</v>
      </c>
      <c r="Q473" s="9" t="s">
        <v>712</v>
      </c>
      <c r="R473" s="9" t="s">
        <v>712</v>
      </c>
      <c r="S473" s="9" t="s">
        <v>3087</v>
      </c>
      <c r="T473" s="9" t="s">
        <v>3088</v>
      </c>
      <c r="U473" s="12" t="s">
        <v>5019</v>
      </c>
      <c r="V473" s="12" t="s">
        <v>5020</v>
      </c>
      <c r="W473" s="12">
        <v>0</v>
      </c>
      <c r="X473" s="12">
        <v>0</v>
      </c>
      <c r="Y473" s="12">
        <v>0</v>
      </c>
      <c r="Z473" s="11">
        <v>1</v>
      </c>
      <c r="AA473" s="11">
        <v>1</v>
      </c>
      <c r="AB473" s="11">
        <v>0</v>
      </c>
      <c r="AC473" s="11">
        <v>0</v>
      </c>
      <c r="AD473" s="11">
        <v>0</v>
      </c>
      <c r="AE473" s="11">
        <v>1</v>
      </c>
      <c r="AF473" s="11">
        <v>1</v>
      </c>
      <c r="AG473" s="11">
        <v>0</v>
      </c>
      <c r="AH473" s="9">
        <v>5</v>
      </c>
      <c r="AI473" s="11">
        <v>5</v>
      </c>
      <c r="AJ473" s="11">
        <v>1</v>
      </c>
      <c r="AK473" s="11">
        <v>1</v>
      </c>
      <c r="AL473" s="11">
        <v>1</v>
      </c>
      <c r="AN473" s="11">
        <v>1</v>
      </c>
      <c r="AO473" s="11">
        <v>0</v>
      </c>
      <c r="AP473" s="11">
        <v>0</v>
      </c>
      <c r="AQ473" s="11">
        <v>0</v>
      </c>
      <c r="AR473" s="11">
        <v>0</v>
      </c>
      <c r="AS473" s="11">
        <v>0</v>
      </c>
      <c r="AT473" s="11">
        <v>1</v>
      </c>
      <c r="AU473" s="11">
        <v>0</v>
      </c>
      <c r="AV473" s="11">
        <v>0</v>
      </c>
      <c r="AW473" s="11">
        <v>0</v>
      </c>
      <c r="AX473" s="11">
        <v>0</v>
      </c>
      <c r="AY473" s="11">
        <v>0</v>
      </c>
      <c r="AZ473" s="12" t="s">
        <v>4172</v>
      </c>
      <c r="BA473" s="12" t="s">
        <v>4911</v>
      </c>
      <c r="BB473" s="12">
        <v>1</v>
      </c>
      <c r="BC473" s="9" t="s">
        <v>4878</v>
      </c>
      <c r="BD473" s="12">
        <v>15</v>
      </c>
      <c r="BE473" s="12">
        <v>250</v>
      </c>
      <c r="BF473" s="12">
        <v>0</v>
      </c>
      <c r="BI473" s="12">
        <v>0</v>
      </c>
      <c r="BJ473" s="12">
        <v>0</v>
      </c>
    </row>
    <row r="474" spans="1:62" x14ac:dyDescent="0.15">
      <c r="A474" s="7" t="s">
        <v>4173</v>
      </c>
      <c r="C474" s="7" t="s">
        <v>4174</v>
      </c>
      <c r="D474" s="7" t="s">
        <v>5292</v>
      </c>
      <c r="E474" s="9" t="s">
        <v>4882</v>
      </c>
      <c r="L474" s="10">
        <v>3673870</v>
      </c>
      <c r="M474" s="10">
        <v>734745</v>
      </c>
      <c r="N474" s="11">
        <v>15</v>
      </c>
      <c r="O474" s="11" t="s">
        <v>4871</v>
      </c>
      <c r="P474" s="7" t="s">
        <v>7162</v>
      </c>
      <c r="Q474" s="9" t="s">
        <v>1061</v>
      </c>
      <c r="R474" s="9" t="s">
        <v>1061</v>
      </c>
      <c r="S474" s="9" t="s">
        <v>1125</v>
      </c>
      <c r="T474" s="9" t="s">
        <v>4797</v>
      </c>
      <c r="U474" s="12" t="s">
        <v>5018</v>
      </c>
      <c r="V474" s="12" t="s">
        <v>5019</v>
      </c>
      <c r="W474" s="12">
        <v>0</v>
      </c>
      <c r="X474" s="12">
        <v>0</v>
      </c>
      <c r="Y474" s="12">
        <v>0</v>
      </c>
      <c r="Z474" s="11">
        <v>0</v>
      </c>
      <c r="AA474" s="11">
        <v>0</v>
      </c>
      <c r="AB474" s="11">
        <v>0</v>
      </c>
      <c r="AC474" s="11">
        <v>0</v>
      </c>
      <c r="AD474" s="11">
        <v>1</v>
      </c>
      <c r="AE474" s="11">
        <v>1</v>
      </c>
      <c r="AF474" s="11">
        <v>0</v>
      </c>
      <c r="AG474" s="11">
        <v>0</v>
      </c>
      <c r="AH474" s="9" t="s">
        <v>1083</v>
      </c>
      <c r="AI474" s="11">
        <v>1</v>
      </c>
      <c r="AJ474" s="11">
        <v>1</v>
      </c>
      <c r="AK474" s="11">
        <v>1</v>
      </c>
      <c r="AL474" s="11">
        <v>1</v>
      </c>
      <c r="AN474" s="11">
        <v>0</v>
      </c>
      <c r="AO474" s="11">
        <v>0</v>
      </c>
      <c r="AP474" s="11">
        <v>0</v>
      </c>
      <c r="AQ474" s="11">
        <v>0</v>
      </c>
      <c r="AR474" s="11">
        <v>0</v>
      </c>
      <c r="AS474" s="11">
        <v>0</v>
      </c>
      <c r="AT474" s="11">
        <v>1</v>
      </c>
      <c r="AU474" s="11">
        <v>0</v>
      </c>
      <c r="AV474" s="11">
        <v>0</v>
      </c>
      <c r="AW474" s="11">
        <v>0</v>
      </c>
      <c r="AX474" s="11">
        <v>0</v>
      </c>
      <c r="AY474" s="11">
        <v>0</v>
      </c>
      <c r="BA474" s="12" t="s">
        <v>4877</v>
      </c>
      <c r="BB474" s="12">
        <v>0</v>
      </c>
      <c r="BC474" s="9" t="s">
        <v>4878</v>
      </c>
      <c r="BD474" s="12">
        <v>12</v>
      </c>
      <c r="BE474" s="12">
        <v>0</v>
      </c>
      <c r="BF474" s="12">
        <f>VLOOKUP(A474,'[1]Phillips 1970'!H$1:AC$65536,22,FALSE)</f>
        <v>20625</v>
      </c>
      <c r="BI474">
        <f>BD474/BF474</f>
        <v>5.8181818181818183E-4</v>
      </c>
      <c r="BJ474">
        <f>BI474*10000</f>
        <v>5.8181818181818183</v>
      </c>
    </row>
    <row r="475" spans="1:62" x14ac:dyDescent="0.15">
      <c r="A475" s="7" t="s">
        <v>4175</v>
      </c>
      <c r="C475" s="7" t="s">
        <v>4176</v>
      </c>
      <c r="D475" s="7" t="s">
        <v>5292</v>
      </c>
      <c r="E475" s="9" t="s">
        <v>4882</v>
      </c>
      <c r="L475" s="10">
        <v>3660940</v>
      </c>
      <c r="M475" s="10">
        <v>738855</v>
      </c>
      <c r="N475" s="11">
        <v>15</v>
      </c>
      <c r="O475" s="11" t="s">
        <v>4871</v>
      </c>
      <c r="P475" s="7" t="s">
        <v>4177</v>
      </c>
      <c r="Q475" s="9" t="s">
        <v>1061</v>
      </c>
      <c r="R475" s="9" t="s">
        <v>1061</v>
      </c>
      <c r="S475" s="9" t="s">
        <v>1125</v>
      </c>
      <c r="T475" s="9" t="s">
        <v>8484</v>
      </c>
      <c r="U475" s="12" t="s">
        <v>5019</v>
      </c>
      <c r="V475" s="12" t="s">
        <v>5020</v>
      </c>
      <c r="W475" s="12">
        <v>0</v>
      </c>
      <c r="X475" s="12">
        <v>0</v>
      </c>
      <c r="Y475" s="12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1</v>
      </c>
      <c r="AF475" s="11">
        <v>1</v>
      </c>
      <c r="AG475" s="11">
        <v>0</v>
      </c>
      <c r="AH475" s="9">
        <v>2</v>
      </c>
      <c r="AI475" s="11">
        <v>2</v>
      </c>
      <c r="AJ475" s="11">
        <v>1</v>
      </c>
      <c r="AK475" s="11">
        <v>1</v>
      </c>
      <c r="AL475" s="11">
        <v>1</v>
      </c>
      <c r="AN475" s="11">
        <v>0</v>
      </c>
      <c r="AO475" s="11">
        <v>0</v>
      </c>
      <c r="AP475" s="11">
        <v>0</v>
      </c>
      <c r="AQ475" s="11">
        <v>1</v>
      </c>
      <c r="AR475" s="11">
        <v>0</v>
      </c>
      <c r="AS475" s="11">
        <v>0</v>
      </c>
      <c r="AT475" s="11">
        <v>1</v>
      </c>
      <c r="AU475" s="11">
        <v>0</v>
      </c>
      <c r="AV475" s="11">
        <v>0</v>
      </c>
      <c r="AW475" s="11">
        <v>0</v>
      </c>
      <c r="AX475" s="11">
        <v>0</v>
      </c>
      <c r="AY475" s="11">
        <v>0</v>
      </c>
      <c r="BA475" s="12" t="s">
        <v>4877</v>
      </c>
      <c r="BB475" s="12">
        <v>1</v>
      </c>
      <c r="BC475" s="9" t="s">
        <v>4878</v>
      </c>
      <c r="BD475" s="12">
        <v>12</v>
      </c>
      <c r="BE475" s="12">
        <v>150</v>
      </c>
      <c r="BF475" s="12">
        <f>VLOOKUP(A475,'[1]Phillips 1970'!H$1:AC$65536,22,FALSE)</f>
        <v>24487.896198014616</v>
      </c>
      <c r="BI475">
        <f>BD475/BF475</f>
        <v>4.9003801318681323E-4</v>
      </c>
      <c r="BJ475">
        <f>BI475*10000</f>
        <v>4.9003801318681326</v>
      </c>
    </row>
    <row r="476" spans="1:62" x14ac:dyDescent="0.15">
      <c r="A476" s="7" t="s">
        <v>4178</v>
      </c>
      <c r="C476" s="7" t="s">
        <v>4179</v>
      </c>
      <c r="D476" s="7" t="s">
        <v>5292</v>
      </c>
      <c r="E476" s="9" t="s">
        <v>4882</v>
      </c>
      <c r="L476" s="10">
        <v>3686110</v>
      </c>
      <c r="M476" s="10">
        <v>733150</v>
      </c>
      <c r="N476" s="11">
        <v>15</v>
      </c>
      <c r="O476" s="11" t="s">
        <v>4871</v>
      </c>
      <c r="P476" s="7" t="s">
        <v>1082</v>
      </c>
      <c r="Q476" s="9" t="s">
        <v>1112</v>
      </c>
      <c r="S476" s="9" t="s">
        <v>1125</v>
      </c>
      <c r="T476" s="9" t="s">
        <v>4902</v>
      </c>
      <c r="U476" s="12" t="s">
        <v>4902</v>
      </c>
      <c r="V476" s="12" t="s">
        <v>4902</v>
      </c>
      <c r="W476" s="12">
        <v>0</v>
      </c>
      <c r="X476" s="12">
        <v>0</v>
      </c>
      <c r="Y476" s="12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9" t="s">
        <v>1083</v>
      </c>
      <c r="AI476" s="11">
        <v>2</v>
      </c>
      <c r="AJ476" s="11">
        <v>1</v>
      </c>
      <c r="AK476" s="11">
        <v>1</v>
      </c>
      <c r="AL476" s="11">
        <v>0</v>
      </c>
      <c r="AN476" s="11">
        <v>0</v>
      </c>
      <c r="AO476" s="11">
        <v>0</v>
      </c>
      <c r="AP476" s="11">
        <v>0</v>
      </c>
      <c r="AQ476" s="11">
        <v>0</v>
      </c>
      <c r="AR476" s="11">
        <v>0</v>
      </c>
      <c r="AS476" s="11">
        <v>0</v>
      </c>
      <c r="AT476" s="11">
        <v>1</v>
      </c>
      <c r="AU476" s="11">
        <v>0</v>
      </c>
      <c r="AV476" s="11">
        <v>0</v>
      </c>
      <c r="AW476" s="11">
        <v>0</v>
      </c>
      <c r="AX476" s="11">
        <v>0</v>
      </c>
      <c r="AY476" s="11">
        <v>0</v>
      </c>
      <c r="BA476" s="12" t="s">
        <v>4877</v>
      </c>
      <c r="BB476" s="12">
        <v>0</v>
      </c>
      <c r="BC476" s="9" t="s">
        <v>4878</v>
      </c>
      <c r="BD476" s="12">
        <v>0</v>
      </c>
      <c r="BE476" s="12">
        <v>0</v>
      </c>
      <c r="BF476" s="12">
        <f>VLOOKUP(A476,'[1]Phillips 1970'!H$1:AC$65536,22,FALSE)</f>
        <v>9687.5193750387498</v>
      </c>
      <c r="BI476" s="12">
        <v>0</v>
      </c>
      <c r="BJ476" s="12">
        <v>0</v>
      </c>
    </row>
    <row r="477" spans="1:62" x14ac:dyDescent="0.15">
      <c r="A477" s="7" t="s">
        <v>4180</v>
      </c>
      <c r="C477" s="7" t="s">
        <v>4181</v>
      </c>
      <c r="D477" s="7" t="s">
        <v>5292</v>
      </c>
      <c r="E477" s="9" t="s">
        <v>4882</v>
      </c>
      <c r="L477" s="10">
        <v>3662890</v>
      </c>
      <c r="M477" s="10">
        <v>733607</v>
      </c>
      <c r="N477" s="11">
        <v>15</v>
      </c>
      <c r="O477" s="11" t="s">
        <v>4871</v>
      </c>
      <c r="P477" s="7" t="s">
        <v>7162</v>
      </c>
      <c r="Q477" s="9" t="s">
        <v>1061</v>
      </c>
      <c r="R477" s="9" t="s">
        <v>1061</v>
      </c>
      <c r="S477" s="9" t="s">
        <v>1125</v>
      </c>
      <c r="T477" s="9" t="s">
        <v>8484</v>
      </c>
      <c r="U477" s="12" t="s">
        <v>5019</v>
      </c>
      <c r="V477" s="12" t="s">
        <v>5020</v>
      </c>
      <c r="W477" s="12">
        <v>0</v>
      </c>
      <c r="X477" s="12">
        <v>0</v>
      </c>
      <c r="Y477" s="12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1</v>
      </c>
      <c r="AF477" s="11">
        <v>1</v>
      </c>
      <c r="AG477" s="11">
        <v>0</v>
      </c>
      <c r="AH477" s="9" t="s">
        <v>1083</v>
      </c>
      <c r="AI477" s="11">
        <v>1</v>
      </c>
      <c r="AJ477" s="11">
        <v>1</v>
      </c>
      <c r="AK477" s="11">
        <v>1</v>
      </c>
      <c r="AL477" s="11">
        <v>1</v>
      </c>
      <c r="AN477" s="11">
        <v>0</v>
      </c>
      <c r="AO477" s="11">
        <v>1</v>
      </c>
      <c r="AP477" s="11">
        <v>0</v>
      </c>
      <c r="AQ477" s="11">
        <v>0</v>
      </c>
      <c r="AR477" s="11">
        <v>0</v>
      </c>
      <c r="AS477" s="11">
        <v>0</v>
      </c>
      <c r="AT477" s="11">
        <v>1</v>
      </c>
      <c r="AU477" s="11">
        <v>0</v>
      </c>
      <c r="AV477" s="11">
        <v>0</v>
      </c>
      <c r="AW477" s="11">
        <v>0</v>
      </c>
      <c r="AX477" s="11">
        <v>0</v>
      </c>
      <c r="AY477" s="11">
        <v>0</v>
      </c>
      <c r="BA477" s="12" t="s">
        <v>4877</v>
      </c>
      <c r="BB477" s="12">
        <v>0</v>
      </c>
      <c r="BC477" s="9" t="s">
        <v>4878</v>
      </c>
      <c r="BD477" s="12">
        <v>15</v>
      </c>
      <c r="BE477" s="12">
        <v>0</v>
      </c>
      <c r="BF477" s="12">
        <f>VLOOKUP(A477,'[1]Phillips 1970'!H$1:AC$65536,22,FALSE)</f>
        <v>17954.667017554439</v>
      </c>
      <c r="BI477">
        <f>BD477/BF477</f>
        <v>8.3543738156404497E-4</v>
      </c>
      <c r="BJ477">
        <f>BI477*10000</f>
        <v>8.3543738156404501</v>
      </c>
    </row>
    <row r="478" spans="1:62" x14ac:dyDescent="0.15">
      <c r="A478" s="7" t="s">
        <v>7958</v>
      </c>
      <c r="C478" s="7" t="s">
        <v>7959</v>
      </c>
      <c r="D478" s="7" t="s">
        <v>5292</v>
      </c>
      <c r="E478" s="9" t="s">
        <v>4882</v>
      </c>
      <c r="L478" s="10">
        <v>3665620</v>
      </c>
      <c r="M478" s="10">
        <v>734014</v>
      </c>
      <c r="N478" s="11">
        <v>15</v>
      </c>
      <c r="O478" s="11" t="s">
        <v>4871</v>
      </c>
      <c r="P478" s="7" t="s">
        <v>4854</v>
      </c>
      <c r="Q478" s="9" t="s">
        <v>4854</v>
      </c>
      <c r="R478" s="9" t="s">
        <v>4854</v>
      </c>
      <c r="S478" s="9" t="s">
        <v>1125</v>
      </c>
      <c r="T478" s="9" t="s">
        <v>4891</v>
      </c>
      <c r="U478" s="12" t="s">
        <v>5017</v>
      </c>
      <c r="V478" s="12" t="s">
        <v>5018</v>
      </c>
      <c r="W478" s="12">
        <v>0</v>
      </c>
      <c r="X478" s="12">
        <v>0</v>
      </c>
      <c r="Y478" s="12">
        <v>0</v>
      </c>
      <c r="Z478" s="11">
        <v>0</v>
      </c>
      <c r="AA478" s="11">
        <v>0</v>
      </c>
      <c r="AB478" s="11">
        <v>0</v>
      </c>
      <c r="AC478" s="11">
        <v>1</v>
      </c>
      <c r="AD478" s="11">
        <v>1</v>
      </c>
      <c r="AE478" s="11">
        <v>0</v>
      </c>
      <c r="AF478" s="11">
        <v>0</v>
      </c>
      <c r="AG478" s="11">
        <v>0</v>
      </c>
      <c r="AH478" s="9" t="s">
        <v>4878</v>
      </c>
      <c r="AI478" s="11">
        <v>0</v>
      </c>
      <c r="AJ478" s="11">
        <v>0</v>
      </c>
      <c r="AK478" s="11">
        <v>0</v>
      </c>
      <c r="AL478" s="11">
        <v>0</v>
      </c>
      <c r="AN478" s="11">
        <v>0</v>
      </c>
      <c r="AO478" s="11">
        <v>0</v>
      </c>
      <c r="AP478" s="11">
        <v>0</v>
      </c>
      <c r="AQ478" s="11">
        <v>0</v>
      </c>
      <c r="AR478" s="11">
        <v>0</v>
      </c>
      <c r="AS478" s="11">
        <v>0</v>
      </c>
      <c r="AT478" s="11">
        <v>0</v>
      </c>
      <c r="AU478" s="11">
        <v>0</v>
      </c>
      <c r="AV478" s="11">
        <v>0</v>
      </c>
      <c r="AW478" s="11">
        <v>0</v>
      </c>
      <c r="AX478" s="11">
        <v>1</v>
      </c>
      <c r="AY478" s="11">
        <v>0</v>
      </c>
      <c r="BA478" s="12" t="s">
        <v>4877</v>
      </c>
      <c r="BB478" s="12">
        <v>0</v>
      </c>
      <c r="BC478" s="9" t="s">
        <v>4878</v>
      </c>
      <c r="BD478" s="12">
        <v>0</v>
      </c>
      <c r="BE478" s="12">
        <v>0</v>
      </c>
      <c r="BF478" s="12">
        <v>0</v>
      </c>
      <c r="BI478" s="12">
        <v>0</v>
      </c>
      <c r="BJ478" s="12">
        <v>0</v>
      </c>
    </row>
    <row r="479" spans="1:62" x14ac:dyDescent="0.15">
      <c r="A479" s="14" t="s">
        <v>7966</v>
      </c>
      <c r="C479" s="14" t="s">
        <v>7967</v>
      </c>
      <c r="D479" s="8" t="s">
        <v>7962</v>
      </c>
      <c r="E479" s="9" t="s">
        <v>7963</v>
      </c>
      <c r="F479" s="9" t="s">
        <v>4609</v>
      </c>
      <c r="G479" s="9" t="s">
        <v>7115</v>
      </c>
      <c r="I479" s="9" t="s">
        <v>7116</v>
      </c>
      <c r="J479" s="9" t="s">
        <v>7117</v>
      </c>
      <c r="K479" s="9" t="s">
        <v>7084</v>
      </c>
      <c r="L479" s="10">
        <v>4105120</v>
      </c>
      <c r="M479" s="10">
        <v>770455</v>
      </c>
      <c r="N479" s="11">
        <v>15</v>
      </c>
      <c r="O479" s="11" t="s">
        <v>7964</v>
      </c>
      <c r="P479" s="14" t="s">
        <v>6896</v>
      </c>
      <c r="Q479" s="9" t="s">
        <v>5311</v>
      </c>
      <c r="S479" s="14" t="s">
        <v>7120</v>
      </c>
      <c r="T479" s="15" t="s">
        <v>8342</v>
      </c>
      <c r="U479" s="12" t="s">
        <v>5019</v>
      </c>
      <c r="V479" s="12" t="s">
        <v>5021</v>
      </c>
      <c r="W479" s="12">
        <v>0</v>
      </c>
      <c r="X479" s="12">
        <v>0</v>
      </c>
      <c r="Y479" s="12">
        <v>0</v>
      </c>
      <c r="Z479" s="15">
        <v>0</v>
      </c>
      <c r="AA479" s="15">
        <v>0</v>
      </c>
      <c r="AB479" s="15">
        <v>0</v>
      </c>
      <c r="AC479" s="15">
        <v>0</v>
      </c>
      <c r="AD479" s="15">
        <v>0</v>
      </c>
      <c r="AE479" s="15">
        <v>1</v>
      </c>
      <c r="AF479" s="15">
        <v>1</v>
      </c>
      <c r="AG479" s="15">
        <v>1</v>
      </c>
      <c r="AH479" s="15">
        <v>6</v>
      </c>
      <c r="AI479" s="15">
        <v>6</v>
      </c>
      <c r="AJ479" s="15">
        <v>1</v>
      </c>
      <c r="AK479" s="15">
        <v>1</v>
      </c>
      <c r="AL479" s="15">
        <v>0</v>
      </c>
      <c r="AM479" s="15"/>
      <c r="AN479" s="15">
        <v>0</v>
      </c>
      <c r="AO479" s="15">
        <v>0</v>
      </c>
      <c r="AP479" s="15">
        <v>0</v>
      </c>
      <c r="AQ479" s="15">
        <v>1</v>
      </c>
      <c r="AR479" s="15">
        <v>1</v>
      </c>
      <c r="AS479" s="15">
        <v>0</v>
      </c>
      <c r="AT479" s="15">
        <v>1</v>
      </c>
      <c r="AU479" s="15">
        <v>1</v>
      </c>
      <c r="AV479" s="15">
        <v>0</v>
      </c>
      <c r="AW479" s="15">
        <v>0</v>
      </c>
      <c r="AX479" s="15">
        <v>0</v>
      </c>
      <c r="AY479" s="15">
        <v>1</v>
      </c>
      <c r="AZ479" s="12" t="s">
        <v>4843</v>
      </c>
      <c r="BA479" s="12" t="s">
        <v>4911</v>
      </c>
      <c r="BB479" s="12">
        <v>0</v>
      </c>
      <c r="BC479" s="12">
        <v>0</v>
      </c>
      <c r="BD479" s="12">
        <v>10</v>
      </c>
      <c r="BE479" s="12">
        <v>0</v>
      </c>
      <c r="BF479" s="12">
        <f>(75^2)*PI()</f>
        <v>17671.458676442588</v>
      </c>
      <c r="BI479">
        <f>BD479/BF479</f>
        <v>5.6588424210451678E-4</v>
      </c>
      <c r="BJ479">
        <f>BI479*10000</f>
        <v>5.6588424210451675</v>
      </c>
    </row>
    <row r="480" spans="1:62" x14ac:dyDescent="0.15">
      <c r="A480" s="14" t="s">
        <v>7968</v>
      </c>
      <c r="C480" s="14" t="s">
        <v>7969</v>
      </c>
      <c r="D480" s="8" t="s">
        <v>7962</v>
      </c>
      <c r="E480" s="9" t="s">
        <v>7963</v>
      </c>
      <c r="F480" s="9" t="s">
        <v>4609</v>
      </c>
      <c r="G480" s="9" t="s">
        <v>3158</v>
      </c>
      <c r="I480" s="9" t="s">
        <v>7536</v>
      </c>
      <c r="J480" s="9" t="s">
        <v>3130</v>
      </c>
      <c r="K480" s="9" t="s">
        <v>6913</v>
      </c>
      <c r="L480" s="10">
        <v>4080008</v>
      </c>
      <c r="M480" s="10">
        <v>271712</v>
      </c>
      <c r="N480" s="11">
        <v>16</v>
      </c>
      <c r="O480" s="11" t="s">
        <v>4871</v>
      </c>
      <c r="P480" s="14" t="s">
        <v>7970</v>
      </c>
      <c r="Q480" s="9" t="s">
        <v>5311</v>
      </c>
      <c r="S480" s="14" t="s">
        <v>7971</v>
      </c>
      <c r="T480" s="15" t="s">
        <v>4784</v>
      </c>
      <c r="U480" s="12" t="s">
        <v>5017</v>
      </c>
      <c r="V480" s="12" t="s">
        <v>5021</v>
      </c>
      <c r="W480" s="12">
        <v>0</v>
      </c>
      <c r="X480" s="12">
        <v>0</v>
      </c>
      <c r="Y480" s="12">
        <v>0</v>
      </c>
      <c r="Z480" s="15">
        <v>0</v>
      </c>
      <c r="AA480" s="15">
        <v>0</v>
      </c>
      <c r="AB480" s="15">
        <v>0</v>
      </c>
      <c r="AC480" s="15">
        <v>1</v>
      </c>
      <c r="AD480" s="15">
        <v>1</v>
      </c>
      <c r="AE480" s="15">
        <v>1</v>
      </c>
      <c r="AF480" s="15">
        <v>1</v>
      </c>
      <c r="AG480" s="15">
        <v>1</v>
      </c>
      <c r="AH480" s="15" t="s">
        <v>7972</v>
      </c>
      <c r="AI480" s="15">
        <v>8</v>
      </c>
      <c r="AJ480" s="15">
        <v>1</v>
      </c>
      <c r="AK480" s="15">
        <v>1</v>
      </c>
      <c r="AL480" s="15">
        <v>1</v>
      </c>
      <c r="AM480" s="15"/>
      <c r="AN480" s="15">
        <v>0</v>
      </c>
      <c r="AO480" s="15">
        <v>0</v>
      </c>
      <c r="AP480" s="15">
        <v>0</v>
      </c>
      <c r="AQ480" s="15">
        <v>1</v>
      </c>
      <c r="AR480" s="15">
        <v>1</v>
      </c>
      <c r="AS480" s="15">
        <v>0</v>
      </c>
      <c r="AT480" s="15">
        <v>1</v>
      </c>
      <c r="AU480" s="15">
        <v>1</v>
      </c>
      <c r="AV480" s="15">
        <v>1</v>
      </c>
      <c r="AW480" s="15">
        <v>0</v>
      </c>
      <c r="AX480" s="15">
        <v>0</v>
      </c>
      <c r="AY480" s="15">
        <v>0</v>
      </c>
      <c r="AZ480" s="12" t="s">
        <v>4843</v>
      </c>
      <c r="BA480" s="12" t="s">
        <v>4911</v>
      </c>
      <c r="BB480" s="15">
        <v>1</v>
      </c>
      <c r="BC480" s="15">
        <v>0</v>
      </c>
      <c r="BD480" s="15">
        <v>11</v>
      </c>
      <c r="BE480" s="12">
        <v>0</v>
      </c>
      <c r="BF480" s="15">
        <v>27600</v>
      </c>
      <c r="BI480">
        <f>BD480/BF480</f>
        <v>3.9855072463768114E-4</v>
      </c>
      <c r="BJ480">
        <f>BI480*10000</f>
        <v>3.9855072463768115</v>
      </c>
    </row>
    <row r="481" spans="1:62" x14ac:dyDescent="0.15">
      <c r="A481" s="14" t="s">
        <v>7973</v>
      </c>
      <c r="C481" s="14" t="s">
        <v>7974</v>
      </c>
      <c r="D481" s="8" t="s">
        <v>7962</v>
      </c>
      <c r="E481" s="9" t="s">
        <v>7963</v>
      </c>
      <c r="F481" s="9" t="s">
        <v>4609</v>
      </c>
      <c r="G481" s="9" t="s">
        <v>3158</v>
      </c>
      <c r="I481" s="9" t="s">
        <v>7536</v>
      </c>
      <c r="J481" s="9" t="s">
        <v>3130</v>
      </c>
      <c r="K481" s="9" t="s">
        <v>6913</v>
      </c>
      <c r="L481" s="10">
        <v>4077576</v>
      </c>
      <c r="M481" s="10">
        <v>272040</v>
      </c>
      <c r="N481" s="11">
        <v>16</v>
      </c>
      <c r="O481" s="11" t="s">
        <v>4871</v>
      </c>
      <c r="P481" s="14" t="s">
        <v>7975</v>
      </c>
      <c r="Q481" s="9" t="s">
        <v>5311</v>
      </c>
      <c r="S481" s="14" t="s">
        <v>7971</v>
      </c>
      <c r="T481" s="15" t="s">
        <v>4784</v>
      </c>
      <c r="U481" s="12" t="s">
        <v>5017</v>
      </c>
      <c r="V481" s="12" t="s">
        <v>5021</v>
      </c>
      <c r="W481" s="12">
        <v>0</v>
      </c>
      <c r="X481" s="12">
        <v>0</v>
      </c>
      <c r="Y481" s="12">
        <v>0</v>
      </c>
      <c r="Z481" s="15">
        <v>0</v>
      </c>
      <c r="AA481" s="15">
        <v>0</v>
      </c>
      <c r="AB481" s="15">
        <v>0</v>
      </c>
      <c r="AC481" s="15">
        <v>1</v>
      </c>
      <c r="AD481" s="15">
        <v>1</v>
      </c>
      <c r="AE481" s="15">
        <v>1</v>
      </c>
      <c r="AF481" s="15">
        <v>1</v>
      </c>
      <c r="AG481" s="15">
        <v>1</v>
      </c>
      <c r="AH481" s="15">
        <v>2</v>
      </c>
      <c r="AI481" s="15">
        <v>2</v>
      </c>
      <c r="AJ481" s="15">
        <v>1</v>
      </c>
      <c r="AK481" s="15">
        <v>1</v>
      </c>
      <c r="AL481" s="15">
        <v>0</v>
      </c>
      <c r="AM481" s="15"/>
      <c r="AN481" s="15">
        <v>0</v>
      </c>
      <c r="AO481" s="15">
        <v>0</v>
      </c>
      <c r="AP481" s="15">
        <v>0</v>
      </c>
      <c r="AQ481" s="15">
        <v>1</v>
      </c>
      <c r="AR481" s="15">
        <v>0</v>
      </c>
      <c r="AS481" s="15">
        <v>0</v>
      </c>
      <c r="AT481" s="15">
        <v>1</v>
      </c>
      <c r="AU481" s="15">
        <v>1</v>
      </c>
      <c r="AV481" s="15">
        <v>1</v>
      </c>
      <c r="AW481" s="15">
        <v>0</v>
      </c>
      <c r="AX481" s="15">
        <v>0</v>
      </c>
      <c r="AY481" s="15">
        <v>0</v>
      </c>
      <c r="AZ481" s="12" t="s">
        <v>4843</v>
      </c>
      <c r="BA481" s="12" t="s">
        <v>4911</v>
      </c>
      <c r="BB481" s="15">
        <v>0</v>
      </c>
      <c r="BC481" s="15">
        <v>0</v>
      </c>
      <c r="BD481" s="15">
        <v>4.5</v>
      </c>
      <c r="BE481" s="15">
        <v>120</v>
      </c>
      <c r="BF481" s="15">
        <v>3318.3072403542192</v>
      </c>
      <c r="BI481">
        <f>BD481/BF481</f>
        <v>1.3561131245699957E-3</v>
      </c>
      <c r="BJ481">
        <f>BI481*10000</f>
        <v>13.561131245699958</v>
      </c>
    </row>
    <row r="482" spans="1:62" x14ac:dyDescent="0.15">
      <c r="A482" s="14" t="s">
        <v>7976</v>
      </c>
      <c r="C482" s="14" t="s">
        <v>4786</v>
      </c>
      <c r="D482" s="8" t="s">
        <v>7962</v>
      </c>
      <c r="E482" s="9" t="s">
        <v>7963</v>
      </c>
      <c r="F482" s="9" t="s">
        <v>4609</v>
      </c>
      <c r="G482" s="9" t="s">
        <v>3158</v>
      </c>
      <c r="I482" s="9" t="s">
        <v>3160</v>
      </c>
      <c r="J482" s="9" t="s">
        <v>3130</v>
      </c>
      <c r="K482" s="9" t="s">
        <v>6913</v>
      </c>
      <c r="L482" s="10">
        <v>4072344</v>
      </c>
      <c r="M482" s="10">
        <v>268723</v>
      </c>
      <c r="N482" s="11">
        <v>16</v>
      </c>
      <c r="O482" s="11" t="s">
        <v>4871</v>
      </c>
      <c r="P482" s="14" t="s">
        <v>7725</v>
      </c>
      <c r="Q482" s="9" t="s">
        <v>5311</v>
      </c>
      <c r="S482" s="14" t="s">
        <v>7726</v>
      </c>
      <c r="T482" s="15" t="s">
        <v>5372</v>
      </c>
      <c r="U482" s="12" t="s">
        <v>5018</v>
      </c>
      <c r="V482" s="12" t="s">
        <v>5021</v>
      </c>
      <c r="W482" s="12">
        <v>0</v>
      </c>
      <c r="X482" s="12">
        <v>0</v>
      </c>
      <c r="Y482" s="12">
        <v>0</v>
      </c>
      <c r="Z482" s="15">
        <v>0</v>
      </c>
      <c r="AA482" s="15">
        <v>0</v>
      </c>
      <c r="AB482" s="15">
        <v>0</v>
      </c>
      <c r="AC482" s="15">
        <v>0</v>
      </c>
      <c r="AD482" s="15">
        <v>1</v>
      </c>
      <c r="AE482" s="15">
        <v>1</v>
      </c>
      <c r="AF482" s="15">
        <v>1</v>
      </c>
      <c r="AG482" s="15">
        <v>1</v>
      </c>
      <c r="AH482" s="15">
        <v>7</v>
      </c>
      <c r="AI482" s="15">
        <v>7</v>
      </c>
      <c r="AJ482" s="15">
        <v>1</v>
      </c>
      <c r="AK482" s="15">
        <v>1</v>
      </c>
      <c r="AL482" s="15">
        <v>1</v>
      </c>
      <c r="AM482" s="15"/>
      <c r="AN482" s="15">
        <v>0</v>
      </c>
      <c r="AO482" s="15">
        <v>0</v>
      </c>
      <c r="AP482" s="15">
        <v>0</v>
      </c>
      <c r="AQ482" s="15">
        <v>1</v>
      </c>
      <c r="AR482" s="15">
        <v>1</v>
      </c>
      <c r="AS482" s="15">
        <v>0</v>
      </c>
      <c r="AT482" s="15">
        <v>1</v>
      </c>
      <c r="AU482" s="15">
        <v>1</v>
      </c>
      <c r="AV482" s="15">
        <v>1</v>
      </c>
      <c r="AW482" s="15">
        <v>0</v>
      </c>
      <c r="AX482" s="15">
        <v>0</v>
      </c>
      <c r="AY482" s="15">
        <v>0</v>
      </c>
      <c r="AZ482" s="12" t="s">
        <v>4843</v>
      </c>
      <c r="BA482" s="12" t="s">
        <v>4911</v>
      </c>
      <c r="BB482" s="15">
        <v>1</v>
      </c>
      <c r="BC482" s="15">
        <v>0</v>
      </c>
      <c r="BD482" s="15">
        <v>11</v>
      </c>
      <c r="BE482" s="12">
        <v>0</v>
      </c>
      <c r="BF482" s="15">
        <v>7700</v>
      </c>
      <c r="BI482">
        <f>BD482/BF482</f>
        <v>1.4285714285714286E-3</v>
      </c>
      <c r="BJ482">
        <f>BI482*10000</f>
        <v>14.285714285714286</v>
      </c>
    </row>
    <row r="483" spans="1:62" x14ac:dyDescent="0.15">
      <c r="A483" s="14" t="s">
        <v>7727</v>
      </c>
      <c r="C483" s="14" t="s">
        <v>7728</v>
      </c>
      <c r="D483" s="8" t="s">
        <v>7962</v>
      </c>
      <c r="E483" s="9" t="s">
        <v>7963</v>
      </c>
      <c r="F483" s="9" t="s">
        <v>4609</v>
      </c>
      <c r="G483" s="9" t="s">
        <v>3158</v>
      </c>
      <c r="I483" s="9" t="s">
        <v>7242</v>
      </c>
      <c r="J483" s="9" t="s">
        <v>3130</v>
      </c>
      <c r="K483" s="9" t="s">
        <v>7101</v>
      </c>
      <c r="L483" s="10">
        <v>4079684</v>
      </c>
      <c r="M483" s="10">
        <v>260043</v>
      </c>
      <c r="N483" s="11">
        <v>16</v>
      </c>
      <c r="O483" s="11" t="s">
        <v>4871</v>
      </c>
      <c r="P483" s="14" t="s">
        <v>7729</v>
      </c>
      <c r="Q483" s="9" t="s">
        <v>1112</v>
      </c>
      <c r="S483" s="14" t="s">
        <v>7730</v>
      </c>
      <c r="T483" s="15" t="s">
        <v>7731</v>
      </c>
      <c r="U483" s="12" t="s">
        <v>5020</v>
      </c>
      <c r="V483" s="12" t="s">
        <v>5019</v>
      </c>
      <c r="W483" s="12">
        <v>0</v>
      </c>
      <c r="X483" s="12">
        <v>0</v>
      </c>
      <c r="Y483" s="12">
        <v>0</v>
      </c>
      <c r="Z483" s="15">
        <v>0</v>
      </c>
      <c r="AA483" s="15">
        <v>0</v>
      </c>
      <c r="AB483" s="15">
        <v>0</v>
      </c>
      <c r="AC483" s="15">
        <v>0</v>
      </c>
      <c r="AD483" s="15">
        <v>0</v>
      </c>
      <c r="AE483" s="15">
        <v>1</v>
      </c>
      <c r="AF483" s="15">
        <v>1</v>
      </c>
      <c r="AG483" s="15">
        <v>0</v>
      </c>
      <c r="AH483" s="15">
        <v>1</v>
      </c>
      <c r="AI483" s="15">
        <v>1</v>
      </c>
      <c r="AJ483" s="15">
        <v>1</v>
      </c>
      <c r="AK483" s="15">
        <v>0</v>
      </c>
      <c r="AL483" s="15">
        <v>0</v>
      </c>
      <c r="AM483" s="15"/>
      <c r="AN483" s="15">
        <v>0</v>
      </c>
      <c r="AO483" s="15">
        <v>0</v>
      </c>
      <c r="AP483" s="15">
        <v>0</v>
      </c>
      <c r="AQ483" s="15">
        <v>0</v>
      </c>
      <c r="AR483" s="15">
        <v>0</v>
      </c>
      <c r="AS483" s="15">
        <v>0</v>
      </c>
      <c r="AT483" s="15">
        <v>1</v>
      </c>
      <c r="AU483" s="15">
        <v>0</v>
      </c>
      <c r="AV483" s="15">
        <v>0</v>
      </c>
      <c r="AW483" s="15">
        <v>0</v>
      </c>
      <c r="AX483" s="15">
        <v>0</v>
      </c>
      <c r="AY483" s="15">
        <v>0</v>
      </c>
      <c r="BA483" s="12" t="s">
        <v>4877</v>
      </c>
      <c r="BB483" s="15">
        <v>0</v>
      </c>
      <c r="BC483" s="15">
        <v>0</v>
      </c>
      <c r="BD483" s="12">
        <v>0</v>
      </c>
      <c r="BE483" s="12">
        <v>0</v>
      </c>
      <c r="BF483" s="12">
        <v>0</v>
      </c>
      <c r="BI483" s="12">
        <v>0</v>
      </c>
      <c r="BJ483" s="12">
        <v>0</v>
      </c>
    </row>
    <row r="484" spans="1:62" x14ac:dyDescent="0.15">
      <c r="A484" s="14" t="s">
        <v>7732</v>
      </c>
      <c r="B484" s="7" t="s">
        <v>3135</v>
      </c>
      <c r="C484" s="14" t="s">
        <v>7733</v>
      </c>
      <c r="D484" s="8" t="s">
        <v>7962</v>
      </c>
      <c r="E484" s="9" t="s">
        <v>7963</v>
      </c>
      <c r="F484" s="9" t="s">
        <v>4609</v>
      </c>
      <c r="G484" s="9" t="s">
        <v>6636</v>
      </c>
      <c r="I484" s="9" t="s">
        <v>3136</v>
      </c>
      <c r="J484" s="9" t="s">
        <v>6916</v>
      </c>
      <c r="K484" s="9" t="s">
        <v>6904</v>
      </c>
      <c r="L484" s="10">
        <v>4096613</v>
      </c>
      <c r="M484" s="10">
        <v>249918</v>
      </c>
      <c r="N484" s="11">
        <v>16</v>
      </c>
      <c r="O484" s="11" t="s">
        <v>7964</v>
      </c>
      <c r="P484" s="14" t="s">
        <v>7734</v>
      </c>
      <c r="Q484" s="9" t="s">
        <v>5311</v>
      </c>
      <c r="S484" s="14" t="s">
        <v>3137</v>
      </c>
      <c r="T484" s="15" t="s">
        <v>4784</v>
      </c>
      <c r="U484" s="12" t="s">
        <v>5017</v>
      </c>
      <c r="V484" s="12" t="s">
        <v>5021</v>
      </c>
      <c r="W484" s="12">
        <v>0</v>
      </c>
      <c r="X484" s="12">
        <v>0</v>
      </c>
      <c r="Y484" s="12">
        <v>0</v>
      </c>
      <c r="Z484" s="15">
        <v>0</v>
      </c>
      <c r="AA484" s="15">
        <v>0</v>
      </c>
      <c r="AB484" s="15">
        <v>0</v>
      </c>
      <c r="AC484" s="15">
        <v>1</v>
      </c>
      <c r="AD484" s="15">
        <v>1</v>
      </c>
      <c r="AE484" s="15">
        <v>1</v>
      </c>
      <c r="AF484" s="15">
        <v>1</v>
      </c>
      <c r="AG484" s="15">
        <v>1</v>
      </c>
      <c r="AH484" s="15">
        <v>0</v>
      </c>
      <c r="AI484" s="15">
        <v>0</v>
      </c>
      <c r="AJ484" s="15">
        <v>0</v>
      </c>
      <c r="AK484" s="15">
        <v>0</v>
      </c>
      <c r="AL484" s="15">
        <v>0</v>
      </c>
      <c r="AM484" s="15"/>
      <c r="AN484" s="15">
        <v>0</v>
      </c>
      <c r="AO484" s="15">
        <v>0</v>
      </c>
      <c r="AP484" s="15">
        <v>0</v>
      </c>
      <c r="AQ484" s="15">
        <v>0</v>
      </c>
      <c r="AR484" s="15">
        <v>0</v>
      </c>
      <c r="AS484" s="15">
        <v>0</v>
      </c>
      <c r="AT484" s="15">
        <v>0</v>
      </c>
      <c r="AU484" s="15">
        <v>0</v>
      </c>
      <c r="AV484" s="15">
        <v>0</v>
      </c>
      <c r="AW484" s="15">
        <v>0</v>
      </c>
      <c r="AX484" s="15">
        <v>0</v>
      </c>
      <c r="AY484" s="15">
        <v>0</v>
      </c>
      <c r="BA484" s="12" t="s">
        <v>4877</v>
      </c>
      <c r="BB484" s="15">
        <v>0</v>
      </c>
      <c r="BC484" s="15">
        <v>0</v>
      </c>
      <c r="BD484" s="12">
        <v>0</v>
      </c>
      <c r="BE484" s="12">
        <v>0</v>
      </c>
      <c r="BF484" s="12">
        <v>0</v>
      </c>
      <c r="BI484" s="12">
        <v>0</v>
      </c>
      <c r="BJ484" s="12">
        <v>0</v>
      </c>
    </row>
    <row r="485" spans="1:62" x14ac:dyDescent="0.15">
      <c r="A485" s="14" t="s">
        <v>7735</v>
      </c>
      <c r="C485" s="14" t="s">
        <v>7736</v>
      </c>
      <c r="D485" s="8" t="s">
        <v>7962</v>
      </c>
      <c r="E485" s="9" t="s">
        <v>7963</v>
      </c>
      <c r="L485" s="10">
        <v>4099360</v>
      </c>
      <c r="M485" s="10">
        <v>820690</v>
      </c>
      <c r="N485" s="11">
        <v>15</v>
      </c>
      <c r="O485" s="11" t="s">
        <v>4871</v>
      </c>
      <c r="P485" s="14" t="s">
        <v>7737</v>
      </c>
      <c r="Q485" s="9" t="s">
        <v>5322</v>
      </c>
      <c r="S485" t="s">
        <v>6999</v>
      </c>
      <c r="T485" s="12" t="s">
        <v>5372</v>
      </c>
      <c r="U485" s="12" t="s">
        <v>5018</v>
      </c>
      <c r="V485" s="12" t="s">
        <v>5021</v>
      </c>
      <c r="W485" s="12">
        <v>0</v>
      </c>
      <c r="X485" s="12">
        <v>0</v>
      </c>
      <c r="Y485" s="12">
        <v>0</v>
      </c>
      <c r="Z485" s="12">
        <v>0</v>
      </c>
      <c r="AA485" s="12">
        <v>0</v>
      </c>
      <c r="AB485" s="12">
        <v>0</v>
      </c>
      <c r="AC485" s="12">
        <v>0</v>
      </c>
      <c r="AD485" s="12">
        <v>1</v>
      </c>
      <c r="AE485" s="12">
        <v>1</v>
      </c>
      <c r="AF485" s="12">
        <v>1</v>
      </c>
      <c r="AG485" s="12">
        <v>1</v>
      </c>
      <c r="AH485" s="12">
        <v>1</v>
      </c>
      <c r="AI485" s="12">
        <v>1</v>
      </c>
      <c r="AJ485" s="12">
        <v>1</v>
      </c>
      <c r="AK485" s="12">
        <v>0</v>
      </c>
      <c r="AL485" s="12">
        <v>0</v>
      </c>
      <c r="AM485" s="12"/>
      <c r="AN485" s="12">
        <v>0</v>
      </c>
      <c r="AO485" s="12">
        <v>0</v>
      </c>
      <c r="AP485" s="12">
        <v>0</v>
      </c>
      <c r="AQ485" s="12">
        <v>0</v>
      </c>
      <c r="AR485" s="12">
        <v>1</v>
      </c>
      <c r="AS485" s="12">
        <v>0</v>
      </c>
      <c r="AT485" s="12">
        <v>0</v>
      </c>
      <c r="AU485" s="12">
        <v>0</v>
      </c>
      <c r="AV485" s="12">
        <v>0</v>
      </c>
      <c r="AW485" s="12">
        <v>0</v>
      </c>
      <c r="AX485" s="12">
        <v>0</v>
      </c>
      <c r="AY485" s="12">
        <v>0</v>
      </c>
      <c r="BA485" s="12" t="s">
        <v>4877</v>
      </c>
      <c r="BB485" s="12">
        <v>0</v>
      </c>
      <c r="BD485" s="12">
        <v>18</v>
      </c>
      <c r="BE485" s="12">
        <v>0</v>
      </c>
      <c r="BF485" s="12">
        <v>0</v>
      </c>
      <c r="BI485" s="12">
        <v>0</v>
      </c>
      <c r="BJ485" s="12">
        <v>0</v>
      </c>
    </row>
    <row r="486" spans="1:62" ht="14" x14ac:dyDescent="0.15">
      <c r="A486" s="16" t="s">
        <v>7000</v>
      </c>
      <c r="C486" s="14" t="s">
        <v>7189</v>
      </c>
      <c r="D486" s="8" t="s">
        <v>7962</v>
      </c>
      <c r="E486" s="9" t="s">
        <v>7963</v>
      </c>
      <c r="L486" s="10">
        <v>4089040</v>
      </c>
      <c r="M486" s="10">
        <v>833026</v>
      </c>
      <c r="N486" s="11">
        <v>15</v>
      </c>
      <c r="O486" s="11" t="s">
        <v>4871</v>
      </c>
      <c r="P486" s="14" t="s">
        <v>7001</v>
      </c>
      <c r="Q486" s="9" t="s">
        <v>5311</v>
      </c>
      <c r="S486" t="s">
        <v>6818</v>
      </c>
      <c r="T486" s="12" t="s">
        <v>5372</v>
      </c>
      <c r="U486" s="12" t="s">
        <v>5018</v>
      </c>
      <c r="V486" s="12" t="s">
        <v>5021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1</v>
      </c>
      <c r="AE486" s="12">
        <v>1</v>
      </c>
      <c r="AF486" s="12">
        <v>1</v>
      </c>
      <c r="AG486" s="12">
        <v>1</v>
      </c>
      <c r="AH486" s="12">
        <v>4</v>
      </c>
      <c r="AI486" s="12">
        <v>4</v>
      </c>
      <c r="AJ486" s="12">
        <v>1</v>
      </c>
      <c r="AK486" s="12">
        <v>1</v>
      </c>
      <c r="AL486" s="12">
        <v>0</v>
      </c>
      <c r="AM486" s="12"/>
      <c r="AN486" s="12">
        <v>0</v>
      </c>
      <c r="AO486" s="12">
        <v>0</v>
      </c>
      <c r="AP486" s="12">
        <v>0</v>
      </c>
      <c r="AQ486" s="12">
        <v>0</v>
      </c>
      <c r="AR486" s="12">
        <v>0</v>
      </c>
      <c r="AS486" s="12">
        <v>0</v>
      </c>
      <c r="AT486" s="12">
        <v>1</v>
      </c>
      <c r="AU486" s="12">
        <v>0</v>
      </c>
      <c r="AV486" s="12">
        <v>0</v>
      </c>
      <c r="AW486" s="12">
        <v>0</v>
      </c>
      <c r="AX486" s="12">
        <v>0</v>
      </c>
      <c r="AY486" s="12">
        <v>0</v>
      </c>
      <c r="BA486" s="12" t="s">
        <v>4877</v>
      </c>
      <c r="BB486" s="12">
        <v>0</v>
      </c>
      <c r="BC486" s="12">
        <v>0</v>
      </c>
      <c r="BD486" s="12">
        <v>0</v>
      </c>
      <c r="BE486" s="12">
        <v>0</v>
      </c>
      <c r="BF486" s="12">
        <v>0</v>
      </c>
      <c r="BI486" s="12">
        <v>0</v>
      </c>
      <c r="BJ486" s="12">
        <v>0</v>
      </c>
    </row>
    <row r="487" spans="1:62" ht="14" x14ac:dyDescent="0.15">
      <c r="A487" s="16" t="s">
        <v>6819</v>
      </c>
      <c r="C487" s="14" t="s">
        <v>6820</v>
      </c>
      <c r="D487" s="8" t="s">
        <v>7962</v>
      </c>
      <c r="E487" s="9" t="s">
        <v>7963</v>
      </c>
      <c r="L487" s="10">
        <v>4093225</v>
      </c>
      <c r="M487" s="10">
        <v>829422</v>
      </c>
      <c r="N487" s="11">
        <v>15</v>
      </c>
      <c r="O487" s="11" t="s">
        <v>4871</v>
      </c>
      <c r="P487" s="14" t="s">
        <v>5318</v>
      </c>
      <c r="Q487" s="9" t="s">
        <v>5322</v>
      </c>
      <c r="S487" t="s">
        <v>6821</v>
      </c>
      <c r="T487" s="12" t="s">
        <v>4891</v>
      </c>
      <c r="U487" s="12" t="s">
        <v>5017</v>
      </c>
      <c r="V487" s="12" t="s">
        <v>5018</v>
      </c>
      <c r="W487" s="12">
        <v>0</v>
      </c>
      <c r="X487" s="12">
        <v>0</v>
      </c>
      <c r="Y487" s="12">
        <v>0</v>
      </c>
      <c r="Z487" s="12">
        <v>0</v>
      </c>
      <c r="AA487" s="12">
        <v>0</v>
      </c>
      <c r="AB487" s="12">
        <v>0</v>
      </c>
      <c r="AC487" s="12">
        <v>1</v>
      </c>
      <c r="AD487" s="12">
        <v>1</v>
      </c>
      <c r="AE487" s="12">
        <v>0</v>
      </c>
      <c r="AF487" s="12">
        <v>0</v>
      </c>
      <c r="AG487" s="12">
        <v>0</v>
      </c>
      <c r="AH487" s="12">
        <v>1</v>
      </c>
      <c r="AI487" s="12">
        <v>1</v>
      </c>
      <c r="AJ487" s="12">
        <v>1</v>
      </c>
      <c r="AK487" s="12">
        <v>0</v>
      </c>
      <c r="AL487" s="12">
        <v>0</v>
      </c>
      <c r="AM487" s="12"/>
      <c r="AN487" s="12">
        <v>0</v>
      </c>
      <c r="AO487" s="12">
        <v>0</v>
      </c>
      <c r="AP487" s="12">
        <v>0</v>
      </c>
      <c r="AQ487" s="12">
        <v>0</v>
      </c>
      <c r="AR487" s="12">
        <v>1</v>
      </c>
      <c r="AS487" s="12">
        <v>0</v>
      </c>
      <c r="AT487" s="12">
        <v>0</v>
      </c>
      <c r="AU487" s="12">
        <v>0</v>
      </c>
      <c r="AV487" s="12">
        <v>0</v>
      </c>
      <c r="AW487" s="12">
        <v>0</v>
      </c>
      <c r="AX487" s="12">
        <v>0</v>
      </c>
      <c r="AY487" s="12">
        <v>0</v>
      </c>
      <c r="BA487" s="12" t="s">
        <v>4877</v>
      </c>
      <c r="BB487" s="12">
        <v>0</v>
      </c>
      <c r="BC487" s="12">
        <v>0</v>
      </c>
      <c r="BD487" s="12">
        <v>0</v>
      </c>
      <c r="BE487" s="12">
        <v>0</v>
      </c>
      <c r="BF487" s="12">
        <v>0</v>
      </c>
      <c r="BI487" s="12">
        <v>0</v>
      </c>
      <c r="BJ487" s="12">
        <v>0</v>
      </c>
    </row>
    <row r="488" spans="1:62" ht="14" x14ac:dyDescent="0.15">
      <c r="A488" s="16" t="s">
        <v>6822</v>
      </c>
      <c r="C488" s="14" t="s">
        <v>6823</v>
      </c>
      <c r="D488" s="8" t="s">
        <v>7962</v>
      </c>
      <c r="E488" s="9" t="s">
        <v>7963</v>
      </c>
      <c r="L488" s="10">
        <v>4098150</v>
      </c>
      <c r="M488" s="10">
        <v>816096</v>
      </c>
      <c r="N488" s="11">
        <v>15</v>
      </c>
      <c r="O488" s="11" t="s">
        <v>4871</v>
      </c>
      <c r="P488" s="14" t="s">
        <v>6824</v>
      </c>
      <c r="Q488" s="9" t="s">
        <v>5311</v>
      </c>
      <c r="S488" t="s">
        <v>6825</v>
      </c>
      <c r="T488" s="12" t="s">
        <v>5372</v>
      </c>
      <c r="U488" s="12" t="s">
        <v>5018</v>
      </c>
      <c r="V488" s="12" t="s">
        <v>5021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1</v>
      </c>
      <c r="AE488" s="12">
        <v>1</v>
      </c>
      <c r="AF488" s="12">
        <v>1</v>
      </c>
      <c r="AG488" s="12">
        <v>1</v>
      </c>
      <c r="AH488" s="12">
        <v>9</v>
      </c>
      <c r="AI488" s="12">
        <v>9</v>
      </c>
      <c r="AJ488" s="12">
        <v>1</v>
      </c>
      <c r="AK488" s="12">
        <v>1</v>
      </c>
      <c r="AL488" s="12">
        <v>1</v>
      </c>
      <c r="AM488" s="12"/>
      <c r="AN488" s="12">
        <v>0</v>
      </c>
      <c r="AO488" s="12">
        <v>0</v>
      </c>
      <c r="AP488" s="12">
        <v>0</v>
      </c>
      <c r="AQ488" s="12">
        <v>1</v>
      </c>
      <c r="AR488" s="12">
        <v>1</v>
      </c>
      <c r="AS488" s="12">
        <v>0</v>
      </c>
      <c r="AT488" s="12">
        <v>1</v>
      </c>
      <c r="AU488" s="12">
        <v>1</v>
      </c>
      <c r="AV488" s="12">
        <v>1</v>
      </c>
      <c r="AW488" s="12">
        <v>0</v>
      </c>
      <c r="AX488" s="12">
        <v>0</v>
      </c>
      <c r="AY488" s="12">
        <v>1</v>
      </c>
      <c r="AZ488" s="12" t="s">
        <v>4843</v>
      </c>
      <c r="BA488" s="12" t="s">
        <v>4911</v>
      </c>
      <c r="BB488" s="12">
        <v>0</v>
      </c>
      <c r="BC488" s="12">
        <v>0</v>
      </c>
      <c r="BD488" s="12">
        <v>18</v>
      </c>
      <c r="BE488" s="12">
        <v>0</v>
      </c>
      <c r="BF488" s="12">
        <v>0</v>
      </c>
      <c r="BI488" s="12">
        <v>0</v>
      </c>
      <c r="BJ488" s="12">
        <v>0</v>
      </c>
    </row>
    <row r="489" spans="1:62" ht="14" x14ac:dyDescent="0.15">
      <c r="A489" s="16" t="s">
        <v>6826</v>
      </c>
      <c r="C489" s="14" t="s">
        <v>6827</v>
      </c>
      <c r="D489" s="8" t="s">
        <v>7962</v>
      </c>
      <c r="E489" s="9" t="s">
        <v>7963</v>
      </c>
      <c r="L489" s="10">
        <v>4090020</v>
      </c>
      <c r="M489" s="10">
        <v>833225</v>
      </c>
      <c r="N489" s="11">
        <v>15</v>
      </c>
      <c r="O489" s="11" t="s">
        <v>4871</v>
      </c>
      <c r="P489" s="14" t="s">
        <v>6828</v>
      </c>
      <c r="Q489" s="9" t="s">
        <v>5311</v>
      </c>
      <c r="S489" t="s">
        <v>6829</v>
      </c>
      <c r="T489" s="12" t="s">
        <v>5372</v>
      </c>
      <c r="U489" s="12" t="s">
        <v>5018</v>
      </c>
      <c r="V489" s="12" t="s">
        <v>5021</v>
      </c>
      <c r="W489" s="12">
        <v>0</v>
      </c>
      <c r="X489" s="12">
        <v>0</v>
      </c>
      <c r="Y489" s="12">
        <v>0</v>
      </c>
      <c r="Z489" s="12">
        <v>0</v>
      </c>
      <c r="AA489" s="12">
        <v>0</v>
      </c>
      <c r="AB489" s="12">
        <v>0</v>
      </c>
      <c r="AC489" s="12">
        <v>0</v>
      </c>
      <c r="AD489" s="12">
        <v>1</v>
      </c>
      <c r="AE489" s="12">
        <v>1</v>
      </c>
      <c r="AF489" s="12">
        <v>1</v>
      </c>
      <c r="AG489" s="12">
        <v>1</v>
      </c>
      <c r="AH489" s="12">
        <v>2</v>
      </c>
      <c r="AI489" s="12">
        <v>2</v>
      </c>
      <c r="AJ489" s="12">
        <v>1</v>
      </c>
      <c r="AK489" s="12">
        <v>1</v>
      </c>
      <c r="AL489" s="12">
        <v>1</v>
      </c>
      <c r="AM489" s="12"/>
      <c r="AN489" s="12">
        <v>0</v>
      </c>
      <c r="AO489" s="12">
        <v>1</v>
      </c>
      <c r="AP489" s="12">
        <v>0</v>
      </c>
      <c r="AQ489" s="12">
        <v>1</v>
      </c>
      <c r="AR489" s="12">
        <v>0</v>
      </c>
      <c r="AS489" s="12">
        <v>0</v>
      </c>
      <c r="AT489" s="12">
        <v>0</v>
      </c>
      <c r="AU489" s="12">
        <v>0</v>
      </c>
      <c r="AV489" s="12">
        <v>0</v>
      </c>
      <c r="AW489" s="12">
        <v>0</v>
      </c>
      <c r="AX489" s="12">
        <v>0</v>
      </c>
      <c r="AY489" s="12">
        <v>0</v>
      </c>
      <c r="BA489" s="12" t="s">
        <v>4877</v>
      </c>
      <c r="BB489" s="12">
        <v>0</v>
      </c>
      <c r="BC489" s="12">
        <v>0</v>
      </c>
      <c r="BD489" s="12">
        <v>15</v>
      </c>
      <c r="BE489" s="12">
        <v>0</v>
      </c>
      <c r="BF489" s="12">
        <v>0</v>
      </c>
      <c r="BI489" s="12">
        <v>0</v>
      </c>
      <c r="BJ489" s="12">
        <v>0</v>
      </c>
    </row>
    <row r="490" spans="1:62" ht="14" x14ac:dyDescent="0.15">
      <c r="A490" s="30" t="s">
        <v>6830</v>
      </c>
      <c r="C490" s="14" t="s">
        <v>6831</v>
      </c>
      <c r="D490" s="8" t="s">
        <v>7962</v>
      </c>
      <c r="E490" s="9" t="s">
        <v>7963</v>
      </c>
      <c r="L490" s="10">
        <v>4076910</v>
      </c>
      <c r="M490" s="10">
        <v>841830</v>
      </c>
      <c r="N490" s="11">
        <v>15</v>
      </c>
      <c r="O490" s="11" t="s">
        <v>4871</v>
      </c>
      <c r="P490" s="14" t="s">
        <v>6832</v>
      </c>
      <c r="Q490" s="9" t="s">
        <v>5311</v>
      </c>
      <c r="S490" t="s">
        <v>6833</v>
      </c>
      <c r="T490" s="12" t="s">
        <v>5372</v>
      </c>
      <c r="U490" s="12" t="s">
        <v>5018</v>
      </c>
      <c r="V490" s="12" t="s">
        <v>5021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1</v>
      </c>
      <c r="AE490" s="12">
        <v>1</v>
      </c>
      <c r="AF490" s="12">
        <v>1</v>
      </c>
      <c r="AG490" s="12">
        <v>1</v>
      </c>
      <c r="AH490" s="12">
        <v>4</v>
      </c>
      <c r="AI490" s="12">
        <v>4</v>
      </c>
      <c r="AJ490" s="12">
        <v>1</v>
      </c>
      <c r="AK490" s="12">
        <v>1</v>
      </c>
      <c r="AL490" s="12">
        <v>1</v>
      </c>
      <c r="AM490" s="12"/>
      <c r="AN490" s="12">
        <v>0</v>
      </c>
      <c r="AO490" s="12">
        <v>0</v>
      </c>
      <c r="AP490" s="12">
        <v>0</v>
      </c>
      <c r="AQ490" s="12">
        <v>1</v>
      </c>
      <c r="AR490" s="12">
        <v>0</v>
      </c>
      <c r="AS490" s="12">
        <v>0</v>
      </c>
      <c r="AT490" s="12">
        <v>1</v>
      </c>
      <c r="AU490" s="12">
        <v>1</v>
      </c>
      <c r="AV490" s="12">
        <v>1</v>
      </c>
      <c r="AW490" s="12">
        <v>0</v>
      </c>
      <c r="AX490" s="12">
        <v>0</v>
      </c>
      <c r="AY490" s="12">
        <v>0</v>
      </c>
      <c r="AZ490" s="12" t="s">
        <v>4843</v>
      </c>
      <c r="BA490" s="12" t="s">
        <v>4911</v>
      </c>
      <c r="BB490" s="12">
        <v>0</v>
      </c>
      <c r="BC490" s="12">
        <v>0</v>
      </c>
      <c r="BD490" s="12">
        <v>18</v>
      </c>
      <c r="BE490" s="12">
        <v>0</v>
      </c>
      <c r="BF490" s="12">
        <v>0</v>
      </c>
      <c r="BI490" s="12">
        <v>0</v>
      </c>
      <c r="BJ490" s="12">
        <v>0</v>
      </c>
    </row>
    <row r="491" spans="1:62" ht="14" x14ac:dyDescent="0.15">
      <c r="A491" s="30" t="s">
        <v>6834</v>
      </c>
      <c r="C491" s="14" t="s">
        <v>6835</v>
      </c>
      <c r="D491" s="8" t="s">
        <v>7962</v>
      </c>
      <c r="E491" s="9" t="s">
        <v>7963</v>
      </c>
      <c r="L491" s="10">
        <v>4098740</v>
      </c>
      <c r="M491" s="10">
        <v>847845</v>
      </c>
      <c r="N491" s="11">
        <v>15</v>
      </c>
      <c r="O491" s="11" t="s">
        <v>4871</v>
      </c>
      <c r="P491" t="s">
        <v>6836</v>
      </c>
      <c r="Q491" s="9" t="s">
        <v>5311</v>
      </c>
      <c r="S491" t="s">
        <v>7730</v>
      </c>
      <c r="T491" s="12" t="s">
        <v>5361</v>
      </c>
      <c r="U491" s="12" t="s">
        <v>5018</v>
      </c>
      <c r="V491" s="12" t="s">
        <v>5020</v>
      </c>
      <c r="W491" s="12">
        <v>0</v>
      </c>
      <c r="X491" s="12">
        <v>0</v>
      </c>
      <c r="Y491" s="12">
        <v>0</v>
      </c>
      <c r="Z491" s="12">
        <v>0</v>
      </c>
      <c r="AA491" s="12">
        <v>0</v>
      </c>
      <c r="AB491" s="12">
        <v>0</v>
      </c>
      <c r="AC491" s="12">
        <v>0</v>
      </c>
      <c r="AD491" s="12">
        <v>1</v>
      </c>
      <c r="AE491" s="12">
        <v>1</v>
      </c>
      <c r="AF491" s="12">
        <v>1</v>
      </c>
      <c r="AG491" s="12">
        <v>0</v>
      </c>
      <c r="AH491" s="12">
        <v>10</v>
      </c>
      <c r="AI491" s="12">
        <v>10</v>
      </c>
      <c r="AJ491" s="12">
        <v>1</v>
      </c>
      <c r="AK491" s="12">
        <v>1</v>
      </c>
      <c r="AL491" s="12">
        <v>1</v>
      </c>
      <c r="AM491" s="12"/>
      <c r="AN491" s="12">
        <v>0</v>
      </c>
      <c r="AO491" s="12">
        <v>0</v>
      </c>
      <c r="AP491" s="12">
        <v>0</v>
      </c>
      <c r="AQ491" s="12">
        <v>1</v>
      </c>
      <c r="AR491" s="12">
        <v>0</v>
      </c>
      <c r="AS491" s="12">
        <v>0</v>
      </c>
      <c r="AT491" s="12">
        <v>8</v>
      </c>
      <c r="AU491" s="12">
        <v>0</v>
      </c>
      <c r="AV491" s="12">
        <v>0</v>
      </c>
      <c r="AW491" s="12">
        <v>0</v>
      </c>
      <c r="AX491" s="12">
        <v>0</v>
      </c>
      <c r="AY491" s="12">
        <v>0</v>
      </c>
      <c r="BA491" s="12" t="s">
        <v>4877</v>
      </c>
      <c r="BB491" s="12">
        <v>0</v>
      </c>
      <c r="BC491" s="12">
        <v>0</v>
      </c>
      <c r="BD491" s="12">
        <v>0</v>
      </c>
      <c r="BE491" s="12">
        <v>0</v>
      </c>
      <c r="BF491" s="12">
        <v>0</v>
      </c>
      <c r="BI491" s="12">
        <v>0</v>
      </c>
      <c r="BJ491" s="12">
        <v>0</v>
      </c>
    </row>
    <row r="492" spans="1:62" ht="14" x14ac:dyDescent="0.15">
      <c r="A492" s="16" t="s">
        <v>6837</v>
      </c>
      <c r="C492" s="14" t="s">
        <v>6838</v>
      </c>
      <c r="D492" s="8" t="s">
        <v>7962</v>
      </c>
      <c r="E492" s="9" t="s">
        <v>7963</v>
      </c>
      <c r="L492" s="10">
        <v>4065270</v>
      </c>
      <c r="M492" s="10">
        <v>771193</v>
      </c>
      <c r="N492" s="11">
        <v>15</v>
      </c>
      <c r="O492" s="11" t="s">
        <v>4871</v>
      </c>
      <c r="P492" t="s">
        <v>6839</v>
      </c>
      <c r="Q492" s="9" t="s">
        <v>712</v>
      </c>
      <c r="S492" t="s">
        <v>6840</v>
      </c>
      <c r="T492" s="12" t="s">
        <v>4784</v>
      </c>
      <c r="U492" s="12" t="s">
        <v>5017</v>
      </c>
      <c r="V492" s="12" t="s">
        <v>5021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1</v>
      </c>
      <c r="AD492" s="12">
        <v>1</v>
      </c>
      <c r="AE492" s="12">
        <v>1</v>
      </c>
      <c r="AF492" s="12">
        <v>1</v>
      </c>
      <c r="AG492" s="12">
        <v>1</v>
      </c>
      <c r="AH492" s="12">
        <v>35</v>
      </c>
      <c r="AI492" s="12">
        <v>35</v>
      </c>
      <c r="AJ492" s="12">
        <v>1</v>
      </c>
      <c r="AK492" s="12">
        <v>1</v>
      </c>
      <c r="AL492" s="12">
        <v>1</v>
      </c>
      <c r="AM492" s="12"/>
      <c r="AN492" s="12">
        <v>1</v>
      </c>
      <c r="AO492" s="12">
        <v>1</v>
      </c>
      <c r="AP492" s="12">
        <v>0</v>
      </c>
      <c r="AQ492" s="12">
        <v>1</v>
      </c>
      <c r="AR492" s="12">
        <v>1</v>
      </c>
      <c r="AS492" s="12">
        <v>0</v>
      </c>
      <c r="AT492" s="12">
        <v>1</v>
      </c>
      <c r="AU492" s="12">
        <v>0</v>
      </c>
      <c r="AV492" s="12">
        <v>0</v>
      </c>
      <c r="AW492" s="12">
        <v>0</v>
      </c>
      <c r="AX492" s="12">
        <v>0</v>
      </c>
      <c r="AY492" s="12">
        <v>0</v>
      </c>
      <c r="BA492" s="12" t="s">
        <v>4877</v>
      </c>
      <c r="BB492" s="12">
        <v>1</v>
      </c>
      <c r="BC492" s="12">
        <v>0</v>
      </c>
      <c r="BD492" s="12">
        <v>0</v>
      </c>
      <c r="BE492" s="12">
        <v>0</v>
      </c>
      <c r="BF492" s="12">
        <v>0</v>
      </c>
      <c r="BI492" s="12">
        <v>0</v>
      </c>
      <c r="BJ492" s="12">
        <v>0</v>
      </c>
    </row>
    <row r="493" spans="1:62" ht="14" x14ac:dyDescent="0.15">
      <c r="A493" s="16" t="s">
        <v>6841</v>
      </c>
      <c r="C493" s="14" t="s">
        <v>6842</v>
      </c>
      <c r="D493" s="8" t="s">
        <v>7962</v>
      </c>
      <c r="E493" s="9" t="s">
        <v>7963</v>
      </c>
      <c r="L493" s="10">
        <v>4056300</v>
      </c>
      <c r="M493" s="10">
        <v>771756</v>
      </c>
      <c r="N493" s="11">
        <v>15</v>
      </c>
      <c r="O493" s="11" t="s">
        <v>4871</v>
      </c>
      <c r="P493" t="s">
        <v>7772</v>
      </c>
      <c r="Q493" s="9" t="s">
        <v>5311</v>
      </c>
      <c r="S493" t="s">
        <v>7773</v>
      </c>
      <c r="T493" s="12" t="s">
        <v>4784</v>
      </c>
      <c r="U493" s="12" t="s">
        <v>5017</v>
      </c>
      <c r="V493" s="12" t="s">
        <v>5021</v>
      </c>
      <c r="W493" s="12">
        <v>0</v>
      </c>
      <c r="X493" s="12">
        <v>0</v>
      </c>
      <c r="Y493" s="12">
        <v>0</v>
      </c>
      <c r="Z493" s="12">
        <v>0</v>
      </c>
      <c r="AA493" s="12">
        <v>0</v>
      </c>
      <c r="AB493" s="12">
        <v>0</v>
      </c>
      <c r="AC493" s="12">
        <v>1</v>
      </c>
      <c r="AD493" s="12">
        <v>1</v>
      </c>
      <c r="AE493" s="12">
        <v>1</v>
      </c>
      <c r="AF493" s="12">
        <v>1</v>
      </c>
      <c r="AG493" s="12">
        <v>1</v>
      </c>
      <c r="AH493" s="12">
        <v>1</v>
      </c>
      <c r="AI493" s="12">
        <v>1</v>
      </c>
      <c r="AJ493" s="12">
        <v>1</v>
      </c>
      <c r="AK493" s="12">
        <v>0</v>
      </c>
      <c r="AL493" s="12">
        <v>0</v>
      </c>
      <c r="AM493" s="12"/>
      <c r="AN493" s="12">
        <v>0</v>
      </c>
      <c r="AO493" s="12">
        <v>0</v>
      </c>
      <c r="AP493" s="12">
        <v>0</v>
      </c>
      <c r="AQ493" s="12">
        <v>1</v>
      </c>
      <c r="AR493" s="12">
        <v>0</v>
      </c>
      <c r="AS493" s="12">
        <v>0</v>
      </c>
      <c r="AT493" s="12">
        <v>1</v>
      </c>
      <c r="AU493" s="12">
        <v>0</v>
      </c>
      <c r="AV493" s="12">
        <v>1</v>
      </c>
      <c r="AW493" s="12">
        <v>0</v>
      </c>
      <c r="AX493" s="12">
        <v>0</v>
      </c>
      <c r="AY493" s="12">
        <v>0</v>
      </c>
      <c r="AZ493" s="12" t="s">
        <v>4843</v>
      </c>
      <c r="BA493" s="12" t="s">
        <v>4911</v>
      </c>
      <c r="BB493" s="12">
        <v>0</v>
      </c>
      <c r="BC493" s="12">
        <v>0</v>
      </c>
      <c r="BD493" s="12">
        <v>4</v>
      </c>
      <c r="BE493" s="12">
        <v>0</v>
      </c>
      <c r="BF493" s="12">
        <v>0</v>
      </c>
      <c r="BI493" s="12">
        <v>0</v>
      </c>
      <c r="BJ493" s="12">
        <v>0</v>
      </c>
    </row>
    <row r="494" spans="1:62" ht="14" x14ac:dyDescent="0.15">
      <c r="A494" s="16" t="s">
        <v>7774</v>
      </c>
      <c r="C494" s="14" t="s">
        <v>7775</v>
      </c>
      <c r="D494" s="8" t="s">
        <v>7962</v>
      </c>
      <c r="E494" s="9" t="s">
        <v>7963</v>
      </c>
      <c r="L494" s="10">
        <v>4045150</v>
      </c>
      <c r="M494" s="10">
        <v>771274</v>
      </c>
      <c r="N494" s="11">
        <v>15</v>
      </c>
      <c r="O494" s="11" t="s">
        <v>7776</v>
      </c>
      <c r="P494" t="s">
        <v>7777</v>
      </c>
      <c r="Q494" s="9" t="s">
        <v>7778</v>
      </c>
      <c r="S494" t="s">
        <v>7779</v>
      </c>
      <c r="T494" s="12" t="s">
        <v>4902</v>
      </c>
      <c r="U494" s="12" t="s">
        <v>4902</v>
      </c>
      <c r="V494" s="12" t="s">
        <v>4902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2">
        <v>0</v>
      </c>
      <c r="AK494" s="12">
        <v>0</v>
      </c>
      <c r="AL494" s="12">
        <v>0</v>
      </c>
      <c r="AM494" s="12"/>
      <c r="AN494" s="12">
        <v>0</v>
      </c>
      <c r="AO494" s="12">
        <v>0</v>
      </c>
      <c r="AP494" s="12">
        <v>0</v>
      </c>
      <c r="AQ494" s="12">
        <v>0</v>
      </c>
      <c r="AR494" s="12">
        <v>0</v>
      </c>
      <c r="AS494" s="12">
        <v>0</v>
      </c>
      <c r="AT494" s="12">
        <v>0</v>
      </c>
      <c r="AU494" s="12">
        <v>0</v>
      </c>
      <c r="AV494" s="12">
        <v>0</v>
      </c>
      <c r="AW494" s="12">
        <v>0</v>
      </c>
      <c r="AX494" s="12">
        <v>0</v>
      </c>
      <c r="AY494" s="12">
        <v>0</v>
      </c>
      <c r="BA494" s="12" t="s">
        <v>4877</v>
      </c>
      <c r="BB494" s="12">
        <v>0</v>
      </c>
      <c r="BC494" s="12">
        <v>0</v>
      </c>
      <c r="BD494" s="12">
        <v>0</v>
      </c>
      <c r="BE494" s="12">
        <v>0</v>
      </c>
      <c r="BF494" s="12">
        <v>0</v>
      </c>
      <c r="BI494" s="12">
        <v>0</v>
      </c>
      <c r="BJ494" s="12">
        <v>0</v>
      </c>
    </row>
    <row r="495" spans="1:62" ht="14" x14ac:dyDescent="0.15">
      <c r="A495" s="16" t="s">
        <v>7780</v>
      </c>
      <c r="C495" s="14" t="s">
        <v>7781</v>
      </c>
      <c r="D495" s="8" t="s">
        <v>7962</v>
      </c>
      <c r="E495" s="9" t="s">
        <v>7963</v>
      </c>
      <c r="L495" s="10">
        <v>4052340</v>
      </c>
      <c r="M495" s="10">
        <v>805749</v>
      </c>
      <c r="N495" s="11">
        <v>15</v>
      </c>
      <c r="O495" s="11" t="s">
        <v>4871</v>
      </c>
      <c r="P495" t="s">
        <v>7782</v>
      </c>
      <c r="Q495" s="9" t="s">
        <v>5311</v>
      </c>
      <c r="S495" t="s">
        <v>7783</v>
      </c>
      <c r="T495" s="12" t="s">
        <v>5372</v>
      </c>
      <c r="U495" s="12" t="s">
        <v>5018</v>
      </c>
      <c r="V495" s="12" t="s">
        <v>5021</v>
      </c>
      <c r="W495" s="12">
        <v>0</v>
      </c>
      <c r="X495" s="12">
        <v>0</v>
      </c>
      <c r="Y495" s="12">
        <v>0</v>
      </c>
      <c r="Z495" s="12">
        <v>1</v>
      </c>
      <c r="AA495" s="12">
        <v>1</v>
      </c>
      <c r="AB495" s="12">
        <v>0</v>
      </c>
      <c r="AC495" s="12">
        <v>0</v>
      </c>
      <c r="AD495" s="12">
        <v>1</v>
      </c>
      <c r="AE495" s="12">
        <v>1</v>
      </c>
      <c r="AF495" s="12">
        <v>1</v>
      </c>
      <c r="AG495" s="12">
        <v>1</v>
      </c>
      <c r="AH495" s="11">
        <v>8</v>
      </c>
      <c r="AI495" s="12">
        <v>8</v>
      </c>
      <c r="AJ495" s="12">
        <v>1</v>
      </c>
      <c r="AK495" s="12">
        <v>1</v>
      </c>
      <c r="AL495" s="12">
        <v>1</v>
      </c>
      <c r="AM495" s="12"/>
      <c r="AN495" s="12">
        <v>0</v>
      </c>
      <c r="AO495" s="12">
        <v>1</v>
      </c>
      <c r="AP495" s="12">
        <v>0</v>
      </c>
      <c r="AQ495" s="12">
        <v>1</v>
      </c>
      <c r="AR495" s="12">
        <v>1</v>
      </c>
      <c r="AS495" s="12">
        <v>0</v>
      </c>
      <c r="AT495" s="12">
        <v>0</v>
      </c>
      <c r="AU495" s="12">
        <v>1</v>
      </c>
      <c r="AV495" s="12">
        <v>1</v>
      </c>
      <c r="AW495" s="12">
        <v>0</v>
      </c>
      <c r="AX495" s="12">
        <v>0</v>
      </c>
      <c r="AY495" s="12">
        <v>0</v>
      </c>
      <c r="AZ495" s="12" t="s">
        <v>4843</v>
      </c>
      <c r="BA495" s="12" t="s">
        <v>4911</v>
      </c>
      <c r="BB495" s="12">
        <v>0</v>
      </c>
      <c r="BC495" s="12">
        <v>0</v>
      </c>
      <c r="BD495" s="12">
        <v>21</v>
      </c>
      <c r="BE495" s="12">
        <v>0</v>
      </c>
      <c r="BF495" s="12">
        <v>58800</v>
      </c>
      <c r="BI495">
        <f>BD495/BF495</f>
        <v>3.5714285714285714E-4</v>
      </c>
      <c r="BJ495">
        <f>BI495*10000</f>
        <v>3.5714285714285716</v>
      </c>
    </row>
    <row r="496" spans="1:62" ht="14" x14ac:dyDescent="0.15">
      <c r="A496" s="17" t="s">
        <v>7784</v>
      </c>
      <c r="C496" s="14" t="s">
        <v>7785</v>
      </c>
      <c r="D496" s="8" t="s">
        <v>7962</v>
      </c>
      <c r="E496" s="9" t="s">
        <v>7963</v>
      </c>
      <c r="L496" s="10">
        <v>4066240</v>
      </c>
      <c r="M496" s="10">
        <v>826023</v>
      </c>
      <c r="N496" s="11">
        <v>15</v>
      </c>
      <c r="O496" s="11" t="s">
        <v>4871</v>
      </c>
      <c r="P496" t="s">
        <v>5023</v>
      </c>
      <c r="Q496" s="9" t="s">
        <v>1112</v>
      </c>
      <c r="S496" t="s">
        <v>7730</v>
      </c>
      <c r="T496" s="12" t="s">
        <v>5372</v>
      </c>
      <c r="U496" s="12" t="s">
        <v>5018</v>
      </c>
      <c r="V496" s="12" t="s">
        <v>5021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1</v>
      </c>
      <c r="AE496" s="12">
        <v>1</v>
      </c>
      <c r="AF496" s="12">
        <v>1</v>
      </c>
      <c r="AG496" s="12">
        <v>1</v>
      </c>
      <c r="AH496" s="12">
        <v>3</v>
      </c>
      <c r="AI496" s="12">
        <v>3</v>
      </c>
      <c r="AJ496" s="12">
        <v>1</v>
      </c>
      <c r="AK496" s="12">
        <v>1</v>
      </c>
      <c r="AL496" s="12">
        <v>1</v>
      </c>
      <c r="AM496" s="12"/>
      <c r="AN496" s="12">
        <v>0</v>
      </c>
      <c r="AO496" s="12">
        <v>0</v>
      </c>
      <c r="AP496" s="12">
        <v>0</v>
      </c>
      <c r="AQ496" s="12">
        <v>1</v>
      </c>
      <c r="AR496" s="12">
        <v>1</v>
      </c>
      <c r="AS496" s="12">
        <v>0</v>
      </c>
      <c r="AT496" s="12">
        <v>0</v>
      </c>
      <c r="AU496" s="12">
        <v>0</v>
      </c>
      <c r="AV496" s="12">
        <v>0</v>
      </c>
      <c r="AW496" s="12">
        <v>0</v>
      </c>
      <c r="AX496" s="12">
        <v>0</v>
      </c>
      <c r="AY496" s="12">
        <v>0</v>
      </c>
      <c r="BA496" s="12" t="s">
        <v>4877</v>
      </c>
      <c r="BB496" s="12">
        <v>0</v>
      </c>
      <c r="BC496" s="12">
        <v>0</v>
      </c>
      <c r="BD496" s="12">
        <v>0</v>
      </c>
      <c r="BE496" s="12">
        <v>0</v>
      </c>
      <c r="BF496" s="12">
        <v>0</v>
      </c>
      <c r="BI496" s="12">
        <v>0</v>
      </c>
      <c r="BJ496" s="12">
        <v>0</v>
      </c>
    </row>
    <row r="497" spans="1:62" ht="14" x14ac:dyDescent="0.15">
      <c r="A497" s="17" t="s">
        <v>7786</v>
      </c>
      <c r="C497" s="14" t="s">
        <v>4959</v>
      </c>
      <c r="D497" s="8" t="s">
        <v>7962</v>
      </c>
      <c r="E497" s="9" t="s">
        <v>7963</v>
      </c>
      <c r="L497" s="10">
        <v>4069440</v>
      </c>
      <c r="M497" s="10">
        <v>821373</v>
      </c>
      <c r="N497" s="11">
        <v>15</v>
      </c>
      <c r="O497" s="11" t="s">
        <v>4871</v>
      </c>
      <c r="P497" t="s">
        <v>5024</v>
      </c>
      <c r="Q497" s="9" t="s">
        <v>1112</v>
      </c>
      <c r="S497" t="s">
        <v>7730</v>
      </c>
      <c r="T497" s="12" t="s">
        <v>5372</v>
      </c>
      <c r="U497" s="12" t="s">
        <v>5018</v>
      </c>
      <c r="V497" s="12" t="s">
        <v>5021</v>
      </c>
      <c r="W497" s="12">
        <v>0</v>
      </c>
      <c r="X497" s="12">
        <v>0</v>
      </c>
      <c r="Y497" s="12">
        <v>0</v>
      </c>
      <c r="Z497" s="12">
        <v>0</v>
      </c>
      <c r="AA497" s="12">
        <v>0</v>
      </c>
      <c r="AB497" s="12">
        <v>0</v>
      </c>
      <c r="AC497" s="12">
        <v>0</v>
      </c>
      <c r="AD497" s="12">
        <v>1</v>
      </c>
      <c r="AE497" s="12">
        <v>1</v>
      </c>
      <c r="AF497" s="12">
        <v>1</v>
      </c>
      <c r="AG497" s="12">
        <v>1</v>
      </c>
      <c r="AH497" s="12">
        <v>1</v>
      </c>
      <c r="AI497" s="12">
        <v>1</v>
      </c>
      <c r="AJ497" s="12">
        <v>1</v>
      </c>
      <c r="AK497" s="12">
        <v>0</v>
      </c>
      <c r="AL497" s="12">
        <v>0</v>
      </c>
      <c r="AM497" s="12"/>
      <c r="AN497" s="12">
        <v>0</v>
      </c>
      <c r="AO497" s="12">
        <v>0</v>
      </c>
      <c r="AP497" s="12">
        <v>0</v>
      </c>
      <c r="AQ497" s="12">
        <v>0</v>
      </c>
      <c r="AR497" s="12">
        <v>0</v>
      </c>
      <c r="AS497" s="12">
        <v>0</v>
      </c>
      <c r="AT497" s="12">
        <v>1</v>
      </c>
      <c r="AU497" s="12">
        <v>0</v>
      </c>
      <c r="AV497" s="12">
        <v>0</v>
      </c>
      <c r="AW497" s="12">
        <v>0</v>
      </c>
      <c r="AX497" s="12">
        <v>0</v>
      </c>
      <c r="AY497" s="12">
        <v>0</v>
      </c>
      <c r="BA497" s="12" t="s">
        <v>4877</v>
      </c>
      <c r="BB497" s="12">
        <v>0</v>
      </c>
      <c r="BC497" s="12">
        <v>0</v>
      </c>
      <c r="BD497" s="12">
        <v>0</v>
      </c>
      <c r="BE497" s="12">
        <v>0</v>
      </c>
      <c r="BF497" s="12">
        <v>0</v>
      </c>
      <c r="BI497" s="12">
        <v>0</v>
      </c>
      <c r="BJ497" s="12">
        <v>0</v>
      </c>
    </row>
    <row r="498" spans="1:62" ht="14" x14ac:dyDescent="0.15">
      <c r="A498" s="17" t="s">
        <v>4960</v>
      </c>
      <c r="C498" s="14" t="s">
        <v>4961</v>
      </c>
      <c r="D498" s="8" t="s">
        <v>7962</v>
      </c>
      <c r="E498" s="9" t="s">
        <v>7963</v>
      </c>
      <c r="L498" s="10">
        <v>4071830</v>
      </c>
      <c r="M498" s="10">
        <v>822426</v>
      </c>
      <c r="N498" s="11">
        <v>15</v>
      </c>
      <c r="O498" s="11" t="s">
        <v>4871</v>
      </c>
      <c r="P498" t="s">
        <v>4962</v>
      </c>
      <c r="Q498" s="9" t="s">
        <v>6994</v>
      </c>
      <c r="S498" t="s">
        <v>7730</v>
      </c>
      <c r="T498" s="12" t="s">
        <v>5372</v>
      </c>
      <c r="U498" s="12" t="s">
        <v>5018</v>
      </c>
      <c r="V498" s="12" t="s">
        <v>5021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1</v>
      </c>
      <c r="AE498" s="12">
        <v>1</v>
      </c>
      <c r="AF498" s="12">
        <v>1</v>
      </c>
      <c r="AG498" s="12">
        <v>1</v>
      </c>
      <c r="AH498" s="12">
        <v>0</v>
      </c>
      <c r="AI498" s="12">
        <v>0</v>
      </c>
      <c r="AJ498" s="12">
        <v>0</v>
      </c>
      <c r="AK498" s="12">
        <v>0</v>
      </c>
      <c r="AL498" s="12">
        <v>0</v>
      </c>
      <c r="AM498" s="12"/>
      <c r="AN498" s="12">
        <v>0</v>
      </c>
      <c r="AO498" s="12">
        <v>0</v>
      </c>
      <c r="AP498" s="12">
        <v>0</v>
      </c>
      <c r="AQ498" s="12">
        <v>0</v>
      </c>
      <c r="AR498" s="12">
        <v>0</v>
      </c>
      <c r="AS498" s="12">
        <v>0</v>
      </c>
      <c r="AT498" s="12">
        <v>0</v>
      </c>
      <c r="AU498" s="12">
        <v>0</v>
      </c>
      <c r="AV498" s="12">
        <v>0</v>
      </c>
      <c r="AW498" s="12">
        <v>0</v>
      </c>
      <c r="AX498" s="12">
        <v>0</v>
      </c>
      <c r="AY498" s="12">
        <v>0</v>
      </c>
      <c r="BA498" s="12" t="s">
        <v>4877</v>
      </c>
      <c r="BB498" s="12">
        <v>0</v>
      </c>
      <c r="BC498" s="12">
        <v>0</v>
      </c>
      <c r="BD498" s="12">
        <v>0</v>
      </c>
      <c r="BE498" s="12">
        <v>0</v>
      </c>
      <c r="BF498" s="12">
        <v>0</v>
      </c>
      <c r="BI498" s="12">
        <v>0</v>
      </c>
      <c r="BJ498" s="12">
        <v>0</v>
      </c>
    </row>
    <row r="499" spans="1:62" ht="14" x14ac:dyDescent="0.15">
      <c r="A499" s="17" t="s">
        <v>4963</v>
      </c>
      <c r="C499" s="14" t="s">
        <v>4964</v>
      </c>
      <c r="D499" s="8" t="s">
        <v>7962</v>
      </c>
      <c r="E499" s="9" t="s">
        <v>7963</v>
      </c>
      <c r="L499" s="10">
        <v>4061175</v>
      </c>
      <c r="M499" s="10">
        <v>821917</v>
      </c>
      <c r="N499" s="11">
        <v>15</v>
      </c>
      <c r="O499" s="11" t="s">
        <v>4871</v>
      </c>
      <c r="P499" t="s">
        <v>4962</v>
      </c>
      <c r="Q499" s="9" t="s">
        <v>6994</v>
      </c>
      <c r="S499" t="s">
        <v>7730</v>
      </c>
      <c r="T499" s="12" t="s">
        <v>5372</v>
      </c>
      <c r="U499" s="12" t="s">
        <v>5018</v>
      </c>
      <c r="V499" s="12" t="s">
        <v>5021</v>
      </c>
      <c r="W499" s="12">
        <v>0</v>
      </c>
      <c r="X499" s="12">
        <v>0</v>
      </c>
      <c r="Y499" s="12">
        <v>0</v>
      </c>
      <c r="Z499" s="12">
        <v>0</v>
      </c>
      <c r="AA499" s="12">
        <v>0</v>
      </c>
      <c r="AB499" s="12">
        <v>0</v>
      </c>
      <c r="AC499" s="12">
        <v>0</v>
      </c>
      <c r="AD499" s="12">
        <v>1</v>
      </c>
      <c r="AE499" s="12">
        <v>1</v>
      </c>
      <c r="AF499" s="12">
        <v>1</v>
      </c>
      <c r="AG499" s="12">
        <v>1</v>
      </c>
      <c r="AH499" s="12">
        <v>0</v>
      </c>
      <c r="AI499" s="12">
        <v>0</v>
      </c>
      <c r="AJ499" s="12">
        <v>0</v>
      </c>
      <c r="AK499" s="12">
        <v>0</v>
      </c>
      <c r="AL499" s="12">
        <v>0</v>
      </c>
      <c r="AM499" s="12"/>
      <c r="AN499" s="12">
        <v>0</v>
      </c>
      <c r="AO499" s="12">
        <v>0</v>
      </c>
      <c r="AP499" s="12">
        <v>0</v>
      </c>
      <c r="AQ499" s="12">
        <v>0</v>
      </c>
      <c r="AR499" s="12">
        <v>0</v>
      </c>
      <c r="AS499" s="12">
        <v>0</v>
      </c>
      <c r="AT499" s="12">
        <v>0</v>
      </c>
      <c r="AU499" s="12">
        <v>0</v>
      </c>
      <c r="AV499" s="12">
        <v>0</v>
      </c>
      <c r="AW499" s="12">
        <v>0</v>
      </c>
      <c r="AX499" s="12">
        <v>0</v>
      </c>
      <c r="AY499" s="12">
        <v>0</v>
      </c>
      <c r="BA499" s="12" t="s">
        <v>4877</v>
      </c>
      <c r="BB499" s="12">
        <v>0</v>
      </c>
      <c r="BC499" s="12">
        <v>0</v>
      </c>
      <c r="BD499" s="12">
        <v>0</v>
      </c>
      <c r="BE499" s="12">
        <v>0</v>
      </c>
      <c r="BF499" s="12">
        <v>0</v>
      </c>
      <c r="BI499" s="12">
        <v>0</v>
      </c>
      <c r="BJ499" s="12">
        <v>0</v>
      </c>
    </row>
    <row r="500" spans="1:62" ht="14" x14ac:dyDescent="0.15">
      <c r="A500" s="16" t="s">
        <v>4965</v>
      </c>
      <c r="C500" s="14" t="s">
        <v>4966</v>
      </c>
      <c r="D500" s="8" t="s">
        <v>7962</v>
      </c>
      <c r="E500" s="9" t="s">
        <v>7963</v>
      </c>
      <c r="L500" s="10">
        <v>4067516</v>
      </c>
      <c r="M500" s="10">
        <v>836366</v>
      </c>
      <c r="N500" s="11">
        <v>15</v>
      </c>
      <c r="O500" s="11" t="s">
        <v>4871</v>
      </c>
      <c r="P500" t="s">
        <v>4967</v>
      </c>
      <c r="Q500" s="9" t="s">
        <v>7217</v>
      </c>
      <c r="S500" t="s">
        <v>4968</v>
      </c>
      <c r="T500" s="12" t="s">
        <v>5372</v>
      </c>
      <c r="U500" s="12" t="s">
        <v>5018</v>
      </c>
      <c r="V500" s="12" t="s">
        <v>5021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1</v>
      </c>
      <c r="AE500" s="12">
        <v>1</v>
      </c>
      <c r="AF500" s="12">
        <v>1</v>
      </c>
      <c r="AG500" s="12">
        <v>1</v>
      </c>
      <c r="AH500" s="12">
        <v>6</v>
      </c>
      <c r="AI500" s="12">
        <v>6</v>
      </c>
      <c r="AJ500" s="12">
        <v>1</v>
      </c>
      <c r="AK500" s="12">
        <v>1</v>
      </c>
      <c r="AL500" s="12">
        <v>1</v>
      </c>
      <c r="AM500" s="12"/>
      <c r="AN500" s="12">
        <v>1</v>
      </c>
      <c r="AO500" s="12">
        <v>0</v>
      </c>
      <c r="AP500" s="12">
        <v>0</v>
      </c>
      <c r="AQ500" s="12">
        <v>1</v>
      </c>
      <c r="AR500" s="12">
        <v>1</v>
      </c>
      <c r="AS500" s="12">
        <v>0</v>
      </c>
      <c r="AT500" s="12">
        <v>1</v>
      </c>
      <c r="AU500" s="12">
        <v>1</v>
      </c>
      <c r="AV500" s="12">
        <v>1</v>
      </c>
      <c r="AW500" s="12">
        <v>0</v>
      </c>
      <c r="AX500" s="12">
        <v>0</v>
      </c>
      <c r="AY500" s="12">
        <v>0</v>
      </c>
      <c r="AZ500" s="12" t="s">
        <v>4843</v>
      </c>
      <c r="BA500" s="12" t="s">
        <v>4911</v>
      </c>
      <c r="BB500" s="12">
        <v>0</v>
      </c>
      <c r="BC500" s="12">
        <v>0</v>
      </c>
      <c r="BD500" s="12">
        <v>20</v>
      </c>
      <c r="BE500" s="12">
        <v>0</v>
      </c>
      <c r="BF500" s="12">
        <v>17600</v>
      </c>
      <c r="BI500">
        <f>BD500/BF500</f>
        <v>1.1363636363636363E-3</v>
      </c>
      <c r="BJ500">
        <f>BI500*10000</f>
        <v>11.363636363636363</v>
      </c>
    </row>
    <row r="501" spans="1:62" ht="14" x14ac:dyDescent="0.15">
      <c r="A501" s="16" t="s">
        <v>4969</v>
      </c>
      <c r="C501" s="14" t="s">
        <v>4970</v>
      </c>
      <c r="D501" s="8" t="s">
        <v>7962</v>
      </c>
      <c r="E501" s="9" t="s">
        <v>7963</v>
      </c>
      <c r="L501" s="10">
        <v>4064770</v>
      </c>
      <c r="M501" s="10">
        <v>847784</v>
      </c>
      <c r="O501" s="11" t="s">
        <v>4971</v>
      </c>
      <c r="P501"/>
      <c r="Q501" s="9" t="s">
        <v>7217</v>
      </c>
      <c r="S501" t="s">
        <v>7730</v>
      </c>
      <c r="T501" s="12" t="s">
        <v>4902</v>
      </c>
      <c r="U501" s="12" t="s">
        <v>4902</v>
      </c>
      <c r="V501" s="12" t="s">
        <v>4902</v>
      </c>
      <c r="W501" s="12">
        <v>0</v>
      </c>
      <c r="X501" s="12">
        <v>0</v>
      </c>
      <c r="Y501" s="12">
        <v>0</v>
      </c>
      <c r="Z501" s="12"/>
      <c r="AA501" s="12"/>
      <c r="AB501" s="12"/>
      <c r="AC501" s="12"/>
      <c r="AD501" s="12"/>
      <c r="AE501" s="12"/>
      <c r="AF501" s="12"/>
      <c r="AG501" s="12"/>
      <c r="AH501" s="12"/>
      <c r="AI501" s="12">
        <v>0</v>
      </c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BD501" s="12">
        <v>0</v>
      </c>
      <c r="BE501" s="12">
        <v>0</v>
      </c>
      <c r="BF501" s="12">
        <v>0</v>
      </c>
      <c r="BI501" s="12">
        <v>0</v>
      </c>
      <c r="BJ501" s="12">
        <v>0</v>
      </c>
    </row>
    <row r="502" spans="1:62" ht="14" x14ac:dyDescent="0.15">
      <c r="A502" s="16" t="s">
        <v>4972</v>
      </c>
      <c r="B502" s="7" t="s">
        <v>4973</v>
      </c>
      <c r="C502" s="14" t="s">
        <v>4974</v>
      </c>
      <c r="D502" s="8" t="s">
        <v>7962</v>
      </c>
      <c r="E502" s="9" t="s">
        <v>7963</v>
      </c>
      <c r="L502" s="10">
        <v>4030210</v>
      </c>
      <c r="M502" s="10">
        <v>764533</v>
      </c>
      <c r="N502" s="11">
        <v>15</v>
      </c>
      <c r="O502" s="11" t="s">
        <v>7964</v>
      </c>
      <c r="P502" t="s">
        <v>4975</v>
      </c>
      <c r="Q502" s="9" t="s">
        <v>7217</v>
      </c>
      <c r="S502" t="s">
        <v>4976</v>
      </c>
      <c r="T502" s="12" t="s">
        <v>4784</v>
      </c>
      <c r="U502" s="12" t="s">
        <v>5017</v>
      </c>
      <c r="V502" s="12" t="s">
        <v>5021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1</v>
      </c>
      <c r="AD502" s="12">
        <v>1</v>
      </c>
      <c r="AE502" s="12">
        <v>1</v>
      </c>
      <c r="AF502" s="12">
        <v>1</v>
      </c>
      <c r="AG502" s="12">
        <v>1</v>
      </c>
      <c r="AH502" s="12">
        <v>4</v>
      </c>
      <c r="AI502" s="12">
        <v>4</v>
      </c>
      <c r="AJ502" s="12">
        <v>1</v>
      </c>
      <c r="AK502" s="12">
        <v>1</v>
      </c>
      <c r="AL502" s="12">
        <v>1</v>
      </c>
      <c r="AM502" s="12"/>
      <c r="AN502" s="12">
        <v>0</v>
      </c>
      <c r="AO502" s="12">
        <v>0</v>
      </c>
      <c r="AP502" s="12">
        <v>0</v>
      </c>
      <c r="AQ502" s="12">
        <v>1</v>
      </c>
      <c r="AR502" s="12">
        <v>0</v>
      </c>
      <c r="AS502" s="12">
        <v>0</v>
      </c>
      <c r="AT502" s="12">
        <v>1</v>
      </c>
      <c r="AU502" s="12">
        <v>0</v>
      </c>
      <c r="AV502" s="12">
        <v>0</v>
      </c>
      <c r="AW502" s="12">
        <v>0</v>
      </c>
      <c r="AX502" s="12">
        <v>0</v>
      </c>
      <c r="AY502" s="12">
        <v>0</v>
      </c>
      <c r="BA502" s="12" t="s">
        <v>4877</v>
      </c>
      <c r="BB502" s="12">
        <v>0</v>
      </c>
      <c r="BC502" s="12">
        <v>0</v>
      </c>
      <c r="BD502" s="12">
        <v>12</v>
      </c>
      <c r="BE502" s="12">
        <v>0</v>
      </c>
      <c r="BF502" s="12">
        <v>70685.83470577035</v>
      </c>
      <c r="BI502">
        <f>BD502/BF502</f>
        <v>1.6976527263135502E-4</v>
      </c>
      <c r="BJ502">
        <f>BI502*10000</f>
        <v>1.6976527263135501</v>
      </c>
    </row>
    <row r="503" spans="1:62" ht="14" x14ac:dyDescent="0.15">
      <c r="A503" s="16" t="s">
        <v>4977</v>
      </c>
      <c r="C503" s="14" t="s">
        <v>4978</v>
      </c>
      <c r="D503" s="8" t="s">
        <v>7962</v>
      </c>
      <c r="E503" s="9" t="s">
        <v>7963</v>
      </c>
      <c r="L503" s="10">
        <v>4026910</v>
      </c>
      <c r="M503" s="10">
        <v>784105</v>
      </c>
      <c r="N503" s="11">
        <v>15</v>
      </c>
      <c r="O503" s="11" t="s">
        <v>7964</v>
      </c>
      <c r="P503" t="s">
        <v>6856</v>
      </c>
      <c r="Q503" s="9" t="s">
        <v>7217</v>
      </c>
      <c r="S503" t="s">
        <v>6857</v>
      </c>
      <c r="T503" s="12" t="s">
        <v>5372</v>
      </c>
      <c r="U503" s="12" t="s">
        <v>5018</v>
      </c>
      <c r="V503" s="12" t="s">
        <v>5021</v>
      </c>
      <c r="W503" s="12">
        <v>0</v>
      </c>
      <c r="X503" s="12">
        <v>0</v>
      </c>
      <c r="Y503" s="12">
        <v>0</v>
      </c>
      <c r="Z503" s="12">
        <v>0</v>
      </c>
      <c r="AA503" s="12">
        <v>0</v>
      </c>
      <c r="AB503" s="12">
        <v>0</v>
      </c>
      <c r="AC503" s="12">
        <v>0</v>
      </c>
      <c r="AD503" s="12">
        <v>1</v>
      </c>
      <c r="AE503" s="12">
        <v>1</v>
      </c>
      <c r="AF503" s="12">
        <v>1</v>
      </c>
      <c r="AG503" s="12">
        <v>1</v>
      </c>
      <c r="AH503" s="12">
        <v>2</v>
      </c>
      <c r="AI503" s="12">
        <v>2</v>
      </c>
      <c r="AJ503" s="12">
        <v>1</v>
      </c>
      <c r="AK503" s="12">
        <v>1</v>
      </c>
      <c r="AL503" s="12">
        <v>0</v>
      </c>
      <c r="AM503" s="12"/>
      <c r="AN503" s="12">
        <v>0</v>
      </c>
      <c r="AO503" s="12">
        <v>0</v>
      </c>
      <c r="AP503" s="12">
        <v>0</v>
      </c>
      <c r="AQ503" s="12">
        <v>0</v>
      </c>
      <c r="AR503" s="12">
        <v>0</v>
      </c>
      <c r="AS503" s="12">
        <v>0</v>
      </c>
      <c r="AT503" s="12">
        <v>1</v>
      </c>
      <c r="AU503" s="12">
        <v>0</v>
      </c>
      <c r="AV503" s="12">
        <v>1</v>
      </c>
      <c r="AW503" s="12">
        <v>0</v>
      </c>
      <c r="AX503" s="12">
        <v>0</v>
      </c>
      <c r="AY503" s="12">
        <v>0</v>
      </c>
      <c r="AZ503" s="12" t="s">
        <v>4843</v>
      </c>
      <c r="BA503" s="12" t="s">
        <v>4911</v>
      </c>
      <c r="BB503" s="12">
        <v>0</v>
      </c>
      <c r="BC503" s="12">
        <v>0</v>
      </c>
      <c r="BD503" s="12">
        <v>0</v>
      </c>
      <c r="BE503" s="12">
        <v>0</v>
      </c>
      <c r="BF503" s="12">
        <v>0</v>
      </c>
      <c r="BI503" s="12">
        <v>0</v>
      </c>
      <c r="BJ503" s="12">
        <v>0</v>
      </c>
    </row>
    <row r="504" spans="1:62" ht="14" x14ac:dyDescent="0.15">
      <c r="A504" s="16" t="s">
        <v>6858</v>
      </c>
      <c r="C504" s="14" t="s">
        <v>6859</v>
      </c>
      <c r="D504" s="8" t="s">
        <v>7962</v>
      </c>
      <c r="E504" s="9" t="s">
        <v>7963</v>
      </c>
      <c r="L504" s="10">
        <v>4026130</v>
      </c>
      <c r="M504" s="10">
        <v>801133</v>
      </c>
      <c r="N504" s="11">
        <v>15</v>
      </c>
      <c r="O504" s="11" t="s">
        <v>4871</v>
      </c>
      <c r="P504" t="s">
        <v>6860</v>
      </c>
      <c r="Q504" s="9" t="s">
        <v>7217</v>
      </c>
      <c r="S504" t="s">
        <v>7730</v>
      </c>
      <c r="T504" s="12" t="s">
        <v>4784</v>
      </c>
      <c r="U504" s="12" t="s">
        <v>5017</v>
      </c>
      <c r="V504" s="12" t="s">
        <v>5021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1</v>
      </c>
      <c r="AD504" s="12">
        <v>1</v>
      </c>
      <c r="AE504" s="12">
        <v>1</v>
      </c>
      <c r="AF504" s="12">
        <v>1</v>
      </c>
      <c r="AG504" s="12">
        <v>1</v>
      </c>
      <c r="AH504" s="12">
        <v>1</v>
      </c>
      <c r="AI504" s="12">
        <v>1</v>
      </c>
      <c r="AJ504" s="12">
        <v>1</v>
      </c>
      <c r="AK504" s="12">
        <v>0</v>
      </c>
      <c r="AL504" s="12">
        <v>0</v>
      </c>
      <c r="AM504" s="12"/>
      <c r="AN504" s="12">
        <v>0</v>
      </c>
      <c r="AO504" s="12">
        <v>0</v>
      </c>
      <c r="AP504" s="12">
        <v>0</v>
      </c>
      <c r="AQ504" s="12">
        <v>0</v>
      </c>
      <c r="AR504" s="12">
        <v>0</v>
      </c>
      <c r="AS504" s="12">
        <v>0</v>
      </c>
      <c r="AT504" s="12">
        <v>1</v>
      </c>
      <c r="AU504" s="12">
        <v>0</v>
      </c>
      <c r="AV504" s="12">
        <v>1</v>
      </c>
      <c r="AW504" s="12">
        <v>0</v>
      </c>
      <c r="AX504" s="12">
        <v>0</v>
      </c>
      <c r="AY504" s="12">
        <v>0</v>
      </c>
      <c r="AZ504" s="12" t="s">
        <v>4843</v>
      </c>
      <c r="BA504" s="12" t="s">
        <v>4911</v>
      </c>
      <c r="BB504" s="12">
        <v>0</v>
      </c>
      <c r="BC504" s="12">
        <v>0</v>
      </c>
      <c r="BD504" s="12">
        <v>0</v>
      </c>
      <c r="BE504" s="12">
        <v>0</v>
      </c>
      <c r="BF504" s="12">
        <v>0</v>
      </c>
      <c r="BI504" s="12">
        <v>0</v>
      </c>
      <c r="BJ504" s="12">
        <v>0</v>
      </c>
    </row>
    <row r="505" spans="1:62" ht="14" x14ac:dyDescent="0.15">
      <c r="A505" s="16" t="s">
        <v>6861</v>
      </c>
      <c r="C505" s="14" t="s">
        <v>6862</v>
      </c>
      <c r="D505" s="8" t="s">
        <v>7962</v>
      </c>
      <c r="E505" s="9" t="s">
        <v>7963</v>
      </c>
      <c r="L505" s="10">
        <v>3987390</v>
      </c>
      <c r="M505" s="10">
        <v>739460</v>
      </c>
      <c r="N505" s="11">
        <v>15</v>
      </c>
      <c r="O505" s="11" t="s">
        <v>4971</v>
      </c>
      <c r="P505" t="s">
        <v>6863</v>
      </c>
      <c r="Q505" s="9" t="s">
        <v>1112</v>
      </c>
      <c r="S505" t="s">
        <v>7730</v>
      </c>
      <c r="T505" s="12" t="s">
        <v>4784</v>
      </c>
      <c r="U505" s="12" t="s">
        <v>5017</v>
      </c>
      <c r="V505" s="12" t="s">
        <v>5021</v>
      </c>
      <c r="W505" s="12">
        <v>0</v>
      </c>
      <c r="X505" s="12">
        <v>0</v>
      </c>
      <c r="Y505" s="12">
        <v>0</v>
      </c>
      <c r="Z505" s="12">
        <v>0</v>
      </c>
      <c r="AA505" s="12">
        <v>0</v>
      </c>
      <c r="AB505" s="12">
        <v>0</v>
      </c>
      <c r="AC505" s="12">
        <v>1</v>
      </c>
      <c r="AD505" s="12">
        <v>1</v>
      </c>
      <c r="AE505" s="12">
        <v>1</v>
      </c>
      <c r="AF505" s="12">
        <v>1</v>
      </c>
      <c r="AG505" s="12">
        <v>1</v>
      </c>
      <c r="AH505" s="12">
        <v>1</v>
      </c>
      <c r="AI505" s="12">
        <v>1</v>
      </c>
      <c r="AJ505" s="12">
        <v>1</v>
      </c>
      <c r="AK505" s="12">
        <v>0</v>
      </c>
      <c r="AL505" s="12">
        <v>0</v>
      </c>
      <c r="AM505" s="12"/>
      <c r="AN505" s="12">
        <v>0</v>
      </c>
      <c r="AO505" s="12">
        <v>0</v>
      </c>
      <c r="AP505" s="12">
        <v>0</v>
      </c>
      <c r="AQ505" s="12">
        <v>0</v>
      </c>
      <c r="AR505" s="12">
        <v>0</v>
      </c>
      <c r="AS505" s="12">
        <v>0</v>
      </c>
      <c r="AT505" s="12">
        <v>1</v>
      </c>
      <c r="AU505" s="12">
        <v>0</v>
      </c>
      <c r="AV505" s="12">
        <v>0</v>
      </c>
      <c r="AW505" s="12">
        <v>0</v>
      </c>
      <c r="AX505" s="12">
        <v>0</v>
      </c>
      <c r="AY505" s="12">
        <v>0</v>
      </c>
      <c r="BA505" s="12" t="s">
        <v>4877</v>
      </c>
      <c r="BB505" s="12">
        <v>0</v>
      </c>
      <c r="BC505" s="12">
        <v>0</v>
      </c>
      <c r="BD505" s="12">
        <v>0</v>
      </c>
      <c r="BE505" s="12">
        <v>0</v>
      </c>
      <c r="BF505" s="12">
        <v>0</v>
      </c>
      <c r="BI505" s="12">
        <v>0</v>
      </c>
      <c r="BJ505" s="12">
        <v>0</v>
      </c>
    </row>
    <row r="506" spans="1:62" ht="14" x14ac:dyDescent="0.15">
      <c r="A506" s="16" t="s">
        <v>6864</v>
      </c>
      <c r="C506" s="14" t="s">
        <v>6865</v>
      </c>
      <c r="D506" s="8" t="s">
        <v>7962</v>
      </c>
      <c r="E506" s="9" t="s">
        <v>7963</v>
      </c>
      <c r="L506" s="10">
        <v>3995420</v>
      </c>
      <c r="M506" s="10">
        <v>742596</v>
      </c>
      <c r="N506" s="11">
        <v>15</v>
      </c>
      <c r="O506" s="11" t="s">
        <v>7964</v>
      </c>
      <c r="P506" t="s">
        <v>6866</v>
      </c>
      <c r="Q506" s="9" t="s">
        <v>1112</v>
      </c>
      <c r="S506" t="s">
        <v>7730</v>
      </c>
      <c r="T506" s="12" t="s">
        <v>4784</v>
      </c>
      <c r="U506" s="12" t="s">
        <v>5017</v>
      </c>
      <c r="V506" s="12" t="s">
        <v>5021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1</v>
      </c>
      <c r="AD506" s="12">
        <v>1</v>
      </c>
      <c r="AE506" s="12">
        <v>1</v>
      </c>
      <c r="AF506" s="12">
        <v>1</v>
      </c>
      <c r="AG506" s="12">
        <v>1</v>
      </c>
      <c r="AH506" s="18" t="s">
        <v>8248</v>
      </c>
      <c r="AI506" s="12">
        <v>2</v>
      </c>
      <c r="AJ506" s="12">
        <v>1</v>
      </c>
      <c r="AK506" s="12">
        <v>1</v>
      </c>
      <c r="AL506" s="12">
        <v>0</v>
      </c>
      <c r="AM506" s="12"/>
      <c r="AN506" s="12">
        <v>0</v>
      </c>
      <c r="AO506" s="12">
        <v>0</v>
      </c>
      <c r="AP506" s="12">
        <v>0</v>
      </c>
      <c r="AQ506" s="12">
        <v>0</v>
      </c>
      <c r="AR506" s="12">
        <v>0</v>
      </c>
      <c r="AS506" s="12">
        <v>0</v>
      </c>
      <c r="AT506" s="12">
        <v>1</v>
      </c>
      <c r="AU506" s="12">
        <v>0</v>
      </c>
      <c r="AV506" s="12">
        <v>0</v>
      </c>
      <c r="AW506" s="12">
        <v>0</v>
      </c>
      <c r="AX506" s="12">
        <v>0</v>
      </c>
      <c r="AY506" s="12">
        <v>0</v>
      </c>
      <c r="BA506" s="12" t="s">
        <v>4877</v>
      </c>
      <c r="BB506" s="12">
        <v>0</v>
      </c>
      <c r="BC506" s="12">
        <v>0</v>
      </c>
      <c r="BD506" s="12">
        <v>0</v>
      </c>
      <c r="BE506" s="12">
        <v>0</v>
      </c>
      <c r="BF506" s="12">
        <v>0</v>
      </c>
      <c r="BI506" s="12">
        <v>0</v>
      </c>
      <c r="BJ506" s="12">
        <v>0</v>
      </c>
    </row>
    <row r="507" spans="1:62" ht="14" x14ac:dyDescent="0.15">
      <c r="A507" s="16" t="s">
        <v>6867</v>
      </c>
      <c r="C507" s="14" t="s">
        <v>6868</v>
      </c>
      <c r="D507" s="8" t="s">
        <v>7962</v>
      </c>
      <c r="E507" s="9" t="s">
        <v>7963</v>
      </c>
      <c r="L507" s="10">
        <v>4002970</v>
      </c>
      <c r="M507" s="10">
        <v>749679</v>
      </c>
      <c r="N507" s="11">
        <v>15</v>
      </c>
      <c r="O507" s="11" t="s">
        <v>7964</v>
      </c>
      <c r="P507" t="s">
        <v>6869</v>
      </c>
      <c r="Q507" s="9" t="s">
        <v>1112</v>
      </c>
      <c r="S507" t="s">
        <v>7730</v>
      </c>
      <c r="T507" s="12" t="s">
        <v>4784</v>
      </c>
      <c r="U507" s="12" t="s">
        <v>5017</v>
      </c>
      <c r="V507" s="12" t="s">
        <v>5021</v>
      </c>
      <c r="W507" s="12">
        <v>0</v>
      </c>
      <c r="X507" s="12">
        <v>0</v>
      </c>
      <c r="Y507" s="12">
        <v>0</v>
      </c>
      <c r="Z507" s="12">
        <v>0</v>
      </c>
      <c r="AA507" s="12">
        <v>0</v>
      </c>
      <c r="AB507" s="12">
        <v>0</v>
      </c>
      <c r="AC507" s="12">
        <v>1</v>
      </c>
      <c r="AD507" s="12">
        <v>1</v>
      </c>
      <c r="AE507" s="12">
        <v>1</v>
      </c>
      <c r="AF507" s="12">
        <v>1</v>
      </c>
      <c r="AG507" s="12">
        <v>1</v>
      </c>
      <c r="AH507" s="12">
        <v>1</v>
      </c>
      <c r="AI507" s="12">
        <v>1</v>
      </c>
      <c r="AJ507" s="12">
        <v>1</v>
      </c>
      <c r="AK507" s="12">
        <v>0</v>
      </c>
      <c r="AL507" s="12">
        <v>0</v>
      </c>
      <c r="AM507" s="12"/>
      <c r="AN507" s="12">
        <v>0</v>
      </c>
      <c r="AO507" s="12">
        <v>0</v>
      </c>
      <c r="AP507" s="12">
        <v>0</v>
      </c>
      <c r="AQ507" s="12">
        <v>0</v>
      </c>
      <c r="AR507" s="12">
        <v>0</v>
      </c>
      <c r="AS507" s="12">
        <v>0</v>
      </c>
      <c r="AT507" s="12">
        <v>1</v>
      </c>
      <c r="AU507" s="12">
        <v>0</v>
      </c>
      <c r="AV507" s="12">
        <v>0</v>
      </c>
      <c r="AW507" s="12">
        <v>0</v>
      </c>
      <c r="AX507" s="12">
        <v>0</v>
      </c>
      <c r="AY507" s="12">
        <v>0</v>
      </c>
      <c r="BA507" s="12" t="s">
        <v>4877</v>
      </c>
      <c r="BB507" s="12">
        <v>0</v>
      </c>
      <c r="BC507" s="12">
        <v>0</v>
      </c>
      <c r="BD507" s="12">
        <v>0</v>
      </c>
      <c r="BE507" s="12">
        <v>0</v>
      </c>
      <c r="BF507" s="12">
        <v>22500</v>
      </c>
      <c r="BI507" s="12">
        <v>0</v>
      </c>
      <c r="BJ507" s="12">
        <v>0</v>
      </c>
    </row>
    <row r="508" spans="1:62" ht="14" x14ac:dyDescent="0.15">
      <c r="A508" s="16" t="s">
        <v>6870</v>
      </c>
      <c r="C508" s="14" t="s">
        <v>6871</v>
      </c>
      <c r="D508" s="8" t="s">
        <v>7962</v>
      </c>
      <c r="E508" s="9" t="s">
        <v>7963</v>
      </c>
      <c r="L508" s="10">
        <v>4012710</v>
      </c>
      <c r="M508" s="10">
        <v>760148</v>
      </c>
      <c r="N508" s="11">
        <v>15</v>
      </c>
      <c r="O508" s="11" t="s">
        <v>7964</v>
      </c>
      <c r="P508" t="s">
        <v>6872</v>
      </c>
      <c r="Q508" s="9" t="s">
        <v>7217</v>
      </c>
      <c r="S508" t="s">
        <v>7730</v>
      </c>
      <c r="T508" s="12" t="s">
        <v>4784</v>
      </c>
      <c r="U508" s="12" t="s">
        <v>5017</v>
      </c>
      <c r="V508" s="12" t="s">
        <v>5021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1</v>
      </c>
      <c r="AD508" s="12">
        <v>1</v>
      </c>
      <c r="AE508" s="12">
        <v>1</v>
      </c>
      <c r="AF508" s="12">
        <v>1</v>
      </c>
      <c r="AG508" s="12">
        <v>1</v>
      </c>
      <c r="AH508" s="12">
        <v>1</v>
      </c>
      <c r="AI508" s="12">
        <v>1</v>
      </c>
      <c r="AJ508" s="12">
        <v>1</v>
      </c>
      <c r="AK508" s="12">
        <v>0</v>
      </c>
      <c r="AL508" s="12">
        <v>0</v>
      </c>
      <c r="AM508" s="12"/>
      <c r="AN508" s="12">
        <v>0</v>
      </c>
      <c r="AO508" s="12">
        <v>0</v>
      </c>
      <c r="AP508" s="12">
        <v>0</v>
      </c>
      <c r="AQ508" s="12">
        <v>0</v>
      </c>
      <c r="AR508" s="12">
        <v>0</v>
      </c>
      <c r="AS508" s="12">
        <v>0</v>
      </c>
      <c r="AT508" s="12">
        <v>1</v>
      </c>
      <c r="AU508" s="12">
        <v>0</v>
      </c>
      <c r="AV508" s="12">
        <v>0</v>
      </c>
      <c r="AW508" s="12">
        <v>0</v>
      </c>
      <c r="AX508" s="12">
        <v>0</v>
      </c>
      <c r="AY508" s="12">
        <v>0</v>
      </c>
      <c r="BA508" s="12" t="s">
        <v>4877</v>
      </c>
      <c r="BB508" s="12">
        <v>0</v>
      </c>
      <c r="BC508" s="12">
        <v>0</v>
      </c>
      <c r="BD508" s="12">
        <v>12</v>
      </c>
      <c r="BE508" s="12">
        <v>0</v>
      </c>
      <c r="BF508" s="12">
        <v>0</v>
      </c>
      <c r="BI508" s="12">
        <v>0</v>
      </c>
      <c r="BJ508" s="12">
        <v>0</v>
      </c>
    </row>
    <row r="509" spans="1:62" x14ac:dyDescent="0.15">
      <c r="A509" s="14" t="s">
        <v>6873</v>
      </c>
      <c r="B509" t="s">
        <v>6874</v>
      </c>
      <c r="C509" s="14" t="s">
        <v>6875</v>
      </c>
      <c r="D509" s="8" t="s">
        <v>7962</v>
      </c>
      <c r="E509" s="9" t="s">
        <v>7963</v>
      </c>
      <c r="L509" s="10">
        <v>3996510</v>
      </c>
      <c r="M509" s="10">
        <v>760676</v>
      </c>
      <c r="N509" s="11">
        <v>15</v>
      </c>
      <c r="O509" s="11" t="s">
        <v>6876</v>
      </c>
      <c r="P509" t="s">
        <v>6877</v>
      </c>
      <c r="Q509" s="9" t="s">
        <v>7217</v>
      </c>
      <c r="S509" t="s">
        <v>6878</v>
      </c>
      <c r="T509" s="12" t="s">
        <v>4784</v>
      </c>
      <c r="U509" s="12" t="s">
        <v>5017</v>
      </c>
      <c r="V509" s="12" t="s">
        <v>5021</v>
      </c>
      <c r="W509" s="12">
        <v>0</v>
      </c>
      <c r="X509" s="12">
        <v>0</v>
      </c>
      <c r="Y509" s="12">
        <v>0</v>
      </c>
      <c r="Z509" s="12">
        <v>0</v>
      </c>
      <c r="AA509" s="12">
        <v>0</v>
      </c>
      <c r="AB509" s="12">
        <v>0</v>
      </c>
      <c r="AC509" s="12">
        <v>1</v>
      </c>
      <c r="AD509" s="12">
        <v>1</v>
      </c>
      <c r="AE509" s="12">
        <v>1</v>
      </c>
      <c r="AF509" s="12">
        <v>1</v>
      </c>
      <c r="AG509" s="12">
        <v>1</v>
      </c>
      <c r="AH509" s="12" t="s">
        <v>6879</v>
      </c>
      <c r="AI509" s="12">
        <v>4</v>
      </c>
      <c r="AJ509" s="12">
        <v>1</v>
      </c>
      <c r="AK509" s="12">
        <v>1</v>
      </c>
      <c r="AL509" s="12">
        <v>1</v>
      </c>
      <c r="AM509" s="12"/>
      <c r="AN509" s="12">
        <v>0</v>
      </c>
      <c r="AO509" s="12">
        <v>0</v>
      </c>
      <c r="AP509" s="12">
        <v>0</v>
      </c>
      <c r="AQ509" s="12">
        <v>1</v>
      </c>
      <c r="AR509" s="12">
        <v>0</v>
      </c>
      <c r="AS509" s="12">
        <v>0</v>
      </c>
      <c r="AT509" s="12">
        <v>1</v>
      </c>
      <c r="AU509" s="12">
        <v>0</v>
      </c>
      <c r="AV509" s="12">
        <v>1</v>
      </c>
      <c r="AW509" s="12">
        <v>0</v>
      </c>
      <c r="AX509" s="12">
        <v>0</v>
      </c>
      <c r="AY509" s="12">
        <v>0</v>
      </c>
      <c r="AZ509" s="12" t="s">
        <v>4843</v>
      </c>
      <c r="BA509" s="12" t="s">
        <v>4911</v>
      </c>
      <c r="BB509" s="12">
        <v>1</v>
      </c>
      <c r="BC509" s="12">
        <v>0</v>
      </c>
      <c r="BD509" s="12">
        <v>22</v>
      </c>
      <c r="BE509" s="12">
        <v>0</v>
      </c>
      <c r="BF509" s="12">
        <v>10000</v>
      </c>
      <c r="BI509">
        <f>BD509/BF509</f>
        <v>2.2000000000000001E-3</v>
      </c>
      <c r="BJ509">
        <f>BI509*10000</f>
        <v>22</v>
      </c>
    </row>
    <row r="510" spans="1:62" ht="14" x14ac:dyDescent="0.15">
      <c r="A510" s="16" t="s">
        <v>6880</v>
      </c>
      <c r="C510" s="14" t="s">
        <v>6881</v>
      </c>
      <c r="D510" s="8" t="s">
        <v>7962</v>
      </c>
      <c r="E510" s="9" t="s">
        <v>7963</v>
      </c>
      <c r="L510" s="10">
        <v>4005340</v>
      </c>
      <c r="M510" s="10">
        <v>791872</v>
      </c>
      <c r="N510" s="11">
        <v>15</v>
      </c>
      <c r="O510" s="11" t="s">
        <v>6876</v>
      </c>
      <c r="P510" t="s">
        <v>6882</v>
      </c>
      <c r="Q510" s="9" t="s">
        <v>7217</v>
      </c>
      <c r="S510" t="s">
        <v>7730</v>
      </c>
      <c r="T510" s="12" t="s">
        <v>4784</v>
      </c>
      <c r="U510" s="12" t="s">
        <v>5017</v>
      </c>
      <c r="V510" s="12" t="s">
        <v>5021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1</v>
      </c>
      <c r="AD510" s="12">
        <v>1</v>
      </c>
      <c r="AE510" s="12">
        <v>1</v>
      </c>
      <c r="AF510" s="12">
        <v>1</v>
      </c>
      <c r="AG510" s="12">
        <v>1</v>
      </c>
      <c r="AH510" s="18" t="s">
        <v>1131</v>
      </c>
      <c r="AI510" s="12">
        <v>3</v>
      </c>
      <c r="AJ510" s="12">
        <v>1</v>
      </c>
      <c r="AK510" s="12">
        <v>1</v>
      </c>
      <c r="AL510" s="12">
        <v>0</v>
      </c>
      <c r="AM510" s="12"/>
      <c r="AN510" s="12">
        <v>0</v>
      </c>
      <c r="AO510" s="12">
        <v>0</v>
      </c>
      <c r="AP510" s="12">
        <v>0</v>
      </c>
      <c r="AQ510" s="12">
        <v>0</v>
      </c>
      <c r="AR510" s="12">
        <v>0</v>
      </c>
      <c r="AS510" s="12">
        <v>0</v>
      </c>
      <c r="AT510" s="12">
        <v>1</v>
      </c>
      <c r="AU510" s="12">
        <v>0</v>
      </c>
      <c r="AV510" s="12">
        <v>0</v>
      </c>
      <c r="AW510" s="12">
        <v>0</v>
      </c>
      <c r="AX510" s="12">
        <v>0</v>
      </c>
      <c r="AY510" s="12">
        <v>0</v>
      </c>
      <c r="BA510" s="12" t="s">
        <v>4877</v>
      </c>
      <c r="BB510" s="12">
        <v>0</v>
      </c>
      <c r="BC510" s="12">
        <v>0</v>
      </c>
      <c r="BD510" s="12">
        <v>0</v>
      </c>
      <c r="BE510" s="12">
        <v>0</v>
      </c>
      <c r="BF510" s="12">
        <v>0</v>
      </c>
      <c r="BI510" s="12">
        <v>0</v>
      </c>
      <c r="BJ510" s="12">
        <v>0</v>
      </c>
    </row>
    <row r="511" spans="1:62" ht="14" x14ac:dyDescent="0.15">
      <c r="A511" s="16" t="s">
        <v>6883</v>
      </c>
      <c r="C511" s="14" t="s">
        <v>6884</v>
      </c>
      <c r="D511" s="8" t="s">
        <v>7962</v>
      </c>
      <c r="E511" s="9" t="s">
        <v>7963</v>
      </c>
      <c r="L511" s="10">
        <v>4000950</v>
      </c>
      <c r="M511" s="10">
        <v>791867</v>
      </c>
      <c r="N511" s="11">
        <v>15</v>
      </c>
      <c r="O511" s="11" t="s">
        <v>7964</v>
      </c>
      <c r="P511" t="s">
        <v>6885</v>
      </c>
      <c r="Q511" s="9" t="s">
        <v>7217</v>
      </c>
      <c r="S511" t="s">
        <v>7730</v>
      </c>
      <c r="T511" s="12" t="s">
        <v>5372</v>
      </c>
      <c r="U511" s="12" t="s">
        <v>5018</v>
      </c>
      <c r="V511" s="12" t="s">
        <v>5021</v>
      </c>
      <c r="W511" s="12">
        <v>0</v>
      </c>
      <c r="X511" s="12">
        <v>0</v>
      </c>
      <c r="Y511" s="12">
        <v>0</v>
      </c>
      <c r="Z511" s="12">
        <v>0</v>
      </c>
      <c r="AA511" s="12">
        <v>0</v>
      </c>
      <c r="AB511" s="12">
        <v>0</v>
      </c>
      <c r="AC511" s="12">
        <v>0</v>
      </c>
      <c r="AD511" s="12">
        <v>1</v>
      </c>
      <c r="AE511" s="12">
        <v>1</v>
      </c>
      <c r="AF511" s="12">
        <v>1</v>
      </c>
      <c r="AG511" s="12">
        <v>1</v>
      </c>
      <c r="AH511" s="12">
        <v>1</v>
      </c>
      <c r="AI511" s="12">
        <v>1</v>
      </c>
      <c r="AJ511" s="12">
        <v>1</v>
      </c>
      <c r="AK511" s="12">
        <v>0</v>
      </c>
      <c r="AL511" s="12">
        <v>0</v>
      </c>
      <c r="AM511" s="12"/>
      <c r="AN511" s="12">
        <v>0</v>
      </c>
      <c r="AO511" s="12">
        <v>0</v>
      </c>
      <c r="AP511" s="12">
        <v>0</v>
      </c>
      <c r="AQ511" s="12">
        <v>0</v>
      </c>
      <c r="AR511" s="12">
        <v>0</v>
      </c>
      <c r="AS511" s="12">
        <v>0</v>
      </c>
      <c r="AT511" s="12">
        <v>1</v>
      </c>
      <c r="AU511" s="12">
        <v>0</v>
      </c>
      <c r="AV511" s="12">
        <v>0</v>
      </c>
      <c r="AW511" s="12">
        <v>0</v>
      </c>
      <c r="AX511" s="12">
        <v>0</v>
      </c>
      <c r="AY511" s="12">
        <v>0</v>
      </c>
      <c r="BA511" s="12" t="s">
        <v>4877</v>
      </c>
      <c r="BB511" s="12">
        <v>0</v>
      </c>
      <c r="BC511" s="12">
        <v>0</v>
      </c>
      <c r="BD511" s="12">
        <v>6</v>
      </c>
      <c r="BE511" s="12">
        <v>0</v>
      </c>
      <c r="BF511" s="12">
        <v>1963.4954084936207</v>
      </c>
      <c r="BI511">
        <f>BD511/BF511</f>
        <v>3.0557749073643905E-3</v>
      </c>
      <c r="BJ511">
        <f>BI511*10000</f>
        <v>30.557749073643905</v>
      </c>
    </row>
    <row r="512" spans="1:62" ht="14" x14ac:dyDescent="0.15">
      <c r="A512" s="16" t="s">
        <v>6886</v>
      </c>
      <c r="C512" s="14" t="s">
        <v>6887</v>
      </c>
      <c r="D512" s="8" t="s">
        <v>7962</v>
      </c>
      <c r="E512" s="9" t="s">
        <v>7963</v>
      </c>
      <c r="L512" s="10">
        <v>3994950</v>
      </c>
      <c r="M512" s="10">
        <v>785475</v>
      </c>
      <c r="N512" s="11">
        <v>15</v>
      </c>
      <c r="O512" s="11" t="s">
        <v>7964</v>
      </c>
      <c r="P512" t="s">
        <v>6888</v>
      </c>
      <c r="Q512" s="9" t="s">
        <v>7217</v>
      </c>
      <c r="S512" t="s">
        <v>7730</v>
      </c>
      <c r="T512" s="12" t="s">
        <v>8342</v>
      </c>
      <c r="U512" s="12" t="s">
        <v>5019</v>
      </c>
      <c r="V512" s="12" t="s">
        <v>5021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1</v>
      </c>
      <c r="AF512" s="12">
        <v>1</v>
      </c>
      <c r="AG512" s="12">
        <v>1</v>
      </c>
      <c r="AH512" s="12">
        <v>5</v>
      </c>
      <c r="AI512" s="12">
        <v>5</v>
      </c>
      <c r="AJ512" s="12">
        <v>1</v>
      </c>
      <c r="AK512" s="12">
        <v>1</v>
      </c>
      <c r="AL512" s="12">
        <v>0</v>
      </c>
      <c r="AM512" s="12"/>
      <c r="AN512" s="12">
        <v>0</v>
      </c>
      <c r="AO512" s="12">
        <v>0</v>
      </c>
      <c r="AP512" s="12">
        <v>0</v>
      </c>
      <c r="AQ512" s="12">
        <v>0</v>
      </c>
      <c r="AR512" s="12">
        <v>0</v>
      </c>
      <c r="AS512" s="12">
        <v>0</v>
      </c>
      <c r="AT512" s="12">
        <v>1</v>
      </c>
      <c r="AU512" s="12">
        <v>0</v>
      </c>
      <c r="AV512" s="12">
        <v>0</v>
      </c>
      <c r="AW512" s="12">
        <v>0</v>
      </c>
      <c r="AX512" s="12">
        <v>0</v>
      </c>
      <c r="AY512" s="12">
        <v>0</v>
      </c>
      <c r="BA512" s="12" t="s">
        <v>4877</v>
      </c>
      <c r="BB512" s="12">
        <v>0</v>
      </c>
      <c r="BC512" s="12">
        <v>0</v>
      </c>
      <c r="BD512" s="12">
        <v>0</v>
      </c>
      <c r="BE512" s="12">
        <v>0</v>
      </c>
      <c r="BF512" s="12">
        <v>0</v>
      </c>
      <c r="BI512" s="12">
        <v>0</v>
      </c>
      <c r="BJ512" s="12">
        <v>0</v>
      </c>
    </row>
    <row r="513" spans="1:62" ht="14" x14ac:dyDescent="0.15">
      <c r="A513" s="16" t="s">
        <v>6889</v>
      </c>
      <c r="C513" s="14" t="s">
        <v>6890</v>
      </c>
      <c r="D513" s="8" t="s">
        <v>7962</v>
      </c>
      <c r="E513" s="9" t="s">
        <v>7963</v>
      </c>
      <c r="L513" s="10">
        <v>3992420</v>
      </c>
      <c r="M513" s="10">
        <v>789617</v>
      </c>
      <c r="N513" s="11">
        <v>15</v>
      </c>
      <c r="O513" s="11" t="s">
        <v>7964</v>
      </c>
      <c r="P513" t="s">
        <v>6885</v>
      </c>
      <c r="Q513" s="9" t="s">
        <v>7217</v>
      </c>
      <c r="S513" t="s">
        <v>7730</v>
      </c>
      <c r="T513" s="12" t="s">
        <v>8342</v>
      </c>
      <c r="U513" s="12" t="s">
        <v>5019</v>
      </c>
      <c r="V513" s="12" t="s">
        <v>5021</v>
      </c>
      <c r="W513" s="12">
        <v>0</v>
      </c>
      <c r="X513" s="12">
        <v>0</v>
      </c>
      <c r="Y513" s="12">
        <v>0</v>
      </c>
      <c r="Z513" s="12">
        <v>0</v>
      </c>
      <c r="AA513" s="12">
        <v>0</v>
      </c>
      <c r="AB513" s="12">
        <v>0</v>
      </c>
      <c r="AC513" s="12">
        <v>0</v>
      </c>
      <c r="AD513" s="12">
        <v>0</v>
      </c>
      <c r="AE513" s="12">
        <v>1</v>
      </c>
      <c r="AF513" s="12">
        <v>1</v>
      </c>
      <c r="AG513" s="12">
        <v>1</v>
      </c>
      <c r="AH513" s="11">
        <v>1</v>
      </c>
      <c r="AI513" s="12">
        <v>1</v>
      </c>
      <c r="AJ513" s="12">
        <v>1</v>
      </c>
      <c r="AK513" s="12">
        <v>0</v>
      </c>
      <c r="AL513" s="12">
        <v>0</v>
      </c>
      <c r="AM513" s="12"/>
      <c r="AN513" s="12">
        <v>0</v>
      </c>
      <c r="AO513" s="12">
        <v>0</v>
      </c>
      <c r="AP513" s="12">
        <v>0</v>
      </c>
      <c r="AQ513" s="12">
        <v>0</v>
      </c>
      <c r="AR513" s="12">
        <v>0</v>
      </c>
      <c r="AS513" s="12">
        <v>0</v>
      </c>
      <c r="AT513" s="12">
        <v>1</v>
      </c>
      <c r="AU513" s="12">
        <v>0</v>
      </c>
      <c r="AV513" s="12">
        <v>0</v>
      </c>
      <c r="AW513" s="12">
        <v>0</v>
      </c>
      <c r="AX513" s="12">
        <v>0</v>
      </c>
      <c r="AY513" s="12">
        <v>0</v>
      </c>
      <c r="BA513" s="12" t="s">
        <v>4877</v>
      </c>
      <c r="BB513" s="12">
        <v>0</v>
      </c>
      <c r="BC513" s="12">
        <v>0</v>
      </c>
      <c r="BD513" s="12">
        <v>6</v>
      </c>
      <c r="BE513" s="12">
        <v>0</v>
      </c>
      <c r="BF513" s="12">
        <v>7853.981633974483</v>
      </c>
      <c r="BI513">
        <f>BD513/BF513</f>
        <v>7.6394372684109762E-4</v>
      </c>
      <c r="BJ513">
        <f>BI513*10000</f>
        <v>7.6394372684109761</v>
      </c>
    </row>
    <row r="514" spans="1:62" ht="14" x14ac:dyDescent="0.15">
      <c r="A514" s="16" t="s">
        <v>6891</v>
      </c>
      <c r="C514" s="14" t="s">
        <v>6892</v>
      </c>
      <c r="D514" s="8" t="s">
        <v>7962</v>
      </c>
      <c r="E514" s="9" t="s">
        <v>7963</v>
      </c>
      <c r="L514" s="10">
        <v>3999376</v>
      </c>
      <c r="M514" s="10">
        <v>783686</v>
      </c>
      <c r="N514" s="11">
        <v>15</v>
      </c>
      <c r="O514" s="11" t="s">
        <v>7964</v>
      </c>
      <c r="P514" t="s">
        <v>6893</v>
      </c>
      <c r="Q514" s="9" t="s">
        <v>7778</v>
      </c>
      <c r="S514" t="s">
        <v>7730</v>
      </c>
      <c r="T514" s="12" t="s">
        <v>8342</v>
      </c>
      <c r="U514" s="12" t="s">
        <v>5019</v>
      </c>
      <c r="V514" s="12" t="s">
        <v>5021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1</v>
      </c>
      <c r="AF514" s="12">
        <v>1</v>
      </c>
      <c r="AG514" s="12">
        <v>1</v>
      </c>
      <c r="AH514" s="18" t="s">
        <v>8248</v>
      </c>
      <c r="AI514" s="12">
        <v>2</v>
      </c>
      <c r="AJ514" s="12">
        <v>1</v>
      </c>
      <c r="AK514" s="12">
        <v>1</v>
      </c>
      <c r="AL514" s="12">
        <v>0</v>
      </c>
      <c r="AM514" s="12"/>
      <c r="AN514" s="12">
        <v>0</v>
      </c>
      <c r="AO514" s="12">
        <v>0</v>
      </c>
      <c r="AP514" s="12">
        <v>0</v>
      </c>
      <c r="AQ514" s="12">
        <v>0</v>
      </c>
      <c r="AR514" s="12">
        <v>0</v>
      </c>
      <c r="AS514" s="12">
        <v>0</v>
      </c>
      <c r="AT514" s="12">
        <v>1</v>
      </c>
      <c r="AU514" s="12">
        <v>0</v>
      </c>
      <c r="AV514" s="12">
        <v>0</v>
      </c>
      <c r="AW514" s="12">
        <v>0</v>
      </c>
      <c r="AX514" s="12">
        <v>0</v>
      </c>
      <c r="AY514" s="12">
        <v>0</v>
      </c>
      <c r="BA514" s="12" t="s">
        <v>4877</v>
      </c>
      <c r="BB514" s="12">
        <v>0</v>
      </c>
      <c r="BC514" s="12">
        <v>0</v>
      </c>
      <c r="BD514" s="12">
        <v>0</v>
      </c>
      <c r="BE514" s="12">
        <v>0</v>
      </c>
      <c r="BF514" s="12">
        <v>0</v>
      </c>
      <c r="BI514" s="12">
        <v>0</v>
      </c>
      <c r="BJ514" s="12">
        <v>0</v>
      </c>
    </row>
    <row r="515" spans="1:62" ht="14" x14ac:dyDescent="0.15">
      <c r="A515" s="16" t="s">
        <v>6894</v>
      </c>
      <c r="C515" s="14" t="s">
        <v>6895</v>
      </c>
      <c r="D515" s="8" t="s">
        <v>7962</v>
      </c>
      <c r="E515" s="9" t="s">
        <v>7963</v>
      </c>
      <c r="L515" s="10">
        <v>4005740</v>
      </c>
      <c r="M515" s="10">
        <v>797559</v>
      </c>
      <c r="N515" s="11">
        <v>15</v>
      </c>
      <c r="O515" s="11" t="s">
        <v>6876</v>
      </c>
      <c r="P515" t="s">
        <v>6672</v>
      </c>
      <c r="Q515" s="9" t="s">
        <v>7217</v>
      </c>
      <c r="S515" t="s">
        <v>6857</v>
      </c>
      <c r="T515" s="12" t="s">
        <v>5372</v>
      </c>
      <c r="U515" s="12" t="s">
        <v>5018</v>
      </c>
      <c r="V515" s="12" t="s">
        <v>5021</v>
      </c>
      <c r="W515" s="12">
        <v>0</v>
      </c>
      <c r="X515" s="12">
        <v>0</v>
      </c>
      <c r="Y515" s="12">
        <v>0</v>
      </c>
      <c r="Z515" s="12">
        <v>0</v>
      </c>
      <c r="AA515" s="12">
        <v>0</v>
      </c>
      <c r="AB515" s="12">
        <v>0</v>
      </c>
      <c r="AC515" s="12">
        <v>0</v>
      </c>
      <c r="AD515" s="12">
        <v>1</v>
      </c>
      <c r="AE515" s="12">
        <v>1</v>
      </c>
      <c r="AF515" s="12">
        <v>1</v>
      </c>
      <c r="AG515" s="12">
        <v>1</v>
      </c>
      <c r="AH515" s="12">
        <v>2</v>
      </c>
      <c r="AI515" s="12">
        <v>2</v>
      </c>
      <c r="AJ515" s="12">
        <v>1</v>
      </c>
      <c r="AK515" s="12">
        <v>1</v>
      </c>
      <c r="AL515" s="12">
        <v>1</v>
      </c>
      <c r="AM515" s="12"/>
      <c r="AN515" s="12">
        <v>1</v>
      </c>
      <c r="AO515" s="12">
        <v>0</v>
      </c>
      <c r="AP515" s="12">
        <v>0</v>
      </c>
      <c r="AQ515" s="12">
        <v>1</v>
      </c>
      <c r="AR515" s="12">
        <v>0</v>
      </c>
      <c r="AS515" s="12">
        <v>0</v>
      </c>
      <c r="AT515" s="12">
        <v>1</v>
      </c>
      <c r="AU515" s="12">
        <v>0</v>
      </c>
      <c r="AV515" s="12">
        <v>0</v>
      </c>
      <c r="AW515" s="12">
        <v>0</v>
      </c>
      <c r="AX515" s="12">
        <v>0</v>
      </c>
      <c r="AY515" s="12">
        <v>0</v>
      </c>
      <c r="BA515" s="12" t="s">
        <v>4877</v>
      </c>
      <c r="BB515" s="12">
        <v>0</v>
      </c>
      <c r="BC515" s="12">
        <v>0</v>
      </c>
      <c r="BD515" s="12">
        <v>30</v>
      </c>
      <c r="BE515" s="12">
        <v>0</v>
      </c>
      <c r="BF515" s="12">
        <v>30000</v>
      </c>
      <c r="BI515">
        <f>BD515/BF515</f>
        <v>1E-3</v>
      </c>
      <c r="BJ515">
        <f>BI515*10000</f>
        <v>10</v>
      </c>
    </row>
    <row r="516" spans="1:62" ht="14" x14ac:dyDescent="0.15">
      <c r="A516" s="16" t="s">
        <v>6673</v>
      </c>
      <c r="C516" s="14" t="s">
        <v>6674</v>
      </c>
      <c r="D516" s="8" t="s">
        <v>7962</v>
      </c>
      <c r="E516" s="9" t="s">
        <v>7963</v>
      </c>
      <c r="L516" s="10">
        <v>4003880</v>
      </c>
      <c r="M516" s="10">
        <v>801545</v>
      </c>
      <c r="N516" s="11">
        <v>15</v>
      </c>
      <c r="O516" s="11" t="s">
        <v>7964</v>
      </c>
      <c r="P516" t="s">
        <v>6675</v>
      </c>
      <c r="Q516" s="9" t="s">
        <v>1112</v>
      </c>
      <c r="S516" t="s">
        <v>7730</v>
      </c>
      <c r="T516" s="12" t="s">
        <v>8342</v>
      </c>
      <c r="U516" s="12" t="s">
        <v>5019</v>
      </c>
      <c r="V516" s="12" t="s">
        <v>5021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1</v>
      </c>
      <c r="AF516" s="12">
        <v>1</v>
      </c>
      <c r="AG516" s="12">
        <v>1</v>
      </c>
      <c r="AH516" s="12">
        <v>2</v>
      </c>
      <c r="AI516" s="12">
        <v>2</v>
      </c>
      <c r="AJ516" s="12">
        <v>1</v>
      </c>
      <c r="AK516" s="12">
        <v>1</v>
      </c>
      <c r="AL516" s="12">
        <v>0</v>
      </c>
      <c r="AM516" s="12"/>
      <c r="AN516" s="12">
        <v>0</v>
      </c>
      <c r="AO516" s="12">
        <v>0</v>
      </c>
      <c r="AP516" s="12">
        <v>0</v>
      </c>
      <c r="AQ516" s="12">
        <v>0</v>
      </c>
      <c r="AR516" s="12">
        <v>0</v>
      </c>
      <c r="AS516" s="12">
        <v>0</v>
      </c>
      <c r="AT516" s="12">
        <v>1</v>
      </c>
      <c r="AU516" s="12">
        <v>0</v>
      </c>
      <c r="AV516" s="12">
        <v>0</v>
      </c>
      <c r="AW516" s="12">
        <v>0</v>
      </c>
      <c r="AX516" s="12">
        <v>0</v>
      </c>
      <c r="AY516" s="12">
        <v>0</v>
      </c>
      <c r="BA516" s="12" t="s">
        <v>4877</v>
      </c>
      <c r="BB516" s="12">
        <v>0</v>
      </c>
      <c r="BC516" s="12">
        <v>0</v>
      </c>
      <c r="BD516" s="12">
        <v>0</v>
      </c>
      <c r="BE516" s="12">
        <v>0</v>
      </c>
      <c r="BF516" s="12">
        <v>0</v>
      </c>
      <c r="BI516" s="12">
        <v>0</v>
      </c>
      <c r="BJ516" s="12">
        <v>0</v>
      </c>
    </row>
    <row r="517" spans="1:62" ht="14" x14ac:dyDescent="0.15">
      <c r="A517" s="16" t="s">
        <v>6676</v>
      </c>
      <c r="C517" s="14" t="s">
        <v>6677</v>
      </c>
      <c r="D517" s="8" t="s">
        <v>7962</v>
      </c>
      <c r="E517" s="9" t="s">
        <v>7963</v>
      </c>
      <c r="L517" s="10">
        <v>4005300</v>
      </c>
      <c r="M517" s="10">
        <v>803692</v>
      </c>
      <c r="N517" s="11">
        <v>15</v>
      </c>
      <c r="O517" s="11" t="s">
        <v>7964</v>
      </c>
      <c r="P517" t="s">
        <v>6678</v>
      </c>
      <c r="Q517" s="9" t="s">
        <v>7217</v>
      </c>
      <c r="S517" t="s">
        <v>7730</v>
      </c>
      <c r="T517" s="12" t="s">
        <v>8342</v>
      </c>
      <c r="U517" s="12" t="s">
        <v>5019</v>
      </c>
      <c r="V517" s="12" t="s">
        <v>5021</v>
      </c>
      <c r="W517" s="12">
        <v>0</v>
      </c>
      <c r="X517" s="12">
        <v>0</v>
      </c>
      <c r="Y517" s="12">
        <v>0</v>
      </c>
      <c r="Z517" s="12">
        <v>0</v>
      </c>
      <c r="AA517" s="12">
        <v>0</v>
      </c>
      <c r="AB517" s="12">
        <v>0</v>
      </c>
      <c r="AC517" s="12">
        <v>0</v>
      </c>
      <c r="AD517" s="12">
        <v>0</v>
      </c>
      <c r="AE517" s="12">
        <v>1</v>
      </c>
      <c r="AF517" s="12">
        <v>1</v>
      </c>
      <c r="AG517" s="12">
        <v>1</v>
      </c>
      <c r="AH517" s="12">
        <v>1</v>
      </c>
      <c r="AI517" s="12">
        <v>1</v>
      </c>
      <c r="AJ517" s="12">
        <v>1</v>
      </c>
      <c r="AK517" s="12">
        <v>0</v>
      </c>
      <c r="AL517" s="12">
        <v>0</v>
      </c>
      <c r="AM517" s="12"/>
      <c r="AN517" s="12">
        <v>0</v>
      </c>
      <c r="AO517" s="12">
        <v>0</v>
      </c>
      <c r="AP517" s="12">
        <v>0</v>
      </c>
      <c r="AQ517" s="12">
        <v>0</v>
      </c>
      <c r="AR517" s="12">
        <v>0</v>
      </c>
      <c r="AS517" s="12">
        <v>0</v>
      </c>
      <c r="AT517" s="12">
        <v>1</v>
      </c>
      <c r="AU517" s="12">
        <v>0</v>
      </c>
      <c r="AV517" s="12">
        <v>0</v>
      </c>
      <c r="AW517" s="12">
        <v>0</v>
      </c>
      <c r="AX517" s="12">
        <v>0</v>
      </c>
      <c r="AY517" s="12">
        <v>0</v>
      </c>
      <c r="AZ517" s="12" t="s">
        <v>4843</v>
      </c>
      <c r="BA517" s="12" t="s">
        <v>4911</v>
      </c>
      <c r="BB517" s="12">
        <v>0</v>
      </c>
      <c r="BC517" s="12">
        <v>0</v>
      </c>
      <c r="BD517" s="12">
        <v>6</v>
      </c>
      <c r="BE517" s="12">
        <v>0</v>
      </c>
      <c r="BF517" s="12">
        <v>7853.981633974483</v>
      </c>
      <c r="BI517">
        <f>BD517/BF517</f>
        <v>7.6394372684109762E-4</v>
      </c>
      <c r="BJ517">
        <f>BI517*10000</f>
        <v>7.6394372684109761</v>
      </c>
    </row>
    <row r="518" spans="1:62" x14ac:dyDescent="0.15">
      <c r="A518" s="19" t="s">
        <v>6679</v>
      </c>
      <c r="C518" t="s">
        <v>6680</v>
      </c>
      <c r="D518" s="8" t="s">
        <v>6681</v>
      </c>
      <c r="E518" s="9" t="s">
        <v>6682</v>
      </c>
      <c r="L518" s="10">
        <v>3558560</v>
      </c>
      <c r="M518" s="10">
        <v>890054</v>
      </c>
      <c r="N518" s="11">
        <v>15</v>
      </c>
      <c r="O518" s="11" t="s">
        <v>7964</v>
      </c>
      <c r="P518" s="7" t="s">
        <v>6683</v>
      </c>
      <c r="Q518" s="9" t="s">
        <v>7217</v>
      </c>
      <c r="S518" s="9" t="s">
        <v>6681</v>
      </c>
      <c r="T518" s="9" t="s">
        <v>8342</v>
      </c>
      <c r="U518" s="12" t="s">
        <v>5019</v>
      </c>
      <c r="V518" s="12" t="s">
        <v>5021</v>
      </c>
      <c r="W518" s="12">
        <v>0</v>
      </c>
      <c r="X518" s="12">
        <v>0</v>
      </c>
      <c r="Y518" s="12">
        <v>0</v>
      </c>
      <c r="Z518" s="11">
        <v>0</v>
      </c>
      <c r="AA518" s="11">
        <v>0</v>
      </c>
      <c r="AB518" s="11">
        <v>0</v>
      </c>
      <c r="AC518" s="11">
        <v>0</v>
      </c>
      <c r="AD518" s="11">
        <v>0</v>
      </c>
      <c r="AE518" s="11">
        <v>1</v>
      </c>
      <c r="AF518" s="11">
        <v>1</v>
      </c>
      <c r="AG518" s="11">
        <v>1</v>
      </c>
      <c r="AH518" s="9">
        <v>0</v>
      </c>
      <c r="AI518" s="11">
        <v>0</v>
      </c>
      <c r="AJ518" s="11">
        <v>0</v>
      </c>
      <c r="AK518" s="11">
        <v>0</v>
      </c>
      <c r="AL518" s="11">
        <v>0</v>
      </c>
      <c r="AN518" s="11">
        <v>0</v>
      </c>
      <c r="AO518" s="11">
        <v>0</v>
      </c>
      <c r="AP518" s="11">
        <v>0</v>
      </c>
      <c r="AQ518" s="11">
        <v>0</v>
      </c>
      <c r="AR518" s="11">
        <v>0</v>
      </c>
      <c r="AS518" s="11">
        <v>0</v>
      </c>
      <c r="AT518" s="11">
        <v>0</v>
      </c>
      <c r="AU518" s="11">
        <v>0</v>
      </c>
      <c r="AV518" s="11">
        <v>0</v>
      </c>
      <c r="AW518" s="11">
        <v>0</v>
      </c>
      <c r="AX518" s="11">
        <v>0</v>
      </c>
      <c r="AY518" s="11">
        <v>0</v>
      </c>
      <c r="BA518" s="12" t="s">
        <v>6684</v>
      </c>
      <c r="BB518" s="12">
        <v>0</v>
      </c>
      <c r="BC518" s="12">
        <v>0</v>
      </c>
      <c r="BD518" s="12">
        <v>0</v>
      </c>
      <c r="BE518" s="12">
        <v>0</v>
      </c>
      <c r="BF518" s="12">
        <v>0</v>
      </c>
      <c r="BI518" s="12">
        <v>0</v>
      </c>
      <c r="BJ518" s="12">
        <v>0</v>
      </c>
    </row>
    <row r="519" spans="1:62" x14ac:dyDescent="0.15">
      <c r="A519" s="19" t="s">
        <v>6685</v>
      </c>
      <c r="C519" t="s">
        <v>6686</v>
      </c>
      <c r="D519" s="8" t="s">
        <v>6681</v>
      </c>
      <c r="E519" s="9" t="s">
        <v>6682</v>
      </c>
      <c r="L519" s="10">
        <v>3600310</v>
      </c>
      <c r="M519" s="10">
        <v>911517</v>
      </c>
      <c r="N519" s="11">
        <v>15</v>
      </c>
      <c r="O519" s="11" t="s">
        <v>7964</v>
      </c>
      <c r="P519" s="7" t="s">
        <v>6683</v>
      </c>
      <c r="Q519" s="9" t="s">
        <v>7217</v>
      </c>
      <c r="S519" s="9" t="s">
        <v>6681</v>
      </c>
      <c r="T519" s="9" t="s">
        <v>8342</v>
      </c>
      <c r="U519" s="12" t="s">
        <v>5019</v>
      </c>
      <c r="V519" s="12" t="s">
        <v>5021</v>
      </c>
      <c r="W519" s="12">
        <v>0</v>
      </c>
      <c r="X519" s="12">
        <v>0</v>
      </c>
      <c r="Y519" s="12">
        <v>0</v>
      </c>
      <c r="Z519" s="11">
        <v>0</v>
      </c>
      <c r="AA519" s="11">
        <v>0</v>
      </c>
      <c r="AB519" s="11">
        <v>0</v>
      </c>
      <c r="AC519" s="11">
        <v>0</v>
      </c>
      <c r="AD519" s="11">
        <v>0</v>
      </c>
      <c r="AE519" s="11">
        <v>1</v>
      </c>
      <c r="AF519" s="11">
        <v>1</v>
      </c>
      <c r="AG519" s="11">
        <v>1</v>
      </c>
      <c r="AH519" s="9">
        <v>0</v>
      </c>
      <c r="AI519" s="11">
        <v>0</v>
      </c>
      <c r="AJ519" s="11">
        <v>0</v>
      </c>
      <c r="AK519" s="11">
        <v>0</v>
      </c>
      <c r="AL519" s="11">
        <v>0</v>
      </c>
      <c r="AN519" s="11">
        <v>0</v>
      </c>
      <c r="AO519" s="11">
        <v>0</v>
      </c>
      <c r="AP519" s="11">
        <v>0</v>
      </c>
      <c r="AQ519" s="11">
        <v>0</v>
      </c>
      <c r="AR519" s="11">
        <v>0</v>
      </c>
      <c r="AS519" s="11">
        <v>0</v>
      </c>
      <c r="AT519" s="11">
        <v>0</v>
      </c>
      <c r="AU519" s="11">
        <v>0</v>
      </c>
      <c r="AV519" s="11">
        <v>0</v>
      </c>
      <c r="AW519" s="11">
        <v>0</v>
      </c>
      <c r="AX519" s="11">
        <v>0</v>
      </c>
      <c r="AY519" s="11">
        <v>1</v>
      </c>
      <c r="BA519" s="12" t="s">
        <v>6684</v>
      </c>
      <c r="BB519" s="12">
        <v>0</v>
      </c>
      <c r="BC519" s="12">
        <v>0</v>
      </c>
      <c r="BD519" s="12">
        <v>0</v>
      </c>
      <c r="BE519" s="12">
        <v>0</v>
      </c>
      <c r="BF519" s="12">
        <v>0</v>
      </c>
      <c r="BI519" s="12">
        <v>0</v>
      </c>
      <c r="BJ519" s="12">
        <v>0</v>
      </c>
    </row>
    <row r="520" spans="1:62" x14ac:dyDescent="0.15">
      <c r="A520" s="19" t="s">
        <v>6687</v>
      </c>
      <c r="C520" t="s">
        <v>6688</v>
      </c>
      <c r="D520" s="8" t="s">
        <v>6681</v>
      </c>
      <c r="E520" s="9" t="s">
        <v>6682</v>
      </c>
      <c r="L520" s="10">
        <v>3647690</v>
      </c>
      <c r="M520" s="10">
        <v>872743</v>
      </c>
      <c r="N520" s="11">
        <v>15</v>
      </c>
      <c r="O520" s="11" t="s">
        <v>7964</v>
      </c>
      <c r="P520" s="7" t="s">
        <v>6683</v>
      </c>
      <c r="Q520" s="9" t="s">
        <v>7217</v>
      </c>
      <c r="S520" s="9" t="s">
        <v>6681</v>
      </c>
      <c r="T520" s="9" t="s">
        <v>8280</v>
      </c>
      <c r="U520" s="12" t="s">
        <v>5016</v>
      </c>
      <c r="V520" s="12" t="s">
        <v>5021</v>
      </c>
      <c r="W520" s="12">
        <v>0</v>
      </c>
      <c r="X520" s="12">
        <v>0</v>
      </c>
      <c r="Y520" s="12">
        <v>0</v>
      </c>
      <c r="Z520" s="11">
        <v>0</v>
      </c>
      <c r="AA520" s="11">
        <v>0</v>
      </c>
      <c r="AB520" s="11">
        <v>1</v>
      </c>
      <c r="AC520" s="11">
        <v>1</v>
      </c>
      <c r="AD520" s="11">
        <v>1</v>
      </c>
      <c r="AE520" s="11">
        <v>1</v>
      </c>
      <c r="AF520" s="11">
        <v>1</v>
      </c>
      <c r="AG520" s="11">
        <v>1</v>
      </c>
      <c r="AH520" s="9">
        <v>2</v>
      </c>
      <c r="AI520" s="11">
        <v>2</v>
      </c>
      <c r="AJ520" s="11">
        <v>1</v>
      </c>
      <c r="AK520" s="11">
        <v>1</v>
      </c>
      <c r="AL520" s="11">
        <v>1</v>
      </c>
      <c r="AN520" s="11">
        <v>1</v>
      </c>
      <c r="AO520" s="11">
        <v>0</v>
      </c>
      <c r="AP520" s="11">
        <v>0</v>
      </c>
      <c r="AQ520" s="11">
        <v>1</v>
      </c>
      <c r="AR520" s="11">
        <v>1</v>
      </c>
      <c r="AS520" s="11">
        <v>0</v>
      </c>
      <c r="AT520" s="11">
        <v>0</v>
      </c>
      <c r="AU520" s="11">
        <v>1</v>
      </c>
      <c r="AV520" s="11">
        <v>0</v>
      </c>
      <c r="AW520" s="11">
        <v>0</v>
      </c>
      <c r="AX520" s="11">
        <v>0</v>
      </c>
      <c r="AY520" s="11">
        <v>0</v>
      </c>
      <c r="AZ520" s="12" t="s">
        <v>4843</v>
      </c>
      <c r="BA520" s="12" t="s">
        <v>4911</v>
      </c>
      <c r="BB520" s="12">
        <v>0</v>
      </c>
      <c r="BC520" s="12">
        <v>0</v>
      </c>
      <c r="BD520" s="12">
        <v>25</v>
      </c>
      <c r="BE520" s="12">
        <v>0</v>
      </c>
      <c r="BF520" s="12">
        <v>30520</v>
      </c>
      <c r="BI520">
        <f>BD520/BF520</f>
        <v>8.1913499344692E-4</v>
      </c>
      <c r="BJ520">
        <f>BI520*10000</f>
        <v>8.1913499344691996</v>
      </c>
    </row>
    <row r="521" spans="1:62" x14ac:dyDescent="0.15">
      <c r="A521" s="19" t="s">
        <v>6689</v>
      </c>
      <c r="C521" t="s">
        <v>6690</v>
      </c>
      <c r="D521" s="8" t="s">
        <v>6681</v>
      </c>
      <c r="E521" s="9" t="s">
        <v>6682</v>
      </c>
      <c r="L521" s="10">
        <v>3437690</v>
      </c>
      <c r="M521" s="10">
        <v>592929</v>
      </c>
      <c r="N521" s="11">
        <v>15</v>
      </c>
      <c r="O521" s="11" t="s">
        <v>7964</v>
      </c>
      <c r="P521" s="7" t="s">
        <v>6683</v>
      </c>
      <c r="Q521" s="9" t="s">
        <v>7217</v>
      </c>
      <c r="S521" s="9" t="s">
        <v>6681</v>
      </c>
      <c r="T521" s="9" t="s">
        <v>8342</v>
      </c>
      <c r="U521" s="12" t="s">
        <v>5019</v>
      </c>
      <c r="V521" s="12" t="s">
        <v>5021</v>
      </c>
      <c r="W521" s="12">
        <v>0</v>
      </c>
      <c r="X521" s="12">
        <v>0</v>
      </c>
      <c r="Y521" s="12">
        <v>0</v>
      </c>
      <c r="Z521" s="11">
        <v>0</v>
      </c>
      <c r="AA521" s="11">
        <v>0</v>
      </c>
      <c r="AB521" s="11">
        <v>0</v>
      </c>
      <c r="AC521" s="11">
        <v>0</v>
      </c>
      <c r="AD521" s="11">
        <v>0</v>
      </c>
      <c r="AE521" s="11">
        <v>1</v>
      </c>
      <c r="AF521" s="11">
        <v>1</v>
      </c>
      <c r="AG521" s="11">
        <v>1</v>
      </c>
      <c r="AH521" s="9">
        <v>1</v>
      </c>
      <c r="AI521" s="11">
        <v>1</v>
      </c>
      <c r="AJ521" s="11">
        <v>1</v>
      </c>
      <c r="AK521" s="11">
        <v>0</v>
      </c>
      <c r="AL521" s="11">
        <v>0</v>
      </c>
      <c r="AN521" s="11">
        <v>0</v>
      </c>
      <c r="AO521" s="11">
        <v>0</v>
      </c>
      <c r="AP521" s="11">
        <v>0</v>
      </c>
      <c r="AQ521" s="11">
        <v>0</v>
      </c>
      <c r="AR521" s="11">
        <v>1</v>
      </c>
      <c r="AS521" s="11">
        <v>0</v>
      </c>
      <c r="AT521" s="11">
        <v>0</v>
      </c>
      <c r="AU521" s="11">
        <v>0</v>
      </c>
      <c r="AV521" s="11">
        <v>0</v>
      </c>
      <c r="AW521" s="11">
        <v>0</v>
      </c>
      <c r="AX521" s="11">
        <v>0</v>
      </c>
      <c r="AY521" s="11">
        <v>0</v>
      </c>
      <c r="BA521" s="12" t="s">
        <v>4877</v>
      </c>
      <c r="BB521" s="12">
        <v>0</v>
      </c>
      <c r="BC521" s="12">
        <v>0</v>
      </c>
      <c r="BD521" s="12">
        <v>0</v>
      </c>
      <c r="BE521" s="12">
        <v>0</v>
      </c>
      <c r="BF521" s="12">
        <v>0</v>
      </c>
      <c r="BI521" s="12">
        <v>0</v>
      </c>
      <c r="BJ521" s="12">
        <v>0</v>
      </c>
    </row>
    <row r="522" spans="1:62" x14ac:dyDescent="0.15">
      <c r="A522" s="19" t="s">
        <v>6691</v>
      </c>
      <c r="C522" t="s">
        <v>6692</v>
      </c>
      <c r="D522" s="8" t="s">
        <v>6681</v>
      </c>
      <c r="E522" s="9" t="s">
        <v>6682</v>
      </c>
      <c r="L522" s="10">
        <v>3490800</v>
      </c>
      <c r="M522" s="10">
        <v>654061</v>
      </c>
      <c r="N522" s="11">
        <v>15</v>
      </c>
      <c r="O522" s="11" t="s">
        <v>7964</v>
      </c>
      <c r="P522" s="7" t="s">
        <v>6683</v>
      </c>
      <c r="Q522" s="9" t="s">
        <v>7217</v>
      </c>
      <c r="S522" s="9" t="s">
        <v>6681</v>
      </c>
      <c r="T522" s="9" t="s">
        <v>8342</v>
      </c>
      <c r="U522" s="12" t="s">
        <v>5019</v>
      </c>
      <c r="V522" s="12" t="s">
        <v>5021</v>
      </c>
      <c r="W522" s="12">
        <v>0</v>
      </c>
      <c r="X522" s="12">
        <v>0</v>
      </c>
      <c r="Y522" s="12">
        <v>0</v>
      </c>
      <c r="Z522" s="11">
        <v>0</v>
      </c>
      <c r="AA522" s="11">
        <v>0</v>
      </c>
      <c r="AB522" s="11">
        <v>0</v>
      </c>
      <c r="AC522" s="11">
        <v>0</v>
      </c>
      <c r="AD522" s="11">
        <v>0</v>
      </c>
      <c r="AE522" s="11">
        <v>1</v>
      </c>
      <c r="AF522" s="11">
        <v>1</v>
      </c>
      <c r="AG522" s="11">
        <v>1</v>
      </c>
      <c r="AH522" s="9">
        <v>3</v>
      </c>
      <c r="AI522" s="11">
        <v>3</v>
      </c>
      <c r="AJ522" s="11">
        <v>1</v>
      </c>
      <c r="AK522" s="11">
        <v>1</v>
      </c>
      <c r="AL522" s="11">
        <v>1</v>
      </c>
      <c r="AN522" s="11">
        <v>0</v>
      </c>
      <c r="AO522" s="11">
        <v>0</v>
      </c>
      <c r="AP522" s="11">
        <v>0</v>
      </c>
      <c r="AQ522" s="11">
        <v>1</v>
      </c>
      <c r="AR522" s="11">
        <v>1</v>
      </c>
      <c r="AS522" s="11">
        <v>0</v>
      </c>
      <c r="AT522" s="11">
        <v>0</v>
      </c>
      <c r="AU522" s="11">
        <v>0</v>
      </c>
      <c r="AV522" s="11">
        <v>0</v>
      </c>
      <c r="AW522" s="11">
        <v>0</v>
      </c>
      <c r="AX522" s="11">
        <v>0</v>
      </c>
      <c r="AY522" s="11">
        <v>0</v>
      </c>
      <c r="BA522" s="12" t="s">
        <v>4877</v>
      </c>
      <c r="BB522" s="12">
        <v>0</v>
      </c>
      <c r="BC522" s="12">
        <v>0</v>
      </c>
      <c r="BD522" s="12">
        <v>0</v>
      </c>
      <c r="BE522" s="12">
        <v>0</v>
      </c>
      <c r="BF522" s="12">
        <v>0</v>
      </c>
      <c r="BI522" s="12">
        <v>0</v>
      </c>
      <c r="BJ522" s="12">
        <v>0</v>
      </c>
    </row>
    <row r="523" spans="1:62" x14ac:dyDescent="0.15">
      <c r="A523" s="19" t="s">
        <v>6693</v>
      </c>
      <c r="C523" t="s">
        <v>6694</v>
      </c>
      <c r="D523" s="8" t="s">
        <v>6681</v>
      </c>
      <c r="E523" s="9" t="s">
        <v>6682</v>
      </c>
      <c r="L523" s="10">
        <v>3494500</v>
      </c>
      <c r="M523" s="10">
        <v>663189</v>
      </c>
      <c r="N523" s="11">
        <v>15</v>
      </c>
      <c r="O523" s="11" t="s">
        <v>7964</v>
      </c>
      <c r="P523" s="7" t="s">
        <v>6683</v>
      </c>
      <c r="Q523" s="9" t="s">
        <v>7217</v>
      </c>
      <c r="S523" s="9" t="s">
        <v>6681</v>
      </c>
      <c r="T523" s="9" t="s">
        <v>8342</v>
      </c>
      <c r="U523" s="12" t="s">
        <v>5019</v>
      </c>
      <c r="V523" s="12" t="s">
        <v>5021</v>
      </c>
      <c r="W523" s="12">
        <v>0</v>
      </c>
      <c r="X523" s="12">
        <v>0</v>
      </c>
      <c r="Y523" s="12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1</v>
      </c>
      <c r="AF523" s="11">
        <v>1</v>
      </c>
      <c r="AG523" s="11">
        <v>1</v>
      </c>
      <c r="AH523" s="9">
        <v>0</v>
      </c>
      <c r="AI523" s="11">
        <v>0</v>
      </c>
      <c r="AJ523" s="11">
        <v>0</v>
      </c>
      <c r="AK523" s="11">
        <v>0</v>
      </c>
      <c r="AL523" s="11">
        <v>0</v>
      </c>
      <c r="AN523" s="11">
        <v>0</v>
      </c>
      <c r="AO523" s="11">
        <v>0</v>
      </c>
      <c r="AP523" s="11">
        <v>0</v>
      </c>
      <c r="AQ523" s="11">
        <v>0</v>
      </c>
      <c r="AR523" s="11">
        <v>0</v>
      </c>
      <c r="AS523" s="11">
        <v>0</v>
      </c>
      <c r="AT523" s="11">
        <v>0</v>
      </c>
      <c r="AU523" s="11">
        <v>0</v>
      </c>
      <c r="AV523" s="11">
        <v>0</v>
      </c>
      <c r="AW523" s="11">
        <v>0</v>
      </c>
      <c r="AX523" s="11">
        <v>0</v>
      </c>
      <c r="AY523" s="11">
        <v>0</v>
      </c>
      <c r="BA523" s="12" t="s">
        <v>4877</v>
      </c>
      <c r="BB523" s="12">
        <v>0</v>
      </c>
      <c r="BC523" s="12">
        <v>0</v>
      </c>
      <c r="BD523" s="12">
        <v>0</v>
      </c>
      <c r="BE523" s="12">
        <v>0</v>
      </c>
      <c r="BF523" s="12">
        <v>0</v>
      </c>
      <c r="BI523" s="12">
        <v>0</v>
      </c>
      <c r="BJ523" s="12">
        <v>0</v>
      </c>
    </row>
    <row r="524" spans="1:62" x14ac:dyDescent="0.15">
      <c r="A524" s="19" t="s">
        <v>6695</v>
      </c>
      <c r="C524" t="s">
        <v>6696</v>
      </c>
      <c r="D524" s="8" t="s">
        <v>6681</v>
      </c>
      <c r="E524" s="9" t="s">
        <v>6682</v>
      </c>
      <c r="L524" s="10">
        <v>3528960</v>
      </c>
      <c r="M524" s="10">
        <v>628927</v>
      </c>
      <c r="N524" s="11">
        <v>15</v>
      </c>
      <c r="O524" s="11" t="s">
        <v>7964</v>
      </c>
      <c r="P524" s="7" t="s">
        <v>6683</v>
      </c>
      <c r="Q524" s="9" t="s">
        <v>7217</v>
      </c>
      <c r="S524" s="9" t="s">
        <v>6681</v>
      </c>
      <c r="T524" s="9" t="s">
        <v>8342</v>
      </c>
      <c r="U524" s="12" t="s">
        <v>5019</v>
      </c>
      <c r="V524" s="12" t="s">
        <v>5021</v>
      </c>
      <c r="W524" s="12">
        <v>0</v>
      </c>
      <c r="X524" s="12">
        <v>0</v>
      </c>
      <c r="Y524" s="12">
        <v>0</v>
      </c>
      <c r="Z524" s="11">
        <v>0</v>
      </c>
      <c r="AA524" s="11">
        <v>0</v>
      </c>
      <c r="AB524" s="11">
        <v>0</v>
      </c>
      <c r="AC524" s="11">
        <v>0</v>
      </c>
      <c r="AD524" s="11">
        <v>0</v>
      </c>
      <c r="AE524" s="11">
        <v>1</v>
      </c>
      <c r="AF524" s="11">
        <v>1</v>
      </c>
      <c r="AG524" s="11">
        <v>1</v>
      </c>
      <c r="AH524" s="9">
        <v>0</v>
      </c>
      <c r="AI524" s="11">
        <v>0</v>
      </c>
      <c r="AJ524" s="11">
        <v>0</v>
      </c>
      <c r="AK524" s="11">
        <v>0</v>
      </c>
      <c r="AL524" s="11">
        <v>0</v>
      </c>
      <c r="AN524" s="11">
        <v>0</v>
      </c>
      <c r="AO524" s="11">
        <v>0</v>
      </c>
      <c r="AP524" s="11">
        <v>0</v>
      </c>
      <c r="AQ524" s="11">
        <v>0</v>
      </c>
      <c r="AR524" s="11">
        <v>0</v>
      </c>
      <c r="AS524" s="11">
        <v>0</v>
      </c>
      <c r="AT524" s="11">
        <v>0</v>
      </c>
      <c r="AU524" s="11">
        <v>0</v>
      </c>
      <c r="AV524" s="11">
        <v>0</v>
      </c>
      <c r="AW524" s="11">
        <v>0</v>
      </c>
      <c r="AX524" s="11">
        <v>0</v>
      </c>
      <c r="AY524" s="11">
        <v>0</v>
      </c>
      <c r="BA524" s="12" t="s">
        <v>4877</v>
      </c>
      <c r="BB524" s="12">
        <v>0</v>
      </c>
      <c r="BC524" s="12">
        <v>0</v>
      </c>
      <c r="BD524" s="12">
        <v>0</v>
      </c>
      <c r="BE524" s="12">
        <v>0</v>
      </c>
      <c r="BF524" s="12">
        <v>0</v>
      </c>
      <c r="BI524" s="12">
        <v>0</v>
      </c>
      <c r="BJ524" s="12">
        <v>0</v>
      </c>
    </row>
    <row r="525" spans="1:62" x14ac:dyDescent="0.15">
      <c r="A525" s="19" t="s">
        <v>6697</v>
      </c>
      <c r="C525" t="s">
        <v>6698</v>
      </c>
      <c r="D525" s="8" t="s">
        <v>6681</v>
      </c>
      <c r="E525" s="9" t="s">
        <v>6682</v>
      </c>
      <c r="L525" s="10">
        <v>3555890</v>
      </c>
      <c r="M525" s="10">
        <v>449895</v>
      </c>
      <c r="N525" s="11">
        <v>15</v>
      </c>
      <c r="O525" s="11" t="s">
        <v>7964</v>
      </c>
      <c r="P525" s="7" t="s">
        <v>6683</v>
      </c>
      <c r="Q525" s="9" t="s">
        <v>7217</v>
      </c>
      <c r="S525" s="9" t="s">
        <v>6681</v>
      </c>
      <c r="T525" s="9" t="s">
        <v>8342</v>
      </c>
      <c r="U525" s="12" t="s">
        <v>5019</v>
      </c>
      <c r="V525" s="12" t="s">
        <v>5021</v>
      </c>
      <c r="W525" s="12">
        <v>0</v>
      </c>
      <c r="X525" s="12">
        <v>0</v>
      </c>
      <c r="Y525" s="12">
        <v>0</v>
      </c>
      <c r="Z525" s="11">
        <v>0</v>
      </c>
      <c r="AA525" s="11">
        <v>0</v>
      </c>
      <c r="AB525" s="11">
        <v>0</v>
      </c>
      <c r="AC525" s="11">
        <v>0</v>
      </c>
      <c r="AD525" s="11">
        <v>0</v>
      </c>
      <c r="AE525" s="11">
        <v>1</v>
      </c>
      <c r="AF525" s="11">
        <v>1</v>
      </c>
      <c r="AG525" s="11">
        <v>1</v>
      </c>
      <c r="AH525" s="9">
        <v>0</v>
      </c>
      <c r="AI525" s="11">
        <v>0</v>
      </c>
      <c r="AJ525" s="11">
        <v>0</v>
      </c>
      <c r="AK525" s="11">
        <v>0</v>
      </c>
      <c r="AL525" s="11">
        <v>0</v>
      </c>
      <c r="AN525" s="11">
        <v>0</v>
      </c>
      <c r="AO525" s="11">
        <v>0</v>
      </c>
      <c r="AP525" s="11">
        <v>0</v>
      </c>
      <c r="AQ525" s="11">
        <v>0</v>
      </c>
      <c r="AR525" s="11">
        <v>0</v>
      </c>
      <c r="AS525" s="11">
        <v>0</v>
      </c>
      <c r="AT525" s="11">
        <v>0</v>
      </c>
      <c r="AU525" s="11">
        <v>0</v>
      </c>
      <c r="AV525" s="11">
        <v>0</v>
      </c>
      <c r="AW525" s="11">
        <v>0</v>
      </c>
      <c r="AX525" s="11">
        <v>0</v>
      </c>
      <c r="AY525" s="11">
        <v>0</v>
      </c>
      <c r="BA525" s="12" t="s">
        <v>4877</v>
      </c>
      <c r="BB525" s="12">
        <v>0</v>
      </c>
      <c r="BC525" s="12">
        <v>0</v>
      </c>
      <c r="BD525" s="12">
        <v>0</v>
      </c>
      <c r="BE525" s="12">
        <v>0</v>
      </c>
      <c r="BF525" s="12">
        <v>0</v>
      </c>
      <c r="BI525" s="12">
        <v>0</v>
      </c>
      <c r="BJ525" s="12">
        <v>0</v>
      </c>
    </row>
    <row r="526" spans="1:62" x14ac:dyDescent="0.15">
      <c r="A526" s="19" t="s">
        <v>6699</v>
      </c>
      <c r="C526" t="s">
        <v>6700</v>
      </c>
      <c r="D526" s="8" t="s">
        <v>6681</v>
      </c>
      <c r="E526" s="9" t="s">
        <v>6682</v>
      </c>
      <c r="L526" s="10">
        <v>3588570</v>
      </c>
      <c r="M526" s="10">
        <v>464030</v>
      </c>
      <c r="N526" s="11">
        <v>15</v>
      </c>
      <c r="O526" s="11" t="s">
        <v>7964</v>
      </c>
      <c r="P526" s="7" t="s">
        <v>6683</v>
      </c>
      <c r="Q526" s="9" t="s">
        <v>7217</v>
      </c>
      <c r="S526" s="9" t="s">
        <v>6681</v>
      </c>
      <c r="T526" s="9" t="s">
        <v>8342</v>
      </c>
      <c r="U526" s="12" t="s">
        <v>5019</v>
      </c>
      <c r="V526" s="12" t="s">
        <v>5021</v>
      </c>
      <c r="W526" s="12">
        <v>0</v>
      </c>
      <c r="X526" s="12">
        <v>0</v>
      </c>
      <c r="Y526" s="12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1</v>
      </c>
      <c r="AF526" s="11">
        <v>1</v>
      </c>
      <c r="AG526" s="11">
        <v>1</v>
      </c>
      <c r="AH526" s="9">
        <v>0</v>
      </c>
      <c r="AI526" s="11">
        <v>0</v>
      </c>
      <c r="AJ526" s="11">
        <v>0</v>
      </c>
      <c r="AK526" s="11">
        <v>0</v>
      </c>
      <c r="AL526" s="11">
        <v>0</v>
      </c>
      <c r="AN526" s="11">
        <v>0</v>
      </c>
      <c r="AO526" s="11">
        <v>0</v>
      </c>
      <c r="AP526" s="11">
        <v>0</v>
      </c>
      <c r="AQ526" s="11">
        <v>0</v>
      </c>
      <c r="AR526" s="11">
        <v>0</v>
      </c>
      <c r="AS526" s="11">
        <v>0</v>
      </c>
      <c r="AT526" s="11">
        <v>0</v>
      </c>
      <c r="AU526" s="11">
        <v>0</v>
      </c>
      <c r="AV526" s="11">
        <v>0</v>
      </c>
      <c r="AW526" s="11">
        <v>0</v>
      </c>
      <c r="AX526" s="11">
        <v>0</v>
      </c>
      <c r="AY526" s="11">
        <v>0</v>
      </c>
      <c r="BA526" s="12" t="s">
        <v>4877</v>
      </c>
      <c r="BB526" s="12">
        <v>0</v>
      </c>
      <c r="BC526" s="12">
        <v>0</v>
      </c>
      <c r="BD526" s="12">
        <v>0</v>
      </c>
      <c r="BE526" s="12">
        <v>0</v>
      </c>
      <c r="BF526" s="12">
        <v>0</v>
      </c>
      <c r="BI526" s="12">
        <v>0</v>
      </c>
      <c r="BJ526" s="12">
        <v>0</v>
      </c>
    </row>
    <row r="527" spans="1:62" x14ac:dyDescent="0.15">
      <c r="A527" s="19" t="s">
        <v>6701</v>
      </c>
      <c r="C527" t="s">
        <v>6702</v>
      </c>
      <c r="D527" s="8" t="s">
        <v>6681</v>
      </c>
      <c r="E527" s="9" t="s">
        <v>6682</v>
      </c>
      <c r="L527" s="10">
        <v>3583080</v>
      </c>
      <c r="M527" s="10">
        <v>464129</v>
      </c>
      <c r="N527" s="11">
        <v>15</v>
      </c>
      <c r="O527" s="11" t="s">
        <v>7964</v>
      </c>
      <c r="P527" s="7" t="s">
        <v>6683</v>
      </c>
      <c r="Q527" s="9" t="s">
        <v>7217</v>
      </c>
      <c r="S527" s="9" t="s">
        <v>6681</v>
      </c>
      <c r="T527" s="9" t="s">
        <v>8342</v>
      </c>
      <c r="U527" s="12" t="s">
        <v>5019</v>
      </c>
      <c r="V527" s="12" t="s">
        <v>5021</v>
      </c>
      <c r="W527" s="12">
        <v>0</v>
      </c>
      <c r="X527" s="12">
        <v>0</v>
      </c>
      <c r="Y527" s="12">
        <v>0</v>
      </c>
      <c r="Z527" s="11">
        <v>0</v>
      </c>
      <c r="AA527" s="11">
        <v>0</v>
      </c>
      <c r="AB527" s="11">
        <v>0</v>
      </c>
      <c r="AC527" s="11">
        <v>0</v>
      </c>
      <c r="AD527" s="11">
        <v>0</v>
      </c>
      <c r="AE527" s="11">
        <v>1</v>
      </c>
      <c r="AF527" s="11">
        <v>1</v>
      </c>
      <c r="AG527" s="11">
        <v>1</v>
      </c>
      <c r="AH527" s="9">
        <v>0</v>
      </c>
      <c r="AI527" s="11">
        <v>0</v>
      </c>
      <c r="AJ527" s="11">
        <v>0</v>
      </c>
      <c r="AK527" s="11">
        <v>0</v>
      </c>
      <c r="AL527" s="11">
        <v>0</v>
      </c>
      <c r="AN527" s="11">
        <v>0</v>
      </c>
      <c r="AO527" s="11">
        <v>0</v>
      </c>
      <c r="AP527" s="11">
        <v>0</v>
      </c>
      <c r="AQ527" s="11">
        <v>0</v>
      </c>
      <c r="AR527" s="11">
        <v>0</v>
      </c>
      <c r="AS527" s="11">
        <v>0</v>
      </c>
      <c r="AT527" s="11">
        <v>0</v>
      </c>
      <c r="AU527" s="11">
        <v>0</v>
      </c>
      <c r="AV527" s="11">
        <v>0</v>
      </c>
      <c r="AW527" s="11">
        <v>0</v>
      </c>
      <c r="AX527" s="11">
        <v>0</v>
      </c>
      <c r="AY527" s="11">
        <v>0</v>
      </c>
      <c r="BA527" s="12" t="s">
        <v>4877</v>
      </c>
      <c r="BB527" s="12">
        <v>0</v>
      </c>
      <c r="BC527" s="12">
        <v>0</v>
      </c>
      <c r="BD527" s="12">
        <v>0</v>
      </c>
      <c r="BE527" s="12">
        <v>0</v>
      </c>
      <c r="BF527" s="12">
        <v>0</v>
      </c>
      <c r="BI527" s="12">
        <v>0</v>
      </c>
      <c r="BJ527" s="12">
        <v>0</v>
      </c>
    </row>
    <row r="528" spans="1:62" x14ac:dyDescent="0.15">
      <c r="A528" s="19" t="s">
        <v>6703</v>
      </c>
      <c r="C528" t="s">
        <v>6704</v>
      </c>
      <c r="D528" s="8" t="s">
        <v>6681</v>
      </c>
      <c r="E528" s="9" t="s">
        <v>6682</v>
      </c>
      <c r="L528" s="10">
        <v>3529860</v>
      </c>
      <c r="M528" s="10">
        <v>478941</v>
      </c>
      <c r="N528" s="11">
        <v>15</v>
      </c>
      <c r="O528" s="11" t="s">
        <v>7964</v>
      </c>
      <c r="P528" s="7" t="s">
        <v>6683</v>
      </c>
      <c r="Q528" s="9" t="s">
        <v>7217</v>
      </c>
      <c r="S528" s="9" t="s">
        <v>6681</v>
      </c>
      <c r="T528" s="9" t="s">
        <v>8342</v>
      </c>
      <c r="U528" s="12" t="s">
        <v>5019</v>
      </c>
      <c r="V528" s="12" t="s">
        <v>5021</v>
      </c>
      <c r="W528" s="12">
        <v>0</v>
      </c>
      <c r="X528" s="12">
        <v>0</v>
      </c>
      <c r="Y528" s="12">
        <v>0</v>
      </c>
      <c r="Z528" s="11">
        <v>0</v>
      </c>
      <c r="AA528" s="11">
        <v>0</v>
      </c>
      <c r="AB528" s="11">
        <v>0</v>
      </c>
      <c r="AC528" s="11">
        <v>0</v>
      </c>
      <c r="AD528" s="11">
        <v>0</v>
      </c>
      <c r="AE528" s="11">
        <v>1</v>
      </c>
      <c r="AF528" s="11">
        <v>1</v>
      </c>
      <c r="AG528" s="11">
        <v>1</v>
      </c>
      <c r="AH528" s="9">
        <v>0</v>
      </c>
      <c r="AI528" s="11">
        <v>0</v>
      </c>
      <c r="AJ528" s="11">
        <v>0</v>
      </c>
      <c r="AK528" s="11">
        <v>0</v>
      </c>
      <c r="AL528" s="11">
        <v>0</v>
      </c>
      <c r="AN528" s="11">
        <v>0</v>
      </c>
      <c r="AO528" s="11">
        <v>0</v>
      </c>
      <c r="AP528" s="11">
        <v>0</v>
      </c>
      <c r="AQ528" s="11">
        <v>0</v>
      </c>
      <c r="AR528" s="11">
        <v>0</v>
      </c>
      <c r="AS528" s="11">
        <v>0</v>
      </c>
      <c r="AT528" s="11">
        <v>0</v>
      </c>
      <c r="AU528" s="11">
        <v>0</v>
      </c>
      <c r="AV528" s="11">
        <v>0</v>
      </c>
      <c r="AW528" s="11">
        <v>0</v>
      </c>
      <c r="AX528" s="11">
        <v>0</v>
      </c>
      <c r="AY528" s="11">
        <v>0</v>
      </c>
      <c r="BA528" s="12" t="s">
        <v>4877</v>
      </c>
      <c r="BB528" s="12">
        <v>0</v>
      </c>
      <c r="BC528" s="12">
        <v>0</v>
      </c>
      <c r="BD528" s="12">
        <v>0</v>
      </c>
      <c r="BE528" s="12">
        <v>0</v>
      </c>
      <c r="BF528" s="12">
        <v>0</v>
      </c>
      <c r="BI528" s="12">
        <v>0</v>
      </c>
      <c r="BJ528" s="12">
        <v>0</v>
      </c>
    </row>
    <row r="529" spans="1:62" x14ac:dyDescent="0.15">
      <c r="A529" s="19" t="s">
        <v>6705</v>
      </c>
      <c r="C529" t="s">
        <v>6706</v>
      </c>
      <c r="D529" s="8" t="s">
        <v>6681</v>
      </c>
      <c r="E529" s="9" t="s">
        <v>6682</v>
      </c>
      <c r="L529" s="10">
        <v>3645560</v>
      </c>
      <c r="M529" s="10">
        <v>497265</v>
      </c>
      <c r="N529" s="11">
        <v>15</v>
      </c>
      <c r="O529" s="11" t="s">
        <v>7964</v>
      </c>
      <c r="P529" s="7" t="s">
        <v>6683</v>
      </c>
      <c r="Q529" s="9" t="s">
        <v>7217</v>
      </c>
      <c r="S529" s="9" t="s">
        <v>6681</v>
      </c>
      <c r="T529" s="9" t="s">
        <v>8342</v>
      </c>
      <c r="U529" s="12" t="s">
        <v>5019</v>
      </c>
      <c r="V529" s="12" t="s">
        <v>5021</v>
      </c>
      <c r="W529" s="12">
        <v>0</v>
      </c>
      <c r="X529" s="12">
        <v>0</v>
      </c>
      <c r="Y529" s="12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1</v>
      </c>
      <c r="AF529" s="11">
        <v>1</v>
      </c>
      <c r="AG529" s="11">
        <v>1</v>
      </c>
      <c r="AH529" s="9">
        <v>0</v>
      </c>
      <c r="AI529" s="11">
        <v>0</v>
      </c>
      <c r="AJ529" s="11">
        <v>0</v>
      </c>
      <c r="AK529" s="11">
        <v>0</v>
      </c>
      <c r="AL529" s="11">
        <v>0</v>
      </c>
      <c r="AN529" s="11">
        <v>0</v>
      </c>
      <c r="AO529" s="11">
        <v>0</v>
      </c>
      <c r="AP529" s="11">
        <v>0</v>
      </c>
      <c r="AQ529" s="11">
        <v>0</v>
      </c>
      <c r="AR529" s="11">
        <v>0</v>
      </c>
      <c r="AS529" s="11">
        <v>0</v>
      </c>
      <c r="AT529" s="11">
        <v>0</v>
      </c>
      <c r="AU529" s="11">
        <v>0</v>
      </c>
      <c r="AV529" s="11">
        <v>0</v>
      </c>
      <c r="AW529" s="11">
        <v>0</v>
      </c>
      <c r="AX529" s="11">
        <v>0</v>
      </c>
      <c r="AY529" s="11">
        <v>0</v>
      </c>
      <c r="BA529" s="12" t="s">
        <v>4877</v>
      </c>
      <c r="BB529" s="12">
        <v>0</v>
      </c>
      <c r="BC529" s="12">
        <v>0</v>
      </c>
      <c r="BD529" s="12">
        <v>0</v>
      </c>
      <c r="BE529" s="12">
        <v>0</v>
      </c>
      <c r="BF529" s="12">
        <v>0</v>
      </c>
      <c r="BI529" s="12">
        <v>0</v>
      </c>
      <c r="BJ529" s="12">
        <v>0</v>
      </c>
    </row>
    <row r="530" spans="1:62" x14ac:dyDescent="0.15">
      <c r="A530" s="19" t="s">
        <v>6707</v>
      </c>
      <c r="C530" t="s">
        <v>6708</v>
      </c>
      <c r="D530" s="8" t="s">
        <v>6681</v>
      </c>
      <c r="E530" s="9" t="s">
        <v>6682</v>
      </c>
      <c r="L530" s="10">
        <v>3594590</v>
      </c>
      <c r="M530" s="10">
        <v>472567</v>
      </c>
      <c r="N530" s="11">
        <v>15</v>
      </c>
      <c r="O530" s="11" t="s">
        <v>7964</v>
      </c>
      <c r="P530" s="7" t="s">
        <v>6683</v>
      </c>
      <c r="Q530" s="9" t="s">
        <v>7217</v>
      </c>
      <c r="S530" s="9" t="s">
        <v>6681</v>
      </c>
      <c r="T530" s="9" t="s">
        <v>5372</v>
      </c>
      <c r="U530" s="12" t="s">
        <v>5018</v>
      </c>
      <c r="V530" s="12" t="s">
        <v>5021</v>
      </c>
      <c r="W530" s="12">
        <v>0</v>
      </c>
      <c r="X530" s="12">
        <v>0</v>
      </c>
      <c r="Y530" s="12">
        <v>0</v>
      </c>
      <c r="Z530" s="11">
        <v>0</v>
      </c>
      <c r="AA530" s="11">
        <v>0</v>
      </c>
      <c r="AB530" s="11">
        <v>0</v>
      </c>
      <c r="AC530" s="11">
        <v>0</v>
      </c>
      <c r="AD530" s="11">
        <v>1</v>
      </c>
      <c r="AE530" s="11">
        <v>1</v>
      </c>
      <c r="AF530" s="11">
        <v>1</v>
      </c>
      <c r="AG530" s="11">
        <v>1</v>
      </c>
      <c r="AH530" s="9">
        <v>0</v>
      </c>
      <c r="AI530" s="11">
        <v>0</v>
      </c>
      <c r="AJ530" s="11">
        <v>0</v>
      </c>
      <c r="AK530" s="11">
        <v>0</v>
      </c>
      <c r="AL530" s="11">
        <v>0</v>
      </c>
      <c r="AN530" s="11">
        <v>0</v>
      </c>
      <c r="AO530" s="11">
        <v>0</v>
      </c>
      <c r="AP530" s="11">
        <v>0</v>
      </c>
      <c r="AQ530" s="11">
        <v>0</v>
      </c>
      <c r="AR530" s="11">
        <v>0</v>
      </c>
      <c r="AS530" s="11">
        <v>0</v>
      </c>
      <c r="AT530" s="11">
        <v>0</v>
      </c>
      <c r="AU530" s="11">
        <v>0</v>
      </c>
      <c r="AV530" s="11">
        <v>0</v>
      </c>
      <c r="AW530" s="11">
        <v>0</v>
      </c>
      <c r="AX530" s="11">
        <v>0</v>
      </c>
      <c r="AY530" s="11">
        <v>0</v>
      </c>
      <c r="BA530" s="12" t="s">
        <v>4877</v>
      </c>
      <c r="BB530" s="12">
        <v>0</v>
      </c>
      <c r="BC530" s="12">
        <v>0</v>
      </c>
      <c r="BD530" s="12">
        <v>0</v>
      </c>
      <c r="BE530" s="12">
        <v>0</v>
      </c>
      <c r="BF530" s="12">
        <v>0</v>
      </c>
      <c r="BI530" s="12">
        <v>0</v>
      </c>
      <c r="BJ530" s="12">
        <v>0</v>
      </c>
    </row>
    <row r="531" spans="1:62" x14ac:dyDescent="0.15">
      <c r="A531" s="19" t="s">
        <v>6709</v>
      </c>
      <c r="C531" t="s">
        <v>6710</v>
      </c>
      <c r="D531" s="8" t="s">
        <v>6681</v>
      </c>
      <c r="E531" s="9" t="s">
        <v>6682</v>
      </c>
      <c r="L531" s="10">
        <v>3623130</v>
      </c>
      <c r="M531" s="10">
        <v>454392</v>
      </c>
      <c r="N531" s="11">
        <v>15</v>
      </c>
      <c r="O531" s="11" t="s">
        <v>7964</v>
      </c>
      <c r="P531" s="7" t="s">
        <v>6683</v>
      </c>
      <c r="Q531" s="9" t="s">
        <v>7217</v>
      </c>
      <c r="S531" s="9" t="s">
        <v>6681</v>
      </c>
      <c r="T531" s="9" t="s">
        <v>5372</v>
      </c>
      <c r="U531" s="12" t="s">
        <v>5018</v>
      </c>
      <c r="V531" s="12" t="s">
        <v>5021</v>
      </c>
      <c r="W531" s="12">
        <v>0</v>
      </c>
      <c r="X531" s="12">
        <v>0</v>
      </c>
      <c r="Y531" s="12">
        <v>0</v>
      </c>
      <c r="Z531" s="11">
        <v>0</v>
      </c>
      <c r="AA531" s="11">
        <v>0</v>
      </c>
      <c r="AB531" s="11">
        <v>0</v>
      </c>
      <c r="AC531" s="11">
        <v>0</v>
      </c>
      <c r="AD531" s="11">
        <v>1</v>
      </c>
      <c r="AE531" s="11">
        <v>1</v>
      </c>
      <c r="AF531" s="11">
        <v>1</v>
      </c>
      <c r="AG531" s="11">
        <v>1</v>
      </c>
      <c r="AH531" s="9">
        <v>0</v>
      </c>
      <c r="AI531" s="11">
        <v>0</v>
      </c>
      <c r="AJ531" s="11">
        <v>0</v>
      </c>
      <c r="AK531" s="11">
        <v>0</v>
      </c>
      <c r="AL531" s="11">
        <v>0</v>
      </c>
      <c r="AN531" s="11">
        <v>0</v>
      </c>
      <c r="AO531" s="11">
        <v>0</v>
      </c>
      <c r="AP531" s="11">
        <v>0</v>
      </c>
      <c r="AQ531" s="11">
        <v>0</v>
      </c>
      <c r="AR531" s="11">
        <v>0</v>
      </c>
      <c r="AS531" s="11">
        <v>0</v>
      </c>
      <c r="AT531" s="11">
        <v>0</v>
      </c>
      <c r="AU531" s="11">
        <v>0</v>
      </c>
      <c r="AV531" s="11">
        <v>0</v>
      </c>
      <c r="AW531" s="11">
        <v>0</v>
      </c>
      <c r="AX531" s="11">
        <v>0</v>
      </c>
      <c r="AY531" s="11">
        <v>0</v>
      </c>
      <c r="BA531" s="12" t="s">
        <v>4877</v>
      </c>
      <c r="BB531" s="12">
        <v>0</v>
      </c>
      <c r="BC531" s="12">
        <v>0</v>
      </c>
      <c r="BD531" s="12">
        <v>0</v>
      </c>
      <c r="BE531" s="12">
        <v>0</v>
      </c>
      <c r="BF531" s="12">
        <v>0</v>
      </c>
      <c r="BI531" s="12">
        <v>0</v>
      </c>
      <c r="BJ531" s="12">
        <v>0</v>
      </c>
    </row>
    <row r="532" spans="1:62" x14ac:dyDescent="0.15">
      <c r="A532" s="19" t="s">
        <v>6711</v>
      </c>
      <c r="C532" t="s">
        <v>6712</v>
      </c>
      <c r="D532" s="8" t="s">
        <v>6681</v>
      </c>
      <c r="E532" s="9" t="s">
        <v>6682</v>
      </c>
      <c r="L532" s="10">
        <v>3532340</v>
      </c>
      <c r="M532" s="10">
        <v>464435</v>
      </c>
      <c r="N532" s="11">
        <v>15</v>
      </c>
      <c r="O532" s="11" t="s">
        <v>7964</v>
      </c>
      <c r="P532" s="7" t="s">
        <v>6683</v>
      </c>
      <c r="Q532" s="9" t="s">
        <v>7217</v>
      </c>
      <c r="S532" s="9" t="s">
        <v>6681</v>
      </c>
      <c r="T532" s="9" t="s">
        <v>4784</v>
      </c>
      <c r="U532" s="12" t="s">
        <v>5017</v>
      </c>
      <c r="V532" s="12" t="s">
        <v>5021</v>
      </c>
      <c r="W532" s="12">
        <v>0</v>
      </c>
      <c r="X532" s="12">
        <v>0</v>
      </c>
      <c r="Y532" s="12">
        <v>0</v>
      </c>
      <c r="Z532" s="11">
        <v>0</v>
      </c>
      <c r="AA532" s="11">
        <v>0</v>
      </c>
      <c r="AB532" s="11">
        <v>0</v>
      </c>
      <c r="AC532" s="11">
        <v>1</v>
      </c>
      <c r="AD532" s="11">
        <v>1</v>
      </c>
      <c r="AE532" s="11">
        <v>1</v>
      </c>
      <c r="AF532" s="11">
        <v>1</v>
      </c>
      <c r="AG532" s="11">
        <v>1</v>
      </c>
      <c r="AH532" s="9">
        <v>0</v>
      </c>
      <c r="AI532" s="11">
        <v>0</v>
      </c>
      <c r="AJ532" s="11">
        <v>0</v>
      </c>
      <c r="AK532" s="11">
        <v>0</v>
      </c>
      <c r="AL532" s="11">
        <v>0</v>
      </c>
      <c r="AN532" s="11">
        <v>0</v>
      </c>
      <c r="AO532" s="11">
        <v>0</v>
      </c>
      <c r="AP532" s="11">
        <v>0</v>
      </c>
      <c r="AQ532" s="11">
        <v>0</v>
      </c>
      <c r="AR532" s="11">
        <v>0</v>
      </c>
      <c r="AS532" s="11">
        <v>0</v>
      </c>
      <c r="AT532" s="11">
        <v>0</v>
      </c>
      <c r="AU532" s="11">
        <v>0</v>
      </c>
      <c r="AV532" s="11">
        <v>0</v>
      </c>
      <c r="AW532" s="11">
        <v>0</v>
      </c>
      <c r="AX532" s="11">
        <v>0</v>
      </c>
      <c r="AY532" s="11">
        <v>0</v>
      </c>
      <c r="BA532" s="12" t="s">
        <v>4877</v>
      </c>
      <c r="BB532" s="12">
        <v>0</v>
      </c>
      <c r="BC532" s="12">
        <v>0</v>
      </c>
      <c r="BD532" s="12">
        <v>0</v>
      </c>
      <c r="BE532" s="12">
        <v>0</v>
      </c>
      <c r="BF532" s="12">
        <v>0</v>
      </c>
      <c r="BI532" s="12">
        <v>0</v>
      </c>
      <c r="BJ532" s="12">
        <v>0</v>
      </c>
    </row>
    <row r="533" spans="1:62" x14ac:dyDescent="0.15">
      <c r="A533" s="19" t="s">
        <v>6713</v>
      </c>
      <c r="C533" t="s">
        <v>6714</v>
      </c>
      <c r="D533" s="8" t="s">
        <v>6681</v>
      </c>
      <c r="E533" s="9" t="s">
        <v>6682</v>
      </c>
      <c r="L533" s="10">
        <v>3604470</v>
      </c>
      <c r="M533" s="10">
        <v>506103</v>
      </c>
      <c r="N533" s="11">
        <v>15</v>
      </c>
      <c r="O533" s="11" t="s">
        <v>7964</v>
      </c>
      <c r="P533" s="7" t="s">
        <v>6683</v>
      </c>
      <c r="Q533" s="9" t="s">
        <v>7217</v>
      </c>
      <c r="S533" s="9" t="s">
        <v>6681</v>
      </c>
      <c r="T533" s="9" t="s">
        <v>8342</v>
      </c>
      <c r="U533" s="12" t="s">
        <v>5019</v>
      </c>
      <c r="V533" s="12" t="s">
        <v>5021</v>
      </c>
      <c r="W533" s="12">
        <v>0</v>
      </c>
      <c r="X533" s="12">
        <v>0</v>
      </c>
      <c r="Y533" s="12">
        <v>0</v>
      </c>
      <c r="Z533" s="11">
        <v>0</v>
      </c>
      <c r="AA533" s="11">
        <v>0</v>
      </c>
      <c r="AB533" s="11">
        <v>0</v>
      </c>
      <c r="AC533" s="11">
        <v>0</v>
      </c>
      <c r="AD533" s="11">
        <v>0</v>
      </c>
      <c r="AE533" s="11">
        <v>1</v>
      </c>
      <c r="AF533" s="11">
        <v>1</v>
      </c>
      <c r="AG533" s="11">
        <v>1</v>
      </c>
      <c r="AH533" s="9">
        <v>0</v>
      </c>
      <c r="AI533" s="11">
        <v>0</v>
      </c>
      <c r="AJ533" s="11">
        <v>0</v>
      </c>
      <c r="AK533" s="11">
        <v>0</v>
      </c>
      <c r="AL533" s="11">
        <v>0</v>
      </c>
      <c r="AN533" s="11">
        <v>0</v>
      </c>
      <c r="AO533" s="11">
        <v>0</v>
      </c>
      <c r="AP533" s="11">
        <v>0</v>
      </c>
      <c r="AQ533" s="11">
        <v>0</v>
      </c>
      <c r="AR533" s="11">
        <v>0</v>
      </c>
      <c r="AS533" s="11">
        <v>0</v>
      </c>
      <c r="AT533" s="11">
        <v>0</v>
      </c>
      <c r="AU533" s="11">
        <v>0</v>
      </c>
      <c r="AV533" s="11">
        <v>0</v>
      </c>
      <c r="AW533" s="11">
        <v>0</v>
      </c>
      <c r="AX533" s="11">
        <v>0</v>
      </c>
      <c r="AY533" s="11">
        <v>0</v>
      </c>
      <c r="BA533" s="12" t="s">
        <v>4877</v>
      </c>
      <c r="BB533" s="12">
        <v>0</v>
      </c>
      <c r="BC533" s="12">
        <v>0</v>
      </c>
      <c r="BD533" s="12">
        <v>0</v>
      </c>
      <c r="BE533" s="12">
        <v>0</v>
      </c>
      <c r="BF533" s="12">
        <v>0</v>
      </c>
      <c r="BI533" s="12">
        <v>0</v>
      </c>
      <c r="BJ533" s="12">
        <v>0</v>
      </c>
    </row>
    <row r="534" spans="1:62" x14ac:dyDescent="0.15">
      <c r="A534" s="19" t="s">
        <v>6715</v>
      </c>
      <c r="C534" t="s">
        <v>931</v>
      </c>
      <c r="D534" s="8" t="s">
        <v>6681</v>
      </c>
      <c r="E534" s="9" t="s">
        <v>6682</v>
      </c>
      <c r="L534" s="10">
        <v>3622030</v>
      </c>
      <c r="M534" s="10">
        <v>430760</v>
      </c>
      <c r="N534" s="11">
        <v>15</v>
      </c>
      <c r="O534" s="11" t="s">
        <v>7964</v>
      </c>
      <c r="P534" s="7" t="s">
        <v>6683</v>
      </c>
      <c r="Q534" s="9" t="s">
        <v>7217</v>
      </c>
      <c r="S534" s="9" t="s">
        <v>6681</v>
      </c>
      <c r="T534" s="9" t="s">
        <v>5372</v>
      </c>
      <c r="U534" s="12" t="s">
        <v>5018</v>
      </c>
      <c r="V534" s="12" t="s">
        <v>5021</v>
      </c>
      <c r="W534" s="12">
        <v>0</v>
      </c>
      <c r="X534" s="12">
        <v>0</v>
      </c>
      <c r="Y534" s="12">
        <v>0</v>
      </c>
      <c r="Z534" s="11">
        <v>0</v>
      </c>
      <c r="AA534" s="11">
        <v>0</v>
      </c>
      <c r="AB534" s="11">
        <v>0</v>
      </c>
      <c r="AC534" s="11">
        <v>0</v>
      </c>
      <c r="AD534" s="11">
        <v>1</v>
      </c>
      <c r="AE534" s="11">
        <v>1</v>
      </c>
      <c r="AF534" s="11">
        <v>1</v>
      </c>
      <c r="AG534" s="11">
        <v>1</v>
      </c>
      <c r="AH534" s="9">
        <v>4</v>
      </c>
      <c r="AI534" s="11">
        <v>4</v>
      </c>
      <c r="AJ534" s="11">
        <v>1</v>
      </c>
      <c r="AK534" s="11">
        <v>1</v>
      </c>
      <c r="AL534" s="11">
        <v>1</v>
      </c>
      <c r="AN534" s="11">
        <v>0</v>
      </c>
      <c r="AO534" s="11">
        <v>0</v>
      </c>
      <c r="AP534" s="11">
        <v>0</v>
      </c>
      <c r="AQ534" s="11">
        <v>1</v>
      </c>
      <c r="AR534" s="11">
        <v>0</v>
      </c>
      <c r="AS534" s="11">
        <v>0</v>
      </c>
      <c r="AT534" s="11">
        <v>0</v>
      </c>
      <c r="AU534" s="11">
        <v>0</v>
      </c>
      <c r="AV534" s="11">
        <v>0</v>
      </c>
      <c r="AW534" s="11">
        <v>0</v>
      </c>
      <c r="AX534" s="11">
        <v>0</v>
      </c>
      <c r="AY534" s="11">
        <v>0</v>
      </c>
      <c r="BA534" s="12" t="s">
        <v>4877</v>
      </c>
      <c r="BB534" s="12">
        <v>0</v>
      </c>
      <c r="BC534" s="12">
        <v>0</v>
      </c>
      <c r="BD534" s="12">
        <v>0</v>
      </c>
      <c r="BE534" s="12">
        <v>0</v>
      </c>
      <c r="BF534" s="12">
        <v>0</v>
      </c>
      <c r="BI534" s="12">
        <v>0</v>
      </c>
      <c r="BJ534" s="12">
        <v>0</v>
      </c>
    </row>
    <row r="535" spans="1:62" x14ac:dyDescent="0.15">
      <c r="A535" s="19" t="s">
        <v>6716</v>
      </c>
      <c r="C535" t="s">
        <v>6717</v>
      </c>
      <c r="D535" s="8" t="s">
        <v>6681</v>
      </c>
      <c r="E535" s="9" t="s">
        <v>6682</v>
      </c>
      <c r="L535" s="10">
        <v>3608130</v>
      </c>
      <c r="M535" s="10">
        <v>501944</v>
      </c>
      <c r="N535" s="11">
        <v>15</v>
      </c>
      <c r="O535" s="11" t="s">
        <v>7964</v>
      </c>
      <c r="P535" s="7" t="s">
        <v>6683</v>
      </c>
      <c r="Q535" s="9" t="s">
        <v>7217</v>
      </c>
      <c r="S535" s="9" t="s">
        <v>6681</v>
      </c>
      <c r="T535" s="9" t="s">
        <v>4784</v>
      </c>
      <c r="U535" s="12" t="s">
        <v>5017</v>
      </c>
      <c r="V535" s="12" t="s">
        <v>5021</v>
      </c>
      <c r="W535" s="12">
        <v>0</v>
      </c>
      <c r="X535" s="12">
        <v>0</v>
      </c>
      <c r="Y535" s="12">
        <v>0</v>
      </c>
      <c r="Z535" s="11">
        <v>0</v>
      </c>
      <c r="AA535" s="11">
        <v>0</v>
      </c>
      <c r="AB535" s="11">
        <v>0</v>
      </c>
      <c r="AC535" s="11">
        <v>1</v>
      </c>
      <c r="AD535" s="11">
        <v>1</v>
      </c>
      <c r="AE535" s="11">
        <v>1</v>
      </c>
      <c r="AF535" s="11">
        <v>1</v>
      </c>
      <c r="AG535" s="11">
        <v>1</v>
      </c>
      <c r="AH535" s="9">
        <v>0</v>
      </c>
      <c r="AI535" s="11">
        <v>0</v>
      </c>
      <c r="AJ535" s="11">
        <v>0</v>
      </c>
      <c r="AK535" s="11">
        <v>0</v>
      </c>
      <c r="AL535" s="11">
        <v>0</v>
      </c>
      <c r="AN535" s="11">
        <v>0</v>
      </c>
      <c r="AO535" s="11">
        <v>0</v>
      </c>
      <c r="AP535" s="11">
        <v>0</v>
      </c>
      <c r="AQ535" s="11">
        <v>0</v>
      </c>
      <c r="AR535" s="11">
        <v>0</v>
      </c>
      <c r="AS535" s="11">
        <v>0</v>
      </c>
      <c r="AT535" s="11">
        <v>0</v>
      </c>
      <c r="AU535" s="11">
        <v>0</v>
      </c>
      <c r="AV535" s="11">
        <v>0</v>
      </c>
      <c r="AW535" s="11">
        <v>0</v>
      </c>
      <c r="AX535" s="11">
        <v>0</v>
      </c>
      <c r="AY535" s="11">
        <v>0</v>
      </c>
      <c r="BA535" s="12" t="s">
        <v>4877</v>
      </c>
      <c r="BB535" s="12">
        <v>0</v>
      </c>
      <c r="BC535" s="12">
        <v>0</v>
      </c>
      <c r="BD535" s="12">
        <v>0</v>
      </c>
      <c r="BE535" s="12">
        <v>0</v>
      </c>
      <c r="BF535" s="12">
        <v>0</v>
      </c>
      <c r="BI535" s="12">
        <v>0</v>
      </c>
      <c r="BJ535" s="12">
        <v>0</v>
      </c>
    </row>
    <row r="536" spans="1:62" x14ac:dyDescent="0.15">
      <c r="A536" s="19" t="s">
        <v>6718</v>
      </c>
      <c r="C536" t="s">
        <v>6719</v>
      </c>
      <c r="D536" s="8" t="s">
        <v>6681</v>
      </c>
      <c r="E536" s="9" t="s">
        <v>6682</v>
      </c>
      <c r="L536" s="10">
        <v>3621940</v>
      </c>
      <c r="M536" s="10">
        <v>414574</v>
      </c>
      <c r="N536" s="11">
        <v>15</v>
      </c>
      <c r="O536" s="11" t="s">
        <v>7964</v>
      </c>
      <c r="P536" s="7" t="s">
        <v>6683</v>
      </c>
      <c r="Q536" s="9" t="s">
        <v>7217</v>
      </c>
      <c r="S536" s="9" t="s">
        <v>6681</v>
      </c>
      <c r="T536" s="9" t="s">
        <v>4784</v>
      </c>
      <c r="U536" s="12" t="s">
        <v>5017</v>
      </c>
      <c r="V536" s="12" t="s">
        <v>5021</v>
      </c>
      <c r="W536" s="12">
        <v>0</v>
      </c>
      <c r="X536" s="12">
        <v>0</v>
      </c>
      <c r="Y536" s="12">
        <v>0</v>
      </c>
      <c r="Z536" s="11">
        <v>0</v>
      </c>
      <c r="AA536" s="11">
        <v>0</v>
      </c>
      <c r="AB536" s="11">
        <v>0</v>
      </c>
      <c r="AC536" s="11">
        <v>1</v>
      </c>
      <c r="AD536" s="11">
        <v>1</v>
      </c>
      <c r="AE536" s="11">
        <v>1</v>
      </c>
      <c r="AF536" s="11">
        <v>1</v>
      </c>
      <c r="AG536" s="11">
        <v>1</v>
      </c>
      <c r="AH536" s="9">
        <v>0</v>
      </c>
      <c r="AI536" s="11">
        <v>0</v>
      </c>
      <c r="AJ536" s="11">
        <v>0</v>
      </c>
      <c r="AK536" s="11">
        <v>0</v>
      </c>
      <c r="AL536" s="11">
        <v>0</v>
      </c>
      <c r="AN536" s="11">
        <v>0</v>
      </c>
      <c r="AO536" s="11">
        <v>0</v>
      </c>
      <c r="AP536" s="11">
        <v>0</v>
      </c>
      <c r="AQ536" s="11">
        <v>0</v>
      </c>
      <c r="AR536" s="11">
        <v>0</v>
      </c>
      <c r="AS536" s="11">
        <v>0</v>
      </c>
      <c r="AT536" s="11">
        <v>0</v>
      </c>
      <c r="AU536" s="11">
        <v>0</v>
      </c>
      <c r="AV536" s="11">
        <v>0</v>
      </c>
      <c r="AW536" s="11">
        <v>0</v>
      </c>
      <c r="AX536" s="11">
        <v>0</v>
      </c>
      <c r="AY536" s="11">
        <v>0</v>
      </c>
      <c r="BA536" s="12" t="s">
        <v>4877</v>
      </c>
      <c r="BB536" s="12">
        <v>0</v>
      </c>
      <c r="BC536" s="12">
        <v>0</v>
      </c>
      <c r="BD536" s="12">
        <v>0</v>
      </c>
      <c r="BE536" s="12">
        <v>0</v>
      </c>
      <c r="BF536" s="12">
        <v>0</v>
      </c>
      <c r="BI536" s="12">
        <v>0</v>
      </c>
      <c r="BJ536" s="12">
        <v>0</v>
      </c>
    </row>
    <row r="537" spans="1:62" x14ac:dyDescent="0.15">
      <c r="A537" s="19" t="s">
        <v>6720</v>
      </c>
      <c r="C537" t="s">
        <v>6721</v>
      </c>
      <c r="D537" s="8" t="s">
        <v>6681</v>
      </c>
      <c r="E537" s="9" t="s">
        <v>6682</v>
      </c>
      <c r="L537" s="10">
        <v>3615960</v>
      </c>
      <c r="M537" s="10">
        <v>574238</v>
      </c>
      <c r="N537" s="11">
        <v>15</v>
      </c>
      <c r="O537" s="11" t="s">
        <v>7964</v>
      </c>
      <c r="P537" s="7" t="s">
        <v>6683</v>
      </c>
      <c r="Q537" s="9" t="s">
        <v>7217</v>
      </c>
      <c r="S537" s="9" t="s">
        <v>6681</v>
      </c>
      <c r="T537" s="9" t="s">
        <v>8280</v>
      </c>
      <c r="U537" s="12" t="s">
        <v>5016</v>
      </c>
      <c r="V537" s="12" t="s">
        <v>5021</v>
      </c>
      <c r="W537" s="12">
        <v>0</v>
      </c>
      <c r="X537" s="12">
        <v>0</v>
      </c>
      <c r="Y537" s="12">
        <v>0</v>
      </c>
      <c r="Z537" s="11">
        <v>0</v>
      </c>
      <c r="AA537" s="11">
        <v>0</v>
      </c>
      <c r="AB537" s="11">
        <v>1</v>
      </c>
      <c r="AC537" s="11">
        <v>1</v>
      </c>
      <c r="AD537" s="11">
        <v>1</v>
      </c>
      <c r="AE537" s="11">
        <v>1</v>
      </c>
      <c r="AF537" s="11">
        <v>1</v>
      </c>
      <c r="AG537" s="11">
        <v>1</v>
      </c>
      <c r="AH537" s="9">
        <v>0</v>
      </c>
      <c r="AI537" s="11">
        <v>0</v>
      </c>
      <c r="AJ537" s="11">
        <v>0</v>
      </c>
      <c r="AK537" s="11">
        <v>0</v>
      </c>
      <c r="AL537" s="11">
        <v>0</v>
      </c>
      <c r="AN537" s="11">
        <v>0</v>
      </c>
      <c r="AO537" s="11">
        <v>0</v>
      </c>
      <c r="AP537" s="11">
        <v>0</v>
      </c>
      <c r="AQ537" s="11">
        <v>0</v>
      </c>
      <c r="AR537" s="11">
        <v>0</v>
      </c>
      <c r="AS537" s="11">
        <v>0</v>
      </c>
      <c r="AT537" s="11">
        <v>0</v>
      </c>
      <c r="AU537" s="11">
        <v>0</v>
      </c>
      <c r="AV537" s="11">
        <v>0</v>
      </c>
      <c r="AW537" s="11">
        <v>0</v>
      </c>
      <c r="AX537" s="11">
        <v>0</v>
      </c>
      <c r="AY537" s="11">
        <v>0</v>
      </c>
      <c r="BA537" s="12" t="s">
        <v>4877</v>
      </c>
      <c r="BB537" s="12">
        <v>0</v>
      </c>
      <c r="BC537" s="12">
        <v>0</v>
      </c>
      <c r="BD537" s="12">
        <v>0</v>
      </c>
      <c r="BE537" s="12">
        <v>0</v>
      </c>
      <c r="BF537" s="12">
        <v>0</v>
      </c>
      <c r="BI537" s="12">
        <v>0</v>
      </c>
      <c r="BJ537" s="12">
        <v>0</v>
      </c>
    </row>
    <row r="538" spans="1:62" x14ac:dyDescent="0.15">
      <c r="A538" s="19" t="s">
        <v>6722</v>
      </c>
      <c r="C538" t="s">
        <v>6723</v>
      </c>
      <c r="D538" s="8" t="s">
        <v>6681</v>
      </c>
      <c r="E538" s="9" t="s">
        <v>6682</v>
      </c>
      <c r="L538" s="10">
        <v>3592510</v>
      </c>
      <c r="M538" s="10">
        <v>757736</v>
      </c>
      <c r="N538" s="11">
        <v>15</v>
      </c>
      <c r="O538" s="11" t="s">
        <v>7964</v>
      </c>
      <c r="P538" s="7" t="s">
        <v>6683</v>
      </c>
      <c r="Q538" s="9" t="s">
        <v>7217</v>
      </c>
      <c r="S538" s="9" t="s">
        <v>6681</v>
      </c>
      <c r="T538" s="9" t="s">
        <v>5372</v>
      </c>
      <c r="U538" s="12" t="s">
        <v>5018</v>
      </c>
      <c r="V538" s="12" t="s">
        <v>5021</v>
      </c>
      <c r="W538" s="12">
        <v>0</v>
      </c>
      <c r="X538" s="12">
        <v>0</v>
      </c>
      <c r="Y538" s="12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1</v>
      </c>
      <c r="AE538" s="11">
        <v>1</v>
      </c>
      <c r="AF538" s="11">
        <v>1</v>
      </c>
      <c r="AG538" s="11">
        <v>1</v>
      </c>
      <c r="AH538" s="9">
        <v>2</v>
      </c>
      <c r="AI538" s="11">
        <v>2</v>
      </c>
      <c r="AJ538" s="11">
        <v>1</v>
      </c>
      <c r="AK538" s="11">
        <v>1</v>
      </c>
      <c r="AL538" s="11">
        <v>1</v>
      </c>
      <c r="AN538" s="11">
        <v>0</v>
      </c>
      <c r="AO538" s="11">
        <v>0</v>
      </c>
      <c r="AP538" s="11">
        <v>0</v>
      </c>
      <c r="AQ538" s="11">
        <v>1</v>
      </c>
      <c r="AR538" s="11">
        <v>1</v>
      </c>
      <c r="AS538" s="11">
        <v>0</v>
      </c>
      <c r="AT538" s="11">
        <v>0</v>
      </c>
      <c r="AU538" s="11">
        <v>0</v>
      </c>
      <c r="AV538" s="11">
        <v>0</v>
      </c>
      <c r="AW538" s="11">
        <v>0</v>
      </c>
      <c r="AX538" s="11">
        <v>0</v>
      </c>
      <c r="AY538" s="11">
        <v>1</v>
      </c>
      <c r="BA538" s="12" t="s">
        <v>6684</v>
      </c>
      <c r="BB538" s="12">
        <v>0</v>
      </c>
      <c r="BC538" s="12">
        <v>0</v>
      </c>
      <c r="BD538" s="12">
        <v>0</v>
      </c>
      <c r="BE538" s="12">
        <v>0</v>
      </c>
      <c r="BF538" s="12">
        <v>0</v>
      </c>
      <c r="BI538" s="12">
        <v>0</v>
      </c>
      <c r="BJ538" s="12">
        <v>0</v>
      </c>
    </row>
    <row r="539" spans="1:62" x14ac:dyDescent="0.15">
      <c r="A539" s="19" t="s">
        <v>6724</v>
      </c>
      <c r="C539" t="s">
        <v>6725</v>
      </c>
      <c r="D539" s="8" t="s">
        <v>6681</v>
      </c>
      <c r="E539" s="9" t="s">
        <v>6682</v>
      </c>
      <c r="L539" s="10">
        <v>3503640</v>
      </c>
      <c r="M539" s="10">
        <v>660882</v>
      </c>
      <c r="N539" s="11">
        <v>15</v>
      </c>
      <c r="O539" s="11" t="s">
        <v>7964</v>
      </c>
      <c r="P539" s="7" t="s">
        <v>6683</v>
      </c>
      <c r="Q539" s="9" t="s">
        <v>7217</v>
      </c>
      <c r="S539" s="9" t="s">
        <v>6681</v>
      </c>
      <c r="T539" s="9" t="s">
        <v>5372</v>
      </c>
      <c r="U539" s="12" t="s">
        <v>5018</v>
      </c>
      <c r="V539" s="12" t="s">
        <v>5021</v>
      </c>
      <c r="W539" s="12">
        <v>0</v>
      </c>
      <c r="X539" s="12">
        <v>0</v>
      </c>
      <c r="Y539" s="12">
        <v>0</v>
      </c>
      <c r="Z539" s="11">
        <v>0</v>
      </c>
      <c r="AA539" s="11">
        <v>0</v>
      </c>
      <c r="AB539" s="11">
        <v>0</v>
      </c>
      <c r="AC539" s="11">
        <v>0</v>
      </c>
      <c r="AD539" s="11">
        <v>1</v>
      </c>
      <c r="AE539" s="11">
        <v>1</v>
      </c>
      <c r="AF539" s="11">
        <v>1</v>
      </c>
      <c r="AG539" s="11">
        <v>1</v>
      </c>
      <c r="AH539" s="9">
        <v>4</v>
      </c>
      <c r="AI539" s="11">
        <v>4</v>
      </c>
      <c r="AJ539" s="11">
        <v>1</v>
      </c>
      <c r="AK539" s="11">
        <v>1</v>
      </c>
      <c r="AL539" s="11">
        <v>1</v>
      </c>
      <c r="AN539" s="11">
        <v>1</v>
      </c>
      <c r="AO539" s="11">
        <v>0</v>
      </c>
      <c r="AP539" s="11">
        <v>0</v>
      </c>
      <c r="AQ539" s="11">
        <v>1</v>
      </c>
      <c r="AR539" s="11">
        <v>0</v>
      </c>
      <c r="AS539" s="11">
        <v>0</v>
      </c>
      <c r="AT539" s="11">
        <v>0</v>
      </c>
      <c r="AU539" s="11">
        <v>0</v>
      </c>
      <c r="AV539" s="11">
        <v>0</v>
      </c>
      <c r="AW539" s="11">
        <v>0</v>
      </c>
      <c r="AX539" s="11">
        <v>0</v>
      </c>
      <c r="AY539" s="11">
        <v>0</v>
      </c>
      <c r="BA539" s="12" t="s">
        <v>6684</v>
      </c>
      <c r="BB539" s="12">
        <v>0</v>
      </c>
      <c r="BC539" s="12">
        <v>0</v>
      </c>
      <c r="BD539" s="12">
        <v>0</v>
      </c>
      <c r="BE539" s="12">
        <v>0</v>
      </c>
      <c r="BF539" s="12">
        <v>0</v>
      </c>
      <c r="BI539" s="12">
        <v>0</v>
      </c>
      <c r="BJ539" s="12">
        <v>0</v>
      </c>
    </row>
    <row r="540" spans="1:62" x14ac:dyDescent="0.15">
      <c r="A540" s="19" t="s">
        <v>6726</v>
      </c>
      <c r="C540" t="s">
        <v>6727</v>
      </c>
      <c r="D540" s="8" t="s">
        <v>6681</v>
      </c>
      <c r="E540" s="9" t="s">
        <v>6682</v>
      </c>
      <c r="L540" s="10">
        <v>3721310</v>
      </c>
      <c r="M540" s="10">
        <v>899007</v>
      </c>
      <c r="N540" s="11">
        <v>15</v>
      </c>
      <c r="O540" s="11" t="s">
        <v>7964</v>
      </c>
      <c r="P540" s="7" t="s">
        <v>6683</v>
      </c>
      <c r="Q540" s="9" t="s">
        <v>7217</v>
      </c>
      <c r="S540" s="9" t="s">
        <v>6681</v>
      </c>
      <c r="T540" s="9" t="s">
        <v>4891</v>
      </c>
      <c r="U540" s="12" t="s">
        <v>5017</v>
      </c>
      <c r="V540" s="12" t="s">
        <v>5018</v>
      </c>
      <c r="W540" s="12">
        <v>0</v>
      </c>
      <c r="X540" s="12">
        <v>0</v>
      </c>
      <c r="Y540" s="12">
        <v>0</v>
      </c>
      <c r="Z540" s="11">
        <v>0</v>
      </c>
      <c r="AA540" s="11">
        <v>0</v>
      </c>
      <c r="AB540" s="11">
        <v>0</v>
      </c>
      <c r="AC540" s="11">
        <v>1</v>
      </c>
      <c r="AD540" s="11">
        <v>1</v>
      </c>
      <c r="AE540" s="11">
        <v>0</v>
      </c>
      <c r="AF540" s="11">
        <v>0</v>
      </c>
      <c r="AG540" s="11">
        <v>0</v>
      </c>
      <c r="AH540" s="9">
        <v>0</v>
      </c>
      <c r="AI540" s="11">
        <v>0</v>
      </c>
      <c r="AJ540" s="11">
        <v>0</v>
      </c>
      <c r="AK540" s="11">
        <v>0</v>
      </c>
      <c r="AL540" s="11">
        <v>0</v>
      </c>
      <c r="AN540" s="11">
        <v>0</v>
      </c>
      <c r="AO540" s="11">
        <v>0</v>
      </c>
      <c r="AP540" s="11">
        <v>0</v>
      </c>
      <c r="AQ540" s="11">
        <v>0</v>
      </c>
      <c r="AR540" s="11">
        <v>0</v>
      </c>
      <c r="AS540" s="11">
        <v>0</v>
      </c>
      <c r="AT540" s="11">
        <v>0</v>
      </c>
      <c r="AU540" s="11">
        <v>0</v>
      </c>
      <c r="AV540" s="11">
        <v>0</v>
      </c>
      <c r="AW540" s="11">
        <v>0</v>
      </c>
      <c r="AX540" s="11">
        <v>0</v>
      </c>
      <c r="AY540" s="11">
        <v>0</v>
      </c>
      <c r="BA540" s="12" t="s">
        <v>6684</v>
      </c>
      <c r="BB540" s="12">
        <v>0</v>
      </c>
      <c r="BC540" s="12">
        <v>0</v>
      </c>
      <c r="BD540" s="12">
        <v>0</v>
      </c>
      <c r="BE540" s="12">
        <v>0</v>
      </c>
      <c r="BF540" s="12">
        <v>0</v>
      </c>
      <c r="BI540" s="12">
        <v>0</v>
      </c>
      <c r="BJ540" s="12">
        <v>0</v>
      </c>
    </row>
    <row r="541" spans="1:62" x14ac:dyDescent="0.15">
      <c r="A541" s="19" t="s">
        <v>6728</v>
      </c>
      <c r="C541" t="s">
        <v>6729</v>
      </c>
      <c r="D541" s="8" t="s">
        <v>6681</v>
      </c>
      <c r="E541" s="9" t="s">
        <v>6682</v>
      </c>
      <c r="L541" s="10">
        <v>3717310</v>
      </c>
      <c r="M541" s="10">
        <v>895793</v>
      </c>
      <c r="N541" s="11">
        <v>15</v>
      </c>
      <c r="O541" s="11" t="s">
        <v>7964</v>
      </c>
      <c r="P541" s="7" t="s">
        <v>6683</v>
      </c>
      <c r="Q541" s="9" t="s">
        <v>7217</v>
      </c>
      <c r="S541" s="9" t="s">
        <v>6681</v>
      </c>
      <c r="T541" s="9" t="s">
        <v>4891</v>
      </c>
      <c r="U541" s="12" t="s">
        <v>5017</v>
      </c>
      <c r="V541" s="12" t="s">
        <v>5018</v>
      </c>
      <c r="W541" s="12">
        <v>0</v>
      </c>
      <c r="X541" s="12">
        <v>0</v>
      </c>
      <c r="Y541" s="12">
        <v>0</v>
      </c>
      <c r="Z541" s="11">
        <v>0</v>
      </c>
      <c r="AA541" s="11">
        <v>0</v>
      </c>
      <c r="AB541" s="11">
        <v>0</v>
      </c>
      <c r="AC541" s="11">
        <v>1</v>
      </c>
      <c r="AD541" s="11">
        <v>1</v>
      </c>
      <c r="AE541" s="11">
        <v>0</v>
      </c>
      <c r="AF541" s="11">
        <v>0</v>
      </c>
      <c r="AG541" s="11">
        <v>0</v>
      </c>
      <c r="AH541" s="9">
        <v>0</v>
      </c>
      <c r="AI541" s="11">
        <v>0</v>
      </c>
      <c r="AJ541" s="11">
        <v>0</v>
      </c>
      <c r="AK541" s="11">
        <v>0</v>
      </c>
      <c r="AL541" s="11">
        <v>0</v>
      </c>
      <c r="AN541" s="11">
        <v>0</v>
      </c>
      <c r="AO541" s="11">
        <v>0</v>
      </c>
      <c r="AP541" s="11">
        <v>0</v>
      </c>
      <c r="AQ541" s="11">
        <v>0</v>
      </c>
      <c r="AR541" s="11">
        <v>0</v>
      </c>
      <c r="AS541" s="11">
        <v>0</v>
      </c>
      <c r="AT541" s="11">
        <v>0</v>
      </c>
      <c r="AU541" s="11">
        <v>0</v>
      </c>
      <c r="AV541" s="11">
        <v>0</v>
      </c>
      <c r="AW541" s="11">
        <v>0</v>
      </c>
      <c r="AX541" s="11">
        <v>0</v>
      </c>
      <c r="AY541" s="11">
        <v>0</v>
      </c>
      <c r="BA541" s="12" t="s">
        <v>6684</v>
      </c>
      <c r="BB541" s="12">
        <v>0</v>
      </c>
      <c r="BC541" s="12">
        <v>0</v>
      </c>
      <c r="BD541" s="12">
        <v>0</v>
      </c>
      <c r="BE541" s="12">
        <v>0</v>
      </c>
      <c r="BF541" s="12">
        <v>0</v>
      </c>
      <c r="BI541" s="12">
        <v>0</v>
      </c>
      <c r="BJ541" s="12">
        <v>0</v>
      </c>
    </row>
    <row r="542" spans="1:62" x14ac:dyDescent="0.15">
      <c r="A542" s="19" t="s">
        <v>6730</v>
      </c>
      <c r="C542" t="s">
        <v>6731</v>
      </c>
      <c r="D542" s="8" t="s">
        <v>6681</v>
      </c>
      <c r="E542" s="9" t="s">
        <v>6682</v>
      </c>
      <c r="L542" s="10">
        <v>3653460</v>
      </c>
      <c r="M542" s="10">
        <v>733164</v>
      </c>
      <c r="N542" s="11">
        <v>15</v>
      </c>
      <c r="O542" s="11" t="s">
        <v>7964</v>
      </c>
      <c r="P542" s="7" t="s">
        <v>6683</v>
      </c>
      <c r="Q542" s="9" t="s">
        <v>7217</v>
      </c>
      <c r="S542" s="9" t="s">
        <v>6681</v>
      </c>
      <c r="T542" s="9" t="s">
        <v>8372</v>
      </c>
      <c r="U542" s="12" t="s">
        <v>5017</v>
      </c>
      <c r="V542" s="12" t="s">
        <v>5019</v>
      </c>
      <c r="W542" s="12">
        <v>0</v>
      </c>
      <c r="X542" s="12">
        <v>0</v>
      </c>
      <c r="Y542" s="12">
        <v>0</v>
      </c>
      <c r="Z542" s="11">
        <v>0</v>
      </c>
      <c r="AA542" s="11">
        <v>0</v>
      </c>
      <c r="AB542" s="11">
        <v>0</v>
      </c>
      <c r="AC542" s="11">
        <v>1</v>
      </c>
      <c r="AD542" s="11">
        <v>1</v>
      </c>
      <c r="AE542" s="11">
        <v>1</v>
      </c>
      <c r="AF542" s="11">
        <v>0</v>
      </c>
      <c r="AG542" s="11">
        <v>0</v>
      </c>
      <c r="AH542" s="9">
        <v>1</v>
      </c>
      <c r="AI542" s="11">
        <v>1</v>
      </c>
      <c r="AJ542" s="11">
        <v>1</v>
      </c>
      <c r="AK542" s="11">
        <v>0</v>
      </c>
      <c r="AL542" s="11">
        <v>1</v>
      </c>
      <c r="AN542" s="11">
        <v>0</v>
      </c>
      <c r="AO542" s="11">
        <v>0</v>
      </c>
      <c r="AP542" s="11">
        <v>0</v>
      </c>
      <c r="AQ542" s="11">
        <v>1</v>
      </c>
      <c r="AR542" s="11">
        <v>0</v>
      </c>
      <c r="AS542" s="11">
        <v>0</v>
      </c>
      <c r="AT542" s="11">
        <v>0</v>
      </c>
      <c r="AU542" s="11">
        <v>0</v>
      </c>
      <c r="AV542" s="11">
        <v>0</v>
      </c>
      <c r="AW542" s="11">
        <v>0</v>
      </c>
      <c r="AX542" s="11">
        <v>0</v>
      </c>
      <c r="AY542" s="11">
        <v>0</v>
      </c>
      <c r="BA542" s="12" t="s">
        <v>6684</v>
      </c>
      <c r="BB542" s="12">
        <v>0</v>
      </c>
      <c r="BC542" s="12">
        <v>0</v>
      </c>
      <c r="BD542" s="12">
        <v>0</v>
      </c>
      <c r="BE542" s="12">
        <v>0</v>
      </c>
      <c r="BF542" s="12">
        <v>0</v>
      </c>
      <c r="BI542" s="12">
        <v>0</v>
      </c>
      <c r="BJ542" s="12">
        <v>0</v>
      </c>
    </row>
    <row r="543" spans="1:62" x14ac:dyDescent="0.15">
      <c r="A543" s="19" t="s">
        <v>6732</v>
      </c>
      <c r="C543" t="s">
        <v>6733</v>
      </c>
      <c r="D543" s="8" t="s">
        <v>6681</v>
      </c>
      <c r="E543" s="9" t="s">
        <v>6682</v>
      </c>
      <c r="L543" s="10">
        <v>3617160</v>
      </c>
      <c r="M543" s="10">
        <v>737609</v>
      </c>
      <c r="N543" s="11">
        <v>15</v>
      </c>
      <c r="O543" s="11" t="s">
        <v>7964</v>
      </c>
      <c r="P543" s="7" t="s">
        <v>6683</v>
      </c>
      <c r="Q543" s="9" t="s">
        <v>7217</v>
      </c>
      <c r="S543" s="9" t="s">
        <v>6681</v>
      </c>
      <c r="T543" s="9" t="s">
        <v>8372</v>
      </c>
      <c r="U543" s="12" t="s">
        <v>5017</v>
      </c>
      <c r="V543" s="12" t="s">
        <v>5019</v>
      </c>
      <c r="W543" s="12">
        <v>0</v>
      </c>
      <c r="X543" s="12">
        <v>0</v>
      </c>
      <c r="Y543" s="12">
        <v>0</v>
      </c>
      <c r="Z543" s="11">
        <v>0</v>
      </c>
      <c r="AA543" s="11">
        <v>0</v>
      </c>
      <c r="AB543" s="11">
        <v>0</v>
      </c>
      <c r="AC543" s="11">
        <v>1</v>
      </c>
      <c r="AD543" s="11">
        <v>1</v>
      </c>
      <c r="AE543" s="11">
        <v>1</v>
      </c>
      <c r="AF543" s="11">
        <v>0</v>
      </c>
      <c r="AG543" s="11">
        <v>0</v>
      </c>
      <c r="AH543" s="9">
        <v>0</v>
      </c>
      <c r="AI543" s="11">
        <v>0</v>
      </c>
      <c r="AJ543" s="11">
        <v>0</v>
      </c>
      <c r="AK543" s="11">
        <v>0</v>
      </c>
      <c r="AL543" s="11">
        <v>0</v>
      </c>
      <c r="AN543" s="11">
        <v>0</v>
      </c>
      <c r="AO543" s="11">
        <v>0</v>
      </c>
      <c r="AP543" s="11">
        <v>0</v>
      </c>
      <c r="AQ543" s="11">
        <v>0</v>
      </c>
      <c r="AR543" s="11">
        <v>0</v>
      </c>
      <c r="AS543" s="11">
        <v>0</v>
      </c>
      <c r="AT543" s="11">
        <v>0</v>
      </c>
      <c r="AU543" s="11">
        <v>0</v>
      </c>
      <c r="AV543" s="11">
        <v>0</v>
      </c>
      <c r="AW543" s="11">
        <v>0</v>
      </c>
      <c r="AX543" s="11">
        <v>0</v>
      </c>
      <c r="AY543" s="11">
        <v>0</v>
      </c>
      <c r="BA543" s="12" t="s">
        <v>6684</v>
      </c>
      <c r="BB543" s="12">
        <v>0</v>
      </c>
      <c r="BC543" s="12">
        <v>0</v>
      </c>
      <c r="BD543" s="12">
        <v>0</v>
      </c>
      <c r="BE543" s="12">
        <v>0</v>
      </c>
      <c r="BF543" s="12">
        <v>0</v>
      </c>
      <c r="BI543" s="12">
        <v>0</v>
      </c>
      <c r="BJ543" s="12">
        <v>0</v>
      </c>
    </row>
    <row r="544" spans="1:62" x14ac:dyDescent="0.15">
      <c r="A544" s="19" t="s">
        <v>6734</v>
      </c>
      <c r="C544" t="s">
        <v>6735</v>
      </c>
      <c r="D544" s="8" t="s">
        <v>6681</v>
      </c>
      <c r="E544" s="9" t="s">
        <v>6682</v>
      </c>
      <c r="L544" s="10">
        <v>3613140</v>
      </c>
      <c r="M544" s="10">
        <v>803098</v>
      </c>
      <c r="N544" s="11">
        <v>15</v>
      </c>
      <c r="O544" s="11" t="s">
        <v>7964</v>
      </c>
      <c r="P544" s="7" t="s">
        <v>6683</v>
      </c>
      <c r="Q544" s="9" t="s">
        <v>7217</v>
      </c>
      <c r="S544" s="9" t="s">
        <v>6681</v>
      </c>
      <c r="T544" s="9" t="s">
        <v>8372</v>
      </c>
      <c r="U544" s="12" t="s">
        <v>5017</v>
      </c>
      <c r="V544" s="12" t="s">
        <v>5019</v>
      </c>
      <c r="W544" s="12">
        <v>0</v>
      </c>
      <c r="X544" s="12">
        <v>0</v>
      </c>
      <c r="Y544" s="12">
        <v>0</v>
      </c>
      <c r="Z544" s="11">
        <v>0</v>
      </c>
      <c r="AA544" s="11">
        <v>0</v>
      </c>
      <c r="AB544" s="11">
        <v>0</v>
      </c>
      <c r="AC544" s="11">
        <v>1</v>
      </c>
      <c r="AD544" s="11">
        <v>1</v>
      </c>
      <c r="AE544" s="11">
        <v>1</v>
      </c>
      <c r="AF544" s="11">
        <v>0</v>
      </c>
      <c r="AG544" s="11">
        <v>0</v>
      </c>
      <c r="AH544" s="9">
        <v>0</v>
      </c>
      <c r="AI544" s="11">
        <v>0</v>
      </c>
      <c r="AJ544" s="11">
        <v>0</v>
      </c>
      <c r="AK544" s="11">
        <v>0</v>
      </c>
      <c r="AL544" s="11">
        <v>0</v>
      </c>
      <c r="AN544" s="11">
        <v>0</v>
      </c>
      <c r="AO544" s="11">
        <v>0</v>
      </c>
      <c r="AP544" s="11">
        <v>0</v>
      </c>
      <c r="AQ544" s="11">
        <v>0</v>
      </c>
      <c r="AR544" s="11">
        <v>0</v>
      </c>
      <c r="AS544" s="11">
        <v>0</v>
      </c>
      <c r="AT544" s="11">
        <v>0</v>
      </c>
      <c r="AU544" s="11">
        <v>0</v>
      </c>
      <c r="AV544" s="11">
        <v>0</v>
      </c>
      <c r="AW544" s="11">
        <v>0</v>
      </c>
      <c r="AX544" s="11">
        <v>0</v>
      </c>
      <c r="AY544" s="11">
        <v>0</v>
      </c>
      <c r="BA544" s="12" t="s">
        <v>6684</v>
      </c>
      <c r="BB544" s="12">
        <v>0</v>
      </c>
      <c r="BC544" s="12">
        <v>0</v>
      </c>
      <c r="BD544" s="12">
        <v>0</v>
      </c>
      <c r="BE544" s="12">
        <v>0</v>
      </c>
      <c r="BF544" s="12">
        <v>0</v>
      </c>
      <c r="BI544" s="12">
        <v>0</v>
      </c>
      <c r="BJ544" s="12">
        <v>0</v>
      </c>
    </row>
    <row r="545" spans="1:62" x14ac:dyDescent="0.15">
      <c r="A545" s="19" t="s">
        <v>6736</v>
      </c>
      <c r="C545" t="s">
        <v>6737</v>
      </c>
      <c r="D545" s="8" t="s">
        <v>6681</v>
      </c>
      <c r="E545" s="9" t="s">
        <v>6682</v>
      </c>
      <c r="L545" s="10">
        <v>3651420</v>
      </c>
      <c r="M545" s="10">
        <v>752652</v>
      </c>
      <c r="N545" s="11">
        <v>15</v>
      </c>
      <c r="O545" s="11" t="s">
        <v>7964</v>
      </c>
      <c r="P545" s="7" t="s">
        <v>6683</v>
      </c>
      <c r="Q545" s="9" t="s">
        <v>7217</v>
      </c>
      <c r="S545" s="9" t="s">
        <v>6681</v>
      </c>
      <c r="T545" s="9" t="s">
        <v>8372</v>
      </c>
      <c r="U545" s="12" t="s">
        <v>5017</v>
      </c>
      <c r="V545" s="12" t="s">
        <v>5019</v>
      </c>
      <c r="W545" s="12">
        <v>0</v>
      </c>
      <c r="X545" s="12">
        <v>0</v>
      </c>
      <c r="Y545" s="12">
        <v>0</v>
      </c>
      <c r="Z545" s="11">
        <v>0</v>
      </c>
      <c r="AA545" s="11">
        <v>0</v>
      </c>
      <c r="AB545" s="11">
        <v>0</v>
      </c>
      <c r="AC545" s="11">
        <v>1</v>
      </c>
      <c r="AD545" s="11">
        <v>1</v>
      </c>
      <c r="AE545" s="11">
        <v>1</v>
      </c>
      <c r="AF545" s="11">
        <v>0</v>
      </c>
      <c r="AG545" s="11">
        <v>0</v>
      </c>
      <c r="AH545" s="9">
        <v>4</v>
      </c>
      <c r="AI545" s="11">
        <v>4</v>
      </c>
      <c r="AJ545" s="11">
        <v>1</v>
      </c>
      <c r="AK545" s="11">
        <v>1</v>
      </c>
      <c r="AL545" s="11">
        <v>1</v>
      </c>
      <c r="AN545" s="11">
        <v>0</v>
      </c>
      <c r="AO545" s="11">
        <v>0</v>
      </c>
      <c r="AP545" s="11">
        <v>0</v>
      </c>
      <c r="AQ545" s="11">
        <v>1</v>
      </c>
      <c r="AR545" s="11">
        <v>1</v>
      </c>
      <c r="AS545" s="11">
        <v>0</v>
      </c>
      <c r="AT545" s="11">
        <v>0</v>
      </c>
      <c r="AU545" s="11">
        <v>0</v>
      </c>
      <c r="AV545" s="11">
        <v>0</v>
      </c>
      <c r="AW545" s="11">
        <v>0</v>
      </c>
      <c r="AX545" s="11">
        <v>0</v>
      </c>
      <c r="AY545" s="11">
        <v>0</v>
      </c>
      <c r="BA545" s="12" t="s">
        <v>6684</v>
      </c>
      <c r="BB545" s="12">
        <v>0</v>
      </c>
      <c r="BC545" s="12">
        <v>0</v>
      </c>
      <c r="BD545" s="12">
        <v>0</v>
      </c>
      <c r="BE545" s="12">
        <v>0</v>
      </c>
      <c r="BF545" s="12">
        <v>0</v>
      </c>
      <c r="BI545" s="12">
        <v>0</v>
      </c>
      <c r="BJ545" s="12">
        <v>0</v>
      </c>
    </row>
    <row r="546" spans="1:62" x14ac:dyDescent="0.15">
      <c r="A546" s="19" t="s">
        <v>6738</v>
      </c>
      <c r="C546" t="s">
        <v>6739</v>
      </c>
      <c r="D546" s="8" t="s">
        <v>6681</v>
      </c>
      <c r="E546" s="9" t="s">
        <v>6682</v>
      </c>
      <c r="L546" s="10">
        <v>3634530</v>
      </c>
      <c r="M546" s="10">
        <v>739215</v>
      </c>
      <c r="N546" s="11">
        <v>15</v>
      </c>
      <c r="O546" s="11" t="s">
        <v>7964</v>
      </c>
      <c r="P546" s="7" t="s">
        <v>6683</v>
      </c>
      <c r="Q546" s="9" t="s">
        <v>7217</v>
      </c>
      <c r="S546" s="9" t="s">
        <v>6681</v>
      </c>
      <c r="T546" s="9" t="s">
        <v>8372</v>
      </c>
      <c r="U546" s="12" t="s">
        <v>5017</v>
      </c>
      <c r="V546" s="12" t="s">
        <v>5019</v>
      </c>
      <c r="W546" s="12">
        <v>0</v>
      </c>
      <c r="X546" s="12">
        <v>0</v>
      </c>
      <c r="Y546" s="12">
        <v>0</v>
      </c>
      <c r="Z546" s="11">
        <v>0</v>
      </c>
      <c r="AA546" s="11">
        <v>0</v>
      </c>
      <c r="AB546" s="11">
        <v>0</v>
      </c>
      <c r="AC546" s="11">
        <v>1</v>
      </c>
      <c r="AD546" s="11">
        <v>1</v>
      </c>
      <c r="AE546" s="11">
        <v>1</v>
      </c>
      <c r="AF546" s="11">
        <v>0</v>
      </c>
      <c r="AG546" s="11">
        <v>0</v>
      </c>
      <c r="AH546" s="9">
        <v>0</v>
      </c>
      <c r="AI546" s="11">
        <v>0</v>
      </c>
      <c r="AJ546" s="11">
        <v>0</v>
      </c>
      <c r="AK546" s="11">
        <v>0</v>
      </c>
      <c r="AL546" s="11">
        <v>0</v>
      </c>
      <c r="AN546" s="11">
        <v>0</v>
      </c>
      <c r="AO546" s="11">
        <v>0</v>
      </c>
      <c r="AP546" s="11">
        <v>0</v>
      </c>
      <c r="AQ546" s="11">
        <v>0</v>
      </c>
      <c r="AR546" s="11">
        <v>0</v>
      </c>
      <c r="AS546" s="11">
        <v>0</v>
      </c>
      <c r="AT546" s="11">
        <v>0</v>
      </c>
      <c r="AU546" s="11">
        <v>0</v>
      </c>
      <c r="AV546" s="11">
        <v>0</v>
      </c>
      <c r="AW546" s="11">
        <v>0</v>
      </c>
      <c r="AX546" s="11">
        <v>0</v>
      </c>
      <c r="AY546" s="11">
        <v>0</v>
      </c>
      <c r="BA546" s="12" t="s">
        <v>6684</v>
      </c>
      <c r="BB546" s="12">
        <v>0</v>
      </c>
      <c r="BC546" s="12">
        <v>0</v>
      </c>
      <c r="BD546" s="12">
        <v>0</v>
      </c>
      <c r="BE546" s="12">
        <v>0</v>
      </c>
      <c r="BF546" s="12">
        <v>0</v>
      </c>
      <c r="BI546" s="12">
        <v>0</v>
      </c>
      <c r="BJ546" s="12">
        <v>0</v>
      </c>
    </row>
    <row r="547" spans="1:62" x14ac:dyDescent="0.15">
      <c r="A547" s="19" t="s">
        <v>6740</v>
      </c>
      <c r="C547" t="s">
        <v>6741</v>
      </c>
      <c r="D547" s="8" t="s">
        <v>6681</v>
      </c>
      <c r="E547" s="9" t="s">
        <v>6682</v>
      </c>
      <c r="L547" s="10">
        <v>3603570</v>
      </c>
      <c r="M547" s="10">
        <v>733924</v>
      </c>
      <c r="N547" s="11">
        <v>15</v>
      </c>
      <c r="O547" s="11" t="s">
        <v>7964</v>
      </c>
      <c r="P547" s="7" t="s">
        <v>6683</v>
      </c>
      <c r="Q547" s="9" t="s">
        <v>7217</v>
      </c>
      <c r="S547" s="9" t="s">
        <v>6681</v>
      </c>
      <c r="T547" s="9" t="s">
        <v>4891</v>
      </c>
      <c r="U547" s="12" t="s">
        <v>5017</v>
      </c>
      <c r="V547" s="12" t="s">
        <v>5018</v>
      </c>
      <c r="W547" s="12">
        <v>0</v>
      </c>
      <c r="X547" s="12">
        <v>0</v>
      </c>
      <c r="Y547" s="12">
        <v>0</v>
      </c>
      <c r="Z547" s="11">
        <v>0</v>
      </c>
      <c r="AA547" s="11">
        <v>0</v>
      </c>
      <c r="AB547" s="11">
        <v>0</v>
      </c>
      <c r="AC547" s="11">
        <v>1</v>
      </c>
      <c r="AD547" s="11">
        <v>1</v>
      </c>
      <c r="AE547" s="11">
        <v>0</v>
      </c>
      <c r="AF547" s="11">
        <v>0</v>
      </c>
      <c r="AG547" s="11">
        <v>0</v>
      </c>
      <c r="AH547" s="9">
        <v>0</v>
      </c>
      <c r="AI547" s="11">
        <v>0</v>
      </c>
      <c r="AJ547" s="11">
        <v>0</v>
      </c>
      <c r="AK547" s="11">
        <v>0</v>
      </c>
      <c r="AL547" s="11">
        <v>0</v>
      </c>
      <c r="AN547" s="11">
        <v>0</v>
      </c>
      <c r="AO547" s="11">
        <v>0</v>
      </c>
      <c r="AP547" s="11">
        <v>0</v>
      </c>
      <c r="AQ547" s="11">
        <v>0</v>
      </c>
      <c r="AR547" s="11">
        <v>0</v>
      </c>
      <c r="AS547" s="11">
        <v>0</v>
      </c>
      <c r="AT547" s="11">
        <v>0</v>
      </c>
      <c r="AU547" s="11">
        <v>0</v>
      </c>
      <c r="AV547" s="11">
        <v>0</v>
      </c>
      <c r="AW547" s="11">
        <v>0</v>
      </c>
      <c r="AX547" s="11">
        <v>0</v>
      </c>
      <c r="AY547" s="11">
        <v>0</v>
      </c>
      <c r="BA547" s="12" t="s">
        <v>6684</v>
      </c>
      <c r="BB547" s="12">
        <v>0</v>
      </c>
      <c r="BC547" s="12">
        <v>0</v>
      </c>
      <c r="BD547" s="12">
        <v>0</v>
      </c>
      <c r="BE547" s="12">
        <v>0</v>
      </c>
      <c r="BF547" s="12">
        <v>0</v>
      </c>
      <c r="BI547" s="12">
        <v>0</v>
      </c>
      <c r="BJ547" s="12">
        <v>0</v>
      </c>
    </row>
    <row r="548" spans="1:62" x14ac:dyDescent="0.15">
      <c r="A548" s="19" t="s">
        <v>6742</v>
      </c>
      <c r="C548" t="s">
        <v>6743</v>
      </c>
      <c r="D548" s="8" t="s">
        <v>6681</v>
      </c>
      <c r="E548" s="9" t="s">
        <v>6682</v>
      </c>
      <c r="L548" s="10">
        <v>3712950</v>
      </c>
      <c r="M548" s="10">
        <v>924627</v>
      </c>
      <c r="N548" s="11">
        <v>15</v>
      </c>
      <c r="O548" s="11" t="s">
        <v>7964</v>
      </c>
      <c r="P548" s="7" t="s">
        <v>6683</v>
      </c>
      <c r="Q548" s="9" t="s">
        <v>7217</v>
      </c>
      <c r="S548" s="9" t="s">
        <v>6681</v>
      </c>
      <c r="T548" s="9" t="s">
        <v>4891</v>
      </c>
      <c r="U548" s="12" t="s">
        <v>5017</v>
      </c>
      <c r="V548" s="12" t="s">
        <v>5018</v>
      </c>
      <c r="W548" s="12">
        <v>0</v>
      </c>
      <c r="X548" s="12">
        <v>0</v>
      </c>
      <c r="Y548" s="12">
        <v>0</v>
      </c>
      <c r="Z548" s="11">
        <v>0</v>
      </c>
      <c r="AA548" s="11">
        <v>0</v>
      </c>
      <c r="AB548" s="11">
        <v>0</v>
      </c>
      <c r="AC548" s="11">
        <v>1</v>
      </c>
      <c r="AD548" s="11">
        <v>1</v>
      </c>
      <c r="AE548" s="11">
        <v>0</v>
      </c>
      <c r="AF548" s="11">
        <v>0</v>
      </c>
      <c r="AG548" s="11">
        <v>0</v>
      </c>
      <c r="AH548" s="9">
        <v>0</v>
      </c>
      <c r="AI548" s="11">
        <v>0</v>
      </c>
      <c r="AJ548" s="11">
        <v>0</v>
      </c>
      <c r="AK548" s="11">
        <v>0</v>
      </c>
      <c r="AL548" s="11">
        <v>1</v>
      </c>
      <c r="AN548" s="11">
        <v>0</v>
      </c>
      <c r="AO548" s="11">
        <v>0</v>
      </c>
      <c r="AP548" s="11">
        <v>0</v>
      </c>
      <c r="AQ548" s="11">
        <v>1</v>
      </c>
      <c r="AR548" s="11">
        <v>0</v>
      </c>
      <c r="AS548" s="11">
        <v>0</v>
      </c>
      <c r="AT548" s="11">
        <v>0</v>
      </c>
      <c r="AU548" s="11">
        <v>0</v>
      </c>
      <c r="AV548" s="11">
        <v>0</v>
      </c>
      <c r="AW548" s="11">
        <v>0</v>
      </c>
      <c r="AX548" s="11">
        <v>0</v>
      </c>
      <c r="AY548" s="11">
        <v>0</v>
      </c>
      <c r="BA548" s="12" t="s">
        <v>6684</v>
      </c>
      <c r="BB548" s="12">
        <v>0</v>
      </c>
      <c r="BC548" s="12">
        <v>0</v>
      </c>
      <c r="BD548" s="12">
        <v>0</v>
      </c>
      <c r="BE548" s="12">
        <v>0</v>
      </c>
      <c r="BF548" s="12">
        <v>0</v>
      </c>
      <c r="BI548" s="12">
        <v>0</v>
      </c>
      <c r="BJ548" s="12">
        <v>0</v>
      </c>
    </row>
    <row r="549" spans="1:62" x14ac:dyDescent="0.15">
      <c r="A549" s="19" t="s">
        <v>6744</v>
      </c>
      <c r="C549" t="s">
        <v>6745</v>
      </c>
      <c r="D549" s="8" t="s">
        <v>6681</v>
      </c>
      <c r="E549" s="9" t="s">
        <v>6682</v>
      </c>
      <c r="L549" s="10">
        <v>3635350</v>
      </c>
      <c r="M549" s="10">
        <v>782428</v>
      </c>
      <c r="N549" s="11">
        <v>15</v>
      </c>
      <c r="O549" s="11" t="s">
        <v>7964</v>
      </c>
      <c r="P549" s="7" t="s">
        <v>6683</v>
      </c>
      <c r="Q549" s="9" t="s">
        <v>7217</v>
      </c>
      <c r="S549" s="9" t="s">
        <v>6681</v>
      </c>
      <c r="T549" s="9" t="s">
        <v>4891</v>
      </c>
      <c r="U549" s="12" t="s">
        <v>5017</v>
      </c>
      <c r="V549" s="12" t="s">
        <v>5018</v>
      </c>
      <c r="W549" s="12">
        <v>0</v>
      </c>
      <c r="X549" s="12">
        <v>0</v>
      </c>
      <c r="Y549" s="12">
        <v>0</v>
      </c>
      <c r="Z549" s="11">
        <v>0</v>
      </c>
      <c r="AA549" s="11">
        <v>0</v>
      </c>
      <c r="AB549" s="11">
        <v>0</v>
      </c>
      <c r="AC549" s="11">
        <v>1</v>
      </c>
      <c r="AD549" s="11">
        <v>1</v>
      </c>
      <c r="AE549" s="11">
        <v>0</v>
      </c>
      <c r="AF549" s="11">
        <v>0</v>
      </c>
      <c r="AG549" s="11">
        <v>0</v>
      </c>
      <c r="AH549" s="9">
        <v>2</v>
      </c>
      <c r="AI549" s="11">
        <v>2</v>
      </c>
      <c r="AJ549" s="11">
        <v>1</v>
      </c>
      <c r="AK549" s="11">
        <v>1</v>
      </c>
      <c r="AL549" s="11">
        <v>0</v>
      </c>
      <c r="AN549" s="11">
        <v>0</v>
      </c>
      <c r="AO549" s="11">
        <v>0</v>
      </c>
      <c r="AP549" s="11">
        <v>0</v>
      </c>
      <c r="AQ549" s="11">
        <v>0</v>
      </c>
      <c r="AR549" s="11">
        <v>1</v>
      </c>
      <c r="AS549" s="11">
        <v>0</v>
      </c>
      <c r="AT549" s="11">
        <v>0</v>
      </c>
      <c r="AU549" s="11">
        <v>0</v>
      </c>
      <c r="AV549" s="11">
        <v>0</v>
      </c>
      <c r="AW549" s="11">
        <v>0</v>
      </c>
      <c r="AX549" s="11">
        <v>0</v>
      </c>
      <c r="AY549" s="11">
        <v>0</v>
      </c>
      <c r="BA549" s="12" t="s">
        <v>6684</v>
      </c>
      <c r="BB549" s="12">
        <v>0</v>
      </c>
      <c r="BC549" s="12">
        <v>0</v>
      </c>
      <c r="BD549" s="12">
        <v>0</v>
      </c>
      <c r="BE549" s="12">
        <v>0</v>
      </c>
      <c r="BF549" s="12">
        <v>0</v>
      </c>
      <c r="BI549" s="12">
        <v>0</v>
      </c>
      <c r="BJ549" s="12">
        <v>0</v>
      </c>
    </row>
    <row r="550" spans="1:62" x14ac:dyDescent="0.15">
      <c r="A550" s="19" t="s">
        <v>6746</v>
      </c>
      <c r="C550" t="s">
        <v>6747</v>
      </c>
      <c r="D550" s="8" t="s">
        <v>6681</v>
      </c>
      <c r="E550" s="9" t="s">
        <v>6682</v>
      </c>
      <c r="L550" s="10">
        <v>3608000</v>
      </c>
      <c r="M550" s="10">
        <v>743694</v>
      </c>
      <c r="N550" s="11">
        <v>15</v>
      </c>
      <c r="O550" s="11" t="s">
        <v>7964</v>
      </c>
      <c r="P550" s="7" t="s">
        <v>6683</v>
      </c>
      <c r="Q550" s="9" t="s">
        <v>7217</v>
      </c>
      <c r="S550" s="9" t="s">
        <v>6681</v>
      </c>
      <c r="T550" s="9" t="s">
        <v>8372</v>
      </c>
      <c r="U550" s="12" t="s">
        <v>5017</v>
      </c>
      <c r="V550" s="12" t="s">
        <v>5019</v>
      </c>
      <c r="W550" s="12">
        <v>0</v>
      </c>
      <c r="X550" s="12">
        <v>0</v>
      </c>
      <c r="Y550" s="12">
        <v>0</v>
      </c>
      <c r="Z550" s="11">
        <v>0</v>
      </c>
      <c r="AA550" s="11">
        <v>0</v>
      </c>
      <c r="AB550" s="11">
        <v>0</v>
      </c>
      <c r="AC550" s="11">
        <v>1</v>
      </c>
      <c r="AD550" s="11">
        <v>1</v>
      </c>
      <c r="AE550" s="11">
        <v>1</v>
      </c>
      <c r="AF550" s="11">
        <v>0</v>
      </c>
      <c r="AG550" s="11">
        <v>0</v>
      </c>
      <c r="AH550" s="9">
        <v>3</v>
      </c>
      <c r="AI550" s="11">
        <v>3</v>
      </c>
      <c r="AJ550" s="11">
        <v>1</v>
      </c>
      <c r="AK550" s="11">
        <v>1</v>
      </c>
      <c r="AL550" s="11">
        <v>0</v>
      </c>
      <c r="AN550" s="11">
        <v>0</v>
      </c>
      <c r="AO550" s="11">
        <v>0</v>
      </c>
      <c r="AP550" s="11">
        <v>0</v>
      </c>
      <c r="AQ550" s="11">
        <v>0</v>
      </c>
      <c r="AR550" s="11">
        <v>1</v>
      </c>
      <c r="AS550" s="11">
        <v>0</v>
      </c>
      <c r="AT550" s="11">
        <v>0</v>
      </c>
      <c r="AU550" s="11">
        <v>0</v>
      </c>
      <c r="AV550" s="11">
        <v>0</v>
      </c>
      <c r="AW550" s="11">
        <v>0</v>
      </c>
      <c r="AX550" s="11">
        <v>0</v>
      </c>
      <c r="AY550" s="11">
        <v>0</v>
      </c>
      <c r="BA550" s="12" t="s">
        <v>6684</v>
      </c>
      <c r="BB550" s="12">
        <v>0</v>
      </c>
      <c r="BC550" s="12">
        <v>0</v>
      </c>
      <c r="BD550" s="12">
        <v>0</v>
      </c>
      <c r="BE550" s="12">
        <v>0</v>
      </c>
      <c r="BF550" s="12">
        <v>0</v>
      </c>
      <c r="BI550" s="12">
        <v>0</v>
      </c>
      <c r="BJ550" s="12">
        <v>0</v>
      </c>
    </row>
    <row r="551" spans="1:62" x14ac:dyDescent="0.15">
      <c r="A551" s="19" t="s">
        <v>6748</v>
      </c>
      <c r="C551" t="s">
        <v>6749</v>
      </c>
      <c r="D551" s="8" t="s">
        <v>6681</v>
      </c>
      <c r="E551" s="9" t="s">
        <v>6682</v>
      </c>
      <c r="L551" s="10">
        <v>3708970</v>
      </c>
      <c r="M551" s="10">
        <v>887723</v>
      </c>
      <c r="N551" s="11">
        <v>15</v>
      </c>
      <c r="O551" s="11" t="s">
        <v>7964</v>
      </c>
      <c r="P551" s="7" t="s">
        <v>6683</v>
      </c>
      <c r="Q551" s="9" t="s">
        <v>7217</v>
      </c>
      <c r="S551" s="9" t="s">
        <v>6681</v>
      </c>
      <c r="T551" s="9" t="s">
        <v>4780</v>
      </c>
      <c r="U551" s="12" t="s">
        <v>5016</v>
      </c>
      <c r="V551" s="12" t="s">
        <v>5019</v>
      </c>
      <c r="W551" s="12">
        <v>0</v>
      </c>
      <c r="X551" s="12">
        <v>0</v>
      </c>
      <c r="Y551" s="12">
        <v>0</v>
      </c>
      <c r="Z551" s="11">
        <v>0</v>
      </c>
      <c r="AA551" s="11">
        <v>0</v>
      </c>
      <c r="AB551" s="11">
        <v>1</v>
      </c>
      <c r="AC551" s="11">
        <v>1</v>
      </c>
      <c r="AD551" s="11">
        <v>1</v>
      </c>
      <c r="AE551" s="11">
        <v>1</v>
      </c>
      <c r="AF551" s="11">
        <v>0</v>
      </c>
      <c r="AG551" s="11">
        <v>0</v>
      </c>
      <c r="AH551" s="9">
        <v>0</v>
      </c>
      <c r="AI551" s="11">
        <v>0</v>
      </c>
      <c r="AJ551" s="11">
        <v>0</v>
      </c>
      <c r="AK551" s="11">
        <v>0</v>
      </c>
      <c r="AL551" s="11">
        <v>0</v>
      </c>
      <c r="AN551" s="11">
        <v>0</v>
      </c>
      <c r="AO551" s="11">
        <v>0</v>
      </c>
      <c r="AP551" s="11">
        <v>0</v>
      </c>
      <c r="AQ551" s="11">
        <v>0</v>
      </c>
      <c r="AR551" s="11">
        <v>0</v>
      </c>
      <c r="AS551" s="11">
        <v>0</v>
      </c>
      <c r="AT551" s="11">
        <v>0</v>
      </c>
      <c r="AU551" s="11">
        <v>0</v>
      </c>
      <c r="AV551" s="11">
        <v>0</v>
      </c>
      <c r="AW551" s="11">
        <v>0</v>
      </c>
      <c r="AX551" s="11">
        <v>0</v>
      </c>
      <c r="AY551" s="11">
        <v>0</v>
      </c>
      <c r="BA551" s="12" t="s">
        <v>6684</v>
      </c>
      <c r="BB551" s="12">
        <v>0</v>
      </c>
      <c r="BC551" s="12">
        <v>0</v>
      </c>
      <c r="BD551" s="12">
        <v>0</v>
      </c>
      <c r="BE551" s="12">
        <v>0</v>
      </c>
      <c r="BF551" s="12">
        <v>0</v>
      </c>
      <c r="BI551" s="12">
        <v>0</v>
      </c>
      <c r="BJ551" s="12">
        <v>0</v>
      </c>
    </row>
    <row r="552" spans="1:62" x14ac:dyDescent="0.15">
      <c r="A552" s="19" t="s">
        <v>6750</v>
      </c>
      <c r="C552" t="s">
        <v>6751</v>
      </c>
      <c r="D552" s="8" t="s">
        <v>6681</v>
      </c>
      <c r="E552" s="9" t="s">
        <v>6682</v>
      </c>
      <c r="L552" s="10">
        <v>3612320</v>
      </c>
      <c r="M552" s="10">
        <v>759508</v>
      </c>
      <c r="N552" s="11">
        <v>15</v>
      </c>
      <c r="O552" s="11" t="s">
        <v>7964</v>
      </c>
      <c r="P552" s="7" t="s">
        <v>6683</v>
      </c>
      <c r="Q552" s="9" t="s">
        <v>7217</v>
      </c>
      <c r="S552" s="9" t="s">
        <v>6681</v>
      </c>
      <c r="T552" s="9" t="s">
        <v>4780</v>
      </c>
      <c r="U552" s="12" t="s">
        <v>5016</v>
      </c>
      <c r="V552" s="12" t="s">
        <v>5019</v>
      </c>
      <c r="W552" s="12">
        <v>0</v>
      </c>
      <c r="X552" s="12">
        <v>0</v>
      </c>
      <c r="Y552" s="12">
        <v>0</v>
      </c>
      <c r="Z552" s="11">
        <v>0</v>
      </c>
      <c r="AA552" s="11">
        <v>0</v>
      </c>
      <c r="AB552" s="11">
        <v>1</v>
      </c>
      <c r="AC552" s="11">
        <v>1</v>
      </c>
      <c r="AD552" s="11">
        <v>1</v>
      </c>
      <c r="AE552" s="11">
        <v>1</v>
      </c>
      <c r="AF552" s="11">
        <v>0</v>
      </c>
      <c r="AG552" s="11">
        <v>0</v>
      </c>
      <c r="AH552" s="9">
        <v>1</v>
      </c>
      <c r="AI552" s="11">
        <v>1</v>
      </c>
      <c r="AJ552" s="11">
        <v>1</v>
      </c>
      <c r="AK552" s="11">
        <v>0</v>
      </c>
      <c r="AL552" s="11">
        <v>0</v>
      </c>
      <c r="AN552" s="11">
        <v>0</v>
      </c>
      <c r="AO552" s="11">
        <v>0</v>
      </c>
      <c r="AP552" s="11">
        <v>0</v>
      </c>
      <c r="AQ552" s="11">
        <v>0</v>
      </c>
      <c r="AR552" s="11">
        <v>1</v>
      </c>
      <c r="AS552" s="11">
        <v>0</v>
      </c>
      <c r="AT552" s="11">
        <v>0</v>
      </c>
      <c r="AU552" s="11">
        <v>0</v>
      </c>
      <c r="AV552" s="11">
        <v>0</v>
      </c>
      <c r="AW552" s="11">
        <v>0</v>
      </c>
      <c r="AX552" s="11">
        <v>0</v>
      </c>
      <c r="AY552" s="11">
        <v>0</v>
      </c>
      <c r="BA552" s="12" t="s">
        <v>6684</v>
      </c>
      <c r="BB552" s="12">
        <v>0</v>
      </c>
      <c r="BC552" s="12">
        <v>0</v>
      </c>
      <c r="BD552" s="12">
        <v>0</v>
      </c>
      <c r="BE552" s="12">
        <v>0</v>
      </c>
      <c r="BF552" s="12">
        <v>0</v>
      </c>
      <c r="BI552" s="12">
        <v>0</v>
      </c>
      <c r="BJ552" s="12">
        <v>0</v>
      </c>
    </row>
    <row r="553" spans="1:62" x14ac:dyDescent="0.15">
      <c r="A553" s="19" t="s">
        <v>6752</v>
      </c>
      <c r="C553" t="s">
        <v>6753</v>
      </c>
      <c r="D553" s="8" t="s">
        <v>6681</v>
      </c>
      <c r="E553" s="9" t="s">
        <v>6682</v>
      </c>
      <c r="L553" s="10">
        <v>3629530</v>
      </c>
      <c r="M553" s="10">
        <v>774209</v>
      </c>
      <c r="N553" s="11">
        <v>15</v>
      </c>
      <c r="O553" s="11" t="s">
        <v>7964</v>
      </c>
      <c r="P553" s="7" t="s">
        <v>6683</v>
      </c>
      <c r="Q553" s="9" t="s">
        <v>7217</v>
      </c>
      <c r="S553" s="9" t="s">
        <v>6681</v>
      </c>
      <c r="T553" s="9" t="s">
        <v>4780</v>
      </c>
      <c r="U553" s="12" t="s">
        <v>5016</v>
      </c>
      <c r="V553" s="12" t="s">
        <v>5019</v>
      </c>
      <c r="W553" s="12">
        <v>0</v>
      </c>
      <c r="X553" s="12">
        <v>0</v>
      </c>
      <c r="Y553" s="12">
        <v>0</v>
      </c>
      <c r="Z553" s="11">
        <v>0</v>
      </c>
      <c r="AA553" s="11">
        <v>0</v>
      </c>
      <c r="AB553" s="11">
        <v>1</v>
      </c>
      <c r="AC553" s="11">
        <v>1</v>
      </c>
      <c r="AD553" s="11">
        <v>1</v>
      </c>
      <c r="AE553" s="11">
        <v>1</v>
      </c>
      <c r="AF553" s="11">
        <v>0</v>
      </c>
      <c r="AG553" s="11">
        <v>0</v>
      </c>
      <c r="AH553" s="9">
        <v>0</v>
      </c>
      <c r="AI553" s="11">
        <v>0</v>
      </c>
      <c r="AJ553" s="11">
        <v>0</v>
      </c>
      <c r="AK553" s="11">
        <v>0</v>
      </c>
      <c r="AL553" s="11">
        <v>0</v>
      </c>
      <c r="AN553" s="11">
        <v>0</v>
      </c>
      <c r="AO553" s="11">
        <v>0</v>
      </c>
      <c r="AP553" s="11">
        <v>0</v>
      </c>
      <c r="AQ553" s="11">
        <v>0</v>
      </c>
      <c r="AR553" s="11">
        <v>0</v>
      </c>
      <c r="AS553" s="11">
        <v>0</v>
      </c>
      <c r="AT553" s="11">
        <v>0</v>
      </c>
      <c r="AU553" s="11">
        <v>0</v>
      </c>
      <c r="AV553" s="11">
        <v>0</v>
      </c>
      <c r="AW553" s="11">
        <v>0</v>
      </c>
      <c r="AX553" s="11">
        <v>0</v>
      </c>
      <c r="AY553" s="11">
        <v>0</v>
      </c>
      <c r="BA553" s="12" t="s">
        <v>6684</v>
      </c>
      <c r="BB553" s="12">
        <v>0</v>
      </c>
      <c r="BC553" s="12">
        <v>0</v>
      </c>
      <c r="BD553" s="12">
        <v>0</v>
      </c>
      <c r="BE553" s="12">
        <v>0</v>
      </c>
      <c r="BF553" s="12">
        <v>0</v>
      </c>
      <c r="BI553" s="12">
        <v>0</v>
      </c>
      <c r="BJ553" s="12">
        <v>0</v>
      </c>
    </row>
    <row r="554" spans="1:62" x14ac:dyDescent="0.15">
      <c r="A554" s="19" t="s">
        <v>6754</v>
      </c>
      <c r="C554" t="s">
        <v>6755</v>
      </c>
      <c r="D554" s="8" t="s">
        <v>6681</v>
      </c>
      <c r="E554" s="9" t="s">
        <v>6682</v>
      </c>
      <c r="L554" s="10">
        <v>3671690</v>
      </c>
      <c r="M554" s="10">
        <v>764066</v>
      </c>
      <c r="N554" s="11">
        <v>15</v>
      </c>
      <c r="O554" s="11" t="s">
        <v>7964</v>
      </c>
      <c r="P554" s="7" t="s">
        <v>6683</v>
      </c>
      <c r="Q554" s="9" t="s">
        <v>7217</v>
      </c>
      <c r="S554" s="9" t="s">
        <v>6681</v>
      </c>
      <c r="T554" s="9" t="s">
        <v>4780</v>
      </c>
      <c r="U554" s="12" t="s">
        <v>5016</v>
      </c>
      <c r="V554" s="12" t="s">
        <v>5019</v>
      </c>
      <c r="W554" s="12">
        <v>0</v>
      </c>
      <c r="X554" s="12">
        <v>0</v>
      </c>
      <c r="Y554" s="12">
        <v>0</v>
      </c>
      <c r="Z554" s="11">
        <v>0</v>
      </c>
      <c r="AA554" s="11">
        <v>0</v>
      </c>
      <c r="AB554" s="11">
        <v>1</v>
      </c>
      <c r="AC554" s="11">
        <v>1</v>
      </c>
      <c r="AD554" s="11">
        <v>1</v>
      </c>
      <c r="AE554" s="11">
        <v>1</v>
      </c>
      <c r="AF554" s="11">
        <v>0</v>
      </c>
      <c r="AG554" s="11">
        <v>0</v>
      </c>
      <c r="AH554" s="9">
        <v>3</v>
      </c>
      <c r="AI554" s="11">
        <v>3</v>
      </c>
      <c r="AJ554" s="11">
        <v>1</v>
      </c>
      <c r="AK554" s="11">
        <v>1</v>
      </c>
      <c r="AL554" s="11">
        <v>0</v>
      </c>
      <c r="AN554" s="11">
        <v>0</v>
      </c>
      <c r="AO554" s="11">
        <v>0</v>
      </c>
      <c r="AP554" s="11">
        <v>0</v>
      </c>
      <c r="AQ554" s="11">
        <v>0</v>
      </c>
      <c r="AR554" s="11">
        <v>1</v>
      </c>
      <c r="AS554" s="11">
        <v>0</v>
      </c>
      <c r="AT554" s="11">
        <v>0</v>
      </c>
      <c r="AU554" s="11">
        <v>0</v>
      </c>
      <c r="AV554" s="11">
        <v>0</v>
      </c>
      <c r="AW554" s="11">
        <v>0</v>
      </c>
      <c r="AX554" s="11">
        <v>0</v>
      </c>
      <c r="AY554" s="11">
        <v>0</v>
      </c>
      <c r="BA554" s="12" t="s">
        <v>6684</v>
      </c>
      <c r="BB554" s="12">
        <v>0</v>
      </c>
      <c r="BC554" s="12">
        <v>0</v>
      </c>
      <c r="BD554" s="12">
        <v>0</v>
      </c>
      <c r="BE554" s="12">
        <v>0</v>
      </c>
      <c r="BF554" s="12">
        <v>0</v>
      </c>
      <c r="BI554" s="12">
        <v>0</v>
      </c>
      <c r="BJ554" s="12">
        <v>0</v>
      </c>
    </row>
    <row r="555" spans="1:62" x14ac:dyDescent="0.15">
      <c r="A555" s="19" t="s">
        <v>6756</v>
      </c>
      <c r="C555" t="s">
        <v>6757</v>
      </c>
      <c r="D555" s="8" t="s">
        <v>6681</v>
      </c>
      <c r="E555" s="9" t="s">
        <v>6682</v>
      </c>
      <c r="L555" s="10">
        <v>3606440</v>
      </c>
      <c r="M555" s="10">
        <v>739890</v>
      </c>
      <c r="N555" s="11">
        <v>15</v>
      </c>
      <c r="O555" s="11" t="s">
        <v>7964</v>
      </c>
      <c r="P555" s="7" t="s">
        <v>6683</v>
      </c>
      <c r="Q555" s="9" t="s">
        <v>7217</v>
      </c>
      <c r="S555" s="9" t="s">
        <v>6681</v>
      </c>
      <c r="T555" s="9" t="s">
        <v>4780</v>
      </c>
      <c r="U555" s="12" t="s">
        <v>5016</v>
      </c>
      <c r="V555" s="12" t="s">
        <v>5019</v>
      </c>
      <c r="W555" s="12">
        <v>0</v>
      </c>
      <c r="X555" s="12">
        <v>0</v>
      </c>
      <c r="Y555" s="12">
        <v>0</v>
      </c>
      <c r="Z555" s="11">
        <v>0</v>
      </c>
      <c r="AA555" s="11">
        <v>0</v>
      </c>
      <c r="AB555" s="11">
        <v>1</v>
      </c>
      <c r="AC555" s="11">
        <v>1</v>
      </c>
      <c r="AD555" s="11">
        <v>1</v>
      </c>
      <c r="AE555" s="11">
        <v>1</v>
      </c>
      <c r="AF555" s="11">
        <v>0</v>
      </c>
      <c r="AG555" s="11">
        <v>0</v>
      </c>
      <c r="AH555" s="9">
        <v>0</v>
      </c>
      <c r="AI555" s="11">
        <v>0</v>
      </c>
      <c r="AJ555" s="11">
        <v>0</v>
      </c>
      <c r="AK555" s="11">
        <v>0</v>
      </c>
      <c r="AL555" s="11">
        <v>0</v>
      </c>
      <c r="AN555" s="11">
        <v>0</v>
      </c>
      <c r="AO555" s="11">
        <v>0</v>
      </c>
      <c r="AP555" s="11">
        <v>0</v>
      </c>
      <c r="AQ555" s="11">
        <v>0</v>
      </c>
      <c r="AR555" s="11">
        <v>0</v>
      </c>
      <c r="AS555" s="11">
        <v>0</v>
      </c>
      <c r="AT555" s="11">
        <v>0</v>
      </c>
      <c r="AU555" s="11">
        <v>0</v>
      </c>
      <c r="AV555" s="11">
        <v>0</v>
      </c>
      <c r="AW555" s="11">
        <v>0</v>
      </c>
      <c r="AX555" s="11">
        <v>0</v>
      </c>
      <c r="AY555" s="11">
        <v>0</v>
      </c>
      <c r="BA555" s="12" t="s">
        <v>6684</v>
      </c>
      <c r="BB555" s="12">
        <v>0</v>
      </c>
      <c r="BC555" s="12">
        <v>0</v>
      </c>
      <c r="BD555" s="12">
        <v>0</v>
      </c>
      <c r="BE555" s="12">
        <v>0</v>
      </c>
      <c r="BF555" s="12">
        <v>0</v>
      </c>
      <c r="BI555" s="12">
        <v>0</v>
      </c>
      <c r="BJ555" s="12">
        <v>0</v>
      </c>
    </row>
    <row r="556" spans="1:62" x14ac:dyDescent="0.15">
      <c r="A556" s="19" t="s">
        <v>6758</v>
      </c>
      <c r="C556" t="s">
        <v>6759</v>
      </c>
      <c r="D556" s="8" t="s">
        <v>6681</v>
      </c>
      <c r="E556" s="9" t="s">
        <v>6682</v>
      </c>
      <c r="L556" s="10">
        <v>3654110</v>
      </c>
      <c r="M556" s="10">
        <v>792935</v>
      </c>
      <c r="N556" s="11">
        <v>15</v>
      </c>
      <c r="O556" s="11" t="s">
        <v>7964</v>
      </c>
      <c r="P556" s="7" t="s">
        <v>6683</v>
      </c>
      <c r="Q556" s="9" t="s">
        <v>7217</v>
      </c>
      <c r="S556" s="9" t="s">
        <v>6681</v>
      </c>
      <c r="T556" s="9" t="s">
        <v>4887</v>
      </c>
      <c r="U556" s="12" t="s">
        <v>5016</v>
      </c>
      <c r="V556" s="12" t="s">
        <v>5018</v>
      </c>
      <c r="W556" s="12">
        <v>0</v>
      </c>
      <c r="X556" s="12">
        <v>0</v>
      </c>
      <c r="Y556" s="12">
        <v>0</v>
      </c>
      <c r="Z556" s="11">
        <v>0</v>
      </c>
      <c r="AA556" s="11">
        <v>0</v>
      </c>
      <c r="AB556" s="11">
        <v>1</v>
      </c>
      <c r="AC556" s="11">
        <v>1</v>
      </c>
      <c r="AD556" s="11">
        <v>1</v>
      </c>
      <c r="AE556" s="11">
        <v>0</v>
      </c>
      <c r="AF556" s="11">
        <v>0</v>
      </c>
      <c r="AG556" s="11">
        <v>0</v>
      </c>
      <c r="AH556" s="9">
        <v>0</v>
      </c>
      <c r="AI556" s="11">
        <v>0</v>
      </c>
      <c r="AJ556" s="11">
        <v>0</v>
      </c>
      <c r="AK556" s="11">
        <v>0</v>
      </c>
      <c r="AL556" s="11">
        <v>0</v>
      </c>
      <c r="AN556" s="11">
        <v>0</v>
      </c>
      <c r="AO556" s="11">
        <v>0</v>
      </c>
      <c r="AP556" s="11">
        <v>0</v>
      </c>
      <c r="AQ556" s="11">
        <v>0</v>
      </c>
      <c r="AR556" s="11">
        <v>1</v>
      </c>
      <c r="AS556" s="11">
        <v>0</v>
      </c>
      <c r="AT556" s="11">
        <v>0</v>
      </c>
      <c r="AU556" s="11">
        <v>0</v>
      </c>
      <c r="AV556" s="11">
        <v>0</v>
      </c>
      <c r="AW556" s="11">
        <v>0</v>
      </c>
      <c r="AX556" s="11">
        <v>0</v>
      </c>
      <c r="AY556" s="11">
        <v>0</v>
      </c>
      <c r="BA556" s="12" t="s">
        <v>6684</v>
      </c>
      <c r="BB556" s="12">
        <v>0</v>
      </c>
      <c r="BC556" s="12">
        <v>0</v>
      </c>
      <c r="BD556" s="12">
        <v>0</v>
      </c>
      <c r="BE556" s="12">
        <v>0</v>
      </c>
      <c r="BF556" s="12">
        <v>0</v>
      </c>
      <c r="BI556" s="12">
        <v>0</v>
      </c>
      <c r="BJ556" s="12">
        <v>0</v>
      </c>
    </row>
    <row r="557" spans="1:62" x14ac:dyDescent="0.15">
      <c r="A557" s="19" t="s">
        <v>6760</v>
      </c>
      <c r="C557" t="s">
        <v>6761</v>
      </c>
      <c r="D557" s="8" t="s">
        <v>6681</v>
      </c>
      <c r="E557" s="9" t="s">
        <v>6682</v>
      </c>
      <c r="L557" s="10">
        <v>3631600</v>
      </c>
      <c r="M557" s="10">
        <v>779848</v>
      </c>
      <c r="N557" s="11">
        <v>15</v>
      </c>
      <c r="O557" s="11" t="s">
        <v>7964</v>
      </c>
      <c r="P557" s="7" t="s">
        <v>6683</v>
      </c>
      <c r="Q557" s="9" t="s">
        <v>7217</v>
      </c>
      <c r="S557" s="9" t="s">
        <v>6681</v>
      </c>
      <c r="T557" s="9" t="s">
        <v>4887</v>
      </c>
      <c r="U557" s="12" t="s">
        <v>5016</v>
      </c>
      <c r="V557" s="12" t="s">
        <v>5018</v>
      </c>
      <c r="W557" s="12">
        <v>0</v>
      </c>
      <c r="X557" s="12">
        <v>0</v>
      </c>
      <c r="Y557" s="12">
        <v>0</v>
      </c>
      <c r="Z557" s="11">
        <v>0</v>
      </c>
      <c r="AA557" s="11">
        <v>0</v>
      </c>
      <c r="AB557" s="11">
        <v>1</v>
      </c>
      <c r="AC557" s="11">
        <v>1</v>
      </c>
      <c r="AD557" s="11">
        <v>1</v>
      </c>
      <c r="AE557" s="11">
        <v>0</v>
      </c>
      <c r="AF557" s="11">
        <v>0</v>
      </c>
      <c r="AG557" s="11">
        <v>0</v>
      </c>
      <c r="AH557" s="9">
        <v>0</v>
      </c>
      <c r="AI557" s="11">
        <v>0</v>
      </c>
      <c r="AJ557" s="11">
        <v>0</v>
      </c>
      <c r="AK557" s="11">
        <v>0</v>
      </c>
      <c r="AL557" s="11">
        <v>0</v>
      </c>
      <c r="AN557" s="11">
        <v>0</v>
      </c>
      <c r="AO557" s="11">
        <v>0</v>
      </c>
      <c r="AP557" s="11">
        <v>0</v>
      </c>
      <c r="AQ557" s="11">
        <v>0</v>
      </c>
      <c r="AR557" s="11">
        <v>0</v>
      </c>
      <c r="AS557" s="11">
        <v>0</v>
      </c>
      <c r="AT557" s="11">
        <v>0</v>
      </c>
      <c r="AU557" s="11">
        <v>0</v>
      </c>
      <c r="AV557" s="11">
        <v>0</v>
      </c>
      <c r="AW557" s="11">
        <v>0</v>
      </c>
      <c r="AX557" s="11">
        <v>0</v>
      </c>
      <c r="AY557" s="11">
        <v>0</v>
      </c>
      <c r="BA557" s="12" t="s">
        <v>6684</v>
      </c>
      <c r="BB557" s="12">
        <v>0</v>
      </c>
      <c r="BC557" s="12">
        <v>0</v>
      </c>
      <c r="BD557" s="12">
        <v>0</v>
      </c>
      <c r="BE557" s="12">
        <v>0</v>
      </c>
      <c r="BF557" s="12">
        <v>0</v>
      </c>
      <c r="BI557" s="12">
        <v>0</v>
      </c>
      <c r="BJ557" s="12">
        <v>0</v>
      </c>
    </row>
    <row r="558" spans="1:62" x14ac:dyDescent="0.15">
      <c r="A558" s="19" t="s">
        <v>6762</v>
      </c>
      <c r="C558" t="s">
        <v>6763</v>
      </c>
      <c r="D558" s="8" t="s">
        <v>6681</v>
      </c>
      <c r="E558" s="9" t="s">
        <v>6682</v>
      </c>
      <c r="L558" s="10">
        <v>3644760</v>
      </c>
      <c r="M558" s="10">
        <v>788123</v>
      </c>
      <c r="N558" s="11">
        <v>15</v>
      </c>
      <c r="O558" s="11" t="s">
        <v>7964</v>
      </c>
      <c r="P558" s="7" t="s">
        <v>6683</v>
      </c>
      <c r="Q558" s="9" t="s">
        <v>7217</v>
      </c>
      <c r="S558" s="9" t="s">
        <v>6681</v>
      </c>
      <c r="T558" s="9" t="s">
        <v>4887</v>
      </c>
      <c r="U558" s="12" t="s">
        <v>5016</v>
      </c>
      <c r="V558" s="12" t="s">
        <v>5018</v>
      </c>
      <c r="W558" s="12">
        <v>0</v>
      </c>
      <c r="X558" s="12">
        <v>0</v>
      </c>
      <c r="Y558" s="12">
        <v>0</v>
      </c>
      <c r="Z558" s="11">
        <v>0</v>
      </c>
      <c r="AA558" s="11">
        <v>0</v>
      </c>
      <c r="AB558" s="11">
        <v>1</v>
      </c>
      <c r="AC558" s="11">
        <v>1</v>
      </c>
      <c r="AD558" s="11">
        <v>1</v>
      </c>
      <c r="AE558" s="11">
        <v>0</v>
      </c>
      <c r="AF558" s="11">
        <v>0</v>
      </c>
      <c r="AG558" s="11">
        <v>0</v>
      </c>
      <c r="AH558" s="9">
        <v>1</v>
      </c>
      <c r="AI558" s="11">
        <v>1</v>
      </c>
      <c r="AJ558" s="11">
        <v>1</v>
      </c>
      <c r="AK558" s="11">
        <v>0</v>
      </c>
      <c r="AL558" s="11">
        <v>0</v>
      </c>
      <c r="AN558" s="11">
        <v>0</v>
      </c>
      <c r="AO558" s="11">
        <v>0</v>
      </c>
      <c r="AP558" s="11">
        <v>0</v>
      </c>
      <c r="AQ558" s="11">
        <v>0</v>
      </c>
      <c r="AR558" s="11">
        <v>1</v>
      </c>
      <c r="AS558" s="11">
        <v>0</v>
      </c>
      <c r="AT558" s="11">
        <v>0</v>
      </c>
      <c r="AU558" s="11">
        <v>0</v>
      </c>
      <c r="AV558" s="11">
        <v>0</v>
      </c>
      <c r="AW558" s="11">
        <v>0</v>
      </c>
      <c r="AX558" s="11">
        <v>0</v>
      </c>
      <c r="AY558" s="11">
        <v>0</v>
      </c>
      <c r="BA558" s="12" t="s">
        <v>6684</v>
      </c>
      <c r="BB558" s="12">
        <v>0</v>
      </c>
      <c r="BC558" s="12">
        <v>0</v>
      </c>
      <c r="BD558" s="12">
        <v>0</v>
      </c>
      <c r="BE558" s="12">
        <v>0</v>
      </c>
      <c r="BF558" s="12">
        <v>0</v>
      </c>
      <c r="BI558" s="12">
        <v>0</v>
      </c>
      <c r="BJ558" s="12">
        <v>0</v>
      </c>
    </row>
    <row r="559" spans="1:62" x14ac:dyDescent="0.15">
      <c r="A559" s="19" t="s">
        <v>6764</v>
      </c>
      <c r="C559" t="s">
        <v>6765</v>
      </c>
      <c r="D559" s="8" t="s">
        <v>6681</v>
      </c>
      <c r="E559" s="9" t="s">
        <v>6682</v>
      </c>
      <c r="L559" s="10">
        <v>3442538</v>
      </c>
      <c r="M559" s="10">
        <v>576534</v>
      </c>
      <c r="N559" s="11">
        <v>15</v>
      </c>
      <c r="O559" s="11" t="s">
        <v>7964</v>
      </c>
      <c r="P559" s="7" t="s">
        <v>6683</v>
      </c>
      <c r="Q559" s="9" t="s">
        <v>7217</v>
      </c>
      <c r="S559" s="9" t="s">
        <v>6681</v>
      </c>
      <c r="T559" s="9" t="s">
        <v>8280</v>
      </c>
      <c r="U559" s="12" t="s">
        <v>5016</v>
      </c>
      <c r="V559" s="12" t="s">
        <v>5021</v>
      </c>
      <c r="W559" s="12">
        <v>0</v>
      </c>
      <c r="X559" s="12">
        <v>0</v>
      </c>
      <c r="Y559" s="12">
        <v>0</v>
      </c>
      <c r="Z559" s="11">
        <v>0</v>
      </c>
      <c r="AA559" s="11">
        <v>0</v>
      </c>
      <c r="AB559" s="11">
        <v>1</v>
      </c>
      <c r="AC559" s="11">
        <v>1</v>
      </c>
      <c r="AD559" s="11">
        <v>1</v>
      </c>
      <c r="AE559" s="11">
        <v>1</v>
      </c>
      <c r="AF559" s="11">
        <v>1</v>
      </c>
      <c r="AG559" s="11">
        <v>1</v>
      </c>
      <c r="AH559" s="9">
        <v>2</v>
      </c>
      <c r="AI559" s="11">
        <v>2</v>
      </c>
      <c r="AJ559" s="11">
        <v>1</v>
      </c>
      <c r="AK559" s="11">
        <v>1</v>
      </c>
      <c r="AL559" s="11">
        <v>0</v>
      </c>
      <c r="AN559" s="11">
        <v>0</v>
      </c>
      <c r="AO559" s="11">
        <v>0</v>
      </c>
      <c r="AP559" s="11">
        <v>0</v>
      </c>
      <c r="AQ559" s="11">
        <v>0</v>
      </c>
      <c r="AR559" s="11">
        <v>1</v>
      </c>
      <c r="AS559" s="11">
        <v>0</v>
      </c>
      <c r="AT559" s="11">
        <v>0</v>
      </c>
      <c r="AU559" s="11">
        <v>0</v>
      </c>
      <c r="AV559" s="11">
        <v>0</v>
      </c>
      <c r="AW559" s="11">
        <v>0</v>
      </c>
      <c r="AX559" s="11">
        <v>0</v>
      </c>
      <c r="AY559" s="11">
        <v>0</v>
      </c>
      <c r="BA559" s="12" t="s">
        <v>6684</v>
      </c>
      <c r="BB559" s="12">
        <v>0</v>
      </c>
      <c r="BC559" s="12">
        <v>0</v>
      </c>
      <c r="BD559" s="12">
        <v>0</v>
      </c>
      <c r="BE559" s="12">
        <v>0</v>
      </c>
      <c r="BF559" s="12">
        <v>0</v>
      </c>
      <c r="BI559" s="12">
        <v>0</v>
      </c>
      <c r="BJ559" s="12">
        <v>0</v>
      </c>
    </row>
    <row r="560" spans="1:62" x14ac:dyDescent="0.15">
      <c r="A560" s="19" t="s">
        <v>6766</v>
      </c>
      <c r="C560" t="s">
        <v>6767</v>
      </c>
      <c r="D560" s="8" t="s">
        <v>6681</v>
      </c>
      <c r="E560" s="9" t="s">
        <v>6682</v>
      </c>
      <c r="L560" s="10">
        <v>3559250</v>
      </c>
      <c r="M560" s="10">
        <v>915444</v>
      </c>
      <c r="N560" s="11">
        <v>15</v>
      </c>
      <c r="O560" s="11" t="s">
        <v>7964</v>
      </c>
      <c r="P560" s="7" t="s">
        <v>6683</v>
      </c>
      <c r="Q560" s="9" t="s">
        <v>7217</v>
      </c>
      <c r="S560" s="9" t="s">
        <v>6681</v>
      </c>
      <c r="T560" s="9" t="s">
        <v>4887</v>
      </c>
      <c r="U560" s="12" t="s">
        <v>5016</v>
      </c>
      <c r="V560" s="12" t="s">
        <v>5018</v>
      </c>
      <c r="W560" s="12">
        <v>0</v>
      </c>
      <c r="X560" s="12">
        <v>0</v>
      </c>
      <c r="Y560" s="12">
        <v>0</v>
      </c>
      <c r="Z560" s="11">
        <v>0</v>
      </c>
      <c r="AA560" s="11">
        <v>0</v>
      </c>
      <c r="AB560" s="11">
        <v>1</v>
      </c>
      <c r="AC560" s="11">
        <v>1</v>
      </c>
      <c r="AD560" s="11">
        <v>1</v>
      </c>
      <c r="AE560" s="11">
        <v>0</v>
      </c>
      <c r="AF560" s="11">
        <v>0</v>
      </c>
      <c r="AG560" s="11">
        <v>0</v>
      </c>
      <c r="AH560" s="9">
        <v>1</v>
      </c>
      <c r="AI560" s="11">
        <v>1</v>
      </c>
      <c r="AJ560" s="11">
        <v>1</v>
      </c>
      <c r="AK560" s="11">
        <v>0</v>
      </c>
      <c r="AL560" s="11">
        <v>0</v>
      </c>
      <c r="AN560" s="11">
        <v>0</v>
      </c>
      <c r="AO560" s="11">
        <v>0</v>
      </c>
      <c r="AP560" s="11">
        <v>0</v>
      </c>
      <c r="AQ560" s="11">
        <v>0</v>
      </c>
      <c r="AR560" s="11">
        <v>1</v>
      </c>
      <c r="AS560" s="11">
        <v>0</v>
      </c>
      <c r="AT560" s="11">
        <v>0</v>
      </c>
      <c r="AU560" s="11">
        <v>0</v>
      </c>
      <c r="AV560" s="11">
        <v>0</v>
      </c>
      <c r="AW560" s="11">
        <v>0</v>
      </c>
      <c r="AX560" s="11">
        <v>0</v>
      </c>
      <c r="AY560" s="11">
        <v>0</v>
      </c>
      <c r="BA560" s="12" t="s">
        <v>6684</v>
      </c>
      <c r="BB560" s="12">
        <v>0</v>
      </c>
      <c r="BC560" s="12">
        <v>0</v>
      </c>
      <c r="BD560" s="12">
        <v>0</v>
      </c>
      <c r="BE560" s="12">
        <v>0</v>
      </c>
      <c r="BF560" s="12">
        <v>0</v>
      </c>
      <c r="BI560" s="12">
        <v>0</v>
      </c>
      <c r="BJ560" s="12">
        <v>0</v>
      </c>
    </row>
    <row r="561" spans="1:62" x14ac:dyDescent="0.15">
      <c r="A561" s="19" t="s">
        <v>6768</v>
      </c>
      <c r="C561" t="s">
        <v>6769</v>
      </c>
      <c r="D561" s="8" t="s">
        <v>6681</v>
      </c>
      <c r="E561" s="9" t="s">
        <v>6682</v>
      </c>
      <c r="L561" s="10">
        <v>3501940</v>
      </c>
      <c r="M561" s="10">
        <v>676598</v>
      </c>
      <c r="N561" s="11">
        <v>15</v>
      </c>
      <c r="O561" s="11" t="s">
        <v>7964</v>
      </c>
      <c r="P561" s="7" t="s">
        <v>6683</v>
      </c>
      <c r="Q561" s="9" t="s">
        <v>7217</v>
      </c>
      <c r="S561" s="9" t="s">
        <v>6681</v>
      </c>
      <c r="T561" s="9" t="s">
        <v>4784</v>
      </c>
      <c r="U561" s="12" t="s">
        <v>5017</v>
      </c>
      <c r="V561" s="12" t="s">
        <v>5021</v>
      </c>
      <c r="W561" s="12">
        <v>0</v>
      </c>
      <c r="X561" s="12">
        <v>0</v>
      </c>
      <c r="Y561" s="12">
        <v>0</v>
      </c>
      <c r="Z561" s="11">
        <v>0</v>
      </c>
      <c r="AA561" s="11">
        <v>0</v>
      </c>
      <c r="AB561" s="11">
        <v>0</v>
      </c>
      <c r="AC561" s="11">
        <v>1</v>
      </c>
      <c r="AD561" s="11">
        <v>1</v>
      </c>
      <c r="AE561" s="11">
        <v>1</v>
      </c>
      <c r="AF561" s="11">
        <v>1</v>
      </c>
      <c r="AG561" s="11">
        <v>1</v>
      </c>
      <c r="AH561" s="9">
        <v>2</v>
      </c>
      <c r="AI561" s="11">
        <v>2</v>
      </c>
      <c r="AJ561" s="11">
        <v>1</v>
      </c>
      <c r="AK561" s="11">
        <v>1</v>
      </c>
      <c r="AL561" s="11">
        <v>0</v>
      </c>
      <c r="AN561" s="11">
        <v>0</v>
      </c>
      <c r="AO561" s="11">
        <v>0</v>
      </c>
      <c r="AP561" s="11">
        <v>0</v>
      </c>
      <c r="AQ561" s="11">
        <v>0</v>
      </c>
      <c r="AR561" s="11">
        <v>1</v>
      </c>
      <c r="AS561" s="11">
        <v>0</v>
      </c>
      <c r="AT561" s="11">
        <v>0</v>
      </c>
      <c r="AU561" s="11">
        <v>0</v>
      </c>
      <c r="AV561" s="11">
        <v>0</v>
      </c>
      <c r="AW561" s="11">
        <v>0</v>
      </c>
      <c r="AX561" s="11">
        <v>0</v>
      </c>
      <c r="AY561" s="11">
        <v>0</v>
      </c>
      <c r="BA561" s="12" t="s">
        <v>6684</v>
      </c>
      <c r="BB561" s="12">
        <v>0</v>
      </c>
      <c r="BC561" s="12">
        <v>0</v>
      </c>
      <c r="BD561" s="12">
        <v>0</v>
      </c>
      <c r="BE561" s="12">
        <v>0</v>
      </c>
      <c r="BF561" s="12">
        <v>0</v>
      </c>
      <c r="BI561" s="12">
        <v>0</v>
      </c>
      <c r="BJ561" s="12">
        <v>0</v>
      </c>
    </row>
    <row r="562" spans="1:62" x14ac:dyDescent="0.15">
      <c r="A562" s="19" t="s">
        <v>6770</v>
      </c>
      <c r="C562" t="s">
        <v>6771</v>
      </c>
      <c r="D562" s="8" t="s">
        <v>6681</v>
      </c>
      <c r="E562" s="9" t="s">
        <v>6682</v>
      </c>
      <c r="L562" s="10">
        <v>3548450</v>
      </c>
      <c r="M562" s="10">
        <v>591336</v>
      </c>
      <c r="N562" s="11">
        <v>15</v>
      </c>
      <c r="O562" s="11" t="s">
        <v>7964</v>
      </c>
      <c r="P562" s="7" t="s">
        <v>6683</v>
      </c>
      <c r="Q562" s="9" t="s">
        <v>7217</v>
      </c>
      <c r="S562" s="9" t="s">
        <v>6681</v>
      </c>
      <c r="T562" s="9" t="s">
        <v>4784</v>
      </c>
      <c r="U562" s="12" t="s">
        <v>5017</v>
      </c>
      <c r="V562" s="12" t="s">
        <v>5021</v>
      </c>
      <c r="W562" s="12">
        <v>0</v>
      </c>
      <c r="X562" s="12">
        <v>0</v>
      </c>
      <c r="Y562" s="12">
        <v>0</v>
      </c>
      <c r="Z562" s="11">
        <v>0</v>
      </c>
      <c r="AA562" s="11">
        <v>0</v>
      </c>
      <c r="AB562" s="11">
        <v>0</v>
      </c>
      <c r="AC562" s="11">
        <v>1</v>
      </c>
      <c r="AD562" s="11">
        <v>1</v>
      </c>
      <c r="AE562" s="11">
        <v>1</v>
      </c>
      <c r="AF562" s="11">
        <v>1</v>
      </c>
      <c r="AG562" s="11">
        <v>1</v>
      </c>
      <c r="AH562" s="9">
        <v>0</v>
      </c>
      <c r="AI562" s="11">
        <v>0</v>
      </c>
      <c r="AJ562" s="11">
        <v>0</v>
      </c>
      <c r="AK562" s="11">
        <v>0</v>
      </c>
      <c r="AL562" s="11">
        <v>0</v>
      </c>
      <c r="AN562" s="11">
        <v>0</v>
      </c>
      <c r="AO562" s="11">
        <v>0</v>
      </c>
      <c r="AP562" s="11">
        <v>0</v>
      </c>
      <c r="AQ562" s="11">
        <v>0</v>
      </c>
      <c r="AR562" s="11">
        <v>0</v>
      </c>
      <c r="AS562" s="11">
        <v>0</v>
      </c>
      <c r="AT562" s="11">
        <v>0</v>
      </c>
      <c r="AU562" s="11">
        <v>0</v>
      </c>
      <c r="AV562" s="11">
        <v>0</v>
      </c>
      <c r="AW562" s="11">
        <v>0</v>
      </c>
      <c r="AX562" s="11">
        <v>0</v>
      </c>
      <c r="AY562" s="11">
        <v>0</v>
      </c>
      <c r="BA562" s="12" t="s">
        <v>6684</v>
      </c>
      <c r="BB562" s="12">
        <v>0</v>
      </c>
      <c r="BC562" s="12">
        <v>0</v>
      </c>
      <c r="BD562" s="12">
        <v>0</v>
      </c>
      <c r="BE562" s="12">
        <v>0</v>
      </c>
      <c r="BF562" s="12">
        <v>0</v>
      </c>
      <c r="BI562" s="12">
        <v>0</v>
      </c>
      <c r="BJ562" s="12">
        <v>0</v>
      </c>
    </row>
    <row r="563" spans="1:62" x14ac:dyDescent="0.15">
      <c r="A563" s="19" t="s">
        <v>6772</v>
      </c>
      <c r="C563" t="s">
        <v>6773</v>
      </c>
      <c r="D563" s="8" t="s">
        <v>6681</v>
      </c>
      <c r="E563" s="9" t="s">
        <v>6682</v>
      </c>
      <c r="L563" s="10">
        <v>3544320</v>
      </c>
      <c r="M563" s="10">
        <v>470487</v>
      </c>
      <c r="N563" s="11">
        <v>15</v>
      </c>
      <c r="O563" s="11" t="s">
        <v>7964</v>
      </c>
      <c r="P563" s="7" t="s">
        <v>6683</v>
      </c>
      <c r="Q563" s="9" t="s">
        <v>7217</v>
      </c>
      <c r="S563" s="9" t="s">
        <v>6681</v>
      </c>
      <c r="T563" s="9">
        <v>0</v>
      </c>
      <c r="U563" s="12" t="s">
        <v>4878</v>
      </c>
      <c r="V563" s="12" t="s">
        <v>4878</v>
      </c>
      <c r="W563" s="12">
        <v>0</v>
      </c>
      <c r="X563" s="12">
        <v>0</v>
      </c>
      <c r="Y563" s="12">
        <v>0</v>
      </c>
      <c r="Z563" s="11">
        <v>0</v>
      </c>
      <c r="AA563" s="11">
        <v>0</v>
      </c>
      <c r="AB563" s="11">
        <v>0</v>
      </c>
      <c r="AC563" s="11">
        <v>0</v>
      </c>
      <c r="AD563" s="11">
        <v>0</v>
      </c>
      <c r="AE563" s="11">
        <v>0</v>
      </c>
      <c r="AF563" s="11">
        <v>0</v>
      </c>
      <c r="AG563" s="11">
        <v>0</v>
      </c>
      <c r="AH563" s="9">
        <v>0</v>
      </c>
      <c r="AI563" s="11">
        <v>0</v>
      </c>
      <c r="AJ563" s="11">
        <v>0</v>
      </c>
      <c r="AK563" s="11">
        <v>0</v>
      </c>
      <c r="AL563" s="11">
        <v>0</v>
      </c>
      <c r="AN563" s="11">
        <v>0</v>
      </c>
      <c r="AO563" s="11">
        <v>0</v>
      </c>
      <c r="AP563" s="11">
        <v>0</v>
      </c>
      <c r="AQ563" s="11">
        <v>0</v>
      </c>
      <c r="AR563" s="11">
        <v>0</v>
      </c>
      <c r="AS563" s="11">
        <v>0</v>
      </c>
      <c r="AT563" s="11">
        <v>0</v>
      </c>
      <c r="AU563" s="11">
        <v>0</v>
      </c>
      <c r="AV563" s="11">
        <v>0</v>
      </c>
      <c r="AW563" s="11">
        <v>0</v>
      </c>
      <c r="AX563" s="11">
        <v>0</v>
      </c>
      <c r="AY563" s="11">
        <v>0</v>
      </c>
      <c r="BA563" s="12" t="s">
        <v>6684</v>
      </c>
      <c r="BB563" s="12">
        <v>0</v>
      </c>
      <c r="BC563" s="12">
        <v>0</v>
      </c>
      <c r="BD563" s="12">
        <v>0</v>
      </c>
      <c r="BE563" s="12">
        <v>0</v>
      </c>
      <c r="BF563" s="12">
        <v>0</v>
      </c>
      <c r="BI563" s="12">
        <v>0</v>
      </c>
      <c r="BJ563" s="12">
        <v>0</v>
      </c>
    </row>
    <row r="564" spans="1:62" x14ac:dyDescent="0.15">
      <c r="A564" s="19" t="s">
        <v>6774</v>
      </c>
      <c r="C564" t="s">
        <v>6775</v>
      </c>
      <c r="D564" s="8" t="s">
        <v>6681</v>
      </c>
      <c r="E564" s="9" t="s">
        <v>6682</v>
      </c>
      <c r="L564" s="10">
        <v>3526790</v>
      </c>
      <c r="M564" s="10">
        <v>637078</v>
      </c>
      <c r="N564" s="11">
        <v>15</v>
      </c>
      <c r="O564" s="11" t="s">
        <v>7964</v>
      </c>
      <c r="P564" s="7" t="s">
        <v>6683</v>
      </c>
      <c r="Q564" s="9" t="s">
        <v>7217</v>
      </c>
      <c r="S564" s="9" t="s">
        <v>6681</v>
      </c>
      <c r="T564" s="9" t="s">
        <v>8372</v>
      </c>
      <c r="U564" s="12" t="s">
        <v>5017</v>
      </c>
      <c r="V564" s="12" t="s">
        <v>5019</v>
      </c>
      <c r="W564" s="12">
        <v>0</v>
      </c>
      <c r="X564" s="12">
        <v>0</v>
      </c>
      <c r="Y564" s="12">
        <v>0</v>
      </c>
      <c r="Z564" s="11">
        <v>0</v>
      </c>
      <c r="AA564" s="11">
        <v>0</v>
      </c>
      <c r="AB564" s="11">
        <v>0</v>
      </c>
      <c r="AC564" s="11">
        <v>1</v>
      </c>
      <c r="AD564" s="11">
        <v>1</v>
      </c>
      <c r="AE564" s="11">
        <v>1</v>
      </c>
      <c r="AF564" s="11">
        <v>0</v>
      </c>
      <c r="AG564" s="11">
        <v>0</v>
      </c>
      <c r="AH564" s="9">
        <v>2</v>
      </c>
      <c r="AI564" s="11">
        <v>2</v>
      </c>
      <c r="AJ564" s="11">
        <v>1</v>
      </c>
      <c r="AK564" s="11">
        <v>1</v>
      </c>
      <c r="AL564" s="11">
        <v>1</v>
      </c>
      <c r="AN564" s="11">
        <v>0</v>
      </c>
      <c r="AO564" s="11">
        <v>0</v>
      </c>
      <c r="AP564" s="11">
        <v>0</v>
      </c>
      <c r="AQ564" s="11">
        <v>1</v>
      </c>
      <c r="AR564" s="11">
        <v>1</v>
      </c>
      <c r="AS564" s="11">
        <v>0</v>
      </c>
      <c r="AT564" s="11">
        <v>0</v>
      </c>
      <c r="AU564" s="11">
        <v>0</v>
      </c>
      <c r="AV564" s="11">
        <v>0</v>
      </c>
      <c r="AW564" s="11">
        <v>0</v>
      </c>
      <c r="AX564" s="11">
        <v>0</v>
      </c>
      <c r="AY564" s="11">
        <v>0</v>
      </c>
      <c r="BA564" s="12" t="s">
        <v>6684</v>
      </c>
      <c r="BB564" s="12">
        <v>0</v>
      </c>
      <c r="BC564" s="12">
        <v>0</v>
      </c>
      <c r="BD564" s="12">
        <v>0</v>
      </c>
      <c r="BE564" s="12">
        <v>0</v>
      </c>
      <c r="BF564" s="12">
        <v>0</v>
      </c>
      <c r="BI564" s="12">
        <v>0</v>
      </c>
      <c r="BJ564" s="12">
        <v>0</v>
      </c>
    </row>
    <row r="565" spans="1:62" x14ac:dyDescent="0.15">
      <c r="A565" s="19" t="s">
        <v>6776</v>
      </c>
      <c r="C565" t="s">
        <v>6777</v>
      </c>
      <c r="D565" s="8" t="s">
        <v>6681</v>
      </c>
      <c r="E565" s="9" t="s">
        <v>6682</v>
      </c>
      <c r="L565" s="10">
        <v>3531850</v>
      </c>
      <c r="M565" s="10">
        <v>632060</v>
      </c>
      <c r="N565" s="11">
        <v>15</v>
      </c>
      <c r="O565" s="11" t="s">
        <v>7964</v>
      </c>
      <c r="P565" s="7" t="s">
        <v>6683</v>
      </c>
      <c r="Q565" s="9" t="s">
        <v>7217</v>
      </c>
      <c r="S565" s="9" t="s">
        <v>6681</v>
      </c>
      <c r="T565" s="9" t="s">
        <v>8372</v>
      </c>
      <c r="U565" s="12" t="s">
        <v>5017</v>
      </c>
      <c r="V565" s="12" t="s">
        <v>5019</v>
      </c>
      <c r="W565" s="12">
        <v>0</v>
      </c>
      <c r="X565" s="12">
        <v>0</v>
      </c>
      <c r="Y565" s="12">
        <v>0</v>
      </c>
      <c r="Z565" s="11">
        <v>0</v>
      </c>
      <c r="AA565" s="11">
        <v>0</v>
      </c>
      <c r="AB565" s="11">
        <v>0</v>
      </c>
      <c r="AC565" s="11">
        <v>1</v>
      </c>
      <c r="AD565" s="11">
        <v>1</v>
      </c>
      <c r="AE565" s="11">
        <v>1</v>
      </c>
      <c r="AF565" s="11">
        <v>0</v>
      </c>
      <c r="AG565" s="11">
        <v>0</v>
      </c>
      <c r="AH565" s="9">
        <v>0</v>
      </c>
      <c r="AI565" s="11">
        <v>0</v>
      </c>
      <c r="AJ565" s="11">
        <v>0</v>
      </c>
      <c r="AK565" s="11">
        <v>0</v>
      </c>
      <c r="AL565" s="11">
        <v>0</v>
      </c>
      <c r="AN565" s="11">
        <v>0</v>
      </c>
      <c r="AO565" s="11">
        <v>0</v>
      </c>
      <c r="AP565" s="11">
        <v>0</v>
      </c>
      <c r="AQ565" s="11">
        <v>0</v>
      </c>
      <c r="AR565" s="11">
        <v>0</v>
      </c>
      <c r="AS565" s="11">
        <v>0</v>
      </c>
      <c r="AT565" s="11">
        <v>0</v>
      </c>
      <c r="AU565" s="11">
        <v>0</v>
      </c>
      <c r="AV565" s="11">
        <v>0</v>
      </c>
      <c r="AW565" s="11">
        <v>0</v>
      </c>
      <c r="AX565" s="11">
        <v>0</v>
      </c>
      <c r="AY565" s="11">
        <v>0</v>
      </c>
      <c r="BA565" s="12" t="s">
        <v>6684</v>
      </c>
      <c r="BB565" s="12">
        <v>0</v>
      </c>
      <c r="BC565" s="12">
        <v>0</v>
      </c>
      <c r="BD565" s="12">
        <v>0</v>
      </c>
      <c r="BE565" s="12">
        <v>0</v>
      </c>
      <c r="BF565" s="12">
        <v>0</v>
      </c>
      <c r="BI565" s="12">
        <v>0</v>
      </c>
      <c r="BJ565" s="12">
        <v>0</v>
      </c>
    </row>
    <row r="566" spans="1:62" x14ac:dyDescent="0.15">
      <c r="A566" s="19" t="s">
        <v>6778</v>
      </c>
      <c r="C566" t="s">
        <v>6779</v>
      </c>
      <c r="D566" s="8" t="s">
        <v>6681</v>
      </c>
      <c r="E566" s="9" t="s">
        <v>6682</v>
      </c>
      <c r="L566" s="10">
        <v>3479720</v>
      </c>
      <c r="M566" s="10">
        <v>660429</v>
      </c>
      <c r="N566" s="11">
        <v>15</v>
      </c>
      <c r="O566" s="11" t="s">
        <v>7964</v>
      </c>
      <c r="P566" s="7" t="s">
        <v>6683</v>
      </c>
      <c r="Q566" s="9" t="s">
        <v>7217</v>
      </c>
      <c r="S566" s="9" t="s">
        <v>6681</v>
      </c>
      <c r="T566" s="9" t="s">
        <v>8372</v>
      </c>
      <c r="U566" s="12" t="s">
        <v>5017</v>
      </c>
      <c r="V566" s="12" t="s">
        <v>5019</v>
      </c>
      <c r="W566" s="12">
        <v>0</v>
      </c>
      <c r="X566" s="12">
        <v>0</v>
      </c>
      <c r="Y566" s="12">
        <v>0</v>
      </c>
      <c r="Z566" s="11">
        <v>0</v>
      </c>
      <c r="AA566" s="11">
        <v>0</v>
      </c>
      <c r="AB566" s="11">
        <v>0</v>
      </c>
      <c r="AC566" s="11">
        <v>1</v>
      </c>
      <c r="AD566" s="11">
        <v>1</v>
      </c>
      <c r="AE566" s="11">
        <v>1</v>
      </c>
      <c r="AF566" s="11">
        <v>0</v>
      </c>
      <c r="AG566" s="11">
        <v>0</v>
      </c>
      <c r="AH566" s="9">
        <v>2</v>
      </c>
      <c r="AI566" s="11">
        <v>2</v>
      </c>
      <c r="AJ566" s="11">
        <v>1</v>
      </c>
      <c r="AK566" s="11">
        <v>1</v>
      </c>
      <c r="AL566" s="11">
        <v>1</v>
      </c>
      <c r="AN566" s="11">
        <v>1</v>
      </c>
      <c r="AO566" s="11">
        <v>0</v>
      </c>
      <c r="AP566" s="11">
        <v>0</v>
      </c>
      <c r="AQ566" s="11">
        <v>1</v>
      </c>
      <c r="AR566" s="11">
        <v>0</v>
      </c>
      <c r="AS566" s="11">
        <v>0</v>
      </c>
      <c r="AT566" s="11">
        <v>0</v>
      </c>
      <c r="AU566" s="11">
        <v>0</v>
      </c>
      <c r="AV566" s="11">
        <v>0</v>
      </c>
      <c r="AW566" s="11">
        <v>0</v>
      </c>
      <c r="AX566" s="11">
        <v>0</v>
      </c>
      <c r="AY566" s="11">
        <v>0</v>
      </c>
      <c r="BA566" s="12" t="s">
        <v>6684</v>
      </c>
      <c r="BB566" s="12">
        <v>0</v>
      </c>
      <c r="BC566" s="12">
        <v>0</v>
      </c>
      <c r="BD566" s="12">
        <v>0</v>
      </c>
      <c r="BE566" s="12">
        <v>0</v>
      </c>
      <c r="BF566" s="12">
        <v>0</v>
      </c>
      <c r="BI566" s="12">
        <v>0</v>
      </c>
      <c r="BJ566" s="12">
        <v>0</v>
      </c>
    </row>
    <row r="567" spans="1:62" x14ac:dyDescent="0.15">
      <c r="A567" s="19" t="s">
        <v>6780</v>
      </c>
      <c r="C567" t="s">
        <v>6781</v>
      </c>
      <c r="D567" s="8" t="s">
        <v>6681</v>
      </c>
      <c r="E567" s="9" t="s">
        <v>6682</v>
      </c>
      <c r="L567" s="10">
        <v>3624330</v>
      </c>
      <c r="M567" s="10">
        <v>655484</v>
      </c>
      <c r="N567" s="11">
        <v>15</v>
      </c>
      <c r="O567" s="11" t="s">
        <v>7964</v>
      </c>
      <c r="P567" s="7" t="s">
        <v>6683</v>
      </c>
      <c r="Q567" s="9" t="s">
        <v>7217</v>
      </c>
      <c r="S567" s="9" t="s">
        <v>6681</v>
      </c>
      <c r="T567" s="9" t="s">
        <v>8372</v>
      </c>
      <c r="U567" s="12" t="s">
        <v>5017</v>
      </c>
      <c r="V567" s="12" t="s">
        <v>5019</v>
      </c>
      <c r="W567" s="12">
        <v>0</v>
      </c>
      <c r="X567" s="12">
        <v>0</v>
      </c>
      <c r="Y567" s="12">
        <v>0</v>
      </c>
      <c r="Z567" s="11">
        <v>0</v>
      </c>
      <c r="AA567" s="11">
        <v>0</v>
      </c>
      <c r="AB567" s="11">
        <v>0</v>
      </c>
      <c r="AC567" s="11">
        <v>1</v>
      </c>
      <c r="AD567" s="11">
        <v>1</v>
      </c>
      <c r="AE567" s="11">
        <v>1</v>
      </c>
      <c r="AF567" s="11">
        <v>0</v>
      </c>
      <c r="AG567" s="11">
        <v>0</v>
      </c>
      <c r="AH567" s="9">
        <v>3</v>
      </c>
      <c r="AI567" s="11">
        <v>3</v>
      </c>
      <c r="AJ567" s="11">
        <v>1</v>
      </c>
      <c r="AK567" s="11">
        <v>1</v>
      </c>
      <c r="AL567" s="11">
        <v>0</v>
      </c>
      <c r="AN567" s="11">
        <v>0</v>
      </c>
      <c r="AO567" s="11">
        <v>0</v>
      </c>
      <c r="AP567" s="11">
        <v>0</v>
      </c>
      <c r="AQ567" s="11">
        <v>0</v>
      </c>
      <c r="AR567" s="11">
        <v>1</v>
      </c>
      <c r="AS567" s="11">
        <v>0</v>
      </c>
      <c r="AT567" s="11">
        <v>0</v>
      </c>
      <c r="AU567" s="11">
        <v>0</v>
      </c>
      <c r="AV567" s="11">
        <v>0</v>
      </c>
      <c r="AW567" s="11">
        <v>0</v>
      </c>
      <c r="AX567" s="11">
        <v>0</v>
      </c>
      <c r="AY567" s="11">
        <v>0</v>
      </c>
      <c r="BA567" s="12" t="s">
        <v>6684</v>
      </c>
      <c r="BB567" s="12">
        <v>0</v>
      </c>
      <c r="BC567" s="12">
        <v>0</v>
      </c>
      <c r="BD567" s="12">
        <v>0</v>
      </c>
      <c r="BE567" s="12">
        <v>0</v>
      </c>
      <c r="BF567" s="12">
        <v>0</v>
      </c>
      <c r="BI567" s="12">
        <v>0</v>
      </c>
      <c r="BJ567" s="12">
        <v>0</v>
      </c>
    </row>
    <row r="568" spans="1:62" x14ac:dyDescent="0.15">
      <c r="A568" s="19" t="s">
        <v>6782</v>
      </c>
      <c r="C568" t="s">
        <v>6783</v>
      </c>
      <c r="D568" s="8" t="s">
        <v>6681</v>
      </c>
      <c r="E568" s="9" t="s">
        <v>6682</v>
      </c>
      <c r="L568" s="10">
        <v>3499460</v>
      </c>
      <c r="M568" s="10">
        <v>594819</v>
      </c>
      <c r="N568" s="11">
        <v>15</v>
      </c>
      <c r="O568" s="11" t="s">
        <v>7964</v>
      </c>
      <c r="P568" s="7" t="s">
        <v>6683</v>
      </c>
      <c r="Q568" s="9" t="s">
        <v>7217</v>
      </c>
      <c r="S568" s="9" t="s">
        <v>6681</v>
      </c>
      <c r="T568" s="9" t="s">
        <v>4797</v>
      </c>
      <c r="U568" s="12" t="s">
        <v>5018</v>
      </c>
      <c r="V568" s="12" t="s">
        <v>5019</v>
      </c>
      <c r="W568" s="12">
        <v>0</v>
      </c>
      <c r="X568" s="12">
        <v>0</v>
      </c>
      <c r="Y568" s="12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1</v>
      </c>
      <c r="AE568" s="11">
        <v>1</v>
      </c>
      <c r="AF568" s="11">
        <v>0</v>
      </c>
      <c r="AG568" s="11">
        <v>0</v>
      </c>
      <c r="AH568" s="9">
        <v>0</v>
      </c>
      <c r="AI568" s="11">
        <v>0</v>
      </c>
      <c r="AJ568" s="11">
        <v>0</v>
      </c>
      <c r="AK568" s="11">
        <v>0</v>
      </c>
      <c r="AL568" s="11">
        <v>0</v>
      </c>
      <c r="AN568" s="11">
        <v>0</v>
      </c>
      <c r="AO568" s="11">
        <v>0</v>
      </c>
      <c r="AP568" s="11">
        <v>0</v>
      </c>
      <c r="AQ568" s="11">
        <v>0</v>
      </c>
      <c r="AR568" s="11">
        <v>0</v>
      </c>
      <c r="AS568" s="11">
        <v>0</v>
      </c>
      <c r="AT568" s="11">
        <v>0</v>
      </c>
      <c r="AU568" s="11">
        <v>0</v>
      </c>
      <c r="AV568" s="11">
        <v>0</v>
      </c>
      <c r="AW568" s="11">
        <v>0</v>
      </c>
      <c r="AX568" s="11">
        <v>0</v>
      </c>
      <c r="AY568" s="11">
        <v>0</v>
      </c>
      <c r="BA568" s="12" t="s">
        <v>6684</v>
      </c>
      <c r="BB568" s="12">
        <v>0</v>
      </c>
      <c r="BC568" s="12">
        <v>0</v>
      </c>
      <c r="BD568" s="12">
        <v>0</v>
      </c>
      <c r="BE568" s="12">
        <v>0</v>
      </c>
      <c r="BF568" s="12">
        <v>0</v>
      </c>
      <c r="BI568" s="12">
        <v>0</v>
      </c>
      <c r="BJ568" s="12">
        <v>0</v>
      </c>
    </row>
    <row r="569" spans="1:62" x14ac:dyDescent="0.15">
      <c r="A569" s="19" t="s">
        <v>6784</v>
      </c>
      <c r="C569" t="s">
        <v>6785</v>
      </c>
      <c r="D569" s="8" t="s">
        <v>6681</v>
      </c>
      <c r="E569" s="9" t="s">
        <v>6682</v>
      </c>
      <c r="L569" s="10">
        <v>3442520</v>
      </c>
      <c r="M569" s="10">
        <v>640804</v>
      </c>
      <c r="N569" s="11">
        <v>15</v>
      </c>
      <c r="O569" s="11" t="s">
        <v>7964</v>
      </c>
      <c r="P569" s="7" t="s">
        <v>6683</v>
      </c>
      <c r="Q569" s="9" t="s">
        <v>7217</v>
      </c>
      <c r="S569" s="9" t="s">
        <v>6681</v>
      </c>
      <c r="T569" s="9" t="s">
        <v>8372</v>
      </c>
      <c r="U569" s="12" t="s">
        <v>5017</v>
      </c>
      <c r="V569" s="12" t="s">
        <v>5019</v>
      </c>
      <c r="W569" s="12">
        <v>0</v>
      </c>
      <c r="X569" s="12">
        <v>0</v>
      </c>
      <c r="Y569" s="12">
        <v>0</v>
      </c>
      <c r="Z569" s="11">
        <v>0</v>
      </c>
      <c r="AA569" s="11">
        <v>0</v>
      </c>
      <c r="AB569" s="11">
        <v>0</v>
      </c>
      <c r="AC569" s="11">
        <v>1</v>
      </c>
      <c r="AD569" s="11">
        <v>1</v>
      </c>
      <c r="AE569" s="11">
        <v>1</v>
      </c>
      <c r="AF569" s="11">
        <v>0</v>
      </c>
      <c r="AG569" s="11">
        <v>0</v>
      </c>
      <c r="AH569" s="9">
        <v>3</v>
      </c>
      <c r="AI569" s="11">
        <v>3</v>
      </c>
      <c r="AJ569" s="11">
        <v>1</v>
      </c>
      <c r="AK569" s="11">
        <v>1</v>
      </c>
      <c r="AL569" s="11">
        <v>1</v>
      </c>
      <c r="AN569" s="11">
        <v>1</v>
      </c>
      <c r="AO569" s="11">
        <v>0</v>
      </c>
      <c r="AP569" s="11">
        <v>0</v>
      </c>
      <c r="AQ569" s="11">
        <v>1</v>
      </c>
      <c r="AR569" s="11">
        <v>1</v>
      </c>
      <c r="AS569" s="11">
        <v>0</v>
      </c>
      <c r="AT569" s="11">
        <v>0</v>
      </c>
      <c r="AU569" s="11">
        <v>0</v>
      </c>
      <c r="AV569" s="11">
        <v>0</v>
      </c>
      <c r="AW569" s="11">
        <v>0</v>
      </c>
      <c r="AX569" s="11">
        <v>0</v>
      </c>
      <c r="AY569" s="11">
        <v>0</v>
      </c>
      <c r="BA569" s="12" t="s">
        <v>6684</v>
      </c>
      <c r="BB569" s="12">
        <v>0</v>
      </c>
      <c r="BC569" s="12">
        <v>0</v>
      </c>
      <c r="BD569" s="12">
        <v>0</v>
      </c>
      <c r="BE569" s="12">
        <v>0</v>
      </c>
      <c r="BF569" s="12">
        <v>0</v>
      </c>
      <c r="BI569" s="12">
        <v>0</v>
      </c>
      <c r="BJ569" s="12">
        <v>0</v>
      </c>
    </row>
    <row r="570" spans="1:62" x14ac:dyDescent="0.15">
      <c r="A570" s="19" t="s">
        <v>6786</v>
      </c>
      <c r="C570" t="s">
        <v>6787</v>
      </c>
      <c r="D570" s="8" t="s">
        <v>6681</v>
      </c>
      <c r="E570" s="9" t="s">
        <v>6682</v>
      </c>
      <c r="L570" s="10">
        <v>3585550</v>
      </c>
      <c r="M570" s="10">
        <v>644775</v>
      </c>
      <c r="N570" s="11">
        <v>15</v>
      </c>
      <c r="O570" s="11" t="s">
        <v>7964</v>
      </c>
      <c r="P570" s="7" t="s">
        <v>6683</v>
      </c>
      <c r="Q570" s="9" t="s">
        <v>7217</v>
      </c>
      <c r="S570" s="9" t="s">
        <v>6681</v>
      </c>
      <c r="T570" s="9" t="s">
        <v>8372</v>
      </c>
      <c r="U570" s="12" t="s">
        <v>5017</v>
      </c>
      <c r="V570" s="12" t="s">
        <v>5019</v>
      </c>
      <c r="W570" s="12">
        <v>0</v>
      </c>
      <c r="X570" s="12">
        <v>0</v>
      </c>
      <c r="Y570" s="12">
        <v>0</v>
      </c>
      <c r="Z570" s="11">
        <v>0</v>
      </c>
      <c r="AA570" s="11">
        <v>0</v>
      </c>
      <c r="AB570" s="11">
        <v>0</v>
      </c>
      <c r="AC570" s="11">
        <v>1</v>
      </c>
      <c r="AD570" s="11">
        <v>1</v>
      </c>
      <c r="AE570" s="11">
        <v>1</v>
      </c>
      <c r="AF570" s="11">
        <v>0</v>
      </c>
      <c r="AG570" s="11">
        <v>0</v>
      </c>
      <c r="AH570" s="9">
        <v>4</v>
      </c>
      <c r="AI570" s="11">
        <v>4</v>
      </c>
      <c r="AJ570" s="11">
        <v>1</v>
      </c>
      <c r="AK570" s="11">
        <v>1</v>
      </c>
      <c r="AL570" s="11">
        <v>1</v>
      </c>
      <c r="AN570" s="11">
        <v>1</v>
      </c>
      <c r="AO570" s="11">
        <v>0</v>
      </c>
      <c r="AP570" s="11">
        <v>0</v>
      </c>
      <c r="AQ570" s="11">
        <v>1</v>
      </c>
      <c r="AR570" s="11">
        <v>1</v>
      </c>
      <c r="AS570" s="11">
        <v>0</v>
      </c>
      <c r="AT570" s="11">
        <v>0</v>
      </c>
      <c r="AU570" s="11">
        <v>0</v>
      </c>
      <c r="AV570" s="11">
        <v>0</v>
      </c>
      <c r="AW570" s="11">
        <v>0</v>
      </c>
      <c r="AX570" s="11">
        <v>0</v>
      </c>
      <c r="AY570" s="11">
        <v>0</v>
      </c>
      <c r="BA570" s="12" t="s">
        <v>6684</v>
      </c>
      <c r="BB570" s="12">
        <v>0</v>
      </c>
      <c r="BC570" s="12">
        <v>0</v>
      </c>
      <c r="BD570" s="12">
        <v>0</v>
      </c>
      <c r="BE570" s="12">
        <v>0</v>
      </c>
      <c r="BF570" s="12">
        <v>0</v>
      </c>
      <c r="BI570" s="12">
        <v>0</v>
      </c>
      <c r="BJ570" s="12">
        <v>0</v>
      </c>
    </row>
    <row r="571" spans="1:62" x14ac:dyDescent="0.15">
      <c r="A571" s="19" t="s">
        <v>6788</v>
      </c>
      <c r="C571" t="s">
        <v>6789</v>
      </c>
      <c r="D571" s="8" t="s">
        <v>6681</v>
      </c>
      <c r="E571" s="9" t="s">
        <v>6682</v>
      </c>
      <c r="L571" s="10">
        <v>3512950</v>
      </c>
      <c r="M571" s="10">
        <v>670669</v>
      </c>
      <c r="N571" s="11">
        <v>15</v>
      </c>
      <c r="O571" s="11" t="s">
        <v>7964</v>
      </c>
      <c r="P571" s="7" t="s">
        <v>6683</v>
      </c>
      <c r="Q571" s="9" t="s">
        <v>7217</v>
      </c>
      <c r="S571" s="9" t="s">
        <v>6681</v>
      </c>
      <c r="T571" s="9" t="s">
        <v>8372</v>
      </c>
      <c r="U571" s="12" t="s">
        <v>5017</v>
      </c>
      <c r="V571" s="12" t="s">
        <v>5019</v>
      </c>
      <c r="W571" s="12">
        <v>0</v>
      </c>
      <c r="X571" s="12">
        <v>0</v>
      </c>
      <c r="Y571" s="12">
        <v>0</v>
      </c>
      <c r="Z571" s="11">
        <v>0</v>
      </c>
      <c r="AA571" s="11">
        <v>0</v>
      </c>
      <c r="AB571" s="11">
        <v>0</v>
      </c>
      <c r="AC571" s="11">
        <v>1</v>
      </c>
      <c r="AD571" s="11">
        <v>1</v>
      </c>
      <c r="AE571" s="11">
        <v>1</v>
      </c>
      <c r="AF571" s="11">
        <v>0</v>
      </c>
      <c r="AG571" s="11">
        <v>0</v>
      </c>
      <c r="AH571" s="9">
        <v>0</v>
      </c>
      <c r="AI571" s="11">
        <v>0</v>
      </c>
      <c r="AJ571" s="11">
        <v>0</v>
      </c>
      <c r="AK571" s="11">
        <v>0</v>
      </c>
      <c r="AL571" s="11">
        <v>0</v>
      </c>
      <c r="AN571" s="11">
        <v>0</v>
      </c>
      <c r="AO571" s="11">
        <v>0</v>
      </c>
      <c r="AP571" s="11">
        <v>0</v>
      </c>
      <c r="AQ571" s="11">
        <v>0</v>
      </c>
      <c r="AR571" s="11">
        <v>0</v>
      </c>
      <c r="AS571" s="11">
        <v>0</v>
      </c>
      <c r="AT571" s="11">
        <v>0</v>
      </c>
      <c r="AU571" s="11">
        <v>0</v>
      </c>
      <c r="AV571" s="11">
        <v>0</v>
      </c>
      <c r="AW571" s="11">
        <v>0</v>
      </c>
      <c r="AX571" s="11">
        <v>0</v>
      </c>
      <c r="AY571" s="11">
        <v>0</v>
      </c>
      <c r="BA571" s="12" t="s">
        <v>6684</v>
      </c>
      <c r="BB571" s="12">
        <v>0</v>
      </c>
      <c r="BC571" s="12">
        <v>0</v>
      </c>
      <c r="BD571" s="12">
        <v>0</v>
      </c>
      <c r="BE571" s="12">
        <v>0</v>
      </c>
      <c r="BF571" s="12">
        <v>0</v>
      </c>
      <c r="BI571" s="12">
        <v>0</v>
      </c>
      <c r="BJ571" s="12">
        <v>0</v>
      </c>
    </row>
    <row r="572" spans="1:62" x14ac:dyDescent="0.15">
      <c r="A572" s="19" t="s">
        <v>6790</v>
      </c>
      <c r="C572" t="s">
        <v>6791</v>
      </c>
      <c r="D572" s="8" t="s">
        <v>6681</v>
      </c>
      <c r="E572" s="9" t="s">
        <v>6682</v>
      </c>
      <c r="L572" s="10">
        <v>3536520</v>
      </c>
      <c r="M572" s="10">
        <v>615638</v>
      </c>
      <c r="N572" s="11">
        <v>15</v>
      </c>
      <c r="O572" s="11" t="s">
        <v>7964</v>
      </c>
      <c r="P572" s="7" t="s">
        <v>6683</v>
      </c>
      <c r="Q572" s="9" t="s">
        <v>7217</v>
      </c>
      <c r="S572" s="9" t="s">
        <v>6681</v>
      </c>
      <c r="T572" s="9" t="s">
        <v>8372</v>
      </c>
      <c r="U572" s="12" t="s">
        <v>5017</v>
      </c>
      <c r="V572" s="12" t="s">
        <v>5019</v>
      </c>
      <c r="W572" s="12">
        <v>0</v>
      </c>
      <c r="X572" s="12">
        <v>0</v>
      </c>
      <c r="Y572" s="12">
        <v>0</v>
      </c>
      <c r="Z572" s="11">
        <v>0</v>
      </c>
      <c r="AA572" s="11">
        <v>0</v>
      </c>
      <c r="AB572" s="11">
        <v>0</v>
      </c>
      <c r="AC572" s="11">
        <v>1</v>
      </c>
      <c r="AD572" s="11">
        <v>1</v>
      </c>
      <c r="AE572" s="11">
        <v>1</v>
      </c>
      <c r="AF572" s="11">
        <v>0</v>
      </c>
      <c r="AG572" s="11">
        <v>0</v>
      </c>
      <c r="AH572" s="9">
        <v>2</v>
      </c>
      <c r="AI572" s="11">
        <v>2</v>
      </c>
      <c r="AJ572" s="11">
        <v>1</v>
      </c>
      <c r="AK572" s="11">
        <v>1</v>
      </c>
      <c r="AL572" s="11">
        <v>0</v>
      </c>
      <c r="AN572" s="11">
        <v>0</v>
      </c>
      <c r="AO572" s="11">
        <v>0</v>
      </c>
      <c r="AP572" s="11">
        <v>0</v>
      </c>
      <c r="AQ572" s="11">
        <v>0</v>
      </c>
      <c r="AR572" s="11">
        <v>1</v>
      </c>
      <c r="AS572" s="11">
        <v>0</v>
      </c>
      <c r="AT572" s="11">
        <v>0</v>
      </c>
      <c r="AU572" s="11">
        <v>0</v>
      </c>
      <c r="AV572" s="11">
        <v>0</v>
      </c>
      <c r="AW572" s="11">
        <v>0</v>
      </c>
      <c r="AX572" s="11">
        <v>0</v>
      </c>
      <c r="AY572" s="11">
        <v>0</v>
      </c>
      <c r="BA572" s="12" t="s">
        <v>6684</v>
      </c>
      <c r="BB572" s="12">
        <v>0</v>
      </c>
      <c r="BC572" s="12">
        <v>0</v>
      </c>
      <c r="BD572" s="12">
        <v>0</v>
      </c>
      <c r="BE572" s="12">
        <v>0</v>
      </c>
      <c r="BF572" s="12">
        <v>0</v>
      </c>
      <c r="BI572" s="12">
        <v>0</v>
      </c>
      <c r="BJ572" s="12">
        <v>0</v>
      </c>
    </row>
    <row r="573" spans="1:62" x14ac:dyDescent="0.15">
      <c r="A573" s="19" t="s">
        <v>6792</v>
      </c>
      <c r="C573" t="s">
        <v>6793</v>
      </c>
      <c r="D573" s="8" t="s">
        <v>6681</v>
      </c>
      <c r="E573" s="9" t="s">
        <v>6682</v>
      </c>
      <c r="L573" s="10">
        <v>3485450</v>
      </c>
      <c r="M573" s="10">
        <v>595472</v>
      </c>
      <c r="N573" s="11">
        <v>15</v>
      </c>
      <c r="O573" s="11" t="s">
        <v>7964</v>
      </c>
      <c r="P573" s="7" t="s">
        <v>6683</v>
      </c>
      <c r="Q573" s="9" t="s">
        <v>7217</v>
      </c>
      <c r="S573" s="9" t="s">
        <v>6681</v>
      </c>
      <c r="T573" s="9" t="s">
        <v>8372</v>
      </c>
      <c r="U573" s="12" t="s">
        <v>5017</v>
      </c>
      <c r="V573" s="12" t="s">
        <v>5019</v>
      </c>
      <c r="W573" s="12">
        <v>0</v>
      </c>
      <c r="X573" s="12">
        <v>0</v>
      </c>
      <c r="Y573" s="12">
        <v>0</v>
      </c>
      <c r="Z573" s="11">
        <v>0</v>
      </c>
      <c r="AA573" s="11">
        <v>0</v>
      </c>
      <c r="AB573" s="11">
        <v>0</v>
      </c>
      <c r="AC573" s="11">
        <v>1</v>
      </c>
      <c r="AD573" s="11">
        <v>1</v>
      </c>
      <c r="AE573" s="11">
        <v>1</v>
      </c>
      <c r="AF573" s="11">
        <v>0</v>
      </c>
      <c r="AG573" s="11">
        <v>0</v>
      </c>
      <c r="AH573" s="9">
        <v>1</v>
      </c>
      <c r="AI573" s="11">
        <v>1</v>
      </c>
      <c r="AJ573" s="11">
        <v>1</v>
      </c>
      <c r="AK573" s="11">
        <v>0</v>
      </c>
      <c r="AL573" s="11">
        <v>0</v>
      </c>
      <c r="AN573" s="11">
        <v>0</v>
      </c>
      <c r="AO573" s="11">
        <v>0</v>
      </c>
      <c r="AP573" s="11">
        <v>0</v>
      </c>
      <c r="AQ573" s="11">
        <v>0</v>
      </c>
      <c r="AR573" s="11">
        <v>1</v>
      </c>
      <c r="AS573" s="11">
        <v>0</v>
      </c>
      <c r="AT573" s="11">
        <v>0</v>
      </c>
      <c r="AU573" s="11">
        <v>0</v>
      </c>
      <c r="AV573" s="11">
        <v>0</v>
      </c>
      <c r="AW573" s="11">
        <v>0</v>
      </c>
      <c r="AX573" s="11">
        <v>0</v>
      </c>
      <c r="AY573" s="11">
        <v>0</v>
      </c>
      <c r="BA573" s="12" t="s">
        <v>6684</v>
      </c>
      <c r="BB573" s="12">
        <v>0</v>
      </c>
      <c r="BC573" s="12">
        <v>0</v>
      </c>
      <c r="BD573" s="12">
        <v>0</v>
      </c>
      <c r="BE573" s="12">
        <v>0</v>
      </c>
      <c r="BF573" s="12">
        <v>0</v>
      </c>
      <c r="BI573" s="12">
        <v>0</v>
      </c>
      <c r="BJ573" s="12">
        <v>0</v>
      </c>
    </row>
    <row r="574" spans="1:62" x14ac:dyDescent="0.15">
      <c r="A574" s="19" t="s">
        <v>6794</v>
      </c>
      <c r="C574" t="s">
        <v>6795</v>
      </c>
      <c r="D574" s="8" t="s">
        <v>6681</v>
      </c>
      <c r="E574" s="9" t="s">
        <v>6682</v>
      </c>
      <c r="L574" s="10">
        <v>3497570</v>
      </c>
      <c r="M574" s="10">
        <v>601715</v>
      </c>
      <c r="N574" s="11">
        <v>15</v>
      </c>
      <c r="O574" s="11" t="s">
        <v>7964</v>
      </c>
      <c r="P574" s="7" t="s">
        <v>6683</v>
      </c>
      <c r="Q574" s="9" t="s">
        <v>7217</v>
      </c>
      <c r="S574" s="9" t="s">
        <v>6681</v>
      </c>
      <c r="T574" s="9" t="s">
        <v>4780</v>
      </c>
      <c r="U574" s="12" t="s">
        <v>5016</v>
      </c>
      <c r="V574" s="12" t="s">
        <v>5019</v>
      </c>
      <c r="W574" s="12">
        <v>0</v>
      </c>
      <c r="X574" s="12">
        <v>0</v>
      </c>
      <c r="Y574" s="12">
        <v>0</v>
      </c>
      <c r="Z574" s="11">
        <v>0</v>
      </c>
      <c r="AA574" s="11">
        <v>0</v>
      </c>
      <c r="AB574" s="11">
        <v>1</v>
      </c>
      <c r="AC574" s="11">
        <v>1</v>
      </c>
      <c r="AD574" s="11">
        <v>1</v>
      </c>
      <c r="AE574" s="11">
        <v>1</v>
      </c>
      <c r="AF574" s="11">
        <v>0</v>
      </c>
      <c r="AG574" s="11">
        <v>0</v>
      </c>
      <c r="AH574" s="9">
        <v>0</v>
      </c>
      <c r="AI574" s="11">
        <v>0</v>
      </c>
      <c r="AJ574" s="11">
        <v>0</v>
      </c>
      <c r="AK574" s="11">
        <v>0</v>
      </c>
      <c r="AL574" s="11">
        <v>0</v>
      </c>
      <c r="AN574" s="11">
        <v>0</v>
      </c>
      <c r="AO574" s="11">
        <v>0</v>
      </c>
      <c r="AP574" s="11">
        <v>0</v>
      </c>
      <c r="AQ574" s="11">
        <v>0</v>
      </c>
      <c r="AR574" s="11">
        <v>0</v>
      </c>
      <c r="AS574" s="11">
        <v>0</v>
      </c>
      <c r="AT574" s="11">
        <v>0</v>
      </c>
      <c r="AU574" s="11">
        <v>0</v>
      </c>
      <c r="AV574" s="11">
        <v>0</v>
      </c>
      <c r="AW574" s="11">
        <v>0</v>
      </c>
      <c r="AX574" s="11">
        <v>0</v>
      </c>
      <c r="AY574" s="11">
        <v>0</v>
      </c>
      <c r="BA574" s="12" t="s">
        <v>6684</v>
      </c>
      <c r="BB574" s="12">
        <v>0</v>
      </c>
      <c r="BC574" s="12">
        <v>0</v>
      </c>
      <c r="BD574" s="12">
        <v>0</v>
      </c>
      <c r="BE574" s="12">
        <v>0</v>
      </c>
      <c r="BF574" s="12">
        <v>0</v>
      </c>
      <c r="BI574" s="12">
        <v>0</v>
      </c>
      <c r="BJ574" s="12">
        <v>0</v>
      </c>
    </row>
    <row r="575" spans="1:62" x14ac:dyDescent="0.15">
      <c r="A575" s="19" t="s">
        <v>6796</v>
      </c>
      <c r="C575" t="s">
        <v>6797</v>
      </c>
      <c r="D575" s="8" t="s">
        <v>6681</v>
      </c>
      <c r="E575" s="9" t="s">
        <v>6682</v>
      </c>
      <c r="L575" s="10">
        <v>3474230</v>
      </c>
      <c r="M575" s="10">
        <v>651649</v>
      </c>
      <c r="N575" s="11">
        <v>15</v>
      </c>
      <c r="O575" s="11" t="s">
        <v>7964</v>
      </c>
      <c r="P575" s="7" t="s">
        <v>6683</v>
      </c>
      <c r="Q575" s="9" t="s">
        <v>7217</v>
      </c>
      <c r="S575" s="9" t="s">
        <v>6681</v>
      </c>
      <c r="T575" s="9" t="s">
        <v>4780</v>
      </c>
      <c r="U575" s="12" t="s">
        <v>5016</v>
      </c>
      <c r="V575" s="12" t="s">
        <v>5019</v>
      </c>
      <c r="W575" s="12">
        <v>0</v>
      </c>
      <c r="X575" s="12">
        <v>0</v>
      </c>
      <c r="Y575" s="12">
        <v>0</v>
      </c>
      <c r="Z575" s="11">
        <v>0</v>
      </c>
      <c r="AA575" s="11">
        <v>0</v>
      </c>
      <c r="AB575" s="11">
        <v>1</v>
      </c>
      <c r="AC575" s="11">
        <v>1</v>
      </c>
      <c r="AD575" s="11">
        <v>1</v>
      </c>
      <c r="AE575" s="11">
        <v>1</v>
      </c>
      <c r="AF575" s="11">
        <v>0</v>
      </c>
      <c r="AG575" s="11">
        <v>0</v>
      </c>
      <c r="AH575" s="9">
        <v>0</v>
      </c>
      <c r="AI575" s="11">
        <v>0</v>
      </c>
      <c r="AJ575" s="11">
        <v>0</v>
      </c>
      <c r="AK575" s="11">
        <v>0</v>
      </c>
      <c r="AL575" s="11">
        <v>0</v>
      </c>
      <c r="AN575" s="11">
        <v>0</v>
      </c>
      <c r="AO575" s="11">
        <v>0</v>
      </c>
      <c r="AP575" s="11">
        <v>0</v>
      </c>
      <c r="AQ575" s="11">
        <v>0</v>
      </c>
      <c r="AR575" s="11">
        <v>0</v>
      </c>
      <c r="AS575" s="11">
        <v>0</v>
      </c>
      <c r="AT575" s="11">
        <v>0</v>
      </c>
      <c r="AU575" s="11">
        <v>0</v>
      </c>
      <c r="AV575" s="11">
        <v>0</v>
      </c>
      <c r="AW575" s="11">
        <v>0</v>
      </c>
      <c r="AX575" s="11">
        <v>0</v>
      </c>
      <c r="AY575" s="11">
        <v>0</v>
      </c>
      <c r="BA575" s="12" t="s">
        <v>6684</v>
      </c>
      <c r="BB575" s="12">
        <v>0</v>
      </c>
      <c r="BC575" s="12">
        <v>0</v>
      </c>
      <c r="BD575" s="12">
        <v>0</v>
      </c>
      <c r="BE575" s="12">
        <v>0</v>
      </c>
      <c r="BF575" s="12">
        <v>0</v>
      </c>
      <c r="BI575" s="12">
        <v>0</v>
      </c>
      <c r="BJ575" s="12">
        <v>0</v>
      </c>
    </row>
    <row r="576" spans="1:62" x14ac:dyDescent="0.15">
      <c r="A576" s="19" t="s">
        <v>6798</v>
      </c>
      <c r="C576" t="s">
        <v>6799</v>
      </c>
      <c r="D576" s="8" t="s">
        <v>6681</v>
      </c>
      <c r="E576" s="9" t="s">
        <v>6682</v>
      </c>
      <c r="L576" s="10">
        <v>3540850</v>
      </c>
      <c r="M576" s="10">
        <v>610985</v>
      </c>
      <c r="N576" s="11">
        <v>15</v>
      </c>
      <c r="O576" s="11" t="s">
        <v>7964</v>
      </c>
      <c r="P576" s="7" t="s">
        <v>6683</v>
      </c>
      <c r="Q576" s="9" t="s">
        <v>7217</v>
      </c>
      <c r="S576" s="9" t="s">
        <v>6681</v>
      </c>
      <c r="T576" s="9" t="s">
        <v>4780</v>
      </c>
      <c r="U576" s="12" t="s">
        <v>5016</v>
      </c>
      <c r="V576" s="12" t="s">
        <v>5019</v>
      </c>
      <c r="W576" s="12">
        <v>0</v>
      </c>
      <c r="X576" s="12">
        <v>0</v>
      </c>
      <c r="Y576" s="12">
        <v>0</v>
      </c>
      <c r="Z576" s="11">
        <v>0</v>
      </c>
      <c r="AA576" s="11">
        <v>0</v>
      </c>
      <c r="AB576" s="11">
        <v>1</v>
      </c>
      <c r="AC576" s="11">
        <v>1</v>
      </c>
      <c r="AD576" s="11">
        <v>1</v>
      </c>
      <c r="AE576" s="11">
        <v>1</v>
      </c>
      <c r="AF576" s="11">
        <v>0</v>
      </c>
      <c r="AG576" s="11">
        <v>0</v>
      </c>
      <c r="AH576" s="9">
        <v>0</v>
      </c>
      <c r="AI576" s="11">
        <v>0</v>
      </c>
      <c r="AJ576" s="11">
        <v>0</v>
      </c>
      <c r="AK576" s="11">
        <v>0</v>
      </c>
      <c r="AL576" s="11">
        <v>0</v>
      </c>
      <c r="AN576" s="11">
        <v>0</v>
      </c>
      <c r="AO576" s="11">
        <v>0</v>
      </c>
      <c r="AP576" s="11">
        <v>0</v>
      </c>
      <c r="AQ576" s="11">
        <v>0</v>
      </c>
      <c r="AR576" s="11">
        <v>0</v>
      </c>
      <c r="AS576" s="11">
        <v>0</v>
      </c>
      <c r="AT576" s="11">
        <v>0</v>
      </c>
      <c r="AU576" s="11">
        <v>0</v>
      </c>
      <c r="AV576" s="11">
        <v>0</v>
      </c>
      <c r="AW576" s="11">
        <v>0</v>
      </c>
      <c r="AX576" s="11">
        <v>0</v>
      </c>
      <c r="AY576" s="11">
        <v>0</v>
      </c>
      <c r="BA576" s="12" t="s">
        <v>6684</v>
      </c>
      <c r="BB576" s="12">
        <v>0</v>
      </c>
      <c r="BC576" s="12">
        <v>0</v>
      </c>
      <c r="BD576" s="12">
        <v>0</v>
      </c>
      <c r="BE576" s="12">
        <v>0</v>
      </c>
      <c r="BF576" s="12">
        <v>0</v>
      </c>
      <c r="BI576" s="12">
        <v>0</v>
      </c>
      <c r="BJ576" s="12">
        <v>0</v>
      </c>
    </row>
    <row r="577" spans="1:62" x14ac:dyDescent="0.15">
      <c r="A577" s="19" t="s">
        <v>6800</v>
      </c>
      <c r="C577" t="s">
        <v>6801</v>
      </c>
      <c r="D577" s="8" t="s">
        <v>6681</v>
      </c>
      <c r="E577" s="9" t="s">
        <v>6682</v>
      </c>
      <c r="L577" s="10">
        <v>3437660</v>
      </c>
      <c r="M577" s="10">
        <v>578697</v>
      </c>
      <c r="N577" s="11">
        <v>15</v>
      </c>
      <c r="O577" s="11" t="s">
        <v>7964</v>
      </c>
      <c r="P577" s="7" t="s">
        <v>6683</v>
      </c>
      <c r="Q577" s="9" t="s">
        <v>7217</v>
      </c>
      <c r="S577" s="9" t="s">
        <v>6681</v>
      </c>
      <c r="T577" s="9" t="s">
        <v>4780</v>
      </c>
      <c r="U577" s="12" t="s">
        <v>5016</v>
      </c>
      <c r="V577" s="12" t="s">
        <v>5019</v>
      </c>
      <c r="W577" s="12">
        <v>0</v>
      </c>
      <c r="X577" s="12">
        <v>0</v>
      </c>
      <c r="Y577" s="12">
        <v>0</v>
      </c>
      <c r="Z577" s="11">
        <v>0</v>
      </c>
      <c r="AA577" s="11">
        <v>0</v>
      </c>
      <c r="AB577" s="11">
        <v>1</v>
      </c>
      <c r="AC577" s="11">
        <v>1</v>
      </c>
      <c r="AD577" s="11">
        <v>1</v>
      </c>
      <c r="AE577" s="11">
        <v>1</v>
      </c>
      <c r="AF577" s="11">
        <v>0</v>
      </c>
      <c r="AG577" s="11">
        <v>0</v>
      </c>
      <c r="AH577" s="9">
        <v>1</v>
      </c>
      <c r="AI577" s="11">
        <v>1</v>
      </c>
      <c r="AJ577" s="11">
        <v>1</v>
      </c>
      <c r="AK577" s="11">
        <v>0</v>
      </c>
      <c r="AL577" s="11">
        <v>0</v>
      </c>
      <c r="AN577" s="11">
        <v>0</v>
      </c>
      <c r="AO577" s="11">
        <v>0</v>
      </c>
      <c r="AP577" s="11">
        <v>0</v>
      </c>
      <c r="AQ577" s="11">
        <v>0</v>
      </c>
      <c r="AR577" s="11">
        <v>1</v>
      </c>
      <c r="AS577" s="11">
        <v>0</v>
      </c>
      <c r="AT577" s="11">
        <v>0</v>
      </c>
      <c r="AU577" s="11">
        <v>0</v>
      </c>
      <c r="AV577" s="11">
        <v>0</v>
      </c>
      <c r="AW577" s="11">
        <v>0</v>
      </c>
      <c r="AX577" s="11">
        <v>0</v>
      </c>
      <c r="AY577" s="11">
        <v>0</v>
      </c>
      <c r="BA577" s="12" t="s">
        <v>6684</v>
      </c>
      <c r="BB577" s="12">
        <v>0</v>
      </c>
      <c r="BC577" s="12">
        <v>0</v>
      </c>
      <c r="BD577" s="12">
        <v>0</v>
      </c>
      <c r="BE577" s="12">
        <v>0</v>
      </c>
      <c r="BF577" s="12">
        <v>0</v>
      </c>
      <c r="BI577" s="12">
        <v>0</v>
      </c>
      <c r="BJ577" s="12">
        <v>0</v>
      </c>
    </row>
    <row r="578" spans="1:62" x14ac:dyDescent="0.15">
      <c r="A578" s="19" t="s">
        <v>6802</v>
      </c>
      <c r="C578" t="s">
        <v>6803</v>
      </c>
      <c r="D578" s="8" t="s">
        <v>6681</v>
      </c>
      <c r="E578" s="9" t="s">
        <v>6682</v>
      </c>
      <c r="L578" s="10">
        <v>3473450</v>
      </c>
      <c r="M578" s="10">
        <v>600817</v>
      </c>
      <c r="N578" s="11">
        <v>15</v>
      </c>
      <c r="O578" s="11" t="s">
        <v>7964</v>
      </c>
      <c r="P578" s="7" t="s">
        <v>6683</v>
      </c>
      <c r="Q578" s="9" t="s">
        <v>7217</v>
      </c>
      <c r="S578" s="9" t="s">
        <v>6681</v>
      </c>
      <c r="T578" s="9" t="s">
        <v>4780</v>
      </c>
      <c r="U578" s="12" t="s">
        <v>5016</v>
      </c>
      <c r="V578" s="12" t="s">
        <v>5019</v>
      </c>
      <c r="W578" s="12">
        <v>0</v>
      </c>
      <c r="X578" s="12">
        <v>0</v>
      </c>
      <c r="Y578" s="12">
        <v>0</v>
      </c>
      <c r="Z578" s="11">
        <v>0</v>
      </c>
      <c r="AA578" s="11">
        <v>0</v>
      </c>
      <c r="AB578" s="11">
        <v>1</v>
      </c>
      <c r="AC578" s="11">
        <v>1</v>
      </c>
      <c r="AD578" s="11">
        <v>1</v>
      </c>
      <c r="AE578" s="11">
        <v>1</v>
      </c>
      <c r="AF578" s="11">
        <v>0</v>
      </c>
      <c r="AG578" s="11">
        <v>0</v>
      </c>
      <c r="AH578" s="9">
        <v>1</v>
      </c>
      <c r="AI578" s="11">
        <v>1</v>
      </c>
      <c r="AJ578" s="11">
        <v>1</v>
      </c>
      <c r="AK578" s="11">
        <v>0</v>
      </c>
      <c r="AL578" s="11">
        <v>0</v>
      </c>
      <c r="AN578" s="11">
        <v>0</v>
      </c>
      <c r="AO578" s="11">
        <v>0</v>
      </c>
      <c r="AP578" s="11">
        <v>0</v>
      </c>
      <c r="AQ578" s="11">
        <v>0</v>
      </c>
      <c r="AR578" s="11">
        <v>1</v>
      </c>
      <c r="AS578" s="11">
        <v>0</v>
      </c>
      <c r="AT578" s="11">
        <v>0</v>
      </c>
      <c r="AU578" s="11">
        <v>0</v>
      </c>
      <c r="AV578" s="11">
        <v>0</v>
      </c>
      <c r="AW578" s="11">
        <v>0</v>
      </c>
      <c r="AX578" s="11">
        <v>0</v>
      </c>
      <c r="AY578" s="11">
        <v>0</v>
      </c>
      <c r="BA578" s="12" t="s">
        <v>6684</v>
      </c>
      <c r="BB578" s="12">
        <v>0</v>
      </c>
      <c r="BC578" s="12">
        <v>0</v>
      </c>
      <c r="BD578" s="12">
        <v>0</v>
      </c>
      <c r="BE578" s="12">
        <v>0</v>
      </c>
      <c r="BF578" s="12">
        <v>0</v>
      </c>
      <c r="BI578" s="12">
        <v>0</v>
      </c>
      <c r="BJ578" s="12">
        <v>0</v>
      </c>
    </row>
    <row r="579" spans="1:62" x14ac:dyDescent="0.15">
      <c r="A579" s="19" t="s">
        <v>6804</v>
      </c>
      <c r="C579" t="s">
        <v>6805</v>
      </c>
      <c r="D579" s="8" t="s">
        <v>6681</v>
      </c>
      <c r="E579" s="9" t="s">
        <v>6682</v>
      </c>
      <c r="L579" s="10">
        <v>3597040</v>
      </c>
      <c r="M579" s="10">
        <v>645215</v>
      </c>
      <c r="N579" s="11">
        <v>15</v>
      </c>
      <c r="O579" s="11" t="s">
        <v>7964</v>
      </c>
      <c r="P579" s="7" t="s">
        <v>6683</v>
      </c>
      <c r="Q579" s="9" t="s">
        <v>7217</v>
      </c>
      <c r="S579" s="9" t="s">
        <v>6681</v>
      </c>
      <c r="T579" s="9" t="s">
        <v>4780</v>
      </c>
      <c r="U579" s="12" t="s">
        <v>5016</v>
      </c>
      <c r="V579" s="12" t="s">
        <v>5019</v>
      </c>
      <c r="W579" s="12">
        <v>0</v>
      </c>
      <c r="X579" s="12">
        <v>0</v>
      </c>
      <c r="Y579" s="12">
        <v>0</v>
      </c>
      <c r="Z579" s="11">
        <v>0</v>
      </c>
      <c r="AA579" s="11">
        <v>0</v>
      </c>
      <c r="AB579" s="11">
        <v>1</v>
      </c>
      <c r="AC579" s="11">
        <v>1</v>
      </c>
      <c r="AD579" s="11">
        <v>1</v>
      </c>
      <c r="AE579" s="11">
        <v>1</v>
      </c>
      <c r="AF579" s="11">
        <v>0</v>
      </c>
      <c r="AG579" s="11">
        <v>0</v>
      </c>
      <c r="AH579" s="9">
        <v>1</v>
      </c>
      <c r="AI579" s="11">
        <v>1</v>
      </c>
      <c r="AJ579" s="11">
        <v>1</v>
      </c>
      <c r="AK579" s="11">
        <v>0</v>
      </c>
      <c r="AL579" s="11">
        <v>0</v>
      </c>
      <c r="AN579" s="11">
        <v>0</v>
      </c>
      <c r="AO579" s="11">
        <v>0</v>
      </c>
      <c r="AP579" s="11">
        <v>0</v>
      </c>
      <c r="AQ579" s="11">
        <v>0</v>
      </c>
      <c r="AR579" s="11">
        <v>1</v>
      </c>
      <c r="AS579" s="11">
        <v>0</v>
      </c>
      <c r="AT579" s="11">
        <v>0</v>
      </c>
      <c r="AU579" s="11">
        <v>0</v>
      </c>
      <c r="AV579" s="11">
        <v>0</v>
      </c>
      <c r="AW579" s="11">
        <v>0</v>
      </c>
      <c r="AX579" s="11">
        <v>0</v>
      </c>
      <c r="AY579" s="11">
        <v>0</v>
      </c>
      <c r="BA579" s="12" t="s">
        <v>6684</v>
      </c>
      <c r="BB579" s="12">
        <v>0</v>
      </c>
      <c r="BC579" s="12">
        <v>0</v>
      </c>
      <c r="BD579" s="12">
        <v>0</v>
      </c>
      <c r="BE579" s="12">
        <v>0</v>
      </c>
      <c r="BF579" s="12">
        <v>0</v>
      </c>
      <c r="BI579" s="12">
        <v>0</v>
      </c>
      <c r="BJ579" s="12">
        <v>0</v>
      </c>
    </row>
    <row r="580" spans="1:62" x14ac:dyDescent="0.15">
      <c r="A580" s="19" t="s">
        <v>6806</v>
      </c>
      <c r="C580" t="s">
        <v>6807</v>
      </c>
      <c r="D580" s="8" t="s">
        <v>6681</v>
      </c>
      <c r="E580" s="9" t="s">
        <v>6682</v>
      </c>
      <c r="L580" s="10">
        <v>3524320</v>
      </c>
      <c r="M580" s="10">
        <v>640628</v>
      </c>
      <c r="N580" s="11">
        <v>15</v>
      </c>
      <c r="O580" s="11" t="s">
        <v>7964</v>
      </c>
      <c r="P580" s="7" t="s">
        <v>6683</v>
      </c>
      <c r="Q580" s="9" t="s">
        <v>7217</v>
      </c>
      <c r="S580" s="9" t="s">
        <v>6681</v>
      </c>
      <c r="T580" s="9" t="s">
        <v>4780</v>
      </c>
      <c r="U580" s="12" t="s">
        <v>5016</v>
      </c>
      <c r="V580" s="12" t="s">
        <v>5019</v>
      </c>
      <c r="W580" s="12">
        <v>0</v>
      </c>
      <c r="X580" s="12">
        <v>0</v>
      </c>
      <c r="Y580" s="12">
        <v>0</v>
      </c>
      <c r="Z580" s="11">
        <v>0</v>
      </c>
      <c r="AA580" s="11">
        <v>0</v>
      </c>
      <c r="AB580" s="11">
        <v>1</v>
      </c>
      <c r="AC580" s="11">
        <v>1</v>
      </c>
      <c r="AD580" s="11">
        <v>1</v>
      </c>
      <c r="AE580" s="11">
        <v>1</v>
      </c>
      <c r="AF580" s="11">
        <v>0</v>
      </c>
      <c r="AG580" s="11">
        <v>0</v>
      </c>
      <c r="AH580" s="9">
        <v>3</v>
      </c>
      <c r="AI580" s="11">
        <v>3</v>
      </c>
      <c r="AJ580" s="11">
        <v>1</v>
      </c>
      <c r="AK580" s="11">
        <v>1</v>
      </c>
      <c r="AL580" s="11">
        <v>1</v>
      </c>
      <c r="AN580" s="11">
        <v>1</v>
      </c>
      <c r="AO580" s="11">
        <v>0</v>
      </c>
      <c r="AP580" s="11">
        <v>0</v>
      </c>
      <c r="AQ580" s="11">
        <v>1</v>
      </c>
      <c r="AR580" s="11">
        <v>0</v>
      </c>
      <c r="AS580" s="11">
        <v>0</v>
      </c>
      <c r="AT580" s="11">
        <v>0</v>
      </c>
      <c r="AU580" s="11">
        <v>0</v>
      </c>
      <c r="AV580" s="11">
        <v>0</v>
      </c>
      <c r="AW580" s="11">
        <v>0</v>
      </c>
      <c r="AX580" s="11">
        <v>0</v>
      </c>
      <c r="AY580" s="11">
        <v>0</v>
      </c>
      <c r="BA580" s="12" t="s">
        <v>6684</v>
      </c>
      <c r="BB580" s="12">
        <v>0</v>
      </c>
      <c r="BC580" s="12">
        <v>0</v>
      </c>
      <c r="BD580" s="12">
        <v>0</v>
      </c>
      <c r="BE580" s="12">
        <v>0</v>
      </c>
      <c r="BF580" s="12">
        <v>0</v>
      </c>
      <c r="BI580" s="12">
        <v>0</v>
      </c>
      <c r="BJ580" s="12">
        <v>0</v>
      </c>
    </row>
    <row r="581" spans="1:62" x14ac:dyDescent="0.15">
      <c r="A581" s="19" t="s">
        <v>6808</v>
      </c>
      <c r="C581" t="s">
        <v>6809</v>
      </c>
      <c r="D581" s="8" t="s">
        <v>6681</v>
      </c>
      <c r="E581" s="9" t="s">
        <v>6682</v>
      </c>
      <c r="L581" s="10">
        <v>3573880</v>
      </c>
      <c r="M581" s="10">
        <v>649938</v>
      </c>
      <c r="N581" s="11">
        <v>15</v>
      </c>
      <c r="O581" s="11" t="s">
        <v>7964</v>
      </c>
      <c r="P581" s="7" t="s">
        <v>6683</v>
      </c>
      <c r="Q581" s="9" t="s">
        <v>7217</v>
      </c>
      <c r="S581" s="9" t="s">
        <v>6681</v>
      </c>
      <c r="T581" s="9" t="s">
        <v>8280</v>
      </c>
      <c r="U581" s="12" t="s">
        <v>5016</v>
      </c>
      <c r="V581" s="12" t="s">
        <v>5021</v>
      </c>
      <c r="W581" s="12">
        <v>0</v>
      </c>
      <c r="X581" s="12">
        <v>0</v>
      </c>
      <c r="Y581" s="12">
        <v>0</v>
      </c>
      <c r="Z581" s="11">
        <v>0</v>
      </c>
      <c r="AA581" s="11">
        <v>0</v>
      </c>
      <c r="AB581" s="11">
        <v>1</v>
      </c>
      <c r="AC581" s="11">
        <v>1</v>
      </c>
      <c r="AD581" s="11">
        <v>1</v>
      </c>
      <c r="AE581" s="11">
        <v>1</v>
      </c>
      <c r="AF581" s="11">
        <v>1</v>
      </c>
      <c r="AG581" s="11">
        <v>1</v>
      </c>
      <c r="AH581" s="9">
        <v>0</v>
      </c>
      <c r="AI581" s="11">
        <v>0</v>
      </c>
      <c r="AJ581" s="11">
        <v>0</v>
      </c>
      <c r="AK581" s="11">
        <v>0</v>
      </c>
      <c r="AL581" s="11">
        <v>0</v>
      </c>
      <c r="AN581" s="11">
        <v>0</v>
      </c>
      <c r="AO581" s="11">
        <v>0</v>
      </c>
      <c r="AP581" s="11">
        <v>0</v>
      </c>
      <c r="AQ581" s="11">
        <v>0</v>
      </c>
      <c r="AR581" s="11">
        <v>0</v>
      </c>
      <c r="AS581" s="11">
        <v>0</v>
      </c>
      <c r="AT581" s="11">
        <v>0</v>
      </c>
      <c r="AU581" s="11">
        <v>0</v>
      </c>
      <c r="AV581" s="11">
        <v>0</v>
      </c>
      <c r="AW581" s="11">
        <v>0</v>
      </c>
      <c r="AX581" s="11">
        <v>0</v>
      </c>
      <c r="AY581" s="11">
        <v>0</v>
      </c>
      <c r="BA581" s="12" t="s">
        <v>6684</v>
      </c>
      <c r="BB581" s="12">
        <v>0</v>
      </c>
      <c r="BC581" s="12">
        <v>0</v>
      </c>
      <c r="BD581" s="12">
        <v>0</v>
      </c>
      <c r="BE581" s="12">
        <v>0</v>
      </c>
      <c r="BF581" s="12">
        <v>0</v>
      </c>
      <c r="BI581" s="12">
        <v>0</v>
      </c>
      <c r="BJ581" s="12">
        <v>0</v>
      </c>
    </row>
    <row r="582" spans="1:62" x14ac:dyDescent="0.15">
      <c r="A582" s="19" t="s">
        <v>6810</v>
      </c>
      <c r="C582" t="s">
        <v>6811</v>
      </c>
      <c r="D582" s="8" t="s">
        <v>6681</v>
      </c>
      <c r="E582" s="9" t="s">
        <v>6682</v>
      </c>
      <c r="L582" s="10">
        <v>3478450</v>
      </c>
      <c r="M582" s="10">
        <v>585911</v>
      </c>
      <c r="N582" s="11">
        <v>15</v>
      </c>
      <c r="O582" s="11" t="s">
        <v>7964</v>
      </c>
      <c r="P582" s="7" t="s">
        <v>6683</v>
      </c>
      <c r="Q582" s="9" t="s">
        <v>7217</v>
      </c>
      <c r="S582" s="9" t="s">
        <v>6681</v>
      </c>
      <c r="T582" s="9" t="s">
        <v>4780</v>
      </c>
      <c r="U582" s="12" t="s">
        <v>5016</v>
      </c>
      <c r="V582" s="12" t="s">
        <v>5019</v>
      </c>
      <c r="W582" s="12">
        <v>0</v>
      </c>
      <c r="X582" s="12">
        <v>0</v>
      </c>
      <c r="Y582" s="12">
        <v>0</v>
      </c>
      <c r="Z582" s="11">
        <v>0</v>
      </c>
      <c r="AA582" s="11">
        <v>0</v>
      </c>
      <c r="AB582" s="11">
        <v>1</v>
      </c>
      <c r="AC582" s="11">
        <v>1</v>
      </c>
      <c r="AD582" s="11">
        <v>1</v>
      </c>
      <c r="AE582" s="11">
        <v>1</v>
      </c>
      <c r="AF582" s="11">
        <v>0</v>
      </c>
      <c r="AG582" s="11">
        <v>0</v>
      </c>
      <c r="AH582" s="9">
        <v>1</v>
      </c>
      <c r="AI582" s="11">
        <v>1</v>
      </c>
      <c r="AJ582" s="11">
        <v>1</v>
      </c>
      <c r="AK582" s="11">
        <v>0</v>
      </c>
      <c r="AL582" s="11">
        <v>0</v>
      </c>
      <c r="AN582" s="11">
        <v>0</v>
      </c>
      <c r="AO582" s="11">
        <v>0</v>
      </c>
      <c r="AP582" s="11">
        <v>0</v>
      </c>
      <c r="AQ582" s="11">
        <v>0</v>
      </c>
      <c r="AR582" s="11">
        <v>1</v>
      </c>
      <c r="AS582" s="11">
        <v>0</v>
      </c>
      <c r="AT582" s="11">
        <v>0</v>
      </c>
      <c r="AU582" s="11">
        <v>0</v>
      </c>
      <c r="AV582" s="11">
        <v>0</v>
      </c>
      <c r="AW582" s="11">
        <v>0</v>
      </c>
      <c r="AX582" s="11">
        <v>0</v>
      </c>
      <c r="AY582" s="11">
        <v>0</v>
      </c>
      <c r="BA582" s="12" t="s">
        <v>6684</v>
      </c>
      <c r="BB582" s="12">
        <v>0</v>
      </c>
      <c r="BC582" s="12">
        <v>0</v>
      </c>
      <c r="BD582" s="12">
        <v>0</v>
      </c>
      <c r="BE582" s="12">
        <v>0</v>
      </c>
      <c r="BF582" s="12">
        <v>0</v>
      </c>
      <c r="BI582" s="12">
        <v>0</v>
      </c>
      <c r="BJ582" s="12">
        <v>0</v>
      </c>
    </row>
    <row r="583" spans="1:62" x14ac:dyDescent="0.15">
      <c r="A583" s="19" t="s">
        <v>6812</v>
      </c>
      <c r="C583" t="s">
        <v>6813</v>
      </c>
      <c r="D583" s="8" t="s">
        <v>6681</v>
      </c>
      <c r="E583" s="9" t="s">
        <v>6682</v>
      </c>
      <c r="L583" s="10">
        <v>3508270</v>
      </c>
      <c r="M583" s="10">
        <v>630353</v>
      </c>
      <c r="N583" s="11">
        <v>15</v>
      </c>
      <c r="O583" s="11" t="s">
        <v>7964</v>
      </c>
      <c r="P583" s="7" t="s">
        <v>6683</v>
      </c>
      <c r="Q583" s="9" t="s">
        <v>7217</v>
      </c>
      <c r="S583" s="9" t="s">
        <v>6681</v>
      </c>
      <c r="T583" s="9" t="s">
        <v>8280</v>
      </c>
      <c r="U583" s="12" t="s">
        <v>5016</v>
      </c>
      <c r="V583" s="12" t="s">
        <v>5021</v>
      </c>
      <c r="W583" s="12">
        <v>0</v>
      </c>
      <c r="X583" s="12">
        <v>0</v>
      </c>
      <c r="Y583" s="12">
        <v>0</v>
      </c>
      <c r="Z583" s="11">
        <v>0</v>
      </c>
      <c r="AA583" s="11">
        <v>0</v>
      </c>
      <c r="AB583" s="11">
        <v>1</v>
      </c>
      <c r="AC583" s="11">
        <v>1</v>
      </c>
      <c r="AD583" s="11">
        <v>1</v>
      </c>
      <c r="AE583" s="11">
        <v>1</v>
      </c>
      <c r="AF583" s="11">
        <v>1</v>
      </c>
      <c r="AG583" s="11">
        <v>1</v>
      </c>
      <c r="AH583" s="9">
        <v>0</v>
      </c>
      <c r="AI583" s="11">
        <v>0</v>
      </c>
      <c r="AJ583" s="11">
        <v>0</v>
      </c>
      <c r="AK583" s="11">
        <v>0</v>
      </c>
      <c r="AL583" s="11">
        <v>0</v>
      </c>
      <c r="AN583" s="11">
        <v>0</v>
      </c>
      <c r="AO583" s="11">
        <v>0</v>
      </c>
      <c r="AP583" s="11">
        <v>0</v>
      </c>
      <c r="AQ583" s="11">
        <v>0</v>
      </c>
      <c r="AR583" s="11">
        <v>1</v>
      </c>
      <c r="AS583" s="11">
        <v>0</v>
      </c>
      <c r="AT583" s="11">
        <v>0</v>
      </c>
      <c r="AU583" s="11">
        <v>0</v>
      </c>
      <c r="AV583" s="11">
        <v>0</v>
      </c>
      <c r="AW583" s="11">
        <v>0</v>
      </c>
      <c r="AX583" s="11">
        <v>0</v>
      </c>
      <c r="AY583" s="11">
        <v>0</v>
      </c>
      <c r="BA583" s="12" t="s">
        <v>6684</v>
      </c>
      <c r="BB583" s="12">
        <v>0</v>
      </c>
      <c r="BC583" s="12">
        <v>0</v>
      </c>
      <c r="BD583" s="12">
        <v>0</v>
      </c>
      <c r="BE583" s="12">
        <v>0</v>
      </c>
      <c r="BF583" s="12">
        <v>0</v>
      </c>
      <c r="BI583" s="12">
        <v>0</v>
      </c>
      <c r="BJ583" s="12">
        <v>0</v>
      </c>
    </row>
    <row r="584" spans="1:62" x14ac:dyDescent="0.15">
      <c r="A584" s="19" t="s">
        <v>6814</v>
      </c>
      <c r="C584" t="s">
        <v>6815</v>
      </c>
      <c r="D584" s="8" t="s">
        <v>6681</v>
      </c>
      <c r="E584" s="9" t="s">
        <v>6682</v>
      </c>
      <c r="L584" s="10">
        <v>3484960</v>
      </c>
      <c r="M584" s="10">
        <v>589859</v>
      </c>
      <c r="N584" s="11">
        <v>15</v>
      </c>
      <c r="O584" s="11" t="s">
        <v>7964</v>
      </c>
      <c r="P584" s="7" t="s">
        <v>6683</v>
      </c>
      <c r="Q584" s="9" t="s">
        <v>7217</v>
      </c>
      <c r="S584" s="9" t="s">
        <v>6681</v>
      </c>
      <c r="T584" s="9" t="s">
        <v>4780</v>
      </c>
      <c r="U584" s="12" t="s">
        <v>5016</v>
      </c>
      <c r="V584" s="12" t="s">
        <v>5019</v>
      </c>
      <c r="W584" s="12">
        <v>0</v>
      </c>
      <c r="X584" s="12">
        <v>0</v>
      </c>
      <c r="Y584" s="12">
        <v>0</v>
      </c>
      <c r="Z584" s="11">
        <v>0</v>
      </c>
      <c r="AA584" s="11">
        <v>0</v>
      </c>
      <c r="AB584" s="11">
        <v>1</v>
      </c>
      <c r="AC584" s="11">
        <v>1</v>
      </c>
      <c r="AD584" s="11">
        <v>1</v>
      </c>
      <c r="AE584" s="11">
        <v>1</v>
      </c>
      <c r="AF584" s="11">
        <v>0</v>
      </c>
      <c r="AG584" s="11">
        <v>0</v>
      </c>
      <c r="AH584" s="9">
        <v>2</v>
      </c>
      <c r="AI584" s="11">
        <v>2</v>
      </c>
      <c r="AJ584" s="11">
        <v>1</v>
      </c>
      <c r="AK584" s="11">
        <v>1</v>
      </c>
      <c r="AL584" s="11">
        <v>0</v>
      </c>
      <c r="AN584" s="11">
        <v>0</v>
      </c>
      <c r="AO584" s="11">
        <v>0</v>
      </c>
      <c r="AP584" s="11">
        <v>0</v>
      </c>
      <c r="AQ584" s="11">
        <v>0</v>
      </c>
      <c r="AR584" s="11">
        <v>1</v>
      </c>
      <c r="AS584" s="11">
        <v>0</v>
      </c>
      <c r="AT584" s="11">
        <v>0</v>
      </c>
      <c r="AU584" s="11">
        <v>0</v>
      </c>
      <c r="AV584" s="11">
        <v>0</v>
      </c>
      <c r="AW584" s="11">
        <v>0</v>
      </c>
      <c r="AX584" s="11">
        <v>0</v>
      </c>
      <c r="AY584" s="11">
        <v>0</v>
      </c>
      <c r="BA584" s="12" t="s">
        <v>6684</v>
      </c>
      <c r="BB584" s="12">
        <v>0</v>
      </c>
      <c r="BC584" s="12">
        <v>0</v>
      </c>
      <c r="BD584" s="12">
        <v>0</v>
      </c>
      <c r="BE584" s="12">
        <v>0</v>
      </c>
      <c r="BF584" s="12">
        <v>0</v>
      </c>
      <c r="BI584" s="12">
        <v>0</v>
      </c>
      <c r="BJ584" s="12">
        <v>0</v>
      </c>
    </row>
    <row r="585" spans="1:62" x14ac:dyDescent="0.15">
      <c r="A585" s="19" t="s">
        <v>6816</v>
      </c>
      <c r="C585" t="s">
        <v>6817</v>
      </c>
      <c r="D585" s="8" t="s">
        <v>6681</v>
      </c>
      <c r="E585" s="9" t="s">
        <v>6682</v>
      </c>
      <c r="L585" s="10">
        <v>3499940</v>
      </c>
      <c r="M585" s="10">
        <v>611577</v>
      </c>
      <c r="N585" s="11">
        <v>15</v>
      </c>
      <c r="O585" s="11" t="s">
        <v>7964</v>
      </c>
      <c r="P585" s="7" t="s">
        <v>6683</v>
      </c>
      <c r="Q585" s="9" t="s">
        <v>7217</v>
      </c>
      <c r="S585" s="9" t="s">
        <v>6564</v>
      </c>
      <c r="T585" s="9" t="s">
        <v>8280</v>
      </c>
      <c r="U585" s="12" t="s">
        <v>5016</v>
      </c>
      <c r="V585" s="12" t="s">
        <v>5021</v>
      </c>
      <c r="W585" s="12">
        <v>0</v>
      </c>
      <c r="X585" s="12">
        <v>0</v>
      </c>
      <c r="Y585" s="12">
        <v>0</v>
      </c>
      <c r="Z585" s="11">
        <v>0</v>
      </c>
      <c r="AA585" s="11">
        <v>0</v>
      </c>
      <c r="AB585" s="11">
        <v>1</v>
      </c>
      <c r="AC585" s="11">
        <v>1</v>
      </c>
      <c r="AD585" s="11">
        <v>1</v>
      </c>
      <c r="AE585" s="11">
        <v>1</v>
      </c>
      <c r="AF585" s="11">
        <v>1</v>
      </c>
      <c r="AG585" s="11">
        <v>1</v>
      </c>
      <c r="AH585" s="9">
        <v>21</v>
      </c>
      <c r="AI585" s="11">
        <v>21</v>
      </c>
      <c r="AJ585" s="11">
        <v>1</v>
      </c>
      <c r="AK585" s="11">
        <v>1</v>
      </c>
      <c r="AL585" s="11">
        <v>1</v>
      </c>
      <c r="AN585" s="11">
        <v>1</v>
      </c>
      <c r="AO585" s="11">
        <v>0</v>
      </c>
      <c r="AP585" s="11">
        <v>0</v>
      </c>
      <c r="AQ585" s="11">
        <v>1</v>
      </c>
      <c r="AR585" s="11">
        <v>1</v>
      </c>
      <c r="AS585" s="11">
        <v>0</v>
      </c>
      <c r="AT585" s="11">
        <v>0</v>
      </c>
      <c r="AU585" s="11">
        <v>0</v>
      </c>
      <c r="AV585" s="11">
        <v>0</v>
      </c>
      <c r="AW585" s="11">
        <v>0</v>
      </c>
      <c r="AX585" s="11">
        <v>0</v>
      </c>
      <c r="AY585" s="11">
        <v>0</v>
      </c>
      <c r="BA585" s="12" t="s">
        <v>6684</v>
      </c>
      <c r="BB585" s="12">
        <v>0</v>
      </c>
      <c r="BC585" s="12">
        <v>0</v>
      </c>
      <c r="BD585" s="12">
        <v>0</v>
      </c>
      <c r="BE585" s="12">
        <v>0</v>
      </c>
      <c r="BF585" s="12">
        <v>0</v>
      </c>
      <c r="BI585" s="12">
        <v>0</v>
      </c>
      <c r="BJ585" s="12">
        <v>0</v>
      </c>
    </row>
    <row r="586" spans="1:62" x14ac:dyDescent="0.15">
      <c r="A586" s="19" t="s">
        <v>6565</v>
      </c>
      <c r="C586" t="s">
        <v>6566</v>
      </c>
      <c r="D586" s="8" t="s">
        <v>6681</v>
      </c>
      <c r="E586" s="9" t="s">
        <v>6682</v>
      </c>
      <c r="L586" s="10">
        <v>3467810</v>
      </c>
      <c r="M586" s="10">
        <v>604756</v>
      </c>
      <c r="N586" s="11">
        <v>15</v>
      </c>
      <c r="O586" s="11" t="s">
        <v>7964</v>
      </c>
      <c r="P586" s="7" t="s">
        <v>6683</v>
      </c>
      <c r="Q586" s="9" t="s">
        <v>7217</v>
      </c>
      <c r="S586" s="9" t="s">
        <v>6681</v>
      </c>
      <c r="T586" s="9" t="s">
        <v>4780</v>
      </c>
      <c r="U586" s="12" t="s">
        <v>5016</v>
      </c>
      <c r="V586" s="12" t="s">
        <v>5019</v>
      </c>
      <c r="W586" s="12">
        <v>0</v>
      </c>
      <c r="X586" s="12">
        <v>0</v>
      </c>
      <c r="Y586" s="12">
        <v>0</v>
      </c>
      <c r="Z586" s="11">
        <v>0</v>
      </c>
      <c r="AA586" s="11">
        <v>0</v>
      </c>
      <c r="AB586" s="11">
        <v>1</v>
      </c>
      <c r="AC586" s="11">
        <v>1</v>
      </c>
      <c r="AD586" s="11">
        <v>1</v>
      </c>
      <c r="AE586" s="11">
        <v>1</v>
      </c>
      <c r="AF586" s="11">
        <v>0</v>
      </c>
      <c r="AG586" s="11">
        <v>0</v>
      </c>
      <c r="AH586" s="9">
        <v>4</v>
      </c>
      <c r="AI586" s="11">
        <v>4</v>
      </c>
      <c r="AJ586" s="11">
        <v>1</v>
      </c>
      <c r="AK586" s="11">
        <v>1</v>
      </c>
      <c r="AL586" s="11">
        <v>1</v>
      </c>
      <c r="AN586" s="11">
        <v>0</v>
      </c>
      <c r="AO586" s="11">
        <v>0</v>
      </c>
      <c r="AP586" s="11">
        <v>0</v>
      </c>
      <c r="AQ586" s="11">
        <v>1</v>
      </c>
      <c r="AR586" s="11">
        <v>0</v>
      </c>
      <c r="AS586" s="11">
        <v>0</v>
      </c>
      <c r="AT586" s="11">
        <v>0</v>
      </c>
      <c r="AU586" s="11">
        <v>0</v>
      </c>
      <c r="AV586" s="11">
        <v>0</v>
      </c>
      <c r="AW586" s="11">
        <v>0</v>
      </c>
      <c r="AX586" s="11">
        <v>0</v>
      </c>
      <c r="AY586" s="11">
        <v>0</v>
      </c>
      <c r="BA586" s="12" t="s">
        <v>6684</v>
      </c>
      <c r="BB586" s="12">
        <v>0</v>
      </c>
      <c r="BC586" s="12">
        <v>0</v>
      </c>
      <c r="BD586" s="12">
        <v>0</v>
      </c>
      <c r="BE586" s="12">
        <v>0</v>
      </c>
      <c r="BF586" s="12">
        <v>0</v>
      </c>
      <c r="BI586" s="12">
        <v>0</v>
      </c>
      <c r="BJ586" s="12">
        <v>0</v>
      </c>
    </row>
    <row r="587" spans="1:62" x14ac:dyDescent="0.15">
      <c r="A587" s="19" t="s">
        <v>6567</v>
      </c>
      <c r="C587" t="s">
        <v>6568</v>
      </c>
      <c r="D587" s="8" t="s">
        <v>6681</v>
      </c>
      <c r="E587" s="9" t="s">
        <v>6682</v>
      </c>
      <c r="L587" s="10">
        <v>3447536</v>
      </c>
      <c r="M587" s="10">
        <v>590384</v>
      </c>
      <c r="N587" s="11">
        <v>15</v>
      </c>
      <c r="O587" s="11" t="s">
        <v>7964</v>
      </c>
      <c r="P587" s="7" t="s">
        <v>6683</v>
      </c>
      <c r="Q587" s="9" t="s">
        <v>7217</v>
      </c>
      <c r="S587" s="9" t="s">
        <v>6569</v>
      </c>
      <c r="T587" s="9" t="s">
        <v>4780</v>
      </c>
      <c r="U587" s="12" t="s">
        <v>5016</v>
      </c>
      <c r="V587" s="12" t="s">
        <v>5019</v>
      </c>
      <c r="W587" s="12">
        <v>0</v>
      </c>
      <c r="X587" s="12">
        <v>0</v>
      </c>
      <c r="Y587" s="12">
        <v>0</v>
      </c>
      <c r="Z587" s="11">
        <v>0</v>
      </c>
      <c r="AA587" s="11">
        <v>0</v>
      </c>
      <c r="AB587" s="11">
        <v>1</v>
      </c>
      <c r="AC587" s="11">
        <v>1</v>
      </c>
      <c r="AD587" s="11">
        <v>1</v>
      </c>
      <c r="AE587" s="11">
        <v>1</v>
      </c>
      <c r="AF587" s="11">
        <v>0</v>
      </c>
      <c r="AG587" s="11">
        <v>0</v>
      </c>
      <c r="AH587" s="9" t="s">
        <v>6570</v>
      </c>
      <c r="AI587" s="11">
        <v>7</v>
      </c>
      <c r="AJ587" s="11">
        <v>1</v>
      </c>
      <c r="AK587" s="11">
        <v>1</v>
      </c>
      <c r="AL587" s="11">
        <v>1</v>
      </c>
      <c r="AN587" s="11">
        <v>0</v>
      </c>
      <c r="AO587" s="11">
        <v>0</v>
      </c>
      <c r="AP587" s="11">
        <v>0</v>
      </c>
      <c r="AQ587" s="11">
        <v>1</v>
      </c>
      <c r="AR587" s="11">
        <v>1</v>
      </c>
      <c r="AS587" s="11">
        <v>0</v>
      </c>
      <c r="AT587" s="11">
        <v>1</v>
      </c>
      <c r="AU587" s="11">
        <v>0</v>
      </c>
      <c r="AV587" s="11">
        <v>0</v>
      </c>
      <c r="AW587" s="11">
        <v>0</v>
      </c>
      <c r="AX587" s="11">
        <v>0</v>
      </c>
      <c r="AY587" s="11">
        <v>0</v>
      </c>
      <c r="AZ587" s="12" t="s">
        <v>4926</v>
      </c>
      <c r="BA587" s="12" t="s">
        <v>4911</v>
      </c>
      <c r="BB587" s="12">
        <v>1</v>
      </c>
      <c r="BC587" s="12">
        <v>0</v>
      </c>
      <c r="BD587" s="12">
        <v>12</v>
      </c>
      <c r="BE587" s="12" t="s">
        <v>6571</v>
      </c>
      <c r="BF587" s="12">
        <f>120*120</f>
        <v>14400</v>
      </c>
      <c r="BI587">
        <f>BD587/BF587</f>
        <v>8.3333333333333339E-4</v>
      </c>
      <c r="BJ587">
        <f>BI587*10000</f>
        <v>8.3333333333333339</v>
      </c>
    </row>
    <row r="588" spans="1:62" x14ac:dyDescent="0.15">
      <c r="A588" s="19" t="s">
        <v>6572</v>
      </c>
      <c r="C588" t="s">
        <v>6573</v>
      </c>
      <c r="D588" s="8" t="s">
        <v>6681</v>
      </c>
      <c r="E588" s="9" t="s">
        <v>6682</v>
      </c>
      <c r="L588" s="10">
        <v>3615560</v>
      </c>
      <c r="M588" s="10">
        <v>652948</v>
      </c>
      <c r="N588" s="11">
        <v>15</v>
      </c>
      <c r="O588" s="11" t="s">
        <v>7964</v>
      </c>
      <c r="P588" s="7" t="s">
        <v>6683</v>
      </c>
      <c r="Q588" s="9" t="s">
        <v>7217</v>
      </c>
      <c r="S588" s="9" t="s">
        <v>6681</v>
      </c>
      <c r="T588" s="9" t="s">
        <v>4780</v>
      </c>
      <c r="U588" s="12" t="s">
        <v>5016</v>
      </c>
      <c r="V588" s="12" t="s">
        <v>5019</v>
      </c>
      <c r="W588" s="12">
        <v>0</v>
      </c>
      <c r="X588" s="12">
        <v>0</v>
      </c>
      <c r="Y588" s="12">
        <v>0</v>
      </c>
      <c r="Z588" s="11">
        <v>0</v>
      </c>
      <c r="AA588" s="11">
        <v>0</v>
      </c>
      <c r="AB588" s="11">
        <v>1</v>
      </c>
      <c r="AC588" s="11">
        <v>1</v>
      </c>
      <c r="AD588" s="11">
        <v>1</v>
      </c>
      <c r="AE588" s="11">
        <v>1</v>
      </c>
      <c r="AF588" s="11">
        <v>0</v>
      </c>
      <c r="AG588" s="11">
        <v>0</v>
      </c>
      <c r="AH588" s="9">
        <v>6</v>
      </c>
      <c r="AI588" s="11">
        <v>6</v>
      </c>
      <c r="AJ588" s="11">
        <v>1</v>
      </c>
      <c r="AK588" s="11">
        <v>1</v>
      </c>
      <c r="AL588" s="11">
        <v>1</v>
      </c>
      <c r="AN588" s="11">
        <v>1</v>
      </c>
      <c r="AO588" s="11">
        <v>0</v>
      </c>
      <c r="AP588" s="11">
        <v>0</v>
      </c>
      <c r="AQ588" s="11">
        <v>1</v>
      </c>
      <c r="AR588" s="11">
        <v>0</v>
      </c>
      <c r="AS588" s="11">
        <v>0</v>
      </c>
      <c r="AT588" s="11">
        <v>0</v>
      </c>
      <c r="AU588" s="11">
        <v>0</v>
      </c>
      <c r="AV588" s="11">
        <v>0</v>
      </c>
      <c r="AW588" s="11">
        <v>0</v>
      </c>
      <c r="AX588" s="11">
        <v>0</v>
      </c>
      <c r="AY588" s="11">
        <v>0</v>
      </c>
      <c r="BA588" s="12" t="s">
        <v>6684</v>
      </c>
      <c r="BB588" s="12">
        <v>0</v>
      </c>
      <c r="BC588" s="12">
        <v>0</v>
      </c>
      <c r="BD588" s="12">
        <v>0</v>
      </c>
      <c r="BE588" s="12">
        <v>0</v>
      </c>
      <c r="BF588" s="12">
        <v>0</v>
      </c>
      <c r="BI588" s="12">
        <v>0</v>
      </c>
      <c r="BJ588" s="12">
        <v>0</v>
      </c>
    </row>
    <row r="589" spans="1:62" x14ac:dyDescent="0.15">
      <c r="A589" s="19" t="s">
        <v>6574</v>
      </c>
      <c r="C589" t="s">
        <v>6575</v>
      </c>
      <c r="D589" s="8" t="s">
        <v>6681</v>
      </c>
      <c r="E589" s="9" t="s">
        <v>6682</v>
      </c>
      <c r="L589" s="10">
        <v>3518940</v>
      </c>
      <c r="M589" s="10">
        <v>615855</v>
      </c>
      <c r="N589" s="11">
        <v>15</v>
      </c>
      <c r="O589" s="11" t="s">
        <v>7964</v>
      </c>
      <c r="P589" s="7" t="s">
        <v>6683</v>
      </c>
      <c r="Q589" s="9" t="s">
        <v>7217</v>
      </c>
      <c r="S589" s="9" t="s">
        <v>6681</v>
      </c>
      <c r="T589" s="9" t="s">
        <v>4780</v>
      </c>
      <c r="U589" s="12" t="s">
        <v>5016</v>
      </c>
      <c r="V589" s="12" t="s">
        <v>5019</v>
      </c>
      <c r="W589" s="12">
        <v>0</v>
      </c>
      <c r="X589" s="12">
        <v>0</v>
      </c>
      <c r="Y589" s="12">
        <v>0</v>
      </c>
      <c r="Z589" s="11">
        <v>0</v>
      </c>
      <c r="AA589" s="11">
        <v>0</v>
      </c>
      <c r="AB589" s="11">
        <v>1</v>
      </c>
      <c r="AC589" s="11">
        <v>1</v>
      </c>
      <c r="AD589" s="11">
        <v>1</v>
      </c>
      <c r="AE589" s="11">
        <v>1</v>
      </c>
      <c r="AF589" s="11">
        <v>0</v>
      </c>
      <c r="AG589" s="11">
        <v>0</v>
      </c>
      <c r="AH589" s="9">
        <v>0</v>
      </c>
      <c r="AI589" s="11">
        <v>0</v>
      </c>
      <c r="AJ589" s="11">
        <v>0</v>
      </c>
      <c r="AK589" s="11">
        <v>0</v>
      </c>
      <c r="AL589" s="11">
        <v>0</v>
      </c>
      <c r="AN589" s="11">
        <v>0</v>
      </c>
      <c r="AO589" s="11">
        <v>0</v>
      </c>
      <c r="AP589" s="11">
        <v>0</v>
      </c>
      <c r="AQ589" s="11">
        <v>0</v>
      </c>
      <c r="AR589" s="11">
        <v>0</v>
      </c>
      <c r="AS589" s="11">
        <v>0</v>
      </c>
      <c r="AT589" s="11">
        <v>0</v>
      </c>
      <c r="AU589" s="11">
        <v>0</v>
      </c>
      <c r="AV589" s="11">
        <v>0</v>
      </c>
      <c r="AW589" s="11">
        <v>0</v>
      </c>
      <c r="AX589" s="11">
        <v>0</v>
      </c>
      <c r="AY589" s="11">
        <v>0</v>
      </c>
      <c r="BA589" s="12" t="s">
        <v>6684</v>
      </c>
      <c r="BB589" s="12">
        <v>0</v>
      </c>
      <c r="BC589" s="12">
        <v>0</v>
      </c>
      <c r="BD589" s="12">
        <v>0</v>
      </c>
      <c r="BE589" s="12">
        <v>0</v>
      </c>
      <c r="BF589" s="12">
        <v>0</v>
      </c>
      <c r="BI589" s="12">
        <v>0</v>
      </c>
      <c r="BJ589" s="12">
        <v>0</v>
      </c>
    </row>
    <row r="590" spans="1:62" x14ac:dyDescent="0.15">
      <c r="A590" s="19" t="s">
        <v>6576</v>
      </c>
      <c r="C590" t="s">
        <v>6577</v>
      </c>
      <c r="D590" s="8" t="s">
        <v>6681</v>
      </c>
      <c r="E590" s="9" t="s">
        <v>6682</v>
      </c>
      <c r="L590" s="10">
        <v>3522230</v>
      </c>
      <c r="M590" s="10">
        <v>628440</v>
      </c>
      <c r="N590" s="11">
        <v>15</v>
      </c>
      <c r="O590" s="11" t="s">
        <v>7964</v>
      </c>
      <c r="P590" s="7" t="s">
        <v>6683</v>
      </c>
      <c r="Q590" s="9" t="s">
        <v>7217</v>
      </c>
      <c r="S590" s="9" t="s">
        <v>6681</v>
      </c>
      <c r="T590" s="9" t="s">
        <v>4780</v>
      </c>
      <c r="U590" s="12" t="s">
        <v>5016</v>
      </c>
      <c r="V590" s="12" t="s">
        <v>5019</v>
      </c>
      <c r="W590" s="12">
        <v>0</v>
      </c>
      <c r="X590" s="12">
        <v>0</v>
      </c>
      <c r="Y590" s="12">
        <v>0</v>
      </c>
      <c r="Z590" s="11">
        <v>0</v>
      </c>
      <c r="AA590" s="11">
        <v>0</v>
      </c>
      <c r="AB590" s="11">
        <v>1</v>
      </c>
      <c r="AC590" s="11">
        <v>1</v>
      </c>
      <c r="AD590" s="11">
        <v>1</v>
      </c>
      <c r="AE590" s="11">
        <v>1</v>
      </c>
      <c r="AF590" s="11">
        <v>0</v>
      </c>
      <c r="AG590" s="11">
        <v>0</v>
      </c>
      <c r="AH590" s="9">
        <v>2</v>
      </c>
      <c r="AI590" s="11">
        <v>2</v>
      </c>
      <c r="AJ590" s="11">
        <v>1</v>
      </c>
      <c r="AK590" s="11">
        <v>1</v>
      </c>
      <c r="AL590" s="11">
        <v>0</v>
      </c>
      <c r="AN590" s="11">
        <v>0</v>
      </c>
      <c r="AO590" s="11">
        <v>0</v>
      </c>
      <c r="AP590" s="11">
        <v>0</v>
      </c>
      <c r="AQ590" s="11">
        <v>0</v>
      </c>
      <c r="AR590" s="11">
        <v>1</v>
      </c>
      <c r="AS590" s="11">
        <v>0</v>
      </c>
      <c r="AT590" s="11">
        <v>0</v>
      </c>
      <c r="AU590" s="11">
        <v>0</v>
      </c>
      <c r="AV590" s="11">
        <v>0</v>
      </c>
      <c r="AW590" s="11">
        <v>0</v>
      </c>
      <c r="AX590" s="11">
        <v>0</v>
      </c>
      <c r="AY590" s="11">
        <v>0</v>
      </c>
      <c r="BA590" s="12" t="s">
        <v>6684</v>
      </c>
      <c r="BB590" s="12">
        <v>0</v>
      </c>
      <c r="BC590" s="12">
        <v>0</v>
      </c>
      <c r="BD590" s="12">
        <v>0</v>
      </c>
      <c r="BE590" s="12">
        <v>0</v>
      </c>
      <c r="BF590" s="12">
        <v>0</v>
      </c>
      <c r="BI590" s="12">
        <v>0</v>
      </c>
      <c r="BJ590" s="12">
        <v>0</v>
      </c>
    </row>
    <row r="591" spans="1:62" x14ac:dyDescent="0.15">
      <c r="A591" s="19" t="s">
        <v>6578</v>
      </c>
      <c r="C591" t="s">
        <v>6579</v>
      </c>
      <c r="D591" s="8" t="s">
        <v>6681</v>
      </c>
      <c r="E591" s="9" t="s">
        <v>6682</v>
      </c>
      <c r="L591" s="10">
        <v>3524360</v>
      </c>
      <c r="M591" s="10">
        <v>616636</v>
      </c>
      <c r="N591" s="11">
        <v>15</v>
      </c>
      <c r="O591" s="11" t="s">
        <v>7964</v>
      </c>
      <c r="P591" s="7" t="s">
        <v>6683</v>
      </c>
      <c r="Q591" s="9" t="s">
        <v>7217</v>
      </c>
      <c r="S591" s="9" t="s">
        <v>6681</v>
      </c>
      <c r="T591" s="9" t="s">
        <v>4780</v>
      </c>
      <c r="U591" s="12" t="s">
        <v>5016</v>
      </c>
      <c r="V591" s="12" t="s">
        <v>5019</v>
      </c>
      <c r="W591" s="12">
        <v>0</v>
      </c>
      <c r="X591" s="12">
        <v>0</v>
      </c>
      <c r="Y591" s="12">
        <v>0</v>
      </c>
      <c r="Z591" s="11">
        <v>0</v>
      </c>
      <c r="AA591" s="11">
        <v>0</v>
      </c>
      <c r="AB591" s="11">
        <v>1</v>
      </c>
      <c r="AC591" s="11">
        <v>1</v>
      </c>
      <c r="AD591" s="11">
        <v>1</v>
      </c>
      <c r="AE591" s="11">
        <v>1</v>
      </c>
      <c r="AF591" s="11">
        <v>0</v>
      </c>
      <c r="AG591" s="11">
        <v>0</v>
      </c>
      <c r="AH591" s="9">
        <v>0</v>
      </c>
      <c r="AI591" s="11">
        <v>0</v>
      </c>
      <c r="AJ591" s="11">
        <v>0</v>
      </c>
      <c r="AK591" s="11">
        <v>0</v>
      </c>
      <c r="AL591" s="11">
        <v>0</v>
      </c>
      <c r="AN591" s="11">
        <v>0</v>
      </c>
      <c r="AO591" s="11">
        <v>0</v>
      </c>
      <c r="AP591" s="11">
        <v>0</v>
      </c>
      <c r="AQ591" s="11">
        <v>0</v>
      </c>
      <c r="AR591" s="11">
        <v>0</v>
      </c>
      <c r="AS591" s="11">
        <v>0</v>
      </c>
      <c r="AT591" s="11">
        <v>0</v>
      </c>
      <c r="AU591" s="11">
        <v>0</v>
      </c>
      <c r="AV591" s="11">
        <v>0</v>
      </c>
      <c r="AW591" s="11">
        <v>0</v>
      </c>
      <c r="AX591" s="11">
        <v>0</v>
      </c>
      <c r="AY591" s="11">
        <v>0</v>
      </c>
      <c r="BA591" s="12" t="s">
        <v>6684</v>
      </c>
      <c r="BB591" s="12">
        <v>0</v>
      </c>
      <c r="BC591" s="12">
        <v>0</v>
      </c>
      <c r="BD591" s="12">
        <v>0</v>
      </c>
      <c r="BE591" s="12">
        <v>0</v>
      </c>
      <c r="BF591" s="12">
        <v>0</v>
      </c>
      <c r="BI591" s="12">
        <v>0</v>
      </c>
      <c r="BJ591" s="12">
        <v>0</v>
      </c>
    </row>
    <row r="592" spans="1:62" x14ac:dyDescent="0.15">
      <c r="A592" s="19" t="s">
        <v>6580</v>
      </c>
      <c r="C592" t="s">
        <v>6581</v>
      </c>
      <c r="D592" s="8" t="s">
        <v>6681</v>
      </c>
      <c r="E592" s="9" t="s">
        <v>6682</v>
      </c>
      <c r="L592" s="10">
        <v>3559450</v>
      </c>
      <c r="M592" s="10">
        <v>692964</v>
      </c>
      <c r="N592" s="11">
        <v>15</v>
      </c>
      <c r="O592" s="11" t="s">
        <v>7964</v>
      </c>
      <c r="P592" s="7" t="s">
        <v>6683</v>
      </c>
      <c r="Q592" s="9" t="s">
        <v>7217</v>
      </c>
      <c r="S592" s="9" t="s">
        <v>6681</v>
      </c>
      <c r="T592" s="9" t="s">
        <v>8280</v>
      </c>
      <c r="U592" s="12" t="s">
        <v>5016</v>
      </c>
      <c r="V592" s="12" t="s">
        <v>5021</v>
      </c>
      <c r="W592" s="12">
        <v>0</v>
      </c>
      <c r="X592" s="12">
        <v>0</v>
      </c>
      <c r="Y592" s="12">
        <v>0</v>
      </c>
      <c r="Z592" s="11">
        <v>0</v>
      </c>
      <c r="AA592" s="11">
        <v>0</v>
      </c>
      <c r="AB592" s="11">
        <v>1</v>
      </c>
      <c r="AC592" s="11">
        <v>1</v>
      </c>
      <c r="AD592" s="11">
        <v>1</v>
      </c>
      <c r="AE592" s="11">
        <v>1</v>
      </c>
      <c r="AF592" s="11">
        <v>1</v>
      </c>
      <c r="AG592" s="11">
        <v>1</v>
      </c>
      <c r="AH592" s="9">
        <v>3</v>
      </c>
      <c r="AI592" s="11">
        <v>3</v>
      </c>
      <c r="AJ592" s="11">
        <v>1</v>
      </c>
      <c r="AK592" s="11">
        <v>1</v>
      </c>
      <c r="AL592" s="11">
        <v>1</v>
      </c>
      <c r="AN592" s="11">
        <v>1</v>
      </c>
      <c r="AO592" s="11">
        <v>0</v>
      </c>
      <c r="AP592" s="11">
        <v>0</v>
      </c>
      <c r="AQ592" s="11">
        <v>1</v>
      </c>
      <c r="AR592" s="11">
        <v>1</v>
      </c>
      <c r="AS592" s="11">
        <v>0</v>
      </c>
      <c r="AT592" s="11">
        <v>0</v>
      </c>
      <c r="AU592" s="11">
        <v>0</v>
      </c>
      <c r="AV592" s="11">
        <v>0</v>
      </c>
      <c r="AW592" s="11">
        <v>0</v>
      </c>
      <c r="AX592" s="11">
        <v>0</v>
      </c>
      <c r="AY592" s="11">
        <v>0</v>
      </c>
      <c r="BA592" s="12" t="s">
        <v>6684</v>
      </c>
      <c r="BB592" s="12">
        <v>0</v>
      </c>
      <c r="BC592" s="12">
        <v>0</v>
      </c>
      <c r="BD592" s="12">
        <v>0</v>
      </c>
      <c r="BE592" s="12">
        <v>0</v>
      </c>
      <c r="BF592" s="12">
        <v>0</v>
      </c>
      <c r="BI592" s="12">
        <v>0</v>
      </c>
      <c r="BJ592" s="12">
        <v>0</v>
      </c>
    </row>
    <row r="593" spans="1:62" x14ac:dyDescent="0.15">
      <c r="A593" s="19" t="s">
        <v>6582</v>
      </c>
      <c r="C593" t="s">
        <v>6583</v>
      </c>
      <c r="D593" s="8" t="s">
        <v>6681</v>
      </c>
      <c r="E593" s="9" t="s">
        <v>6682</v>
      </c>
      <c r="L593" s="10">
        <v>3564050</v>
      </c>
      <c r="M593" s="10">
        <v>639261</v>
      </c>
      <c r="N593" s="11">
        <v>15</v>
      </c>
      <c r="O593" s="11" t="s">
        <v>7964</v>
      </c>
      <c r="P593" s="7" t="s">
        <v>6683</v>
      </c>
      <c r="Q593" s="9" t="s">
        <v>7217</v>
      </c>
      <c r="S593" s="9" t="s">
        <v>6681</v>
      </c>
      <c r="T593" s="9" t="s">
        <v>4884</v>
      </c>
      <c r="U593" s="12" t="s">
        <v>5016</v>
      </c>
      <c r="V593" s="12" t="s">
        <v>5017</v>
      </c>
      <c r="W593" s="12">
        <v>0</v>
      </c>
      <c r="X593" s="12">
        <v>0</v>
      </c>
      <c r="Y593" s="12">
        <v>0</v>
      </c>
      <c r="Z593" s="11">
        <v>0</v>
      </c>
      <c r="AA593" s="11">
        <v>0</v>
      </c>
      <c r="AB593" s="11">
        <v>1</v>
      </c>
      <c r="AC593" s="11">
        <v>1</v>
      </c>
      <c r="AD593" s="11">
        <v>0</v>
      </c>
      <c r="AE593" s="11">
        <v>0</v>
      </c>
      <c r="AF593" s="11">
        <v>0</v>
      </c>
      <c r="AG593" s="11">
        <v>0</v>
      </c>
      <c r="AH593" s="9">
        <v>0</v>
      </c>
      <c r="AI593" s="11">
        <v>0</v>
      </c>
      <c r="AJ593" s="11">
        <v>0</v>
      </c>
      <c r="AK593" s="11">
        <v>0</v>
      </c>
      <c r="AL593" s="11">
        <v>0</v>
      </c>
      <c r="AN593" s="11">
        <v>0</v>
      </c>
      <c r="AO593" s="11">
        <v>0</v>
      </c>
      <c r="AP593" s="11">
        <v>0</v>
      </c>
      <c r="AQ593" s="11">
        <v>0</v>
      </c>
      <c r="AR593" s="11">
        <v>0</v>
      </c>
      <c r="AS593" s="11">
        <v>0</v>
      </c>
      <c r="AT593" s="11">
        <v>0</v>
      </c>
      <c r="AU593" s="11">
        <v>0</v>
      </c>
      <c r="AV593" s="11">
        <v>0</v>
      </c>
      <c r="AW593" s="11">
        <v>0</v>
      </c>
      <c r="AX593" s="11">
        <v>0</v>
      </c>
      <c r="AY593" s="11">
        <v>0</v>
      </c>
      <c r="BA593" s="12" t="s">
        <v>6684</v>
      </c>
      <c r="BB593" s="12">
        <v>0</v>
      </c>
      <c r="BC593" s="12">
        <v>0</v>
      </c>
      <c r="BD593" s="12">
        <v>0</v>
      </c>
      <c r="BE593" s="12">
        <v>0</v>
      </c>
      <c r="BF593" s="12">
        <v>0</v>
      </c>
      <c r="BI593" s="12">
        <v>0</v>
      </c>
      <c r="BJ593" s="12">
        <v>0</v>
      </c>
    </row>
    <row r="594" spans="1:62" x14ac:dyDescent="0.15">
      <c r="A594" s="19" t="s">
        <v>6584</v>
      </c>
      <c r="C594" t="s">
        <v>6585</v>
      </c>
      <c r="D594" s="8" t="s">
        <v>6681</v>
      </c>
      <c r="E594" s="9" t="s">
        <v>6682</v>
      </c>
      <c r="L594" s="10">
        <v>3531430</v>
      </c>
      <c r="M594" s="10">
        <v>510327</v>
      </c>
      <c r="N594" s="11">
        <v>15</v>
      </c>
      <c r="O594" s="11" t="s">
        <v>7964</v>
      </c>
      <c r="P594" s="7" t="s">
        <v>6683</v>
      </c>
      <c r="Q594" s="9" t="s">
        <v>7217</v>
      </c>
      <c r="S594" s="9" t="s">
        <v>6681</v>
      </c>
      <c r="T594" s="9" t="s">
        <v>4884</v>
      </c>
      <c r="U594" s="12" t="s">
        <v>5016</v>
      </c>
      <c r="V594" s="12" t="s">
        <v>5017</v>
      </c>
      <c r="W594" s="12">
        <v>0</v>
      </c>
      <c r="X594" s="12">
        <v>0</v>
      </c>
      <c r="Y594" s="12">
        <v>0</v>
      </c>
      <c r="Z594" s="11">
        <v>0</v>
      </c>
      <c r="AA594" s="11">
        <v>0</v>
      </c>
      <c r="AB594" s="11">
        <v>1</v>
      </c>
      <c r="AC594" s="11">
        <v>1</v>
      </c>
      <c r="AD594" s="11">
        <v>0</v>
      </c>
      <c r="AE594" s="11">
        <v>0</v>
      </c>
      <c r="AF594" s="11">
        <v>0</v>
      </c>
      <c r="AG594" s="11">
        <v>0</v>
      </c>
      <c r="AH594" s="9">
        <v>1</v>
      </c>
      <c r="AI594" s="11">
        <v>1</v>
      </c>
      <c r="AJ594" s="11">
        <v>1</v>
      </c>
      <c r="AK594" s="11">
        <v>0</v>
      </c>
      <c r="AL594" s="11">
        <v>0</v>
      </c>
      <c r="AN594" s="11">
        <v>0</v>
      </c>
      <c r="AO594" s="11">
        <v>0</v>
      </c>
      <c r="AP594" s="11">
        <v>0</v>
      </c>
      <c r="AQ594" s="11">
        <v>0</v>
      </c>
      <c r="AR594" s="11">
        <v>1</v>
      </c>
      <c r="AS594" s="11">
        <v>0</v>
      </c>
      <c r="AT594" s="11">
        <v>0</v>
      </c>
      <c r="AU594" s="11">
        <v>0</v>
      </c>
      <c r="AV594" s="11">
        <v>0</v>
      </c>
      <c r="AW594" s="11">
        <v>0</v>
      </c>
      <c r="AX594" s="11">
        <v>0</v>
      </c>
      <c r="AY594" s="11">
        <v>0</v>
      </c>
      <c r="BA594" s="12" t="s">
        <v>6684</v>
      </c>
      <c r="BB594" s="12">
        <v>0</v>
      </c>
      <c r="BC594" s="12">
        <v>0</v>
      </c>
      <c r="BD594" s="12">
        <v>0</v>
      </c>
      <c r="BE594" s="12">
        <v>0</v>
      </c>
      <c r="BF594" s="12">
        <v>0</v>
      </c>
      <c r="BI594" s="12">
        <v>0</v>
      </c>
      <c r="BJ594" s="12">
        <v>0</v>
      </c>
    </row>
    <row r="595" spans="1:62" x14ac:dyDescent="0.15">
      <c r="A595" s="19" t="s">
        <v>6586</v>
      </c>
      <c r="C595" t="s">
        <v>6587</v>
      </c>
      <c r="D595" s="8" t="s">
        <v>6681</v>
      </c>
      <c r="E595" s="9" t="s">
        <v>6682</v>
      </c>
      <c r="L595" s="10">
        <v>3642470</v>
      </c>
      <c r="M595" s="10">
        <v>659747</v>
      </c>
      <c r="N595" s="11">
        <v>15</v>
      </c>
      <c r="O595" s="11" t="s">
        <v>7964</v>
      </c>
      <c r="P595" s="7" t="s">
        <v>6683</v>
      </c>
      <c r="Q595" s="9" t="s">
        <v>7217</v>
      </c>
      <c r="S595" s="9" t="s">
        <v>6681</v>
      </c>
      <c r="T595" s="9" t="s">
        <v>4884</v>
      </c>
      <c r="U595" s="12" t="s">
        <v>5016</v>
      </c>
      <c r="V595" s="12" t="s">
        <v>5017</v>
      </c>
      <c r="W595" s="12">
        <v>0</v>
      </c>
      <c r="X595" s="12">
        <v>0</v>
      </c>
      <c r="Y595" s="12">
        <v>0</v>
      </c>
      <c r="Z595" s="11">
        <v>0</v>
      </c>
      <c r="AA595" s="11">
        <v>0</v>
      </c>
      <c r="AB595" s="11">
        <v>1</v>
      </c>
      <c r="AC595" s="11">
        <v>1</v>
      </c>
      <c r="AD595" s="11">
        <v>0</v>
      </c>
      <c r="AE595" s="11">
        <v>0</v>
      </c>
      <c r="AF595" s="11">
        <v>0</v>
      </c>
      <c r="AG595" s="11">
        <v>0</v>
      </c>
      <c r="AH595" s="9">
        <v>4</v>
      </c>
      <c r="AI595" s="11">
        <v>4</v>
      </c>
      <c r="AJ595" s="11">
        <v>1</v>
      </c>
      <c r="AK595" s="11">
        <v>1</v>
      </c>
      <c r="AL595" s="11">
        <v>0</v>
      </c>
      <c r="AN595" s="11">
        <v>0</v>
      </c>
      <c r="AO595" s="11">
        <v>0</v>
      </c>
      <c r="AP595" s="11">
        <v>0</v>
      </c>
      <c r="AQ595" s="11">
        <v>0</v>
      </c>
      <c r="AR595" s="11">
        <v>1</v>
      </c>
      <c r="AS595" s="11">
        <v>0</v>
      </c>
      <c r="AT595" s="11">
        <v>0</v>
      </c>
      <c r="AU595" s="11">
        <v>0</v>
      </c>
      <c r="AV595" s="11">
        <v>0</v>
      </c>
      <c r="AW595" s="11">
        <v>0</v>
      </c>
      <c r="AX595" s="11">
        <v>0</v>
      </c>
      <c r="AY595" s="11">
        <v>0</v>
      </c>
      <c r="BA595" s="12" t="s">
        <v>6684</v>
      </c>
      <c r="BB595" s="12">
        <v>0</v>
      </c>
      <c r="BC595" s="12">
        <v>0</v>
      </c>
      <c r="BD595" s="12">
        <v>0</v>
      </c>
      <c r="BE595" s="12">
        <v>0</v>
      </c>
      <c r="BF595" s="12">
        <v>0</v>
      </c>
      <c r="BI595" s="12">
        <v>0</v>
      </c>
      <c r="BJ595" s="12">
        <v>0</v>
      </c>
    </row>
    <row r="596" spans="1:62" x14ac:dyDescent="0.15">
      <c r="A596" s="19" t="s">
        <v>6588</v>
      </c>
      <c r="C596" t="s">
        <v>6589</v>
      </c>
      <c r="D596" s="8" t="s">
        <v>6681</v>
      </c>
      <c r="E596" s="9" t="s">
        <v>6682</v>
      </c>
      <c r="L596" s="10">
        <v>3380800</v>
      </c>
      <c r="M596" s="10">
        <v>651510</v>
      </c>
      <c r="N596" s="11">
        <v>15</v>
      </c>
      <c r="O596" s="11" t="s">
        <v>7964</v>
      </c>
      <c r="P596" s="7" t="s">
        <v>6683</v>
      </c>
      <c r="Q596" s="9" t="s">
        <v>7217</v>
      </c>
      <c r="S596" s="9" t="s">
        <v>6681</v>
      </c>
      <c r="T596" s="9" t="s">
        <v>4884</v>
      </c>
      <c r="U596" s="12" t="s">
        <v>5016</v>
      </c>
      <c r="V596" s="12" t="s">
        <v>5017</v>
      </c>
      <c r="W596" s="12">
        <v>0</v>
      </c>
      <c r="X596" s="12">
        <v>0</v>
      </c>
      <c r="Y596" s="12">
        <v>0</v>
      </c>
      <c r="Z596" s="11">
        <v>0</v>
      </c>
      <c r="AA596" s="11">
        <v>0</v>
      </c>
      <c r="AB596" s="11">
        <v>1</v>
      </c>
      <c r="AC596" s="11">
        <v>1</v>
      </c>
      <c r="AD596" s="11">
        <v>0</v>
      </c>
      <c r="AE596" s="11">
        <v>0</v>
      </c>
      <c r="AF596" s="11">
        <v>0</v>
      </c>
      <c r="AG596" s="11">
        <v>0</v>
      </c>
      <c r="AH596" s="9">
        <v>1</v>
      </c>
      <c r="AI596" s="11">
        <v>1</v>
      </c>
      <c r="AJ596" s="11">
        <v>1</v>
      </c>
      <c r="AK596" s="11">
        <v>0</v>
      </c>
      <c r="AL596" s="11">
        <v>0</v>
      </c>
      <c r="AN596" s="11">
        <v>0</v>
      </c>
      <c r="AO596" s="11">
        <v>0</v>
      </c>
      <c r="AP596" s="11">
        <v>0</v>
      </c>
      <c r="AQ596" s="11">
        <v>0</v>
      </c>
      <c r="AR596" s="11">
        <v>1</v>
      </c>
      <c r="AS596" s="11">
        <v>0</v>
      </c>
      <c r="AT596" s="11">
        <v>0</v>
      </c>
      <c r="AU596" s="11">
        <v>0</v>
      </c>
      <c r="AV596" s="11">
        <v>0</v>
      </c>
      <c r="AW596" s="11">
        <v>0</v>
      </c>
      <c r="AX596" s="11">
        <v>0</v>
      </c>
      <c r="AY596" s="11">
        <v>0</v>
      </c>
      <c r="BA596" s="12" t="s">
        <v>6684</v>
      </c>
      <c r="BB596" s="12">
        <v>0</v>
      </c>
      <c r="BC596" s="12">
        <v>0</v>
      </c>
      <c r="BD596" s="12">
        <v>0</v>
      </c>
      <c r="BE596" s="12">
        <v>0</v>
      </c>
      <c r="BF596" s="12">
        <v>0</v>
      </c>
      <c r="BI596" s="12">
        <v>0</v>
      </c>
      <c r="BJ596" s="12">
        <v>0</v>
      </c>
    </row>
    <row r="597" spans="1:62" x14ac:dyDescent="0.15">
      <c r="A597" s="19" t="s">
        <v>6590</v>
      </c>
      <c r="C597" t="s">
        <v>6591</v>
      </c>
      <c r="D597" s="8" t="s">
        <v>6681</v>
      </c>
      <c r="E597" s="9" t="s">
        <v>6682</v>
      </c>
      <c r="L597" s="10">
        <v>3500690</v>
      </c>
      <c r="M597" s="10">
        <v>628655</v>
      </c>
      <c r="N597" s="11">
        <v>15</v>
      </c>
      <c r="O597" s="11" t="s">
        <v>7964</v>
      </c>
      <c r="P597" s="7" t="s">
        <v>6683</v>
      </c>
      <c r="Q597" s="9" t="s">
        <v>7217</v>
      </c>
      <c r="S597" s="9" t="s">
        <v>6681</v>
      </c>
      <c r="T597" s="9" t="s">
        <v>4780</v>
      </c>
      <c r="U597" s="12" t="s">
        <v>5016</v>
      </c>
      <c r="V597" s="12" t="s">
        <v>5019</v>
      </c>
      <c r="W597" s="12">
        <v>0</v>
      </c>
      <c r="X597" s="12">
        <v>0</v>
      </c>
      <c r="Y597" s="12">
        <v>0</v>
      </c>
      <c r="Z597" s="11">
        <v>0</v>
      </c>
      <c r="AA597" s="11">
        <v>0</v>
      </c>
      <c r="AB597" s="11">
        <v>1</v>
      </c>
      <c r="AC597" s="11">
        <v>1</v>
      </c>
      <c r="AD597" s="11">
        <v>1</v>
      </c>
      <c r="AE597" s="11">
        <v>1</v>
      </c>
      <c r="AF597" s="11">
        <v>0</v>
      </c>
      <c r="AG597" s="11">
        <v>0</v>
      </c>
      <c r="AH597" s="9">
        <v>1</v>
      </c>
      <c r="AI597" s="11">
        <v>1</v>
      </c>
      <c r="AJ597" s="11">
        <v>1</v>
      </c>
      <c r="AK597" s="11">
        <v>0</v>
      </c>
      <c r="AL597" s="11">
        <v>0</v>
      </c>
      <c r="AN597" s="11">
        <v>0</v>
      </c>
      <c r="AO597" s="11">
        <v>0</v>
      </c>
      <c r="AP597" s="11">
        <v>0</v>
      </c>
      <c r="AQ597" s="11">
        <v>0</v>
      </c>
      <c r="AR597" s="11">
        <v>1</v>
      </c>
      <c r="AS597" s="11">
        <v>0</v>
      </c>
      <c r="AT597" s="11">
        <v>0</v>
      </c>
      <c r="AU597" s="11">
        <v>0</v>
      </c>
      <c r="AV597" s="11">
        <v>0</v>
      </c>
      <c r="AW597" s="11">
        <v>0</v>
      </c>
      <c r="AX597" s="11">
        <v>0</v>
      </c>
      <c r="AY597" s="11">
        <v>0</v>
      </c>
      <c r="BA597" s="12" t="s">
        <v>6684</v>
      </c>
      <c r="BB597" s="12">
        <v>0</v>
      </c>
      <c r="BC597" s="12">
        <v>0</v>
      </c>
      <c r="BD597" s="12">
        <v>0</v>
      </c>
      <c r="BE597" s="12">
        <v>0</v>
      </c>
      <c r="BF597" s="12">
        <v>0</v>
      </c>
      <c r="BI597" s="12">
        <v>0</v>
      </c>
      <c r="BJ597" s="12">
        <v>0</v>
      </c>
    </row>
    <row r="598" spans="1:62" x14ac:dyDescent="0.15">
      <c r="A598" s="19" t="s">
        <v>6592</v>
      </c>
      <c r="C598" t="s">
        <v>6593</v>
      </c>
      <c r="D598" s="8" t="s">
        <v>6681</v>
      </c>
      <c r="E598" s="9" t="s">
        <v>6682</v>
      </c>
      <c r="L598" s="10">
        <v>3442060</v>
      </c>
      <c r="M598" s="10">
        <v>592371</v>
      </c>
      <c r="N598" s="11">
        <v>15</v>
      </c>
      <c r="O598" s="11" t="s">
        <v>7964</v>
      </c>
      <c r="P598" s="7" t="s">
        <v>6683</v>
      </c>
      <c r="Q598" s="9" t="s">
        <v>7217</v>
      </c>
      <c r="S598" s="9" t="s">
        <v>6681</v>
      </c>
      <c r="T598" s="9" t="s">
        <v>4884</v>
      </c>
      <c r="U598" s="12" t="s">
        <v>5016</v>
      </c>
      <c r="V598" s="12" t="s">
        <v>5017</v>
      </c>
      <c r="W598" s="12">
        <v>0</v>
      </c>
      <c r="X598" s="12">
        <v>0</v>
      </c>
      <c r="Y598" s="12">
        <v>0</v>
      </c>
      <c r="Z598" s="11">
        <v>0</v>
      </c>
      <c r="AA598" s="11">
        <v>0</v>
      </c>
      <c r="AB598" s="11">
        <v>1</v>
      </c>
      <c r="AC598" s="11">
        <v>1</v>
      </c>
      <c r="AD598" s="11">
        <v>0</v>
      </c>
      <c r="AE598" s="11">
        <v>0</v>
      </c>
      <c r="AF598" s="11">
        <v>0</v>
      </c>
      <c r="AG598" s="11">
        <v>0</v>
      </c>
      <c r="AH598" s="9">
        <v>4</v>
      </c>
      <c r="AI598" s="11">
        <v>4</v>
      </c>
      <c r="AJ598" s="11">
        <v>1</v>
      </c>
      <c r="AK598" s="11">
        <v>1</v>
      </c>
      <c r="AL598" s="11">
        <v>1</v>
      </c>
      <c r="AN598" s="11">
        <v>0</v>
      </c>
      <c r="AO598" s="11">
        <v>0</v>
      </c>
      <c r="AP598" s="11">
        <v>0</v>
      </c>
      <c r="AQ598" s="11">
        <v>1</v>
      </c>
      <c r="AR598" s="11">
        <v>1</v>
      </c>
      <c r="AS598" s="11">
        <v>0</v>
      </c>
      <c r="AT598" s="11">
        <v>0</v>
      </c>
      <c r="AU598" s="11">
        <v>0</v>
      </c>
      <c r="AV598" s="11">
        <v>1</v>
      </c>
      <c r="AW598" s="11">
        <v>0</v>
      </c>
      <c r="AX598" s="11">
        <v>0</v>
      </c>
      <c r="AY598" s="11">
        <v>0</v>
      </c>
      <c r="AZ598" s="12" t="s">
        <v>4910</v>
      </c>
      <c r="BA598" s="12" t="s">
        <v>4911</v>
      </c>
      <c r="BB598" s="12">
        <v>0</v>
      </c>
      <c r="BC598" s="12">
        <v>0</v>
      </c>
      <c r="BD598" s="12">
        <v>0</v>
      </c>
      <c r="BE598" s="12">
        <v>0</v>
      </c>
      <c r="BF598" s="12">
        <v>0</v>
      </c>
      <c r="BI598" s="12">
        <v>0</v>
      </c>
      <c r="BJ598" s="12">
        <v>0</v>
      </c>
    </row>
    <row r="599" spans="1:62" x14ac:dyDescent="0.15">
      <c r="A599" s="7" t="s">
        <v>6433</v>
      </c>
      <c r="B599" s="7" t="s">
        <v>6594</v>
      </c>
      <c r="C599" s="7" t="s">
        <v>6595</v>
      </c>
      <c r="D599" s="8" t="s">
        <v>6596</v>
      </c>
      <c r="E599" s="9" t="s">
        <v>6526</v>
      </c>
      <c r="L599" s="10">
        <v>3767832</v>
      </c>
      <c r="M599" s="10">
        <v>646824</v>
      </c>
      <c r="N599" s="11">
        <v>15</v>
      </c>
      <c r="O599" s="11" t="s">
        <v>4871</v>
      </c>
      <c r="P599" s="7" t="s">
        <v>6597</v>
      </c>
      <c r="Q599" s="9" t="s">
        <v>7217</v>
      </c>
      <c r="S599" s="9" t="s">
        <v>6596</v>
      </c>
      <c r="T599" s="9" t="s">
        <v>4875</v>
      </c>
      <c r="U599" s="12" t="s">
        <v>5020</v>
      </c>
      <c r="V599" s="12" t="s">
        <v>5021</v>
      </c>
      <c r="W599" s="12">
        <v>0</v>
      </c>
      <c r="X599" s="12">
        <v>0</v>
      </c>
      <c r="Y599" s="12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1</v>
      </c>
      <c r="AG599" s="11">
        <v>1</v>
      </c>
      <c r="AH599" s="9" t="s">
        <v>4909</v>
      </c>
      <c r="AI599" s="11">
        <v>1</v>
      </c>
      <c r="AJ599" s="11">
        <v>1</v>
      </c>
      <c r="AK599" s="11">
        <v>0</v>
      </c>
      <c r="AL599" s="11">
        <v>1</v>
      </c>
      <c r="AN599" s="11">
        <v>0</v>
      </c>
      <c r="AO599" s="11">
        <v>0</v>
      </c>
      <c r="AP599" s="11">
        <v>0</v>
      </c>
      <c r="AQ599" s="11">
        <v>0</v>
      </c>
      <c r="AR599" s="11">
        <v>0</v>
      </c>
      <c r="AS599" s="11">
        <v>0</v>
      </c>
      <c r="AT599" s="11">
        <v>0</v>
      </c>
      <c r="AU599" s="11">
        <v>0</v>
      </c>
      <c r="AV599" s="11">
        <v>0</v>
      </c>
      <c r="AW599" s="11">
        <v>0</v>
      </c>
      <c r="AX599" s="11">
        <v>0</v>
      </c>
      <c r="AY599" s="11">
        <v>0</v>
      </c>
      <c r="BA599" s="12" t="s">
        <v>6684</v>
      </c>
      <c r="BB599" s="12">
        <v>0</v>
      </c>
      <c r="BC599" s="12">
        <v>0</v>
      </c>
      <c r="BD599" s="12">
        <v>0</v>
      </c>
      <c r="BE599" s="12">
        <v>0</v>
      </c>
      <c r="BF599" s="12">
        <v>0</v>
      </c>
      <c r="BI599" s="12">
        <v>0</v>
      </c>
      <c r="BJ599" s="12">
        <v>0</v>
      </c>
    </row>
    <row r="600" spans="1:62" x14ac:dyDescent="0.15">
      <c r="A600" s="7" t="s">
        <v>6598</v>
      </c>
      <c r="B600" s="7" t="s">
        <v>6599</v>
      </c>
      <c r="C600" s="7" t="s">
        <v>6600</v>
      </c>
      <c r="D600" s="8" t="s">
        <v>6596</v>
      </c>
      <c r="E600" s="9" t="s">
        <v>6526</v>
      </c>
      <c r="L600" s="10">
        <v>3802310</v>
      </c>
      <c r="M600" s="10">
        <v>626000</v>
      </c>
      <c r="N600" s="11">
        <v>15</v>
      </c>
      <c r="O600" s="11" t="s">
        <v>6876</v>
      </c>
      <c r="P600" s="7" t="s">
        <v>6601</v>
      </c>
      <c r="Q600" s="9" t="s">
        <v>7217</v>
      </c>
      <c r="S600" s="9" t="s">
        <v>6596</v>
      </c>
      <c r="T600" s="9" t="s">
        <v>8484</v>
      </c>
      <c r="U600" s="12" t="s">
        <v>5019</v>
      </c>
      <c r="V600" s="12" t="s">
        <v>5020</v>
      </c>
      <c r="W600" s="12">
        <v>0</v>
      </c>
      <c r="X600" s="12">
        <v>0</v>
      </c>
      <c r="Y600" s="12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1</v>
      </c>
      <c r="AF600" s="11">
        <v>1</v>
      </c>
      <c r="AG600" s="11">
        <v>0</v>
      </c>
      <c r="AH600" s="9" t="s">
        <v>4909</v>
      </c>
      <c r="AI600" s="11">
        <v>1</v>
      </c>
      <c r="AJ600" s="11">
        <v>1</v>
      </c>
      <c r="AK600" s="11">
        <v>0</v>
      </c>
      <c r="AL600" s="11">
        <v>0</v>
      </c>
      <c r="AN600" s="11">
        <v>0</v>
      </c>
      <c r="AO600" s="11">
        <v>0</v>
      </c>
      <c r="AP600" s="11">
        <v>0</v>
      </c>
      <c r="AQ600" s="11">
        <v>0</v>
      </c>
      <c r="AR600" s="11">
        <v>1</v>
      </c>
      <c r="AS600" s="11">
        <v>0</v>
      </c>
      <c r="AT600" s="11">
        <v>0</v>
      </c>
      <c r="AU600" s="11">
        <v>0</v>
      </c>
      <c r="AV600" s="11">
        <v>0</v>
      </c>
      <c r="AW600" s="11">
        <v>0</v>
      </c>
      <c r="AX600" s="11">
        <v>0</v>
      </c>
      <c r="AY600" s="11">
        <v>0</v>
      </c>
      <c r="BA600" s="12" t="s">
        <v>6684</v>
      </c>
      <c r="BB600" s="12">
        <v>0</v>
      </c>
      <c r="BC600" s="12">
        <v>0</v>
      </c>
      <c r="BD600" s="12">
        <v>12</v>
      </c>
      <c r="BE600" s="12">
        <v>0</v>
      </c>
      <c r="BF600" s="12">
        <f>(50/2)^2*PI()</f>
        <v>1963.4954084936207</v>
      </c>
      <c r="BI600">
        <f>BD600/BF600</f>
        <v>6.1115498147287809E-3</v>
      </c>
      <c r="BJ600">
        <f>BI600*10000</f>
        <v>61.115498147287809</v>
      </c>
    </row>
    <row r="601" spans="1:62" x14ac:dyDescent="0.15">
      <c r="A601" s="7" t="s">
        <v>6602</v>
      </c>
      <c r="B601" s="7" t="s">
        <v>6603</v>
      </c>
      <c r="C601" s="7" t="s">
        <v>6604</v>
      </c>
      <c r="D601" s="8" t="s">
        <v>6596</v>
      </c>
      <c r="E601" s="9" t="s">
        <v>6526</v>
      </c>
      <c r="L601" s="10">
        <v>3793268</v>
      </c>
      <c r="M601" s="10">
        <v>662942</v>
      </c>
      <c r="N601" s="11">
        <v>15</v>
      </c>
      <c r="O601" s="11" t="s">
        <v>4871</v>
      </c>
      <c r="P601" s="7" t="s">
        <v>6605</v>
      </c>
      <c r="Q601" s="9" t="s">
        <v>7217</v>
      </c>
      <c r="S601" s="9" t="s">
        <v>6596</v>
      </c>
      <c r="T601" s="9" t="s">
        <v>4902</v>
      </c>
      <c r="U601" s="12" t="s">
        <v>4902</v>
      </c>
      <c r="V601" s="12" t="s">
        <v>4902</v>
      </c>
      <c r="W601" s="12">
        <v>0</v>
      </c>
      <c r="X601" s="12">
        <v>0</v>
      </c>
      <c r="Y601" s="12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9" t="s">
        <v>8248</v>
      </c>
      <c r="AI601" s="11">
        <v>1</v>
      </c>
      <c r="AJ601" s="11">
        <v>1</v>
      </c>
      <c r="AK601" s="11">
        <v>0</v>
      </c>
      <c r="AL601" s="11">
        <v>0</v>
      </c>
      <c r="AN601" s="11">
        <v>0</v>
      </c>
      <c r="AO601" s="11">
        <v>0</v>
      </c>
      <c r="AP601" s="11">
        <v>0</v>
      </c>
      <c r="AQ601" s="11">
        <v>0</v>
      </c>
      <c r="AR601" s="11">
        <v>0</v>
      </c>
      <c r="AS601" s="11">
        <v>0</v>
      </c>
      <c r="AT601" s="11">
        <v>1</v>
      </c>
      <c r="AU601" s="11">
        <v>0</v>
      </c>
      <c r="AV601" s="11">
        <v>0</v>
      </c>
      <c r="AW601" s="11">
        <v>0</v>
      </c>
      <c r="AX601" s="11">
        <v>0</v>
      </c>
      <c r="AY601" s="11">
        <v>0</v>
      </c>
      <c r="BA601" s="12" t="s">
        <v>6684</v>
      </c>
      <c r="BB601" s="12">
        <v>0</v>
      </c>
      <c r="BC601" s="12">
        <v>0</v>
      </c>
      <c r="BD601" s="12">
        <v>0</v>
      </c>
      <c r="BE601" s="12">
        <v>0</v>
      </c>
      <c r="BF601" s="12">
        <v>0</v>
      </c>
      <c r="BI601" s="12">
        <v>0</v>
      </c>
      <c r="BJ601" s="12">
        <v>0</v>
      </c>
    </row>
    <row r="602" spans="1:62" x14ac:dyDescent="0.15">
      <c r="A602" s="7" t="s">
        <v>6606</v>
      </c>
      <c r="B602" s="7" t="s">
        <v>6607</v>
      </c>
      <c r="C602" s="7" t="s">
        <v>6608</v>
      </c>
      <c r="D602" s="8" t="s">
        <v>6596</v>
      </c>
      <c r="E602" s="9" t="s">
        <v>6526</v>
      </c>
      <c r="L602" s="10">
        <v>3812156</v>
      </c>
      <c r="M602" s="10">
        <v>622370</v>
      </c>
      <c r="N602" s="11">
        <v>15</v>
      </c>
      <c r="O602" s="11" t="s">
        <v>4871</v>
      </c>
      <c r="P602" s="7" t="s">
        <v>6609</v>
      </c>
      <c r="Q602" s="9" t="s">
        <v>7217</v>
      </c>
      <c r="S602" s="9" t="s">
        <v>6596</v>
      </c>
      <c r="T602" s="9" t="s">
        <v>4902</v>
      </c>
      <c r="U602" s="12" t="s">
        <v>4902</v>
      </c>
      <c r="V602" s="12" t="s">
        <v>4902</v>
      </c>
      <c r="W602" s="12">
        <v>0</v>
      </c>
      <c r="X602" s="12">
        <v>0</v>
      </c>
      <c r="Y602" s="12">
        <v>0</v>
      </c>
      <c r="Z602" s="11">
        <v>0</v>
      </c>
      <c r="AA602" s="11">
        <v>0</v>
      </c>
      <c r="AB602" s="11">
        <v>0</v>
      </c>
      <c r="AC602" s="11">
        <v>0</v>
      </c>
      <c r="AD602" s="11">
        <v>0</v>
      </c>
      <c r="AE602" s="11">
        <v>0</v>
      </c>
      <c r="AF602" s="11">
        <v>0</v>
      </c>
      <c r="AG602" s="11">
        <v>0</v>
      </c>
      <c r="AH602" s="9" t="s">
        <v>4909</v>
      </c>
      <c r="AI602" s="11">
        <v>1</v>
      </c>
      <c r="AJ602" s="11">
        <v>0</v>
      </c>
      <c r="AK602" s="11">
        <v>0</v>
      </c>
      <c r="AL602" s="11">
        <v>0</v>
      </c>
      <c r="AN602" s="11">
        <v>0</v>
      </c>
      <c r="AO602" s="11">
        <v>0</v>
      </c>
      <c r="AP602" s="11">
        <v>0</v>
      </c>
      <c r="AQ602" s="11">
        <v>0</v>
      </c>
      <c r="AR602" s="11">
        <v>0</v>
      </c>
      <c r="AS602" s="11">
        <v>0</v>
      </c>
      <c r="AT602" s="11">
        <v>1</v>
      </c>
      <c r="AU602" s="11">
        <v>0</v>
      </c>
      <c r="AV602" s="11">
        <v>0</v>
      </c>
      <c r="AW602" s="11">
        <v>0</v>
      </c>
      <c r="AX602" s="11">
        <v>0</v>
      </c>
      <c r="AY602" s="11">
        <v>0</v>
      </c>
      <c r="BA602" s="12" t="s">
        <v>6684</v>
      </c>
      <c r="BB602" s="12">
        <v>0</v>
      </c>
      <c r="BC602" s="12">
        <v>0</v>
      </c>
      <c r="BD602" s="12">
        <v>0</v>
      </c>
      <c r="BE602" s="12">
        <v>0</v>
      </c>
      <c r="BF602" s="12">
        <v>0</v>
      </c>
      <c r="BI602" s="12">
        <v>0</v>
      </c>
      <c r="BJ602" s="12">
        <v>0</v>
      </c>
    </row>
    <row r="603" spans="1:62" x14ac:dyDescent="0.15">
      <c r="A603" s="7" t="s">
        <v>6610</v>
      </c>
      <c r="B603" s="7" t="s">
        <v>6611</v>
      </c>
      <c r="C603" s="7" t="s">
        <v>6612</v>
      </c>
      <c r="D603" s="8" t="s">
        <v>6596</v>
      </c>
      <c r="E603" s="9" t="s">
        <v>6526</v>
      </c>
      <c r="L603" s="10">
        <v>3800000</v>
      </c>
      <c r="M603" s="10">
        <v>625400</v>
      </c>
      <c r="N603" s="11">
        <v>15</v>
      </c>
      <c r="O603" s="11" t="s">
        <v>7964</v>
      </c>
      <c r="P603" s="7" t="s">
        <v>6613</v>
      </c>
      <c r="Q603" s="9" t="s">
        <v>7217</v>
      </c>
      <c r="S603" s="9" t="s">
        <v>6596</v>
      </c>
      <c r="T603" s="9" t="s">
        <v>4902</v>
      </c>
      <c r="U603" s="12" t="s">
        <v>4902</v>
      </c>
      <c r="V603" s="12" t="s">
        <v>4902</v>
      </c>
      <c r="W603" s="12">
        <v>0</v>
      </c>
      <c r="X603" s="12">
        <v>0</v>
      </c>
      <c r="Y603" s="12">
        <v>0</v>
      </c>
      <c r="Z603" s="11">
        <v>0</v>
      </c>
      <c r="AA603" s="11">
        <v>0</v>
      </c>
      <c r="AB603" s="11">
        <v>0</v>
      </c>
      <c r="AC603" s="11">
        <v>0</v>
      </c>
      <c r="AD603" s="11">
        <v>0</v>
      </c>
      <c r="AE603" s="11">
        <v>0</v>
      </c>
      <c r="AF603" s="11">
        <v>0</v>
      </c>
      <c r="AG603" s="11">
        <v>0</v>
      </c>
      <c r="AH603" s="9" t="s">
        <v>4909</v>
      </c>
      <c r="AI603" s="11">
        <v>1</v>
      </c>
      <c r="AJ603" s="11">
        <v>0</v>
      </c>
      <c r="AK603" s="11">
        <v>0</v>
      </c>
      <c r="AL603" s="11">
        <v>0</v>
      </c>
      <c r="AN603" s="11">
        <v>0</v>
      </c>
      <c r="AO603" s="11">
        <v>0</v>
      </c>
      <c r="AP603" s="11">
        <v>0</v>
      </c>
      <c r="AQ603" s="11">
        <v>0</v>
      </c>
      <c r="AR603" s="11">
        <v>0</v>
      </c>
      <c r="AS603" s="11">
        <v>0</v>
      </c>
      <c r="AT603" s="11">
        <v>1</v>
      </c>
      <c r="AU603" s="11">
        <v>0</v>
      </c>
      <c r="AV603" s="11">
        <v>0</v>
      </c>
      <c r="AW603" s="11">
        <v>0</v>
      </c>
      <c r="AX603" s="11">
        <v>0</v>
      </c>
      <c r="AY603" s="11">
        <v>0</v>
      </c>
      <c r="BA603" s="12" t="s">
        <v>6684</v>
      </c>
      <c r="BB603" s="12">
        <v>0</v>
      </c>
      <c r="BC603" s="12">
        <v>0</v>
      </c>
      <c r="BD603" s="12">
        <v>5</v>
      </c>
      <c r="BE603" s="12">
        <v>0</v>
      </c>
      <c r="BF603" s="12">
        <f>(50/2)^2*PI()</f>
        <v>1963.4954084936207</v>
      </c>
      <c r="BI603">
        <f>BD603/BF603</f>
        <v>2.5464790894703256E-3</v>
      </c>
      <c r="BJ603">
        <f>BI603*10000</f>
        <v>25.464790894703256</v>
      </c>
    </row>
    <row r="604" spans="1:62" x14ac:dyDescent="0.15">
      <c r="A604" s="7" t="s">
        <v>6614</v>
      </c>
      <c r="B604" s="7" t="s">
        <v>6614</v>
      </c>
      <c r="C604" s="7" t="s">
        <v>6615</v>
      </c>
      <c r="D604" s="8" t="s">
        <v>6596</v>
      </c>
      <c r="E604" s="9" t="s">
        <v>6526</v>
      </c>
      <c r="L604" s="10">
        <v>3775857</v>
      </c>
      <c r="M604" s="10">
        <v>668681</v>
      </c>
      <c r="N604" s="11">
        <v>15</v>
      </c>
      <c r="O604" s="11" t="s">
        <v>4871</v>
      </c>
      <c r="P604" s="7" t="s">
        <v>6616</v>
      </c>
      <c r="Q604" s="9" t="s">
        <v>7217</v>
      </c>
      <c r="S604" s="9" t="s">
        <v>6596</v>
      </c>
      <c r="T604" s="9" t="s">
        <v>4891</v>
      </c>
      <c r="U604" s="12" t="s">
        <v>5017</v>
      </c>
      <c r="V604" s="12" t="s">
        <v>5018</v>
      </c>
      <c r="W604" s="12">
        <v>0</v>
      </c>
      <c r="X604" s="12">
        <v>0</v>
      </c>
      <c r="Y604" s="12">
        <v>0</v>
      </c>
      <c r="Z604" s="11">
        <v>0</v>
      </c>
      <c r="AA604" s="11">
        <v>0</v>
      </c>
      <c r="AB604" s="11">
        <v>0</v>
      </c>
      <c r="AC604" s="11">
        <v>1</v>
      </c>
      <c r="AD604" s="11">
        <v>1</v>
      </c>
      <c r="AE604" s="11">
        <v>0</v>
      </c>
      <c r="AF604" s="11">
        <v>0</v>
      </c>
      <c r="AG604" s="11">
        <v>0</v>
      </c>
      <c r="AH604" s="9" t="s">
        <v>4909</v>
      </c>
      <c r="AI604" s="11">
        <v>1</v>
      </c>
      <c r="AJ604" s="11">
        <v>1</v>
      </c>
      <c r="AK604" s="11">
        <v>0</v>
      </c>
      <c r="AL604" s="11">
        <v>0</v>
      </c>
      <c r="AN604" s="11">
        <v>0</v>
      </c>
      <c r="AO604" s="11">
        <v>0</v>
      </c>
      <c r="AP604" s="11">
        <v>0</v>
      </c>
      <c r="AQ604" s="11">
        <v>0</v>
      </c>
      <c r="AR604" s="11">
        <v>0</v>
      </c>
      <c r="AS604" s="11">
        <v>0</v>
      </c>
      <c r="AT604" s="11">
        <v>1</v>
      </c>
      <c r="AU604" s="11">
        <v>0</v>
      </c>
      <c r="AV604" s="11">
        <v>0</v>
      </c>
      <c r="AW604" s="11">
        <v>0</v>
      </c>
      <c r="AX604" s="11">
        <v>0</v>
      </c>
      <c r="AY604" s="11">
        <v>0</v>
      </c>
      <c r="BA604" s="12" t="s">
        <v>6684</v>
      </c>
      <c r="BB604" s="12">
        <v>0</v>
      </c>
      <c r="BC604" s="12">
        <v>0</v>
      </c>
      <c r="BD604" s="12">
        <v>0</v>
      </c>
      <c r="BE604" s="12">
        <v>0</v>
      </c>
      <c r="BF604" s="12">
        <v>0</v>
      </c>
      <c r="BI604" s="12">
        <v>0</v>
      </c>
      <c r="BJ604" s="12">
        <v>0</v>
      </c>
    </row>
    <row r="605" spans="1:62" x14ac:dyDescent="0.15">
      <c r="A605" s="7" t="s">
        <v>6617</v>
      </c>
      <c r="B605" s="7" t="s">
        <v>6617</v>
      </c>
      <c r="C605" s="7" t="s">
        <v>6618</v>
      </c>
      <c r="D605" s="8" t="s">
        <v>6596</v>
      </c>
      <c r="E605" s="9" t="s">
        <v>6526</v>
      </c>
      <c r="L605" s="10">
        <v>3774412</v>
      </c>
      <c r="M605" s="10">
        <v>668808</v>
      </c>
      <c r="N605" s="11">
        <v>15</v>
      </c>
      <c r="O605" s="11" t="s">
        <v>6876</v>
      </c>
      <c r="P605" s="7" t="s">
        <v>6619</v>
      </c>
      <c r="Q605" s="9" t="s">
        <v>7217</v>
      </c>
      <c r="S605" s="9" t="s">
        <v>6596</v>
      </c>
      <c r="T605" s="9" t="s">
        <v>4891</v>
      </c>
      <c r="U605" s="12" t="s">
        <v>5017</v>
      </c>
      <c r="V605" s="12" t="s">
        <v>5018</v>
      </c>
      <c r="W605" s="12">
        <v>0</v>
      </c>
      <c r="X605" s="12">
        <v>0</v>
      </c>
      <c r="Y605" s="12">
        <v>0</v>
      </c>
      <c r="Z605" s="11">
        <v>0</v>
      </c>
      <c r="AA605" s="11">
        <v>0</v>
      </c>
      <c r="AB605" s="11">
        <v>0</v>
      </c>
      <c r="AC605" s="11">
        <v>1</v>
      </c>
      <c r="AD605" s="11">
        <v>1</v>
      </c>
      <c r="AE605" s="11">
        <v>0</v>
      </c>
      <c r="AF605" s="11">
        <v>0</v>
      </c>
      <c r="AG605" s="11">
        <v>0</v>
      </c>
      <c r="AH605" s="9" t="s">
        <v>8248</v>
      </c>
      <c r="AI605" s="11">
        <v>2</v>
      </c>
      <c r="AJ605" s="11">
        <v>1</v>
      </c>
      <c r="AK605" s="11">
        <v>1</v>
      </c>
      <c r="AL605" s="11">
        <v>0</v>
      </c>
      <c r="AN605" s="11">
        <v>0</v>
      </c>
      <c r="AO605" s="11">
        <v>0</v>
      </c>
      <c r="AP605" s="11">
        <v>0</v>
      </c>
      <c r="AQ605" s="11">
        <v>0</v>
      </c>
      <c r="AR605" s="11">
        <v>0</v>
      </c>
      <c r="AS605" s="11">
        <v>0</v>
      </c>
      <c r="AT605" s="11">
        <v>1</v>
      </c>
      <c r="AU605" s="11">
        <v>0</v>
      </c>
      <c r="AV605" s="11">
        <v>0</v>
      </c>
      <c r="AW605" s="11">
        <v>0</v>
      </c>
      <c r="AX605" s="11">
        <v>0</v>
      </c>
      <c r="AY605" s="11">
        <v>0</v>
      </c>
      <c r="BA605" s="12" t="s">
        <v>6684</v>
      </c>
      <c r="BB605" s="12">
        <v>0</v>
      </c>
      <c r="BC605" s="12">
        <v>0</v>
      </c>
      <c r="BD605" s="12">
        <v>0</v>
      </c>
      <c r="BE605" s="12">
        <v>0</v>
      </c>
      <c r="BF605" s="12">
        <v>0</v>
      </c>
      <c r="BI605" s="12">
        <v>0</v>
      </c>
      <c r="BJ605" s="12">
        <v>0</v>
      </c>
    </row>
    <row r="606" spans="1:62" x14ac:dyDescent="0.15">
      <c r="A606" s="7" t="s">
        <v>6620</v>
      </c>
      <c r="B606" s="7" t="s">
        <v>6620</v>
      </c>
      <c r="C606" s="7" t="s">
        <v>6621</v>
      </c>
      <c r="D606" s="8" t="s">
        <v>6596</v>
      </c>
      <c r="E606" s="9" t="s">
        <v>6526</v>
      </c>
      <c r="L606" s="10">
        <v>3779725</v>
      </c>
      <c r="M606" s="10">
        <v>667911</v>
      </c>
      <c r="N606" s="11">
        <v>15</v>
      </c>
      <c r="O606" s="11" t="s">
        <v>6876</v>
      </c>
      <c r="P606" s="7" t="s">
        <v>5318</v>
      </c>
      <c r="Q606" s="9" t="s">
        <v>5322</v>
      </c>
      <c r="S606" s="9" t="s">
        <v>6596</v>
      </c>
      <c r="T606" s="9" t="s">
        <v>4902</v>
      </c>
      <c r="U606" s="12" t="s">
        <v>4902</v>
      </c>
      <c r="V606" s="12" t="s">
        <v>4902</v>
      </c>
      <c r="W606" s="12">
        <v>0</v>
      </c>
      <c r="X606" s="12">
        <v>0</v>
      </c>
      <c r="Y606" s="12">
        <v>0</v>
      </c>
      <c r="Z606" s="11">
        <v>0</v>
      </c>
      <c r="AA606" s="11">
        <v>0</v>
      </c>
      <c r="AB606" s="11">
        <v>0</v>
      </c>
      <c r="AC606" s="11">
        <v>0</v>
      </c>
      <c r="AD606" s="11">
        <v>0</v>
      </c>
      <c r="AE606" s="11">
        <v>0</v>
      </c>
      <c r="AF606" s="11">
        <v>0</v>
      </c>
      <c r="AG606" s="11">
        <v>0</v>
      </c>
      <c r="AH606" s="9" t="s">
        <v>4909</v>
      </c>
      <c r="AI606" s="11">
        <v>1</v>
      </c>
      <c r="AJ606" s="11">
        <v>1</v>
      </c>
      <c r="AK606" s="11">
        <v>0</v>
      </c>
      <c r="AL606" s="11">
        <v>0</v>
      </c>
      <c r="AN606" s="11">
        <v>0</v>
      </c>
      <c r="AO606" s="11">
        <v>0</v>
      </c>
      <c r="AP606" s="11">
        <v>0</v>
      </c>
      <c r="AQ606" s="11">
        <v>0</v>
      </c>
      <c r="AR606" s="11">
        <v>1</v>
      </c>
      <c r="AS606" s="11">
        <v>0</v>
      </c>
      <c r="AT606" s="11">
        <v>0</v>
      </c>
      <c r="AU606" s="11">
        <v>0</v>
      </c>
      <c r="AV606" s="11">
        <v>0</v>
      </c>
      <c r="AW606" s="11">
        <v>0</v>
      </c>
      <c r="AX606" s="11">
        <v>0</v>
      </c>
      <c r="AY606" s="11">
        <v>0</v>
      </c>
      <c r="BA606" s="12" t="s">
        <v>6684</v>
      </c>
      <c r="BB606" s="12">
        <v>0</v>
      </c>
      <c r="BC606" s="12">
        <v>0</v>
      </c>
      <c r="BD606" s="12">
        <v>6</v>
      </c>
      <c r="BE606" s="12">
        <f>15^2*PI()</f>
        <v>706.85834705770344</v>
      </c>
      <c r="BF606" s="12">
        <v>0</v>
      </c>
      <c r="BI606" s="12">
        <v>0</v>
      </c>
      <c r="BJ606" s="12">
        <v>0</v>
      </c>
    </row>
    <row r="607" spans="1:62" x14ac:dyDescent="0.15">
      <c r="A607" s="7" t="s">
        <v>6622</v>
      </c>
      <c r="B607" s="7" t="s">
        <v>6622</v>
      </c>
      <c r="C607" s="7" t="s">
        <v>6623</v>
      </c>
      <c r="D607" s="8" t="s">
        <v>6596</v>
      </c>
      <c r="E607" s="9" t="s">
        <v>6526</v>
      </c>
      <c r="L607" s="10">
        <v>3769850</v>
      </c>
      <c r="M607" s="10">
        <v>666180</v>
      </c>
      <c r="N607" s="11">
        <v>15</v>
      </c>
      <c r="O607" s="11" t="s">
        <v>6876</v>
      </c>
      <c r="P607" s="7" t="s">
        <v>6624</v>
      </c>
      <c r="Q607" s="9" t="s">
        <v>7217</v>
      </c>
      <c r="S607" s="9" t="s">
        <v>6596</v>
      </c>
      <c r="T607" s="9" t="s">
        <v>4902</v>
      </c>
      <c r="U607" s="12" t="s">
        <v>4902</v>
      </c>
      <c r="V607" s="12" t="s">
        <v>4902</v>
      </c>
      <c r="W607" s="12">
        <v>0</v>
      </c>
      <c r="X607" s="12">
        <v>0</v>
      </c>
      <c r="Y607" s="12">
        <v>0</v>
      </c>
      <c r="Z607" s="11">
        <v>0</v>
      </c>
      <c r="AA607" s="11">
        <v>0</v>
      </c>
      <c r="AB607" s="11">
        <v>0</v>
      </c>
      <c r="AC607" s="11">
        <v>0</v>
      </c>
      <c r="AD607" s="11">
        <v>0</v>
      </c>
      <c r="AE607" s="11">
        <v>0</v>
      </c>
      <c r="AF607" s="11">
        <v>0</v>
      </c>
      <c r="AG607" s="11">
        <v>0</v>
      </c>
      <c r="AH607" s="9" t="s">
        <v>8248</v>
      </c>
      <c r="AI607" s="11">
        <v>2</v>
      </c>
      <c r="AJ607" s="11">
        <v>1</v>
      </c>
      <c r="AK607" s="11">
        <v>0</v>
      </c>
      <c r="AL607" s="11">
        <v>0</v>
      </c>
      <c r="AN607" s="11">
        <v>0</v>
      </c>
      <c r="AO607" s="11">
        <v>0</v>
      </c>
      <c r="AP607" s="11">
        <v>0</v>
      </c>
      <c r="AQ607" s="11">
        <v>0</v>
      </c>
      <c r="AR607" s="11">
        <v>0</v>
      </c>
      <c r="AS607" s="11">
        <v>0</v>
      </c>
      <c r="AT607" s="11">
        <v>1</v>
      </c>
      <c r="AU607" s="11">
        <v>0</v>
      </c>
      <c r="AV607" s="11">
        <v>0</v>
      </c>
      <c r="AW607" s="11">
        <v>0</v>
      </c>
      <c r="AX607" s="11">
        <v>0</v>
      </c>
      <c r="AY607" s="11">
        <v>0</v>
      </c>
      <c r="BA607" s="12" t="s">
        <v>6684</v>
      </c>
      <c r="BB607" s="12">
        <v>0</v>
      </c>
      <c r="BC607" s="12">
        <v>0</v>
      </c>
      <c r="BD607" s="12">
        <v>0</v>
      </c>
      <c r="BE607" s="12">
        <v>0</v>
      </c>
      <c r="BF607" s="12">
        <v>0</v>
      </c>
      <c r="BI607" s="12">
        <v>0</v>
      </c>
      <c r="BJ607" s="12">
        <v>0</v>
      </c>
    </row>
    <row r="608" spans="1:62" x14ac:dyDescent="0.15">
      <c r="A608" s="7" t="s">
        <v>6622</v>
      </c>
      <c r="B608" s="7" t="s">
        <v>6625</v>
      </c>
      <c r="C608" s="7" t="s">
        <v>6626</v>
      </c>
      <c r="D608" s="8" t="s">
        <v>6596</v>
      </c>
      <c r="E608" s="9" t="s">
        <v>6526</v>
      </c>
      <c r="L608" s="10">
        <v>3810459</v>
      </c>
      <c r="M608" s="10">
        <v>628425</v>
      </c>
      <c r="N608" s="11">
        <v>15</v>
      </c>
      <c r="O608" s="11" t="s">
        <v>6876</v>
      </c>
      <c r="P608" s="7" t="s">
        <v>1064</v>
      </c>
      <c r="Q608" s="9" t="s">
        <v>7217</v>
      </c>
      <c r="S608" s="9" t="s">
        <v>6596</v>
      </c>
      <c r="T608" s="9" t="s">
        <v>4797</v>
      </c>
      <c r="U608" s="12" t="s">
        <v>5018</v>
      </c>
      <c r="V608" s="12" t="s">
        <v>5019</v>
      </c>
      <c r="W608" s="12">
        <v>0</v>
      </c>
      <c r="X608" s="12">
        <v>0</v>
      </c>
      <c r="Y608" s="12">
        <v>0</v>
      </c>
      <c r="Z608" s="11">
        <v>0</v>
      </c>
      <c r="AA608" s="11">
        <v>0</v>
      </c>
      <c r="AB608" s="11">
        <v>0</v>
      </c>
      <c r="AC608" s="11">
        <v>1</v>
      </c>
      <c r="AD608" s="11">
        <v>1</v>
      </c>
      <c r="AE608" s="11">
        <v>0</v>
      </c>
      <c r="AF608" s="11">
        <v>0</v>
      </c>
      <c r="AG608" s="11">
        <v>0</v>
      </c>
      <c r="AH608" s="9" t="s">
        <v>7536</v>
      </c>
      <c r="AI608" s="11">
        <v>5</v>
      </c>
      <c r="AJ608" s="11">
        <v>1</v>
      </c>
      <c r="AK608" s="11">
        <v>1</v>
      </c>
      <c r="AL608" s="11">
        <v>0</v>
      </c>
      <c r="AN608" s="11">
        <v>0</v>
      </c>
      <c r="AO608" s="11">
        <v>0</v>
      </c>
      <c r="AP608" s="11">
        <v>0</v>
      </c>
      <c r="AQ608" s="11">
        <v>0</v>
      </c>
      <c r="AR608" s="11">
        <v>0</v>
      </c>
      <c r="AS608" s="11">
        <v>0</v>
      </c>
      <c r="AT608" s="11">
        <v>1</v>
      </c>
      <c r="AU608" s="11">
        <v>0</v>
      </c>
      <c r="AV608" s="11">
        <v>0</v>
      </c>
      <c r="AW608" s="11">
        <v>0</v>
      </c>
      <c r="AX608" s="11">
        <v>0</v>
      </c>
      <c r="AY608" s="11">
        <v>0</v>
      </c>
      <c r="BA608" s="12" t="s">
        <v>6684</v>
      </c>
      <c r="BB608" s="12">
        <v>0</v>
      </c>
      <c r="BC608" s="12">
        <v>0</v>
      </c>
      <c r="BD608" s="12">
        <v>0</v>
      </c>
      <c r="BE608" s="12">
        <v>0</v>
      </c>
      <c r="BF608" s="12">
        <v>0</v>
      </c>
      <c r="BI608" s="12">
        <v>0</v>
      </c>
      <c r="BJ608" s="12">
        <v>0</v>
      </c>
    </row>
    <row r="609" spans="1:62" x14ac:dyDescent="0.15">
      <c r="A609" s="7" t="s">
        <v>7537</v>
      </c>
      <c r="B609" s="7" t="s">
        <v>7537</v>
      </c>
      <c r="C609" s="7" t="s">
        <v>7538</v>
      </c>
      <c r="D609" s="8" t="s">
        <v>6596</v>
      </c>
      <c r="E609" s="9" t="s">
        <v>6526</v>
      </c>
      <c r="L609" s="10">
        <v>3798521</v>
      </c>
      <c r="M609" s="10">
        <v>658070</v>
      </c>
      <c r="N609" s="11">
        <v>15</v>
      </c>
      <c r="O609" s="11" t="s">
        <v>4871</v>
      </c>
      <c r="P609" s="7" t="s">
        <v>7539</v>
      </c>
      <c r="Q609" s="9" t="s">
        <v>1112</v>
      </c>
      <c r="S609" s="9" t="s">
        <v>7540</v>
      </c>
      <c r="T609" s="9" t="s">
        <v>4902</v>
      </c>
      <c r="U609" s="12" t="s">
        <v>4902</v>
      </c>
      <c r="V609" s="12" t="s">
        <v>4902</v>
      </c>
      <c r="W609" s="12">
        <v>0</v>
      </c>
      <c r="X609" s="12">
        <v>0</v>
      </c>
      <c r="Y609" s="12">
        <v>0</v>
      </c>
      <c r="Z609" s="11">
        <v>0</v>
      </c>
      <c r="AA609" s="11">
        <v>0</v>
      </c>
      <c r="AB609" s="11">
        <v>0</v>
      </c>
      <c r="AC609" s="11">
        <v>0</v>
      </c>
      <c r="AD609" s="11">
        <v>0</v>
      </c>
      <c r="AE609" s="11">
        <v>0</v>
      </c>
      <c r="AF609" s="11">
        <v>0</v>
      </c>
      <c r="AG609" s="11">
        <v>0</v>
      </c>
      <c r="AH609" s="9" t="s">
        <v>4909</v>
      </c>
      <c r="AI609" s="11">
        <v>1</v>
      </c>
      <c r="AJ609" s="11">
        <v>1</v>
      </c>
      <c r="AK609" s="11">
        <v>0</v>
      </c>
      <c r="AL609" s="11">
        <v>0</v>
      </c>
      <c r="AN609" s="11">
        <v>0</v>
      </c>
      <c r="AO609" s="11">
        <v>0</v>
      </c>
      <c r="AP609" s="11">
        <v>0</v>
      </c>
      <c r="AQ609" s="11">
        <v>0</v>
      </c>
      <c r="AR609" s="11">
        <v>0</v>
      </c>
      <c r="AS609" s="11">
        <v>0</v>
      </c>
      <c r="AT609" s="11">
        <v>1</v>
      </c>
      <c r="AU609" s="11">
        <v>0</v>
      </c>
      <c r="AV609" s="11">
        <v>0</v>
      </c>
      <c r="AW609" s="11">
        <v>0</v>
      </c>
      <c r="AX609" s="11">
        <v>0</v>
      </c>
      <c r="AY609" s="11">
        <v>0</v>
      </c>
      <c r="BA609" s="12" t="s">
        <v>6684</v>
      </c>
      <c r="BB609" s="12">
        <v>0</v>
      </c>
      <c r="BC609" s="12">
        <v>0</v>
      </c>
      <c r="BD609" s="12">
        <v>0</v>
      </c>
      <c r="BE609" s="12">
        <v>0</v>
      </c>
      <c r="BF609" s="12">
        <v>0</v>
      </c>
      <c r="BI609" s="12">
        <v>0</v>
      </c>
      <c r="BJ609" s="12">
        <v>0</v>
      </c>
    </row>
    <row r="610" spans="1:62" x14ac:dyDescent="0.15">
      <c r="A610" s="7" t="s">
        <v>7541</v>
      </c>
      <c r="B610" s="7" t="s">
        <v>7541</v>
      </c>
      <c r="C610" s="7" t="s">
        <v>7542</v>
      </c>
      <c r="D610" s="8" t="s">
        <v>6596</v>
      </c>
      <c r="E610" s="9" t="s">
        <v>6526</v>
      </c>
      <c r="L610" s="10">
        <v>3793450</v>
      </c>
      <c r="M610" s="10">
        <v>663000</v>
      </c>
      <c r="N610" s="11">
        <v>15</v>
      </c>
      <c r="O610" s="11" t="s">
        <v>4871</v>
      </c>
      <c r="P610" s="7" t="s">
        <v>7543</v>
      </c>
      <c r="Q610" s="9" t="s">
        <v>7217</v>
      </c>
      <c r="S610" s="9" t="s">
        <v>6596</v>
      </c>
      <c r="T610" s="9" t="s">
        <v>5401</v>
      </c>
      <c r="U610" s="12" t="s">
        <v>5017</v>
      </c>
      <c r="V610" s="12" t="s">
        <v>5020</v>
      </c>
      <c r="W610" s="12">
        <v>0</v>
      </c>
      <c r="X610" s="12">
        <v>0</v>
      </c>
      <c r="Y610" s="12">
        <v>0</v>
      </c>
      <c r="Z610" s="11">
        <v>0</v>
      </c>
      <c r="AA610" s="11">
        <v>0</v>
      </c>
      <c r="AB610" s="11">
        <v>0</v>
      </c>
      <c r="AC610" s="11">
        <v>1</v>
      </c>
      <c r="AD610" s="11">
        <v>1</v>
      </c>
      <c r="AE610" s="11">
        <v>1</v>
      </c>
      <c r="AF610" s="11">
        <v>1</v>
      </c>
      <c r="AG610" s="11">
        <v>0</v>
      </c>
      <c r="AH610" s="9" t="s">
        <v>7544</v>
      </c>
      <c r="AI610" s="11">
        <v>54</v>
      </c>
      <c r="AJ610" s="11">
        <v>1</v>
      </c>
      <c r="AK610" s="11">
        <v>1</v>
      </c>
      <c r="AL610" s="11">
        <v>1</v>
      </c>
      <c r="AN610" s="11">
        <v>1</v>
      </c>
      <c r="AO610" s="11">
        <v>0</v>
      </c>
      <c r="AP610" s="11">
        <v>0</v>
      </c>
      <c r="AQ610" s="11">
        <v>0</v>
      </c>
      <c r="AR610" s="11">
        <v>0</v>
      </c>
      <c r="AS610" s="11">
        <v>0</v>
      </c>
      <c r="AT610" s="11">
        <v>1</v>
      </c>
      <c r="AU610" s="11">
        <v>0</v>
      </c>
      <c r="AV610" s="11">
        <v>0</v>
      </c>
      <c r="AW610" s="11">
        <v>0</v>
      </c>
      <c r="AX610" s="11">
        <v>0</v>
      </c>
      <c r="AY610" s="11">
        <v>0</v>
      </c>
      <c r="BA610" s="12" t="s">
        <v>6684</v>
      </c>
      <c r="BB610" s="12">
        <v>0</v>
      </c>
      <c r="BC610" s="12">
        <v>0</v>
      </c>
      <c r="BD610" s="12">
        <v>0</v>
      </c>
      <c r="BE610" s="12">
        <v>0</v>
      </c>
      <c r="BF610" s="12">
        <v>0</v>
      </c>
      <c r="BI610" s="12">
        <v>0</v>
      </c>
      <c r="BJ610" s="12">
        <v>0</v>
      </c>
    </row>
    <row r="611" spans="1:62" x14ac:dyDescent="0.15">
      <c r="A611" s="7" t="s">
        <v>7545</v>
      </c>
      <c r="B611" s="7" t="s">
        <v>7545</v>
      </c>
      <c r="C611" s="7" t="s">
        <v>7546</v>
      </c>
      <c r="D611" s="8" t="s">
        <v>6596</v>
      </c>
      <c r="E611" s="9" t="s">
        <v>6526</v>
      </c>
      <c r="L611" s="10">
        <v>3784884</v>
      </c>
      <c r="M611" s="10">
        <v>647544</v>
      </c>
      <c r="N611" s="11">
        <v>15</v>
      </c>
      <c r="O611" s="11" t="s">
        <v>4871</v>
      </c>
      <c r="P611" s="7" t="s">
        <v>7547</v>
      </c>
      <c r="Q611" s="9" t="s">
        <v>1112</v>
      </c>
      <c r="S611" s="9" t="s">
        <v>6596</v>
      </c>
      <c r="T611" s="9" t="s">
        <v>4902</v>
      </c>
      <c r="U611" s="12" t="s">
        <v>4902</v>
      </c>
      <c r="V611" s="12" t="s">
        <v>4902</v>
      </c>
      <c r="W611" s="12">
        <v>0</v>
      </c>
      <c r="X611" s="12">
        <v>0</v>
      </c>
      <c r="Y611" s="12">
        <v>0</v>
      </c>
      <c r="Z611" s="11">
        <v>0</v>
      </c>
      <c r="AA611" s="11">
        <v>0</v>
      </c>
      <c r="AB611" s="11">
        <v>0</v>
      </c>
      <c r="AC611" s="11">
        <v>0</v>
      </c>
      <c r="AD611" s="11">
        <v>0</v>
      </c>
      <c r="AE611" s="11">
        <v>0</v>
      </c>
      <c r="AF611" s="11">
        <v>0</v>
      </c>
      <c r="AG611" s="11">
        <v>0</v>
      </c>
      <c r="AH611" s="9" t="s">
        <v>7548</v>
      </c>
      <c r="AI611" s="11">
        <v>20</v>
      </c>
      <c r="AJ611" s="11">
        <v>1</v>
      </c>
      <c r="AK611" s="11">
        <v>1</v>
      </c>
      <c r="AL611" s="11">
        <v>0</v>
      </c>
      <c r="AN611" s="11">
        <v>0</v>
      </c>
      <c r="AO611" s="11">
        <v>0</v>
      </c>
      <c r="AP611" s="11">
        <v>0</v>
      </c>
      <c r="AQ611" s="11">
        <v>0</v>
      </c>
      <c r="AR611" s="11">
        <v>0</v>
      </c>
      <c r="AS611" s="11">
        <v>0</v>
      </c>
      <c r="AT611" s="11">
        <v>1</v>
      </c>
      <c r="AU611" s="11">
        <v>0</v>
      </c>
      <c r="AV611" s="11">
        <v>0</v>
      </c>
      <c r="AW611" s="11">
        <v>0</v>
      </c>
      <c r="AX611" s="11">
        <v>0</v>
      </c>
      <c r="AY611" s="11">
        <v>0</v>
      </c>
      <c r="BA611" s="12" t="s">
        <v>6684</v>
      </c>
      <c r="BB611" s="12">
        <v>0</v>
      </c>
      <c r="BC611" s="12">
        <v>0</v>
      </c>
      <c r="BD611" s="12">
        <v>0</v>
      </c>
      <c r="BE611" s="12">
        <v>0</v>
      </c>
      <c r="BF611" s="12">
        <v>0</v>
      </c>
      <c r="BI611" s="12">
        <v>0</v>
      </c>
      <c r="BJ611" s="12">
        <v>0</v>
      </c>
    </row>
    <row r="612" spans="1:62" x14ac:dyDescent="0.15">
      <c r="A612" s="7" t="s">
        <v>7549</v>
      </c>
      <c r="B612" s="7" t="s">
        <v>7549</v>
      </c>
      <c r="C612" s="7" t="s">
        <v>7550</v>
      </c>
      <c r="D612" s="8" t="s">
        <v>6596</v>
      </c>
      <c r="E612" s="9" t="s">
        <v>6526</v>
      </c>
      <c r="L612" s="10">
        <v>3796700</v>
      </c>
      <c r="M612" s="10">
        <v>659200</v>
      </c>
      <c r="N612" s="11">
        <v>15</v>
      </c>
      <c r="O612" s="11" t="s">
        <v>4871</v>
      </c>
      <c r="P612" s="7" t="s">
        <v>7551</v>
      </c>
      <c r="Q612" s="9" t="s">
        <v>1112</v>
      </c>
      <c r="S612" s="9" t="s">
        <v>6596</v>
      </c>
      <c r="T612" s="9" t="s">
        <v>4902</v>
      </c>
      <c r="U612" s="12" t="s">
        <v>4902</v>
      </c>
      <c r="V612" s="12" t="s">
        <v>4902</v>
      </c>
      <c r="W612" s="12">
        <v>0</v>
      </c>
      <c r="X612" s="12">
        <v>0</v>
      </c>
      <c r="Y612" s="12">
        <v>0</v>
      </c>
      <c r="Z612" s="11">
        <v>0</v>
      </c>
      <c r="AA612" s="11">
        <v>0</v>
      </c>
      <c r="AB612" s="11">
        <v>0</v>
      </c>
      <c r="AC612" s="11">
        <v>0</v>
      </c>
      <c r="AD612" s="11">
        <v>0</v>
      </c>
      <c r="AE612" s="11">
        <v>0</v>
      </c>
      <c r="AF612" s="11">
        <v>0</v>
      </c>
      <c r="AG612" s="11">
        <v>0</v>
      </c>
      <c r="AH612" s="9" t="s">
        <v>1131</v>
      </c>
      <c r="AI612" s="11">
        <v>3</v>
      </c>
      <c r="AJ612" s="11">
        <v>1</v>
      </c>
      <c r="AK612" s="11">
        <v>1</v>
      </c>
      <c r="AL612" s="11">
        <v>0</v>
      </c>
      <c r="AN612" s="11">
        <v>0</v>
      </c>
      <c r="AO612" s="11">
        <v>0</v>
      </c>
      <c r="AP612" s="11">
        <v>0</v>
      </c>
      <c r="AQ612" s="11">
        <v>0</v>
      </c>
      <c r="AR612" s="11">
        <v>0</v>
      </c>
      <c r="AS612" s="11">
        <v>0</v>
      </c>
      <c r="AT612" s="11">
        <v>1</v>
      </c>
      <c r="AU612" s="11">
        <v>0</v>
      </c>
      <c r="AV612" s="11">
        <v>0</v>
      </c>
      <c r="AW612" s="11">
        <v>0</v>
      </c>
      <c r="AX612" s="11">
        <v>0</v>
      </c>
      <c r="AY612" s="11">
        <v>0</v>
      </c>
      <c r="BA612" s="12" t="s">
        <v>6684</v>
      </c>
      <c r="BB612" s="12">
        <v>0</v>
      </c>
      <c r="BC612" s="12">
        <v>0</v>
      </c>
      <c r="BD612" s="12">
        <v>0</v>
      </c>
      <c r="BE612" s="12">
        <v>0</v>
      </c>
      <c r="BF612" s="12">
        <v>0</v>
      </c>
      <c r="BI612" s="12">
        <v>0</v>
      </c>
      <c r="BJ612" s="12">
        <v>0</v>
      </c>
    </row>
    <row r="613" spans="1:62" x14ac:dyDescent="0.15">
      <c r="A613" s="7" t="s">
        <v>7552</v>
      </c>
      <c r="B613" s="7" t="s">
        <v>7552</v>
      </c>
      <c r="C613" s="7" t="s">
        <v>7553</v>
      </c>
      <c r="D613" s="8" t="s">
        <v>6596</v>
      </c>
      <c r="E613" s="9" t="s">
        <v>6526</v>
      </c>
      <c r="L613" s="10">
        <v>3822650</v>
      </c>
      <c r="M613" s="10">
        <v>639460</v>
      </c>
      <c r="N613" s="11">
        <v>15</v>
      </c>
      <c r="O613" s="11" t="s">
        <v>4871</v>
      </c>
      <c r="P613" s="7" t="s">
        <v>7554</v>
      </c>
      <c r="Q613" s="9" t="s">
        <v>1112</v>
      </c>
      <c r="S613" s="9" t="s">
        <v>6596</v>
      </c>
      <c r="T613" s="9" t="s">
        <v>8368</v>
      </c>
      <c r="U613" s="12" t="s">
        <v>4898</v>
      </c>
      <c r="V613" s="12" t="s">
        <v>5018</v>
      </c>
      <c r="W613" s="12">
        <v>0</v>
      </c>
      <c r="X613" s="12">
        <v>0</v>
      </c>
      <c r="Y613" s="12">
        <v>0</v>
      </c>
      <c r="Z613" s="11">
        <v>0</v>
      </c>
      <c r="AA613" s="11">
        <v>1</v>
      </c>
      <c r="AB613" s="11">
        <v>1</v>
      </c>
      <c r="AC613" s="11">
        <v>1</v>
      </c>
      <c r="AD613" s="11">
        <v>1</v>
      </c>
      <c r="AE613" s="11">
        <v>0</v>
      </c>
      <c r="AF613" s="11">
        <v>0</v>
      </c>
      <c r="AG613" s="11">
        <v>0</v>
      </c>
      <c r="AH613" s="9" t="s">
        <v>8248</v>
      </c>
      <c r="AI613" s="11">
        <v>1</v>
      </c>
      <c r="AJ613" s="11">
        <v>1</v>
      </c>
      <c r="AK613" s="11">
        <v>1</v>
      </c>
      <c r="AL613" s="11">
        <v>0</v>
      </c>
      <c r="AN613" s="11">
        <v>0</v>
      </c>
      <c r="AO613" s="11">
        <v>0</v>
      </c>
      <c r="AP613" s="11">
        <v>0</v>
      </c>
      <c r="AQ613" s="11">
        <v>0</v>
      </c>
      <c r="AR613" s="11">
        <v>0</v>
      </c>
      <c r="AS613" s="11">
        <v>0</v>
      </c>
      <c r="AT613" s="11">
        <v>1</v>
      </c>
      <c r="AU613" s="11">
        <v>0</v>
      </c>
      <c r="AV613" s="11">
        <v>0</v>
      </c>
      <c r="AW613" s="11">
        <v>0</v>
      </c>
      <c r="AX613" s="11">
        <v>0</v>
      </c>
      <c r="AY613" s="11">
        <v>0</v>
      </c>
      <c r="BA613" s="12" t="s">
        <v>4877</v>
      </c>
      <c r="BB613" s="12">
        <v>0</v>
      </c>
      <c r="BC613" s="12">
        <v>0</v>
      </c>
      <c r="BD613" s="12">
        <v>0</v>
      </c>
      <c r="BE613" s="12">
        <v>0</v>
      </c>
      <c r="BF613" s="12">
        <v>0</v>
      </c>
      <c r="BI613" s="12">
        <v>0</v>
      </c>
      <c r="BJ613" s="12">
        <v>0</v>
      </c>
    </row>
    <row r="614" spans="1:62" x14ac:dyDescent="0.15">
      <c r="A614" s="7" t="s">
        <v>7555</v>
      </c>
      <c r="B614" s="7" t="s">
        <v>7555</v>
      </c>
      <c r="C614" s="7" t="s">
        <v>7556</v>
      </c>
      <c r="D614" s="8" t="s">
        <v>6596</v>
      </c>
      <c r="E614" s="9" t="s">
        <v>6526</v>
      </c>
      <c r="L614" s="10">
        <v>3780700</v>
      </c>
      <c r="M614" s="10">
        <v>667540</v>
      </c>
      <c r="N614" s="11">
        <v>15</v>
      </c>
      <c r="O614" s="11" t="s">
        <v>4871</v>
      </c>
      <c r="P614" s="7" t="s">
        <v>7557</v>
      </c>
      <c r="Q614" s="9" t="s">
        <v>1112</v>
      </c>
      <c r="S614" s="9" t="s">
        <v>6596</v>
      </c>
      <c r="T614" s="9" t="s">
        <v>4875</v>
      </c>
      <c r="U614" s="12" t="s">
        <v>5020</v>
      </c>
      <c r="V614" s="12" t="s">
        <v>5021</v>
      </c>
      <c r="W614" s="12">
        <v>0</v>
      </c>
      <c r="X614" s="12">
        <v>0</v>
      </c>
      <c r="Y614" s="12">
        <v>0</v>
      </c>
      <c r="Z614" s="11">
        <v>0</v>
      </c>
      <c r="AA614" s="11">
        <v>0</v>
      </c>
      <c r="AB614" s="11">
        <v>0</v>
      </c>
      <c r="AC614" s="11">
        <v>0</v>
      </c>
      <c r="AD614" s="11">
        <v>0</v>
      </c>
      <c r="AE614" s="11">
        <v>0</v>
      </c>
      <c r="AF614" s="11">
        <v>1</v>
      </c>
      <c r="AG614" s="11">
        <v>1</v>
      </c>
      <c r="AH614" s="9" t="s">
        <v>4909</v>
      </c>
      <c r="AI614" s="11">
        <v>1</v>
      </c>
      <c r="AJ614" s="11">
        <v>1</v>
      </c>
      <c r="AK614" s="11">
        <v>0</v>
      </c>
      <c r="AL614" s="11">
        <v>0</v>
      </c>
      <c r="AN614" s="11">
        <v>0</v>
      </c>
      <c r="AO614" s="11">
        <v>0</v>
      </c>
      <c r="AP614" s="11">
        <v>0</v>
      </c>
      <c r="AQ614" s="11">
        <v>0</v>
      </c>
      <c r="AR614" s="11">
        <v>0</v>
      </c>
      <c r="AS614" s="11">
        <v>0</v>
      </c>
      <c r="AT614" s="11">
        <v>1</v>
      </c>
      <c r="AU614" s="11">
        <v>0</v>
      </c>
      <c r="AV614" s="11">
        <v>0</v>
      </c>
      <c r="AW614" s="11">
        <v>0</v>
      </c>
      <c r="AX614" s="11">
        <v>0</v>
      </c>
      <c r="AY614" s="11">
        <v>1</v>
      </c>
      <c r="BA614" s="12" t="s">
        <v>4877</v>
      </c>
      <c r="BB614" s="12">
        <v>0</v>
      </c>
      <c r="BC614" s="12">
        <v>0</v>
      </c>
      <c r="BD614" s="12">
        <v>0</v>
      </c>
      <c r="BE614" s="12">
        <v>0</v>
      </c>
      <c r="BF614" s="12">
        <v>0</v>
      </c>
      <c r="BI614" s="12">
        <v>0</v>
      </c>
      <c r="BJ614" s="12">
        <v>0</v>
      </c>
    </row>
    <row r="615" spans="1:62" x14ac:dyDescent="0.15">
      <c r="A615" s="7" t="s">
        <v>7558</v>
      </c>
      <c r="B615" s="7" t="s">
        <v>7558</v>
      </c>
      <c r="C615" s="7" t="s">
        <v>7559</v>
      </c>
      <c r="D615" s="8" t="s">
        <v>6596</v>
      </c>
      <c r="E615" s="9" t="s">
        <v>6526</v>
      </c>
      <c r="L615" s="10">
        <v>3806100</v>
      </c>
      <c r="M615" s="10">
        <v>628120</v>
      </c>
      <c r="N615" s="11">
        <v>15</v>
      </c>
      <c r="O615" s="11" t="s">
        <v>4871</v>
      </c>
      <c r="P615" s="7" t="s">
        <v>7560</v>
      </c>
      <c r="Q615" s="9" t="s">
        <v>1112</v>
      </c>
      <c r="S615" s="9" t="s">
        <v>6596</v>
      </c>
      <c r="T615" s="9" t="s">
        <v>4902</v>
      </c>
      <c r="U615" s="12" t="s">
        <v>4902</v>
      </c>
      <c r="V615" s="12" t="s">
        <v>4902</v>
      </c>
      <c r="W615" s="12">
        <v>0</v>
      </c>
      <c r="X615" s="12">
        <v>0</v>
      </c>
      <c r="Y615" s="12">
        <v>0</v>
      </c>
      <c r="Z615" s="11">
        <v>0</v>
      </c>
      <c r="AA615" s="11">
        <v>0</v>
      </c>
      <c r="AB615" s="11">
        <v>0</v>
      </c>
      <c r="AC615" s="11">
        <v>0</v>
      </c>
      <c r="AD615" s="11">
        <v>0</v>
      </c>
      <c r="AE615" s="11">
        <v>0</v>
      </c>
      <c r="AF615" s="11">
        <v>0</v>
      </c>
      <c r="AG615" s="11">
        <v>0</v>
      </c>
      <c r="AH615" s="9" t="s">
        <v>7536</v>
      </c>
      <c r="AI615" s="11">
        <v>5</v>
      </c>
      <c r="AJ615" s="11">
        <v>1</v>
      </c>
      <c r="AK615" s="11">
        <v>1</v>
      </c>
      <c r="AL615" s="11">
        <v>0</v>
      </c>
      <c r="AN615" s="11">
        <v>0</v>
      </c>
      <c r="AO615" s="11">
        <v>0</v>
      </c>
      <c r="AP615" s="11">
        <v>0</v>
      </c>
      <c r="AQ615" s="11">
        <v>0</v>
      </c>
      <c r="AR615" s="11">
        <v>0</v>
      </c>
      <c r="AS615" s="11">
        <v>0</v>
      </c>
      <c r="AT615" s="11">
        <v>1</v>
      </c>
      <c r="AU615" s="11">
        <v>0</v>
      </c>
      <c r="AV615" s="11">
        <v>0</v>
      </c>
      <c r="AW615" s="11">
        <v>0</v>
      </c>
      <c r="AX615" s="11">
        <v>0</v>
      </c>
      <c r="AY615" s="11">
        <v>0</v>
      </c>
      <c r="BA615" s="12" t="s">
        <v>4877</v>
      </c>
      <c r="BB615" s="12">
        <v>0</v>
      </c>
      <c r="BC615" s="12">
        <v>0</v>
      </c>
      <c r="BD615" s="12">
        <v>0</v>
      </c>
      <c r="BE615" s="12">
        <v>0</v>
      </c>
      <c r="BF615" s="12">
        <v>0</v>
      </c>
      <c r="BI615" s="12">
        <v>0</v>
      </c>
      <c r="BJ615" s="12">
        <v>0</v>
      </c>
    </row>
    <row r="616" spans="1:62" x14ac:dyDescent="0.15">
      <c r="A616" s="12"/>
      <c r="B616" t="s">
        <v>7561</v>
      </c>
      <c r="C616" s="20" t="s">
        <v>7562</v>
      </c>
      <c r="D616" t="s">
        <v>7563</v>
      </c>
      <c r="E616" t="s">
        <v>7963</v>
      </c>
      <c r="F616"/>
      <c r="G616"/>
      <c r="H616"/>
      <c r="I616"/>
      <c r="J616"/>
      <c r="K616"/>
      <c r="L616" s="10">
        <v>4013144</v>
      </c>
      <c r="M616" s="10">
        <v>760570</v>
      </c>
      <c r="N616" s="12">
        <v>15</v>
      </c>
      <c r="O616" s="12" t="s">
        <v>6876</v>
      </c>
      <c r="P616" t="s">
        <v>7564</v>
      </c>
      <c r="Q616"/>
      <c r="R616"/>
      <c r="S616" t="s">
        <v>7563</v>
      </c>
      <c r="T616" s="12" t="s">
        <v>8484</v>
      </c>
      <c r="U616" s="12" t="s">
        <v>5019</v>
      </c>
      <c r="V616" s="12" t="s">
        <v>5020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1</v>
      </c>
      <c r="AF616" s="12">
        <v>1</v>
      </c>
      <c r="AG616" s="12">
        <v>0</v>
      </c>
      <c r="AH616" s="12">
        <v>1</v>
      </c>
      <c r="AI616" s="12">
        <v>1</v>
      </c>
      <c r="AJ616" s="12">
        <v>1</v>
      </c>
      <c r="AK616" s="12">
        <v>0</v>
      </c>
      <c r="AL616" s="12">
        <v>1</v>
      </c>
      <c r="AM616" s="12"/>
      <c r="AN616" s="12">
        <v>0</v>
      </c>
      <c r="AO616" s="12">
        <v>0</v>
      </c>
      <c r="AP616" s="12">
        <v>0</v>
      </c>
      <c r="AQ616" s="12">
        <v>1</v>
      </c>
      <c r="AR616" s="12">
        <v>0</v>
      </c>
      <c r="AS616" s="12">
        <v>0</v>
      </c>
      <c r="AT616" s="12">
        <v>0</v>
      </c>
      <c r="AU616" s="12">
        <v>0</v>
      </c>
      <c r="AV616" s="12">
        <v>0</v>
      </c>
      <c r="AW616" s="12">
        <v>0</v>
      </c>
      <c r="AX616" s="12">
        <v>0</v>
      </c>
      <c r="AY616" s="12">
        <v>0</v>
      </c>
      <c r="BA616" s="12" t="s">
        <v>4877</v>
      </c>
      <c r="BB616" s="12">
        <v>0</v>
      </c>
      <c r="BC616" s="12">
        <v>0</v>
      </c>
      <c r="BD616" s="12">
        <v>0</v>
      </c>
      <c r="BE616" s="12">
        <v>0</v>
      </c>
      <c r="BF616" s="12">
        <v>0</v>
      </c>
      <c r="BI616" s="12">
        <v>0</v>
      </c>
      <c r="BJ616" s="12">
        <v>0</v>
      </c>
    </row>
    <row r="617" spans="1:62" x14ac:dyDescent="0.15">
      <c r="A617" s="12" t="s">
        <v>7565</v>
      </c>
      <c r="B617" t="s">
        <v>7565</v>
      </c>
      <c r="C617" s="20" t="s">
        <v>7566</v>
      </c>
      <c r="D617" t="s">
        <v>7563</v>
      </c>
      <c r="E617" t="s">
        <v>7963</v>
      </c>
      <c r="F617"/>
      <c r="G617"/>
      <c r="H617"/>
      <c r="I617"/>
      <c r="J617"/>
      <c r="K617"/>
      <c r="L617" s="10">
        <v>4002150</v>
      </c>
      <c r="M617" s="10">
        <v>759332</v>
      </c>
      <c r="N617" s="12">
        <v>15</v>
      </c>
      <c r="O617" s="12" t="s">
        <v>7964</v>
      </c>
      <c r="P617" t="s">
        <v>7564</v>
      </c>
      <c r="Q617"/>
      <c r="R617"/>
      <c r="S617" t="s">
        <v>7563</v>
      </c>
      <c r="T617" s="12" t="s">
        <v>8484</v>
      </c>
      <c r="U617" s="12" t="s">
        <v>5019</v>
      </c>
      <c r="V617" s="12" t="s">
        <v>5020</v>
      </c>
      <c r="W617" s="12">
        <v>0</v>
      </c>
      <c r="X617" s="12">
        <v>0</v>
      </c>
      <c r="Y617" s="12">
        <v>0</v>
      </c>
      <c r="Z617" s="12">
        <v>0</v>
      </c>
      <c r="AA617" s="12">
        <v>0</v>
      </c>
      <c r="AB617" s="12">
        <v>0</v>
      </c>
      <c r="AC617" s="12">
        <v>0</v>
      </c>
      <c r="AD617" s="12">
        <v>0</v>
      </c>
      <c r="AE617" s="12">
        <v>1</v>
      </c>
      <c r="AF617" s="12">
        <v>1</v>
      </c>
      <c r="AG617" s="12">
        <v>0</v>
      </c>
      <c r="AH617" s="12" t="s">
        <v>8248</v>
      </c>
      <c r="AI617" s="12">
        <v>1</v>
      </c>
      <c r="AJ617" s="12">
        <v>1</v>
      </c>
      <c r="AK617" s="12">
        <v>0</v>
      </c>
      <c r="AL617" s="12">
        <v>0</v>
      </c>
      <c r="AM617" s="12"/>
      <c r="AN617" s="12">
        <v>0</v>
      </c>
      <c r="AO617" s="12">
        <v>0</v>
      </c>
      <c r="AP617" s="12">
        <v>0</v>
      </c>
      <c r="AQ617" s="12">
        <v>0</v>
      </c>
      <c r="AR617" s="12">
        <v>0</v>
      </c>
      <c r="AS617" s="12">
        <v>0</v>
      </c>
      <c r="AT617" s="12">
        <v>1</v>
      </c>
      <c r="AU617" s="12">
        <v>0</v>
      </c>
      <c r="AV617" s="12">
        <v>0</v>
      </c>
      <c r="AW617" s="12">
        <v>0</v>
      </c>
      <c r="AX617" s="12">
        <v>0</v>
      </c>
      <c r="AY617" s="12">
        <v>0</v>
      </c>
      <c r="BA617" s="12" t="s">
        <v>4877</v>
      </c>
      <c r="BB617" s="12">
        <v>0</v>
      </c>
      <c r="BC617" s="12">
        <v>0</v>
      </c>
      <c r="BD617" s="12">
        <v>0</v>
      </c>
      <c r="BE617" s="12">
        <v>0</v>
      </c>
      <c r="BF617" s="12">
        <v>0</v>
      </c>
      <c r="BI617" s="12">
        <v>0</v>
      </c>
      <c r="BJ617" s="12">
        <v>0</v>
      </c>
    </row>
    <row r="618" spans="1:62" x14ac:dyDescent="0.15">
      <c r="A618" s="12" t="s">
        <v>7567</v>
      </c>
      <c r="B618" t="s">
        <v>7567</v>
      </c>
      <c r="C618" s="20" t="s">
        <v>7568</v>
      </c>
      <c r="D618" t="s">
        <v>7563</v>
      </c>
      <c r="E618" t="s">
        <v>7963</v>
      </c>
      <c r="F618"/>
      <c r="G618"/>
      <c r="H618"/>
      <c r="I618"/>
      <c r="J618"/>
      <c r="K618"/>
      <c r="L618" s="10">
        <v>3996691</v>
      </c>
      <c r="M618" s="10">
        <v>756175</v>
      </c>
      <c r="N618" s="12">
        <v>15</v>
      </c>
      <c r="O618" s="12" t="s">
        <v>7964</v>
      </c>
      <c r="P618" t="s">
        <v>7564</v>
      </c>
      <c r="Q618"/>
      <c r="R618"/>
      <c r="S618" t="s">
        <v>7563</v>
      </c>
      <c r="T618" s="12" t="s">
        <v>8484</v>
      </c>
      <c r="U618" s="12" t="s">
        <v>5019</v>
      </c>
      <c r="V618" s="12" t="s">
        <v>5020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1</v>
      </c>
      <c r="AF618" s="12">
        <v>1</v>
      </c>
      <c r="AG618" s="12">
        <v>0</v>
      </c>
      <c r="AH618" s="12" t="s">
        <v>8248</v>
      </c>
      <c r="AI618" s="12">
        <v>1</v>
      </c>
      <c r="AJ618" s="12">
        <v>1</v>
      </c>
      <c r="AK618" s="12">
        <v>0</v>
      </c>
      <c r="AL618" s="12">
        <v>0</v>
      </c>
      <c r="AM618" s="12"/>
      <c r="AN618" s="12">
        <v>0</v>
      </c>
      <c r="AO618" s="12">
        <v>0</v>
      </c>
      <c r="AP618" s="12">
        <v>0</v>
      </c>
      <c r="AQ618" s="12">
        <v>0</v>
      </c>
      <c r="AR618" s="12">
        <v>0</v>
      </c>
      <c r="AS618" s="12">
        <v>0</v>
      </c>
      <c r="AT618" s="12">
        <v>1</v>
      </c>
      <c r="AU618" s="12">
        <v>0</v>
      </c>
      <c r="AV618" s="12">
        <v>0</v>
      </c>
      <c r="AW618" s="12">
        <v>0</v>
      </c>
      <c r="AX618" s="12">
        <v>0</v>
      </c>
      <c r="AY618" s="12">
        <v>0</v>
      </c>
      <c r="BA618" s="12" t="s">
        <v>4877</v>
      </c>
      <c r="BB618" s="12">
        <v>0</v>
      </c>
      <c r="BC618" s="12">
        <v>0</v>
      </c>
      <c r="BD618" s="12">
        <v>0</v>
      </c>
      <c r="BE618" s="12">
        <v>0</v>
      </c>
      <c r="BF618" s="12">
        <v>0</v>
      </c>
      <c r="BI618" s="12">
        <v>0</v>
      </c>
      <c r="BJ618" s="12">
        <v>0</v>
      </c>
    </row>
    <row r="619" spans="1:62" x14ac:dyDescent="0.15">
      <c r="A619" s="12" t="str">
        <f>VLOOKUP(C619,'[1]LMV SiteNameNums'!B$1:C$65536,2,FALSE)</f>
        <v>8-P-8</v>
      </c>
      <c r="B619" t="s">
        <v>7569</v>
      </c>
      <c r="C619" s="20" t="s">
        <v>7570</v>
      </c>
      <c r="D619" t="s">
        <v>7563</v>
      </c>
      <c r="E619" t="s">
        <v>7963</v>
      </c>
      <c r="F619"/>
      <c r="G619"/>
      <c r="H619"/>
      <c r="I619"/>
      <c r="J619"/>
      <c r="K619"/>
      <c r="L619" s="10">
        <v>4004648</v>
      </c>
      <c r="M619" s="10">
        <v>766245</v>
      </c>
      <c r="N619" s="12">
        <v>15</v>
      </c>
      <c r="O619" s="12" t="s">
        <v>6876</v>
      </c>
      <c r="P619" t="s">
        <v>7564</v>
      </c>
      <c r="Q619"/>
      <c r="R619"/>
      <c r="S619" t="s">
        <v>7563</v>
      </c>
      <c r="T619" s="12" t="s">
        <v>8484</v>
      </c>
      <c r="U619" s="12" t="s">
        <v>5019</v>
      </c>
      <c r="V619" s="12" t="s">
        <v>5020</v>
      </c>
      <c r="W619" s="12">
        <v>0</v>
      </c>
      <c r="X619" s="12">
        <v>0</v>
      </c>
      <c r="Y619" s="12">
        <v>0</v>
      </c>
      <c r="Z619" s="12">
        <v>0</v>
      </c>
      <c r="AA619" s="12">
        <v>0</v>
      </c>
      <c r="AB619" s="12">
        <v>0</v>
      </c>
      <c r="AC619" s="12">
        <v>0</v>
      </c>
      <c r="AD619" s="12">
        <v>0</v>
      </c>
      <c r="AE619" s="12">
        <v>1</v>
      </c>
      <c r="AF619" s="12">
        <v>1</v>
      </c>
      <c r="AG619" s="12">
        <v>0</v>
      </c>
      <c r="AH619" s="12">
        <v>1</v>
      </c>
      <c r="AI619" s="12">
        <v>1</v>
      </c>
      <c r="AJ619" s="12">
        <v>1</v>
      </c>
      <c r="AK619" s="12">
        <v>0</v>
      </c>
      <c r="AL619" s="12">
        <v>0</v>
      </c>
      <c r="AM619" s="12"/>
      <c r="AN619" s="12">
        <v>0</v>
      </c>
      <c r="AO619" s="12">
        <v>0</v>
      </c>
      <c r="AP619" s="12">
        <v>0</v>
      </c>
      <c r="AQ619" s="12">
        <v>0</v>
      </c>
      <c r="AR619" s="12">
        <v>1</v>
      </c>
      <c r="AS619" s="12">
        <v>0</v>
      </c>
      <c r="AT619" s="12">
        <v>0</v>
      </c>
      <c r="AU619" s="12">
        <v>0</v>
      </c>
      <c r="AV619" s="12">
        <v>0</v>
      </c>
      <c r="AW619" s="12">
        <v>0</v>
      </c>
      <c r="AX619" s="12">
        <v>0</v>
      </c>
      <c r="AY619" s="12">
        <v>0</v>
      </c>
      <c r="BA619" s="12" t="s">
        <v>4877</v>
      </c>
      <c r="BB619" s="12">
        <v>0</v>
      </c>
      <c r="BC619" s="12">
        <v>0</v>
      </c>
      <c r="BD619" s="12">
        <v>0</v>
      </c>
      <c r="BE619" s="12">
        <v>0</v>
      </c>
      <c r="BF619" s="12">
        <v>0</v>
      </c>
      <c r="BI619" s="12">
        <v>0</v>
      </c>
      <c r="BJ619" s="12">
        <v>0</v>
      </c>
    </row>
    <row r="620" spans="1:62" x14ac:dyDescent="0.15">
      <c r="A620" s="12" t="str">
        <f>VLOOKUP(C620,'[1]LMV SiteNameNums'!B$1:C$65536,2,FALSE)</f>
        <v>7-P-7</v>
      </c>
      <c r="B620" t="s">
        <v>7571</v>
      </c>
      <c r="C620" s="20" t="s">
        <v>7572</v>
      </c>
      <c r="D620" t="s">
        <v>7563</v>
      </c>
      <c r="E620" t="s">
        <v>7963</v>
      </c>
      <c r="F620"/>
      <c r="G620"/>
      <c r="H620"/>
      <c r="I620"/>
      <c r="J620"/>
      <c r="K620"/>
      <c r="L620" s="10">
        <v>4016079</v>
      </c>
      <c r="M620" s="10">
        <v>768021</v>
      </c>
      <c r="N620" s="12">
        <v>15</v>
      </c>
      <c r="O620" s="12" t="s">
        <v>7964</v>
      </c>
      <c r="P620" t="s">
        <v>7573</v>
      </c>
      <c r="Q620"/>
      <c r="R620"/>
      <c r="S620" t="s">
        <v>7563</v>
      </c>
      <c r="T620" s="12" t="s">
        <v>8484</v>
      </c>
      <c r="U620" s="12" t="s">
        <v>5019</v>
      </c>
      <c r="V620" s="12" t="s">
        <v>5020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f>VLOOKUP(C620,'[1]Phillips 1970 - Baytown'!A$1:B$65536,2,FALSE)</f>
        <v>1</v>
      </c>
      <c r="AE620" s="12">
        <v>1</v>
      </c>
      <c r="AF620" s="12">
        <v>1</v>
      </c>
      <c r="AG620" s="12">
        <v>0</v>
      </c>
      <c r="AH620" s="12">
        <v>0</v>
      </c>
      <c r="AI620" s="12">
        <v>0</v>
      </c>
      <c r="AJ620" s="12">
        <v>0</v>
      </c>
      <c r="AK620" s="12">
        <v>0</v>
      </c>
      <c r="AL620" s="12">
        <v>0</v>
      </c>
      <c r="AM620" s="12"/>
      <c r="AN620" s="12">
        <v>0</v>
      </c>
      <c r="AO620" s="12">
        <v>0</v>
      </c>
      <c r="AP620" s="12">
        <v>0</v>
      </c>
      <c r="AQ620" s="12">
        <v>0</v>
      </c>
      <c r="AR620" s="12">
        <v>0</v>
      </c>
      <c r="AS620" s="12">
        <v>0</v>
      </c>
      <c r="AT620" s="12">
        <v>0</v>
      </c>
      <c r="AU620" s="12">
        <v>0</v>
      </c>
      <c r="AV620" s="12">
        <v>0</v>
      </c>
      <c r="AW620" s="12">
        <v>0</v>
      </c>
      <c r="AX620" s="12">
        <v>0</v>
      </c>
      <c r="AY620" s="12">
        <v>0</v>
      </c>
      <c r="BA620" s="12" t="s">
        <v>4877</v>
      </c>
      <c r="BB620" s="12">
        <v>0</v>
      </c>
      <c r="BC620" s="12">
        <v>0</v>
      </c>
      <c r="BD620" s="12">
        <v>0</v>
      </c>
      <c r="BE620" s="12">
        <v>0</v>
      </c>
      <c r="BF620" s="12">
        <v>0</v>
      </c>
      <c r="BI620" s="12">
        <v>0</v>
      </c>
      <c r="BJ620" s="12">
        <v>0</v>
      </c>
    </row>
    <row r="621" spans="1:62" x14ac:dyDescent="0.15">
      <c r="A621" s="12" t="s">
        <v>7574</v>
      </c>
      <c r="B621" t="s">
        <v>7574</v>
      </c>
      <c r="C621" s="20" t="s">
        <v>7574</v>
      </c>
      <c r="D621" t="s">
        <v>7563</v>
      </c>
      <c r="E621" t="s">
        <v>7963</v>
      </c>
      <c r="F621"/>
      <c r="G621"/>
      <c r="H621"/>
      <c r="I621"/>
      <c r="J621"/>
      <c r="K621"/>
      <c r="L621" s="21">
        <v>4004960</v>
      </c>
      <c r="M621" s="21">
        <v>761864</v>
      </c>
      <c r="N621" s="12">
        <v>15</v>
      </c>
      <c r="O621" s="12" t="s">
        <v>7964</v>
      </c>
      <c r="P621" t="s">
        <v>7575</v>
      </c>
      <c r="Q621"/>
      <c r="R621"/>
      <c r="S621" t="s">
        <v>7563</v>
      </c>
      <c r="T621" s="12" t="s">
        <v>4875</v>
      </c>
      <c r="U621" s="12" t="s">
        <v>5020</v>
      </c>
      <c r="V621" s="12" t="s">
        <v>5021</v>
      </c>
      <c r="W621" s="12">
        <v>0</v>
      </c>
      <c r="X621" s="12">
        <v>0</v>
      </c>
      <c r="Y621" s="12">
        <v>0</v>
      </c>
      <c r="Z621" s="12">
        <v>0</v>
      </c>
      <c r="AA621" s="12">
        <v>0</v>
      </c>
      <c r="AB621" s="12">
        <v>0</v>
      </c>
      <c r="AC621" s="12">
        <v>0</v>
      </c>
      <c r="AD621" s="12">
        <v>0</v>
      </c>
      <c r="AE621" s="12">
        <v>0</v>
      </c>
      <c r="AF621" s="12">
        <v>1</v>
      </c>
      <c r="AG621" s="12">
        <v>1</v>
      </c>
      <c r="AH621" s="12">
        <v>0</v>
      </c>
      <c r="AI621" s="12">
        <v>0</v>
      </c>
      <c r="AJ621" s="12">
        <v>0</v>
      </c>
      <c r="AK621" s="12">
        <v>0</v>
      </c>
      <c r="AL621" s="12">
        <v>0</v>
      </c>
      <c r="AM621" s="12"/>
      <c r="AN621" s="12">
        <v>0</v>
      </c>
      <c r="AO621" s="12">
        <v>0</v>
      </c>
      <c r="AP621" s="12">
        <v>0</v>
      </c>
      <c r="AQ621" s="12">
        <v>0</v>
      </c>
      <c r="AR621" s="12">
        <v>0</v>
      </c>
      <c r="AS621" s="12">
        <v>0</v>
      </c>
      <c r="AT621" s="12">
        <v>0</v>
      </c>
      <c r="AU621" s="12">
        <v>0</v>
      </c>
      <c r="AV621" s="12">
        <v>0</v>
      </c>
      <c r="AW621" s="12">
        <v>0</v>
      </c>
      <c r="AX621" s="12">
        <v>0</v>
      </c>
      <c r="AY621" s="12">
        <v>0</v>
      </c>
      <c r="BA621" s="12" t="s">
        <v>4877</v>
      </c>
      <c r="BB621" s="12">
        <v>0</v>
      </c>
      <c r="BC621" s="12">
        <v>0</v>
      </c>
      <c r="BD621" s="12">
        <v>0</v>
      </c>
      <c r="BE621" s="12">
        <v>0</v>
      </c>
      <c r="BF621" s="12">
        <v>0</v>
      </c>
      <c r="BI621" s="12">
        <v>0</v>
      </c>
      <c r="BJ621" s="12">
        <v>0</v>
      </c>
    </row>
    <row r="622" spans="1:62" x14ac:dyDescent="0.15">
      <c r="A622" s="12" t="str">
        <f>VLOOKUP(C622,'[1]LMV SiteNameNums'!B$1:C$65536,2,FALSE)</f>
        <v>10-R-1</v>
      </c>
      <c r="B622" t="s">
        <v>7576</v>
      </c>
      <c r="C622" s="20" t="s">
        <v>7577</v>
      </c>
      <c r="D622" t="s">
        <v>7563</v>
      </c>
      <c r="E622" t="s">
        <v>7963</v>
      </c>
      <c r="F622"/>
      <c r="G622"/>
      <c r="H622"/>
      <c r="I622"/>
      <c r="J622"/>
      <c r="K622"/>
      <c r="L622" s="10">
        <v>3990004</v>
      </c>
      <c r="M622" s="10">
        <v>742020</v>
      </c>
      <c r="N622" s="12">
        <v>15</v>
      </c>
      <c r="O622" s="12" t="s">
        <v>7964</v>
      </c>
      <c r="P622" t="s">
        <v>7575</v>
      </c>
      <c r="Q622"/>
      <c r="R622"/>
      <c r="S622" t="s">
        <v>7563</v>
      </c>
      <c r="T622" s="12" t="s">
        <v>4875</v>
      </c>
      <c r="U622" s="12" t="s">
        <v>5020</v>
      </c>
      <c r="V622" s="12" t="s">
        <v>5021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1</v>
      </c>
      <c r="AG622" s="12">
        <v>1</v>
      </c>
      <c r="AH622" s="12">
        <v>0</v>
      </c>
      <c r="AI622" s="12">
        <v>0</v>
      </c>
      <c r="AJ622" s="12">
        <v>0</v>
      </c>
      <c r="AK622" s="12">
        <v>0</v>
      </c>
      <c r="AL622" s="12">
        <v>0</v>
      </c>
      <c r="AM622" s="12"/>
      <c r="AN622" s="12">
        <v>0</v>
      </c>
      <c r="AO622" s="12">
        <v>0</v>
      </c>
      <c r="AP622" s="12">
        <v>0</v>
      </c>
      <c r="AQ622" s="12">
        <v>0</v>
      </c>
      <c r="AR622" s="12">
        <v>0</v>
      </c>
      <c r="AS622" s="12">
        <v>0</v>
      </c>
      <c r="AT622" s="12">
        <v>0</v>
      </c>
      <c r="AU622" s="12">
        <v>0</v>
      </c>
      <c r="AV622" s="12">
        <v>0</v>
      </c>
      <c r="AW622" s="12">
        <v>0</v>
      </c>
      <c r="AX622" s="12">
        <v>0</v>
      </c>
      <c r="AY622" s="12">
        <v>0</v>
      </c>
      <c r="BA622" s="12" t="s">
        <v>4877</v>
      </c>
      <c r="BB622" s="12">
        <v>0</v>
      </c>
      <c r="BC622" s="12">
        <v>0</v>
      </c>
      <c r="BD622" s="12">
        <v>0</v>
      </c>
      <c r="BE622" s="12">
        <v>0</v>
      </c>
      <c r="BF622" s="12">
        <v>0</v>
      </c>
      <c r="BI622" s="12">
        <v>0</v>
      </c>
      <c r="BJ622" s="12">
        <v>0</v>
      </c>
    </row>
    <row r="623" spans="1:62" x14ac:dyDescent="0.15">
      <c r="A623" s="12" t="s">
        <v>7578</v>
      </c>
      <c r="B623" t="s">
        <v>7578</v>
      </c>
      <c r="C623" s="20" t="s">
        <v>7578</v>
      </c>
      <c r="D623" t="s">
        <v>7563</v>
      </c>
      <c r="E623" t="s">
        <v>7963</v>
      </c>
      <c r="F623"/>
      <c r="G623"/>
      <c r="H623"/>
      <c r="I623"/>
      <c r="J623"/>
      <c r="K623"/>
      <c r="L623" s="10">
        <v>4022036.2480000001</v>
      </c>
      <c r="M623" s="10">
        <v>769431.51</v>
      </c>
      <c r="N623" s="12">
        <v>15</v>
      </c>
      <c r="O623" s="12" t="s">
        <v>7964</v>
      </c>
      <c r="P623" t="s">
        <v>7575</v>
      </c>
      <c r="Q623"/>
      <c r="R623"/>
      <c r="S623" t="s">
        <v>7563</v>
      </c>
      <c r="T623" s="12" t="s">
        <v>4875</v>
      </c>
      <c r="U623" s="12" t="s">
        <v>5020</v>
      </c>
      <c r="V623" s="12" t="s">
        <v>5021</v>
      </c>
      <c r="W623" s="12">
        <v>0</v>
      </c>
      <c r="X623" s="12">
        <v>0</v>
      </c>
      <c r="Y623" s="12">
        <v>0</v>
      </c>
      <c r="Z623" s="12">
        <v>0</v>
      </c>
      <c r="AA623" s="12">
        <v>0</v>
      </c>
      <c r="AB623" s="12">
        <v>0</v>
      </c>
      <c r="AC623" s="12">
        <v>0</v>
      </c>
      <c r="AD623" s="12">
        <v>0</v>
      </c>
      <c r="AE623" s="12">
        <v>0</v>
      </c>
      <c r="AF623" s="12">
        <v>1</v>
      </c>
      <c r="AG623" s="12">
        <v>1</v>
      </c>
      <c r="AH623" s="12">
        <v>0</v>
      </c>
      <c r="AI623" s="12">
        <v>0</v>
      </c>
      <c r="AJ623" s="12">
        <v>0</v>
      </c>
      <c r="AK623" s="12">
        <v>0</v>
      </c>
      <c r="AL623" s="12">
        <v>0</v>
      </c>
      <c r="AM623" s="12"/>
      <c r="AN623" s="12">
        <v>0</v>
      </c>
      <c r="AO623" s="12">
        <v>0</v>
      </c>
      <c r="AP623" s="12">
        <v>0</v>
      </c>
      <c r="AQ623" s="12">
        <v>0</v>
      </c>
      <c r="AR623" s="12">
        <v>0</v>
      </c>
      <c r="AS623" s="12">
        <v>0</v>
      </c>
      <c r="AT623" s="12">
        <v>0</v>
      </c>
      <c r="AU623" s="12">
        <v>0</v>
      </c>
      <c r="AV623" s="12">
        <v>0</v>
      </c>
      <c r="AW623" s="12">
        <v>0</v>
      </c>
      <c r="AX623" s="12">
        <v>0</v>
      </c>
      <c r="AY623" s="12">
        <v>0</v>
      </c>
      <c r="BA623" s="12" t="s">
        <v>4877</v>
      </c>
      <c r="BB623" s="12">
        <v>0</v>
      </c>
      <c r="BC623" s="12">
        <v>0</v>
      </c>
      <c r="BD623" s="12">
        <v>0</v>
      </c>
      <c r="BE623" s="12">
        <v>0</v>
      </c>
      <c r="BF623" s="12">
        <v>0</v>
      </c>
      <c r="BI623" s="12">
        <v>0</v>
      </c>
      <c r="BJ623" s="12">
        <v>0</v>
      </c>
    </row>
    <row r="624" spans="1:62" x14ac:dyDescent="0.15">
      <c r="A624" s="12" t="s">
        <v>7350</v>
      </c>
      <c r="B624" t="s">
        <v>7350</v>
      </c>
      <c r="C624" s="20" t="s">
        <v>7350</v>
      </c>
      <c r="D624" t="s">
        <v>7563</v>
      </c>
      <c r="E624" t="s">
        <v>7963</v>
      </c>
      <c r="F624"/>
      <c r="G624"/>
      <c r="H624"/>
      <c r="I624"/>
      <c r="J624"/>
      <c r="K624"/>
      <c r="L624" s="10">
        <v>4032744</v>
      </c>
      <c r="M624" s="10">
        <v>767920</v>
      </c>
      <c r="N624" s="12">
        <v>15</v>
      </c>
      <c r="O624" s="12" t="s">
        <v>7964</v>
      </c>
      <c r="P624" t="s">
        <v>7575</v>
      </c>
      <c r="Q624"/>
      <c r="R624"/>
      <c r="S624" t="s">
        <v>7563</v>
      </c>
      <c r="T624" s="12" t="s">
        <v>4875</v>
      </c>
      <c r="U624" s="12" t="s">
        <v>5020</v>
      </c>
      <c r="V624" s="12" t="s">
        <v>5021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1</v>
      </c>
      <c r="AG624" s="12">
        <v>1</v>
      </c>
      <c r="AH624" s="12">
        <v>0</v>
      </c>
      <c r="AI624" s="12">
        <v>0</v>
      </c>
      <c r="AJ624" s="12">
        <v>0</v>
      </c>
      <c r="AK624" s="12">
        <v>0</v>
      </c>
      <c r="AL624" s="12">
        <v>0</v>
      </c>
      <c r="AM624" s="12"/>
      <c r="AN624" s="12">
        <v>0</v>
      </c>
      <c r="AO624" s="12">
        <v>0</v>
      </c>
      <c r="AP624" s="12">
        <v>0</v>
      </c>
      <c r="AQ624" s="12">
        <v>0</v>
      </c>
      <c r="AR624" s="12">
        <v>0</v>
      </c>
      <c r="AS624" s="12">
        <v>0</v>
      </c>
      <c r="AT624" s="12">
        <v>0</v>
      </c>
      <c r="AU624" s="12">
        <v>0</v>
      </c>
      <c r="AV624" s="12">
        <v>0</v>
      </c>
      <c r="AW624" s="12">
        <v>0</v>
      </c>
      <c r="AX624" s="12">
        <v>0</v>
      </c>
      <c r="AY624" s="12">
        <v>0</v>
      </c>
      <c r="BA624" s="12" t="s">
        <v>4877</v>
      </c>
      <c r="BB624" s="12">
        <v>0</v>
      </c>
      <c r="BC624" s="12">
        <v>0</v>
      </c>
      <c r="BD624" s="12">
        <v>0</v>
      </c>
      <c r="BE624" s="12">
        <v>0</v>
      </c>
      <c r="BF624" s="12">
        <v>0</v>
      </c>
      <c r="BI624" s="12">
        <v>0</v>
      </c>
      <c r="BJ624" s="12">
        <v>0</v>
      </c>
    </row>
    <row r="625" spans="1:62" x14ac:dyDescent="0.15">
      <c r="A625" s="12" t="s">
        <v>7351</v>
      </c>
      <c r="B625" t="s">
        <v>7351</v>
      </c>
      <c r="C625" s="20" t="s">
        <v>7351</v>
      </c>
      <c r="D625" t="s">
        <v>7563</v>
      </c>
      <c r="E625" t="s">
        <v>7963</v>
      </c>
      <c r="F625"/>
      <c r="G625"/>
      <c r="H625"/>
      <c r="I625"/>
      <c r="J625"/>
      <c r="K625"/>
      <c r="L625" s="10">
        <v>4029493.284</v>
      </c>
      <c r="M625" s="10">
        <v>769216.39399999997</v>
      </c>
      <c r="N625" s="12">
        <v>15</v>
      </c>
      <c r="O625" s="12" t="s">
        <v>7964</v>
      </c>
      <c r="P625" t="s">
        <v>7575</v>
      </c>
      <c r="Q625"/>
      <c r="R625"/>
      <c r="S625" t="s">
        <v>7563</v>
      </c>
      <c r="T625" s="12" t="s">
        <v>4875</v>
      </c>
      <c r="U625" s="12" t="s">
        <v>5020</v>
      </c>
      <c r="V625" s="12" t="s">
        <v>5021</v>
      </c>
      <c r="W625" s="12">
        <v>0</v>
      </c>
      <c r="X625" s="12">
        <v>0</v>
      </c>
      <c r="Y625" s="12">
        <v>0</v>
      </c>
      <c r="Z625" s="12">
        <v>0</v>
      </c>
      <c r="AA625" s="12">
        <v>0</v>
      </c>
      <c r="AB625" s="12">
        <v>0</v>
      </c>
      <c r="AC625" s="12">
        <v>0</v>
      </c>
      <c r="AD625" s="12">
        <v>0</v>
      </c>
      <c r="AE625" s="12">
        <v>0</v>
      </c>
      <c r="AF625" s="12">
        <v>1</v>
      </c>
      <c r="AG625" s="12">
        <v>1</v>
      </c>
      <c r="AH625" s="12">
        <v>0</v>
      </c>
      <c r="AI625" s="12">
        <v>0</v>
      </c>
      <c r="AJ625" s="12">
        <v>0</v>
      </c>
      <c r="AK625" s="12">
        <v>0</v>
      </c>
      <c r="AL625" s="12">
        <v>0</v>
      </c>
      <c r="AM625" s="12"/>
      <c r="AN625" s="12">
        <v>0</v>
      </c>
      <c r="AO625" s="12">
        <v>0</v>
      </c>
      <c r="AP625" s="12">
        <v>0</v>
      </c>
      <c r="AQ625" s="12">
        <v>0</v>
      </c>
      <c r="AR625" s="12">
        <v>0</v>
      </c>
      <c r="AS625" s="12">
        <v>0</v>
      </c>
      <c r="AT625" s="12">
        <v>0</v>
      </c>
      <c r="AU625" s="12">
        <v>0</v>
      </c>
      <c r="AV625" s="12">
        <v>0</v>
      </c>
      <c r="AW625" s="12">
        <v>0</v>
      </c>
      <c r="AX625" s="12">
        <v>0</v>
      </c>
      <c r="AY625" s="12">
        <v>0</v>
      </c>
      <c r="BA625" s="12" t="s">
        <v>4877</v>
      </c>
      <c r="BB625" s="12">
        <v>0</v>
      </c>
      <c r="BC625" s="12">
        <v>0</v>
      </c>
      <c r="BD625" s="12">
        <v>0</v>
      </c>
      <c r="BE625" s="12">
        <v>0</v>
      </c>
      <c r="BF625" s="12">
        <v>0</v>
      </c>
      <c r="BI625" s="12">
        <v>0</v>
      </c>
      <c r="BJ625" s="12">
        <v>0</v>
      </c>
    </row>
    <row r="626" spans="1:62" x14ac:dyDescent="0.15">
      <c r="A626" s="12"/>
      <c r="B626"/>
      <c r="C626" s="20" t="s">
        <v>7352</v>
      </c>
      <c r="D626" t="s">
        <v>7353</v>
      </c>
      <c r="E626" t="s">
        <v>7963</v>
      </c>
      <c r="F626"/>
      <c r="G626"/>
      <c r="H626"/>
      <c r="I626"/>
      <c r="J626"/>
      <c r="K626"/>
      <c r="L626" s="10">
        <v>4007700</v>
      </c>
      <c r="M626" s="10">
        <v>755173</v>
      </c>
      <c r="N626" s="12">
        <v>15</v>
      </c>
      <c r="O626" s="12" t="s">
        <v>6876</v>
      </c>
      <c r="P626" t="s">
        <v>7354</v>
      </c>
      <c r="Q626"/>
      <c r="R626"/>
      <c r="S626" t="s">
        <v>7353</v>
      </c>
      <c r="T626" s="12" t="s">
        <v>8342</v>
      </c>
      <c r="U626" s="12" t="s">
        <v>5019</v>
      </c>
      <c r="V626" s="12" t="s">
        <v>5021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1</v>
      </c>
      <c r="AF626" s="12">
        <v>1</v>
      </c>
      <c r="AG626" s="12">
        <v>1</v>
      </c>
      <c r="AH626" s="12">
        <v>0</v>
      </c>
      <c r="AI626" s="12">
        <v>0</v>
      </c>
      <c r="AJ626" s="12">
        <v>0</v>
      </c>
      <c r="AK626" s="12">
        <v>0</v>
      </c>
      <c r="AL626" s="12">
        <v>0</v>
      </c>
      <c r="AM626" s="12"/>
      <c r="AN626" s="12">
        <v>0</v>
      </c>
      <c r="AO626" s="12">
        <v>0</v>
      </c>
      <c r="AP626" s="12">
        <v>0</v>
      </c>
      <c r="AQ626" s="12">
        <v>0</v>
      </c>
      <c r="AR626" s="12">
        <v>0</v>
      </c>
      <c r="AS626" s="12">
        <v>0</v>
      </c>
      <c r="AT626" s="12">
        <v>0</v>
      </c>
      <c r="AU626" s="12">
        <v>0</v>
      </c>
      <c r="AV626" s="12">
        <v>1</v>
      </c>
      <c r="AW626" s="12">
        <v>0</v>
      </c>
      <c r="AX626" s="12">
        <v>0</v>
      </c>
      <c r="AY626" s="12">
        <v>0</v>
      </c>
      <c r="AZ626" s="12" t="s">
        <v>4843</v>
      </c>
      <c r="BA626" s="12" t="s">
        <v>4911</v>
      </c>
      <c r="BB626" s="12">
        <v>0</v>
      </c>
      <c r="BC626" s="12">
        <v>0</v>
      </c>
      <c r="BD626" s="12">
        <v>0</v>
      </c>
      <c r="BE626" s="12">
        <v>0</v>
      </c>
      <c r="BF626" s="12">
        <v>0</v>
      </c>
      <c r="BI626" s="12">
        <v>0</v>
      </c>
      <c r="BJ626" s="12">
        <v>0</v>
      </c>
    </row>
    <row r="627" spans="1:62" x14ac:dyDescent="0.15">
      <c r="A627" s="12" t="s">
        <v>7355</v>
      </c>
      <c r="B627"/>
      <c r="C627" s="20" t="s">
        <v>7356</v>
      </c>
      <c r="D627" s="22" t="s">
        <v>7357</v>
      </c>
      <c r="E627" t="s">
        <v>7963</v>
      </c>
      <c r="F627"/>
      <c r="G627"/>
      <c r="H627"/>
      <c r="I627"/>
      <c r="J627"/>
      <c r="K627"/>
      <c r="L627" s="10">
        <v>3981909</v>
      </c>
      <c r="M627" s="10">
        <v>736569</v>
      </c>
      <c r="N627" s="12">
        <v>15</v>
      </c>
      <c r="O627" s="12" t="s">
        <v>6876</v>
      </c>
      <c r="P627" t="s">
        <v>7358</v>
      </c>
      <c r="Q627"/>
      <c r="R627"/>
      <c r="S627" s="22" t="s">
        <v>7357</v>
      </c>
      <c r="T627" s="12" t="s">
        <v>8342</v>
      </c>
      <c r="U627" s="12" t="s">
        <v>5019</v>
      </c>
      <c r="V627" s="12" t="s">
        <v>5021</v>
      </c>
      <c r="W627" s="12">
        <v>0</v>
      </c>
      <c r="X627" s="12">
        <v>0</v>
      </c>
      <c r="Y627" s="12">
        <v>0</v>
      </c>
      <c r="Z627" s="12">
        <v>0</v>
      </c>
      <c r="AA627" s="12">
        <v>0</v>
      </c>
      <c r="AB627" s="12">
        <v>0</v>
      </c>
      <c r="AC627" s="12">
        <v>0</v>
      </c>
      <c r="AD627" s="12">
        <f>VLOOKUP(C627,'[1]Phillips 1970 - Baytown'!A$1:B$65536,2,FALSE)</f>
        <v>1</v>
      </c>
      <c r="AE627" s="12">
        <v>0</v>
      </c>
      <c r="AF627" s="12">
        <v>0</v>
      </c>
      <c r="AG627" s="12">
        <v>0</v>
      </c>
      <c r="AH627" s="12">
        <v>0</v>
      </c>
      <c r="AI627" s="12">
        <v>0</v>
      </c>
      <c r="AJ627" s="12">
        <v>0</v>
      </c>
      <c r="AK627" s="12">
        <v>0</v>
      </c>
      <c r="AL627" s="12">
        <v>0</v>
      </c>
      <c r="AM627" s="12"/>
      <c r="AN627" s="12">
        <v>0</v>
      </c>
      <c r="AO627" s="12">
        <v>0</v>
      </c>
      <c r="AP627" s="12">
        <v>0</v>
      </c>
      <c r="AQ627" s="12">
        <v>0</v>
      </c>
      <c r="AR627" s="12">
        <v>0</v>
      </c>
      <c r="AS627" s="12">
        <v>0</v>
      </c>
      <c r="AT627" s="12">
        <v>0</v>
      </c>
      <c r="AU627" s="12">
        <v>0</v>
      </c>
      <c r="AV627" s="12">
        <v>0</v>
      </c>
      <c r="AW627" s="12">
        <v>0</v>
      </c>
      <c r="AX627" s="12">
        <v>0</v>
      </c>
      <c r="AY627" s="12">
        <v>0</v>
      </c>
      <c r="AZ627" s="12" t="s">
        <v>4843</v>
      </c>
      <c r="BA627" s="12" t="s">
        <v>4911</v>
      </c>
      <c r="BB627" s="12">
        <v>0</v>
      </c>
      <c r="BC627" s="12">
        <v>0</v>
      </c>
      <c r="BD627" s="12">
        <v>0</v>
      </c>
      <c r="BE627" s="12">
        <v>0</v>
      </c>
      <c r="BF627" s="12">
        <v>0</v>
      </c>
      <c r="BI627" s="12">
        <v>0</v>
      </c>
      <c r="BJ627" s="12">
        <v>0</v>
      </c>
    </row>
    <row r="628" spans="1:62" x14ac:dyDescent="0.15">
      <c r="A628" s="12"/>
      <c r="B628"/>
      <c r="C628" s="20" t="s">
        <v>7359</v>
      </c>
      <c r="D628" t="s">
        <v>7360</v>
      </c>
      <c r="E628" t="s">
        <v>7963</v>
      </c>
      <c r="F628"/>
      <c r="G628"/>
      <c r="H628"/>
      <c r="I628"/>
      <c r="J628"/>
      <c r="K628"/>
      <c r="L628" s="10">
        <v>3985840</v>
      </c>
      <c r="M628" s="10">
        <v>758600</v>
      </c>
      <c r="N628" s="12">
        <v>15</v>
      </c>
      <c r="O628" s="12" t="s">
        <v>4871</v>
      </c>
      <c r="P628" t="s">
        <v>7361</v>
      </c>
      <c r="Q628"/>
      <c r="R628" t="s">
        <v>7362</v>
      </c>
      <c r="S628" t="s">
        <v>7360</v>
      </c>
      <c r="T628" s="12" t="s">
        <v>4797</v>
      </c>
      <c r="U628" s="12" t="s">
        <v>5018</v>
      </c>
      <c r="V628" s="12" t="s">
        <v>5019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1</v>
      </c>
      <c r="AE628" s="12">
        <v>1</v>
      </c>
      <c r="AF628" s="12">
        <v>0</v>
      </c>
      <c r="AG628" s="12">
        <v>0</v>
      </c>
      <c r="AH628" s="12">
        <v>0</v>
      </c>
      <c r="AI628" s="12">
        <v>0</v>
      </c>
      <c r="AJ628" s="12">
        <v>0</v>
      </c>
      <c r="AK628" s="12">
        <v>0</v>
      </c>
      <c r="AL628" s="12">
        <v>0</v>
      </c>
      <c r="AM628" s="12"/>
      <c r="AN628" s="12">
        <v>0</v>
      </c>
      <c r="AO628" s="12">
        <v>0</v>
      </c>
      <c r="AP628" s="12">
        <v>0</v>
      </c>
      <c r="AQ628" s="12">
        <v>0</v>
      </c>
      <c r="AR628" s="12">
        <v>0</v>
      </c>
      <c r="AS628" s="12">
        <v>0</v>
      </c>
      <c r="AT628" s="12">
        <v>0</v>
      </c>
      <c r="AU628" s="12">
        <v>0</v>
      </c>
      <c r="AV628" s="12">
        <v>0</v>
      </c>
      <c r="AW628" s="12">
        <v>0</v>
      </c>
      <c r="AX628" s="12">
        <v>0</v>
      </c>
      <c r="AY628" s="12">
        <v>0</v>
      </c>
      <c r="BA628" s="12" t="s">
        <v>4877</v>
      </c>
      <c r="BB628" s="12">
        <v>0</v>
      </c>
      <c r="BC628" s="12">
        <v>0</v>
      </c>
      <c r="BD628" s="12">
        <v>0</v>
      </c>
      <c r="BE628" s="12">
        <v>0</v>
      </c>
      <c r="BF628" s="12">
        <v>0</v>
      </c>
      <c r="BI628" s="12">
        <v>0</v>
      </c>
      <c r="BJ628" s="12">
        <v>0</v>
      </c>
    </row>
    <row r="629" spans="1:62" x14ac:dyDescent="0.15">
      <c r="A629" s="12"/>
      <c r="B629"/>
      <c r="C629" s="20" t="s">
        <v>6404</v>
      </c>
      <c r="D629" t="s">
        <v>7363</v>
      </c>
      <c r="E629" t="s">
        <v>7364</v>
      </c>
      <c r="F629"/>
      <c r="G629"/>
      <c r="H629"/>
      <c r="I629"/>
      <c r="J629"/>
      <c r="K629"/>
      <c r="L629" s="10">
        <v>3949046</v>
      </c>
      <c r="M629" s="10">
        <v>721930</v>
      </c>
      <c r="N629" s="12">
        <v>15</v>
      </c>
      <c r="O629" s="12" t="s">
        <v>6876</v>
      </c>
      <c r="P629" t="s">
        <v>7365</v>
      </c>
      <c r="Q629" t="s">
        <v>7366</v>
      </c>
      <c r="R629"/>
      <c r="S629" t="s">
        <v>7363</v>
      </c>
      <c r="T629" s="12" t="s">
        <v>8484</v>
      </c>
      <c r="U629" s="12" t="s">
        <v>5019</v>
      </c>
      <c r="V629" s="12" t="s">
        <v>5020</v>
      </c>
      <c r="W629" s="12">
        <v>0</v>
      </c>
      <c r="X629" s="12">
        <v>0</v>
      </c>
      <c r="Y629" s="12">
        <v>0</v>
      </c>
      <c r="Z629" s="12">
        <v>0</v>
      </c>
      <c r="AA629" s="12">
        <v>0</v>
      </c>
      <c r="AB629" s="12">
        <v>0</v>
      </c>
      <c r="AC629" s="12">
        <v>0</v>
      </c>
      <c r="AD629" s="12">
        <v>0</v>
      </c>
      <c r="AE629" s="12">
        <v>1</v>
      </c>
      <c r="AF629" s="12">
        <v>1</v>
      </c>
      <c r="AG629" s="12">
        <v>0</v>
      </c>
      <c r="AH629" s="12">
        <v>0</v>
      </c>
      <c r="AI629" s="12">
        <v>0</v>
      </c>
      <c r="AJ629" s="12">
        <v>0</v>
      </c>
      <c r="AK629" s="12">
        <v>0</v>
      </c>
      <c r="AL629" s="12">
        <v>0</v>
      </c>
      <c r="AM629" s="12"/>
      <c r="AN629" s="12">
        <v>0</v>
      </c>
      <c r="AO629" s="12">
        <v>0</v>
      </c>
      <c r="AP629" s="12">
        <v>0</v>
      </c>
      <c r="AQ629" s="12">
        <v>0</v>
      </c>
      <c r="AR629" s="12">
        <v>0</v>
      </c>
      <c r="AS629" s="12">
        <v>0</v>
      </c>
      <c r="AT629" s="12">
        <v>0</v>
      </c>
      <c r="AU629" s="12">
        <v>0</v>
      </c>
      <c r="AV629" s="12">
        <v>0</v>
      </c>
      <c r="AW629" s="12">
        <v>0</v>
      </c>
      <c r="AX629" s="12">
        <v>0</v>
      </c>
      <c r="AY629" s="12">
        <v>0</v>
      </c>
      <c r="AZ629" s="12" t="s">
        <v>4843</v>
      </c>
      <c r="BA629" s="12" t="s">
        <v>4911</v>
      </c>
      <c r="BB629" s="12">
        <v>0</v>
      </c>
      <c r="BC629" s="12">
        <v>0</v>
      </c>
      <c r="BD629" s="12">
        <v>0</v>
      </c>
      <c r="BE629" s="12">
        <v>0</v>
      </c>
      <c r="BF629" s="12">
        <v>0</v>
      </c>
      <c r="BI629" s="12">
        <v>0</v>
      </c>
      <c r="BJ629" s="12">
        <v>0</v>
      </c>
    </row>
    <row r="630" spans="1:62" x14ac:dyDescent="0.15">
      <c r="A630" s="12"/>
      <c r="B630"/>
      <c r="C630" s="20" t="s">
        <v>7367</v>
      </c>
      <c r="D630" t="s">
        <v>7368</v>
      </c>
      <c r="E630" t="s">
        <v>7364</v>
      </c>
      <c r="F630"/>
      <c r="G630"/>
      <c r="H630"/>
      <c r="I630"/>
      <c r="J630"/>
      <c r="K630"/>
      <c r="L630" s="10">
        <v>3951216</v>
      </c>
      <c r="M630" s="10">
        <v>721598</v>
      </c>
      <c r="N630" s="12">
        <v>15</v>
      </c>
      <c r="O630" s="12" t="s">
        <v>4871</v>
      </c>
      <c r="P630" t="s">
        <v>7369</v>
      </c>
      <c r="Q630"/>
      <c r="R630"/>
      <c r="S630" t="s">
        <v>7368</v>
      </c>
      <c r="T630" s="12" t="s">
        <v>5361</v>
      </c>
      <c r="U630" s="12" t="s">
        <v>5018</v>
      </c>
      <c r="V630" s="12" t="s">
        <v>5020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1</v>
      </c>
      <c r="AE630" s="12">
        <v>1</v>
      </c>
      <c r="AF630" s="12">
        <v>1</v>
      </c>
      <c r="AG630" s="12">
        <v>0</v>
      </c>
      <c r="AH630" s="12">
        <v>0</v>
      </c>
      <c r="AI630" s="12">
        <v>0</v>
      </c>
      <c r="AJ630" s="12">
        <v>0</v>
      </c>
      <c r="AK630" s="12">
        <v>0</v>
      </c>
      <c r="AL630" s="12">
        <v>0</v>
      </c>
      <c r="AM630" s="12"/>
      <c r="AN630" s="12">
        <v>0</v>
      </c>
      <c r="AO630" s="12">
        <v>0</v>
      </c>
      <c r="AP630" s="12">
        <v>0</v>
      </c>
      <c r="AQ630" s="12">
        <v>0</v>
      </c>
      <c r="AR630" s="12">
        <v>0</v>
      </c>
      <c r="AS630" s="12">
        <v>0</v>
      </c>
      <c r="AT630" s="12">
        <v>0</v>
      </c>
      <c r="AU630" s="12">
        <v>0</v>
      </c>
      <c r="AV630" s="12">
        <v>0</v>
      </c>
      <c r="AW630" s="12">
        <v>0</v>
      </c>
      <c r="AX630" s="12">
        <v>0</v>
      </c>
      <c r="AY630" s="12">
        <v>0</v>
      </c>
      <c r="AZ630" s="12" t="s">
        <v>4843</v>
      </c>
      <c r="BA630" s="12" t="s">
        <v>4911</v>
      </c>
      <c r="BB630" s="12">
        <v>0</v>
      </c>
      <c r="BC630" s="12">
        <v>0</v>
      </c>
      <c r="BD630" s="12">
        <v>0</v>
      </c>
      <c r="BE630" s="12">
        <v>0</v>
      </c>
      <c r="BF630" s="12">
        <v>0</v>
      </c>
      <c r="BI630" s="12">
        <v>0</v>
      </c>
      <c r="BJ630" s="12">
        <v>0</v>
      </c>
    </row>
    <row r="631" spans="1:62" x14ac:dyDescent="0.15">
      <c r="A631" s="12"/>
      <c r="B631"/>
      <c r="C631" s="20" t="s">
        <v>7370</v>
      </c>
      <c r="D631" t="s">
        <v>7371</v>
      </c>
      <c r="E631" t="s">
        <v>7963</v>
      </c>
      <c r="F631"/>
      <c r="G631"/>
      <c r="H631"/>
      <c r="I631"/>
      <c r="J631"/>
      <c r="K631"/>
      <c r="L631" s="10">
        <v>3851440</v>
      </c>
      <c r="M631" s="10">
        <v>740616</v>
      </c>
      <c r="N631" s="12">
        <v>15</v>
      </c>
      <c r="O631" s="12" t="s">
        <v>4871</v>
      </c>
      <c r="P631" t="s">
        <v>7372</v>
      </c>
      <c r="Q631"/>
      <c r="R631"/>
      <c r="S631" t="s">
        <v>7371</v>
      </c>
      <c r="T631" s="12" t="s">
        <v>8484</v>
      </c>
      <c r="U631" s="12" t="s">
        <v>5019</v>
      </c>
      <c r="V631" s="12" t="s">
        <v>5020</v>
      </c>
      <c r="W631" s="12">
        <v>0</v>
      </c>
      <c r="X631" s="12">
        <v>0</v>
      </c>
      <c r="Y631" s="12">
        <v>0</v>
      </c>
      <c r="Z631" s="12">
        <v>0</v>
      </c>
      <c r="AA631" s="12">
        <v>0</v>
      </c>
      <c r="AB631" s="12">
        <v>0</v>
      </c>
      <c r="AC631" s="12">
        <v>0</v>
      </c>
      <c r="AD631" s="12">
        <v>0</v>
      </c>
      <c r="AE631" s="12">
        <v>0</v>
      </c>
      <c r="AF631" s="12">
        <v>0</v>
      </c>
      <c r="AG631" s="12">
        <v>0</v>
      </c>
      <c r="AH631" s="12">
        <v>4</v>
      </c>
      <c r="AI631" s="12">
        <v>4</v>
      </c>
      <c r="AJ631" s="12">
        <v>1</v>
      </c>
      <c r="AK631" s="12">
        <v>1</v>
      </c>
      <c r="AL631" s="12">
        <v>1</v>
      </c>
      <c r="AM631" s="12"/>
      <c r="AN631" s="12">
        <v>0</v>
      </c>
      <c r="AO631" s="12">
        <v>0</v>
      </c>
      <c r="AP631" s="12">
        <v>0</v>
      </c>
      <c r="AQ631" s="12">
        <v>1</v>
      </c>
      <c r="AR631" s="12">
        <v>0</v>
      </c>
      <c r="AS631" s="12">
        <v>0</v>
      </c>
      <c r="AT631" s="12">
        <v>3</v>
      </c>
      <c r="AU631" s="12">
        <v>1</v>
      </c>
      <c r="AV631" s="12">
        <v>0</v>
      </c>
      <c r="AW631" s="12">
        <v>0</v>
      </c>
      <c r="AX631" s="12">
        <v>0</v>
      </c>
      <c r="AY631" s="12">
        <v>0</v>
      </c>
      <c r="AZ631" s="12" t="s">
        <v>4843</v>
      </c>
      <c r="BA631" s="12" t="s">
        <v>4911</v>
      </c>
      <c r="BB631" s="12">
        <v>0</v>
      </c>
      <c r="BC631" s="12">
        <v>0</v>
      </c>
      <c r="BD631">
        <v>22</v>
      </c>
      <c r="BE631" s="12">
        <v>0</v>
      </c>
      <c r="BF631">
        <f>200*160</f>
        <v>32000</v>
      </c>
      <c r="BI631">
        <f>BD631/BF631</f>
        <v>6.8749999999999996E-4</v>
      </c>
      <c r="BJ631">
        <f>BI631*10000</f>
        <v>6.875</v>
      </c>
    </row>
    <row r="632" spans="1:62" x14ac:dyDescent="0.15">
      <c r="A632" s="12"/>
      <c r="B632"/>
      <c r="C632" s="20" t="s">
        <v>7373</v>
      </c>
      <c r="D632"/>
      <c r="E632" t="s">
        <v>7963</v>
      </c>
      <c r="F632"/>
      <c r="G632"/>
      <c r="H632"/>
      <c r="I632"/>
      <c r="J632"/>
      <c r="K632"/>
      <c r="L632" s="10">
        <v>3996777</v>
      </c>
      <c r="M632" s="10">
        <v>743021</v>
      </c>
      <c r="N632" s="12">
        <v>15</v>
      </c>
      <c r="O632" s="12" t="s">
        <v>4871</v>
      </c>
      <c r="P632" t="s">
        <v>7374</v>
      </c>
      <c r="Q632" t="s">
        <v>7375</v>
      </c>
      <c r="R632"/>
      <c r="S632" t="s">
        <v>7376</v>
      </c>
      <c r="T632" s="12" t="s">
        <v>4875</v>
      </c>
      <c r="U632" s="12" t="s">
        <v>5020</v>
      </c>
      <c r="V632" s="12" t="s">
        <v>5021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1</v>
      </c>
      <c r="AG632" s="12">
        <v>1</v>
      </c>
      <c r="AH632" s="12">
        <v>0</v>
      </c>
      <c r="AI632" s="12">
        <v>0</v>
      </c>
      <c r="AJ632" s="12">
        <v>0</v>
      </c>
      <c r="AK632" s="12">
        <v>0</v>
      </c>
      <c r="AL632" s="12">
        <v>0</v>
      </c>
      <c r="AM632" s="12"/>
      <c r="AN632" s="12">
        <v>0</v>
      </c>
      <c r="AO632" s="12">
        <v>0</v>
      </c>
      <c r="AP632" s="12">
        <v>0</v>
      </c>
      <c r="AQ632" s="12">
        <v>0</v>
      </c>
      <c r="AR632" s="12">
        <v>0</v>
      </c>
      <c r="AS632" s="12">
        <v>0</v>
      </c>
      <c r="AT632" s="12">
        <v>0</v>
      </c>
      <c r="AU632" s="12">
        <v>0</v>
      </c>
      <c r="AV632" s="12">
        <v>1</v>
      </c>
      <c r="AW632" s="12">
        <v>0</v>
      </c>
      <c r="AX632" s="12">
        <v>0</v>
      </c>
      <c r="AY632" s="12">
        <v>0</v>
      </c>
      <c r="AZ632" s="12" t="s">
        <v>4843</v>
      </c>
      <c r="BA632" s="12" t="s">
        <v>4911</v>
      </c>
      <c r="BB632" s="12">
        <v>0</v>
      </c>
      <c r="BC632" s="12">
        <v>0</v>
      </c>
      <c r="BD632" s="12">
        <v>0</v>
      </c>
      <c r="BE632" s="12">
        <v>0</v>
      </c>
      <c r="BF632" s="12">
        <v>0</v>
      </c>
      <c r="BI632" s="12">
        <v>0</v>
      </c>
      <c r="BJ632" s="12">
        <v>0</v>
      </c>
    </row>
    <row r="633" spans="1:62" x14ac:dyDescent="0.15">
      <c r="A633" s="12"/>
      <c r="B633"/>
      <c r="C633" s="20" t="s">
        <v>7377</v>
      </c>
      <c r="D633" t="s">
        <v>7378</v>
      </c>
      <c r="E633" t="s">
        <v>7963</v>
      </c>
      <c r="F633"/>
      <c r="G633"/>
      <c r="H633"/>
      <c r="I633"/>
      <c r="J633"/>
      <c r="K633"/>
      <c r="L633" s="10">
        <v>4026796.38</v>
      </c>
      <c r="M633" s="10">
        <v>777835.53599999996</v>
      </c>
      <c r="N633" s="12">
        <v>15</v>
      </c>
      <c r="O633" s="12" t="s">
        <v>4871</v>
      </c>
      <c r="P633" t="s">
        <v>7379</v>
      </c>
      <c r="Q633"/>
      <c r="R633"/>
      <c r="S633" t="s">
        <v>7376</v>
      </c>
      <c r="T633" s="12" t="s">
        <v>7380</v>
      </c>
      <c r="U633" s="12" t="s">
        <v>4897</v>
      </c>
      <c r="V633" s="12" t="s">
        <v>5020</v>
      </c>
      <c r="W633" s="12">
        <v>0</v>
      </c>
      <c r="X633" s="12">
        <v>0</v>
      </c>
      <c r="Y633" s="12">
        <v>0</v>
      </c>
      <c r="Z633" s="12">
        <v>1</v>
      </c>
      <c r="AA633" s="12">
        <v>1</v>
      </c>
      <c r="AB633" s="12">
        <v>1</v>
      </c>
      <c r="AC633" s="12">
        <v>1</v>
      </c>
      <c r="AD633" s="12">
        <v>1</v>
      </c>
      <c r="AE633" s="12">
        <v>1</v>
      </c>
      <c r="AF633" s="12">
        <v>1</v>
      </c>
      <c r="AG633" s="12">
        <v>0</v>
      </c>
      <c r="AH633" s="12">
        <v>0</v>
      </c>
      <c r="AI633" s="12">
        <v>0</v>
      </c>
      <c r="AJ633" s="12">
        <v>0</v>
      </c>
      <c r="AK633" s="12">
        <v>0</v>
      </c>
      <c r="AL633" s="12">
        <v>0</v>
      </c>
      <c r="AM633" s="12"/>
      <c r="AN633" s="12">
        <v>0</v>
      </c>
      <c r="AO633" s="12">
        <v>0</v>
      </c>
      <c r="AP633" s="12">
        <v>0</v>
      </c>
      <c r="AQ633" s="12">
        <v>0</v>
      </c>
      <c r="AR633" s="12">
        <v>0</v>
      </c>
      <c r="AS633" s="12">
        <v>0</v>
      </c>
      <c r="AT633" s="12">
        <v>0</v>
      </c>
      <c r="AU633" s="12">
        <v>0</v>
      </c>
      <c r="AV633" s="12">
        <v>0</v>
      </c>
      <c r="AW633" s="12">
        <v>0</v>
      </c>
      <c r="AX633" s="12">
        <v>0</v>
      </c>
      <c r="AY633" s="12">
        <v>1</v>
      </c>
      <c r="BA633" s="12" t="s">
        <v>4877</v>
      </c>
      <c r="BB633" s="12">
        <v>0</v>
      </c>
      <c r="BC633" s="12">
        <v>0</v>
      </c>
      <c r="BD633" s="12">
        <v>0</v>
      </c>
      <c r="BE633" s="12">
        <v>0</v>
      </c>
      <c r="BF633" s="12">
        <v>0</v>
      </c>
      <c r="BI633" s="12">
        <v>0</v>
      </c>
      <c r="BJ633" s="12">
        <v>0</v>
      </c>
    </row>
    <row r="634" spans="1:62" x14ac:dyDescent="0.15">
      <c r="A634" s="12" t="str">
        <f>VLOOKUP(C634,'[1]LMV SiteNameNums'!B$1:C$65536,2,FALSE)</f>
        <v>7-P-7</v>
      </c>
      <c r="B634"/>
      <c r="C634" s="20" t="s">
        <v>7572</v>
      </c>
      <c r="D634" t="s">
        <v>7378</v>
      </c>
      <c r="E634" t="s">
        <v>7963</v>
      </c>
      <c r="F634"/>
      <c r="G634"/>
      <c r="H634"/>
      <c r="I634"/>
      <c r="J634"/>
      <c r="K634"/>
      <c r="L634" s="10">
        <v>4016183</v>
      </c>
      <c r="M634" s="10">
        <v>768042</v>
      </c>
      <c r="N634" s="12">
        <v>15</v>
      </c>
      <c r="O634" s="12" t="s">
        <v>4871</v>
      </c>
      <c r="P634" t="s">
        <v>7379</v>
      </c>
      <c r="Q634"/>
      <c r="R634"/>
      <c r="S634" t="s">
        <v>7376</v>
      </c>
      <c r="T634" s="12" t="s">
        <v>4896</v>
      </c>
      <c r="U634" s="12" t="s">
        <v>4897</v>
      </c>
      <c r="V634" s="12" t="s">
        <v>4898</v>
      </c>
      <c r="W634" s="12">
        <v>0</v>
      </c>
      <c r="X634" s="12">
        <v>0</v>
      </c>
      <c r="Y634" s="12">
        <v>0</v>
      </c>
      <c r="Z634" s="12">
        <v>1</v>
      </c>
      <c r="AA634" s="12">
        <v>1</v>
      </c>
      <c r="AB634" s="12">
        <v>0</v>
      </c>
      <c r="AC634" s="12">
        <v>0</v>
      </c>
      <c r="AD634" s="12">
        <f>VLOOKUP(C634,'[1]Phillips 1970 - Baytown'!A$1:B$65536,2,FALSE)</f>
        <v>1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2">
        <v>0</v>
      </c>
      <c r="AK634" s="12">
        <v>0</v>
      </c>
      <c r="AL634" s="12">
        <v>0</v>
      </c>
      <c r="AM634" s="12"/>
      <c r="AN634" s="12">
        <v>0</v>
      </c>
      <c r="AO634" s="12">
        <v>0</v>
      </c>
      <c r="AP634" s="12">
        <v>0</v>
      </c>
      <c r="AQ634" s="12">
        <v>0</v>
      </c>
      <c r="AR634" s="12">
        <v>0</v>
      </c>
      <c r="AS634" s="12">
        <v>0</v>
      </c>
      <c r="AT634" s="12">
        <v>0</v>
      </c>
      <c r="AU634" s="12">
        <v>0</v>
      </c>
      <c r="AV634" s="12">
        <v>0</v>
      </c>
      <c r="AW634" s="12">
        <v>0</v>
      </c>
      <c r="AX634" s="12">
        <v>0</v>
      </c>
      <c r="AY634" s="12">
        <v>0</v>
      </c>
      <c r="BA634" s="12" t="s">
        <v>4877</v>
      </c>
      <c r="BB634" s="12">
        <v>0</v>
      </c>
      <c r="BC634" s="12">
        <v>0</v>
      </c>
      <c r="BD634" s="12">
        <v>0</v>
      </c>
      <c r="BE634" s="12">
        <v>0</v>
      </c>
      <c r="BF634" s="12">
        <v>0</v>
      </c>
      <c r="BI634" s="12">
        <v>0</v>
      </c>
      <c r="BJ634" s="12">
        <v>0</v>
      </c>
    </row>
    <row r="635" spans="1:62" x14ac:dyDescent="0.15">
      <c r="A635" s="12"/>
      <c r="B635"/>
      <c r="C635" s="20" t="s">
        <v>7568</v>
      </c>
      <c r="D635" t="s">
        <v>7378</v>
      </c>
      <c r="E635" t="s">
        <v>7963</v>
      </c>
      <c r="F635"/>
      <c r="G635"/>
      <c r="H635"/>
      <c r="I635"/>
      <c r="J635"/>
      <c r="K635"/>
      <c r="L635" s="10">
        <v>3996688</v>
      </c>
      <c r="M635" s="10">
        <v>756168</v>
      </c>
      <c r="N635" s="12">
        <v>15</v>
      </c>
      <c r="O635" s="12" t="s">
        <v>4871</v>
      </c>
      <c r="P635" t="s">
        <v>7381</v>
      </c>
      <c r="Q635"/>
      <c r="R635"/>
      <c r="S635" t="s">
        <v>7376</v>
      </c>
      <c r="T635" s="12" t="s">
        <v>8484</v>
      </c>
      <c r="U635" s="12" t="s">
        <v>5019</v>
      </c>
      <c r="V635" s="12" t="s">
        <v>5020</v>
      </c>
      <c r="W635" s="12">
        <v>0</v>
      </c>
      <c r="X635" s="12">
        <v>0</v>
      </c>
      <c r="Y635" s="12">
        <v>0</v>
      </c>
      <c r="Z635" s="12">
        <v>0</v>
      </c>
      <c r="AA635" s="12">
        <v>0</v>
      </c>
      <c r="AB635" s="12">
        <v>0</v>
      </c>
      <c r="AC635" s="12">
        <v>0</v>
      </c>
      <c r="AD635" s="12">
        <v>0</v>
      </c>
      <c r="AE635" s="12">
        <v>1</v>
      </c>
      <c r="AF635" s="12">
        <v>1</v>
      </c>
      <c r="AG635" s="12">
        <v>0</v>
      </c>
      <c r="AH635" s="12">
        <v>1</v>
      </c>
      <c r="AI635" s="12">
        <v>1</v>
      </c>
      <c r="AJ635" s="12">
        <v>1</v>
      </c>
      <c r="AK635" s="12">
        <v>0</v>
      </c>
      <c r="AL635" s="12">
        <v>1</v>
      </c>
      <c r="AM635" s="12"/>
      <c r="AN635" s="12">
        <v>0</v>
      </c>
      <c r="AO635" s="12">
        <v>0</v>
      </c>
      <c r="AP635" s="12">
        <v>0</v>
      </c>
      <c r="AQ635" s="12">
        <v>1</v>
      </c>
      <c r="AR635" s="12">
        <v>0</v>
      </c>
      <c r="AS635" s="12">
        <v>0</v>
      </c>
      <c r="AT635" s="12">
        <v>0</v>
      </c>
      <c r="AU635" s="12">
        <v>0</v>
      </c>
      <c r="AV635" s="12">
        <v>0</v>
      </c>
      <c r="AW635" s="12">
        <v>0</v>
      </c>
      <c r="AX635" s="12">
        <v>0</v>
      </c>
      <c r="AY635" s="12">
        <v>0</v>
      </c>
      <c r="BA635" s="12" t="s">
        <v>4877</v>
      </c>
      <c r="BB635" s="12">
        <v>0</v>
      </c>
      <c r="BC635" s="12">
        <v>0</v>
      </c>
      <c r="BD635">
        <v>6.5</v>
      </c>
      <c r="BE635" s="12">
        <v>0</v>
      </c>
      <c r="BF635" s="12">
        <v>0</v>
      </c>
      <c r="BI635" s="12">
        <v>0</v>
      </c>
      <c r="BJ635" s="12">
        <v>0</v>
      </c>
    </row>
    <row r="636" spans="1:62" x14ac:dyDescent="0.15">
      <c r="A636" s="12"/>
      <c r="B636"/>
      <c r="C636" s="20" t="s">
        <v>7382</v>
      </c>
      <c r="D636" t="s">
        <v>7378</v>
      </c>
      <c r="E636" t="s">
        <v>7963</v>
      </c>
      <c r="F636"/>
      <c r="G636"/>
      <c r="H636"/>
      <c r="I636"/>
      <c r="J636"/>
      <c r="K636"/>
      <c r="L636" s="10">
        <v>3997910</v>
      </c>
      <c r="M636" s="10">
        <v>756484</v>
      </c>
      <c r="N636" s="12">
        <v>15</v>
      </c>
      <c r="O636" s="12" t="s">
        <v>4871</v>
      </c>
      <c r="P636" t="s">
        <v>7381</v>
      </c>
      <c r="Q636"/>
      <c r="R636"/>
      <c r="S636" t="s">
        <v>7376</v>
      </c>
      <c r="T636" s="12" t="s">
        <v>8484</v>
      </c>
      <c r="U636" s="12" t="s">
        <v>5019</v>
      </c>
      <c r="V636" s="12" t="s">
        <v>5020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1</v>
      </c>
      <c r="AF636" s="12">
        <v>1</v>
      </c>
      <c r="AG636" s="12">
        <v>0</v>
      </c>
      <c r="AH636" s="12">
        <v>1</v>
      </c>
      <c r="AI636" s="12">
        <v>1</v>
      </c>
      <c r="AJ636" s="12">
        <v>1</v>
      </c>
      <c r="AK636" s="12">
        <v>0</v>
      </c>
      <c r="AL636" s="12">
        <v>1</v>
      </c>
      <c r="AM636" s="12"/>
      <c r="AN636" s="12">
        <v>0</v>
      </c>
      <c r="AO636" s="12">
        <v>0</v>
      </c>
      <c r="AP636" s="12">
        <v>0</v>
      </c>
      <c r="AQ636" s="12">
        <v>1</v>
      </c>
      <c r="AR636" s="12">
        <v>0</v>
      </c>
      <c r="AS636" s="12">
        <v>0</v>
      </c>
      <c r="AT636" s="12">
        <v>0</v>
      </c>
      <c r="AU636" s="12">
        <v>0</v>
      </c>
      <c r="AV636" s="12">
        <v>0</v>
      </c>
      <c r="AW636" s="12">
        <v>0</v>
      </c>
      <c r="AX636" s="12">
        <v>0</v>
      </c>
      <c r="AY636" s="12">
        <v>0</v>
      </c>
      <c r="BA636" s="12" t="s">
        <v>4877</v>
      </c>
      <c r="BB636" s="12">
        <v>0</v>
      </c>
      <c r="BC636" s="12">
        <v>0</v>
      </c>
      <c r="BD636">
        <v>3</v>
      </c>
      <c r="BE636" s="12">
        <v>0</v>
      </c>
      <c r="BF636" s="12">
        <v>0</v>
      </c>
      <c r="BI636" s="12">
        <v>0</v>
      </c>
      <c r="BJ636" s="12">
        <v>0</v>
      </c>
    </row>
    <row r="637" spans="1:62" x14ac:dyDescent="0.15">
      <c r="A637" s="12"/>
      <c r="B637"/>
      <c r="C637" s="20" t="s">
        <v>7383</v>
      </c>
      <c r="D637" t="s">
        <v>7378</v>
      </c>
      <c r="E637" t="s">
        <v>7963</v>
      </c>
      <c r="F637"/>
      <c r="G637"/>
      <c r="H637"/>
      <c r="I637"/>
      <c r="J637"/>
      <c r="K637"/>
      <c r="L637" s="10">
        <v>3996100</v>
      </c>
      <c r="M637" s="10">
        <v>761558</v>
      </c>
      <c r="N637" s="12">
        <v>15</v>
      </c>
      <c r="O637" s="12" t="s">
        <v>4871</v>
      </c>
      <c r="P637" t="s">
        <v>7381</v>
      </c>
      <c r="Q637"/>
      <c r="R637"/>
      <c r="S637" t="s">
        <v>7376</v>
      </c>
      <c r="T637" s="12" t="s">
        <v>8484</v>
      </c>
      <c r="U637" s="12" t="s">
        <v>5019</v>
      </c>
      <c r="V637" s="12" t="s">
        <v>5020</v>
      </c>
      <c r="W637" s="12">
        <v>0</v>
      </c>
      <c r="X637" s="12">
        <v>0</v>
      </c>
      <c r="Y637" s="12">
        <v>0</v>
      </c>
      <c r="Z637" s="12">
        <v>0</v>
      </c>
      <c r="AA637" s="12">
        <v>0</v>
      </c>
      <c r="AB637" s="12">
        <v>0</v>
      </c>
      <c r="AC637" s="12">
        <v>0</v>
      </c>
      <c r="AD637" s="12">
        <v>0</v>
      </c>
      <c r="AE637" s="12">
        <v>1</v>
      </c>
      <c r="AF637" s="12">
        <v>1</v>
      </c>
      <c r="AG637" s="12">
        <v>0</v>
      </c>
      <c r="AH637" s="12">
        <v>1</v>
      </c>
      <c r="AI637" s="12">
        <v>1</v>
      </c>
      <c r="AJ637" s="12">
        <v>1</v>
      </c>
      <c r="AK637" s="12">
        <v>0</v>
      </c>
      <c r="AL637" s="12">
        <v>1</v>
      </c>
      <c r="AM637" s="12"/>
      <c r="AN637" s="12">
        <v>0</v>
      </c>
      <c r="AO637" s="12">
        <v>0</v>
      </c>
      <c r="AP637" s="12">
        <v>0</v>
      </c>
      <c r="AQ637" s="12">
        <v>1</v>
      </c>
      <c r="AR637" s="12">
        <v>0</v>
      </c>
      <c r="AS637" s="12">
        <v>0</v>
      </c>
      <c r="AT637" s="12">
        <v>0</v>
      </c>
      <c r="AU637" s="12">
        <v>0</v>
      </c>
      <c r="AV637" s="12">
        <v>0</v>
      </c>
      <c r="AW637" s="12">
        <v>0</v>
      </c>
      <c r="AX637" s="12">
        <v>0</v>
      </c>
      <c r="AY637" s="12">
        <v>0</v>
      </c>
      <c r="BA637" s="12" t="s">
        <v>4877</v>
      </c>
      <c r="BB637" s="12">
        <v>0</v>
      </c>
      <c r="BC637" s="12">
        <v>0</v>
      </c>
      <c r="BD637" s="12">
        <v>0</v>
      </c>
      <c r="BE637" s="12">
        <v>0</v>
      </c>
      <c r="BF637" s="12">
        <v>0</v>
      </c>
      <c r="BI637" s="12">
        <v>0</v>
      </c>
      <c r="BJ637" s="12">
        <v>0</v>
      </c>
    </row>
    <row r="638" spans="1:62" x14ac:dyDescent="0.15">
      <c r="A638" s="12"/>
      <c r="B638"/>
      <c r="C638" s="20" t="s">
        <v>7384</v>
      </c>
      <c r="D638" t="s">
        <v>7378</v>
      </c>
      <c r="E638" t="s">
        <v>7963</v>
      </c>
      <c r="F638"/>
      <c r="G638"/>
      <c r="H638"/>
      <c r="I638"/>
      <c r="J638"/>
      <c r="K638"/>
      <c r="L638" s="10">
        <v>3992452</v>
      </c>
      <c r="M638" s="10">
        <v>759944</v>
      </c>
      <c r="N638" s="12">
        <v>15</v>
      </c>
      <c r="O638" s="12" t="s">
        <v>4871</v>
      </c>
      <c r="P638" t="s">
        <v>7374</v>
      </c>
      <c r="Q638"/>
      <c r="R638"/>
      <c r="S638" t="s">
        <v>7376</v>
      </c>
      <c r="T638" s="12" t="s">
        <v>4875</v>
      </c>
      <c r="U638" s="12" t="s">
        <v>5020</v>
      </c>
      <c r="V638" s="12" t="s">
        <v>5021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1</v>
      </c>
      <c r="AG638" s="12">
        <v>1</v>
      </c>
      <c r="AH638" s="12" t="s">
        <v>1131</v>
      </c>
      <c r="AI638" s="12">
        <v>3</v>
      </c>
      <c r="AJ638" s="12">
        <v>1</v>
      </c>
      <c r="AK638" s="12">
        <v>1</v>
      </c>
      <c r="AL638" s="12">
        <v>1</v>
      </c>
      <c r="AM638" s="12"/>
      <c r="AN638" s="12">
        <v>0</v>
      </c>
      <c r="AO638" s="12">
        <v>0</v>
      </c>
      <c r="AP638" s="12">
        <v>0</v>
      </c>
      <c r="AQ638" s="12">
        <v>1</v>
      </c>
      <c r="AR638" s="12">
        <v>0</v>
      </c>
      <c r="AS638" s="12">
        <v>0</v>
      </c>
      <c r="AT638" s="12">
        <v>1</v>
      </c>
      <c r="AU638" s="12">
        <v>0</v>
      </c>
      <c r="AV638" s="12">
        <v>0</v>
      </c>
      <c r="AW638" s="12">
        <v>0</v>
      </c>
      <c r="AX638" s="12">
        <v>0</v>
      </c>
      <c r="AY638" s="12">
        <v>0</v>
      </c>
      <c r="BB638" s="12">
        <v>0</v>
      </c>
      <c r="BC638" s="12">
        <v>0</v>
      </c>
      <c r="BD638" s="12">
        <v>0</v>
      </c>
      <c r="BE638" s="12">
        <v>0</v>
      </c>
      <c r="BF638" s="12">
        <v>0</v>
      </c>
      <c r="BI638" s="12">
        <v>0</v>
      </c>
      <c r="BJ638" s="12">
        <v>0</v>
      </c>
    </row>
    <row r="639" spans="1:62" x14ac:dyDescent="0.15">
      <c r="A639" s="12" t="s">
        <v>7385</v>
      </c>
      <c r="B639"/>
      <c r="C639" s="23" t="s">
        <v>7386</v>
      </c>
      <c r="D639" t="s">
        <v>7387</v>
      </c>
      <c r="E639" t="s">
        <v>4882</v>
      </c>
      <c r="F639"/>
      <c r="G639"/>
      <c r="H639"/>
      <c r="I639"/>
      <c r="J639"/>
      <c r="K639"/>
      <c r="L639" s="10">
        <v>3667410</v>
      </c>
      <c r="M639" s="10">
        <v>726365</v>
      </c>
      <c r="N639" s="12">
        <v>15</v>
      </c>
      <c r="O639" s="12" t="s">
        <v>6992</v>
      </c>
      <c r="P639" s="8" t="s">
        <v>7388</v>
      </c>
      <c r="Q639"/>
      <c r="R639"/>
      <c r="S639" t="s">
        <v>4895</v>
      </c>
      <c r="T639" s="12" t="s">
        <v>4896</v>
      </c>
      <c r="U639" s="12" t="s">
        <v>4897</v>
      </c>
      <c r="V639" s="12" t="s">
        <v>4898</v>
      </c>
      <c r="W639" s="12">
        <v>0</v>
      </c>
      <c r="X639" s="12">
        <v>0</v>
      </c>
      <c r="Y639" s="12">
        <v>0</v>
      </c>
      <c r="Z639" s="12">
        <v>1</v>
      </c>
      <c r="AA639" s="12">
        <v>1</v>
      </c>
      <c r="AB639" s="12">
        <v>0</v>
      </c>
      <c r="AC639" s="12">
        <v>0</v>
      </c>
      <c r="AD639" s="12">
        <v>0</v>
      </c>
      <c r="AE639" s="12">
        <v>0</v>
      </c>
      <c r="AF639" s="12">
        <v>0</v>
      </c>
      <c r="AG639" s="12">
        <v>0</v>
      </c>
      <c r="AH639" s="12">
        <v>0</v>
      </c>
      <c r="AI639" s="12">
        <v>0</v>
      </c>
      <c r="AJ639" s="12">
        <v>0</v>
      </c>
      <c r="AK639" s="12">
        <v>0</v>
      </c>
      <c r="AL639" s="12">
        <v>0</v>
      </c>
      <c r="AM639" s="12"/>
      <c r="AN639" s="12">
        <v>0</v>
      </c>
      <c r="AO639" s="12">
        <v>0</v>
      </c>
      <c r="AP639" s="12">
        <v>0</v>
      </c>
      <c r="AQ639" s="12">
        <v>0</v>
      </c>
      <c r="AR639" s="12">
        <v>0</v>
      </c>
      <c r="AS639" s="12">
        <v>0</v>
      </c>
      <c r="AT639" s="12">
        <v>0</v>
      </c>
      <c r="AU639" s="12">
        <v>0</v>
      </c>
      <c r="AV639" s="12">
        <v>0</v>
      </c>
      <c r="AW639" s="12">
        <v>0</v>
      </c>
      <c r="AX639" s="12">
        <v>0</v>
      </c>
      <c r="AY639" s="12">
        <v>0</v>
      </c>
      <c r="BB639" s="12">
        <v>0</v>
      </c>
      <c r="BC639" s="12">
        <v>0</v>
      </c>
      <c r="BD639" s="12">
        <v>0</v>
      </c>
      <c r="BE639" s="12">
        <v>0</v>
      </c>
      <c r="BF639" s="12">
        <v>0</v>
      </c>
      <c r="BI639" s="12">
        <v>0</v>
      </c>
      <c r="BJ639" s="12">
        <v>0</v>
      </c>
    </row>
    <row r="640" spans="1:62" x14ac:dyDescent="0.15">
      <c r="A640" s="12"/>
      <c r="B640"/>
      <c r="C640" s="23" t="s">
        <v>7389</v>
      </c>
      <c r="D640" t="s">
        <v>7387</v>
      </c>
      <c r="E640" t="s">
        <v>4882</v>
      </c>
      <c r="F640"/>
      <c r="G640"/>
      <c r="H640"/>
      <c r="I640"/>
      <c r="J640"/>
      <c r="K640"/>
      <c r="L640" s="10">
        <v>3682300</v>
      </c>
      <c r="M640" s="10">
        <v>722804</v>
      </c>
      <c r="N640" s="12">
        <v>15</v>
      </c>
      <c r="O640" s="12" t="s">
        <v>6992</v>
      </c>
      <c r="P640" s="8" t="s">
        <v>7388</v>
      </c>
      <c r="Q640"/>
      <c r="R640"/>
      <c r="S640" t="s">
        <v>7387</v>
      </c>
      <c r="T640" s="12" t="s">
        <v>4896</v>
      </c>
      <c r="U640" s="12" t="s">
        <v>4897</v>
      </c>
      <c r="V640" s="12" t="s">
        <v>4898</v>
      </c>
      <c r="W640" s="12">
        <v>0</v>
      </c>
      <c r="X640" s="12">
        <v>0</v>
      </c>
      <c r="Y640" s="12">
        <v>0</v>
      </c>
      <c r="Z640" s="12">
        <v>1</v>
      </c>
      <c r="AA640" s="12">
        <v>1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2">
        <v>0</v>
      </c>
      <c r="AK640" s="12">
        <v>0</v>
      </c>
      <c r="AL640" s="12">
        <v>0</v>
      </c>
      <c r="AM640" s="12"/>
      <c r="AN640" s="12">
        <v>0</v>
      </c>
      <c r="AO640" s="12">
        <v>0</v>
      </c>
      <c r="AP640" s="12">
        <v>0</v>
      </c>
      <c r="AQ640" s="12">
        <v>0</v>
      </c>
      <c r="AR640" s="12">
        <v>0</v>
      </c>
      <c r="AS640" s="12">
        <v>0</v>
      </c>
      <c r="AT640" s="12">
        <v>0</v>
      </c>
      <c r="AU640" s="12">
        <v>0</v>
      </c>
      <c r="AV640" s="12">
        <v>0</v>
      </c>
      <c r="AW640" s="12">
        <v>0</v>
      </c>
      <c r="AX640" s="12">
        <v>0</v>
      </c>
      <c r="AY640" s="12">
        <v>0</v>
      </c>
      <c r="BB640" s="12">
        <v>0</v>
      </c>
      <c r="BC640" s="12">
        <v>0</v>
      </c>
      <c r="BD640" s="12">
        <v>0</v>
      </c>
      <c r="BE640" s="12">
        <v>0</v>
      </c>
      <c r="BF640" s="12">
        <v>0</v>
      </c>
      <c r="BI640" s="12">
        <v>0</v>
      </c>
      <c r="BJ640" s="12">
        <v>0</v>
      </c>
    </row>
    <row r="641" spans="1:62" x14ac:dyDescent="0.15">
      <c r="A641" s="12" t="s">
        <v>7390</v>
      </c>
      <c r="B641"/>
      <c r="C641" s="23" t="s">
        <v>7391</v>
      </c>
      <c r="D641" t="s">
        <v>7387</v>
      </c>
      <c r="E641" t="s">
        <v>4882</v>
      </c>
      <c r="F641"/>
      <c r="G641"/>
      <c r="H641"/>
      <c r="I641"/>
      <c r="J641"/>
      <c r="K641"/>
      <c r="L641" s="10">
        <v>3691790</v>
      </c>
      <c r="M641" s="10">
        <v>702848</v>
      </c>
      <c r="N641" s="12">
        <v>15</v>
      </c>
      <c r="O641" s="12" t="s">
        <v>6992</v>
      </c>
      <c r="P641" s="8" t="s">
        <v>7388</v>
      </c>
      <c r="Q641"/>
      <c r="R641"/>
      <c r="S641" t="s">
        <v>7392</v>
      </c>
      <c r="T641" s="12" t="s">
        <v>4896</v>
      </c>
      <c r="U641" s="12" t="s">
        <v>4897</v>
      </c>
      <c r="V641" s="12" t="s">
        <v>4898</v>
      </c>
      <c r="W641" s="12">
        <v>0</v>
      </c>
      <c r="X641" s="12">
        <v>0</v>
      </c>
      <c r="Y641" s="12">
        <v>0</v>
      </c>
      <c r="Z641" s="12">
        <v>1</v>
      </c>
      <c r="AA641" s="12">
        <v>1</v>
      </c>
      <c r="AB641" s="12">
        <v>0</v>
      </c>
      <c r="AC641" s="12">
        <v>0</v>
      </c>
      <c r="AD641" s="12">
        <v>0</v>
      </c>
      <c r="AE641" s="12">
        <v>0</v>
      </c>
      <c r="AF641" s="12">
        <v>0</v>
      </c>
      <c r="AG641" s="12">
        <v>0</v>
      </c>
      <c r="AH641" s="12">
        <v>0</v>
      </c>
      <c r="AI641" s="12">
        <v>0</v>
      </c>
      <c r="AJ641" s="12">
        <v>0</v>
      </c>
      <c r="AK641" s="12">
        <v>0</v>
      </c>
      <c r="AL641" s="12">
        <v>0</v>
      </c>
      <c r="AM641" s="12"/>
      <c r="AN641" s="12">
        <v>0</v>
      </c>
      <c r="AO641" s="12">
        <v>0</v>
      </c>
      <c r="AP641" s="12">
        <v>0</v>
      </c>
      <c r="AQ641" s="12">
        <v>0</v>
      </c>
      <c r="AR641" s="12">
        <v>0</v>
      </c>
      <c r="AS641" s="12">
        <v>0</v>
      </c>
      <c r="AT641" s="12">
        <v>0</v>
      </c>
      <c r="AU641" s="12">
        <v>0</v>
      </c>
      <c r="AV641" s="12">
        <v>0</v>
      </c>
      <c r="AW641" s="12">
        <v>0</v>
      </c>
      <c r="AX641" s="12">
        <v>0</v>
      </c>
      <c r="AY641" s="12">
        <v>0</v>
      </c>
      <c r="BB641" s="12">
        <v>0</v>
      </c>
      <c r="BC641" s="12">
        <v>0</v>
      </c>
      <c r="BD641" s="12">
        <v>0</v>
      </c>
      <c r="BE641" s="12">
        <v>0</v>
      </c>
      <c r="BF641" s="12">
        <v>0</v>
      </c>
      <c r="BI641" s="12">
        <v>0</v>
      </c>
      <c r="BJ641" s="12">
        <v>0</v>
      </c>
    </row>
    <row r="642" spans="1:62" x14ac:dyDescent="0.15">
      <c r="A642" s="12"/>
      <c r="B642"/>
      <c r="C642" s="23" t="s">
        <v>7393</v>
      </c>
      <c r="D642" t="s">
        <v>7387</v>
      </c>
      <c r="E642" t="s">
        <v>4882</v>
      </c>
      <c r="F642"/>
      <c r="G642"/>
      <c r="H642"/>
      <c r="I642"/>
      <c r="J642"/>
      <c r="K642"/>
      <c r="L642" s="10">
        <v>3692188</v>
      </c>
      <c r="M642" s="10">
        <v>705612</v>
      </c>
      <c r="N642" s="12">
        <v>15</v>
      </c>
      <c r="O642" s="12" t="s">
        <v>6992</v>
      </c>
      <c r="P642" s="8" t="s">
        <v>7388</v>
      </c>
      <c r="Q642"/>
      <c r="R642"/>
      <c r="S642" t="s">
        <v>7387</v>
      </c>
      <c r="T642" s="12" t="s">
        <v>4896</v>
      </c>
      <c r="U642" s="12" t="s">
        <v>4897</v>
      </c>
      <c r="V642" s="12" t="s">
        <v>4898</v>
      </c>
      <c r="W642" s="12">
        <v>0</v>
      </c>
      <c r="X642" s="12">
        <v>0</v>
      </c>
      <c r="Y642" s="12">
        <v>0</v>
      </c>
      <c r="Z642" s="12">
        <v>1</v>
      </c>
      <c r="AA642" s="12">
        <v>1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2">
        <v>0</v>
      </c>
      <c r="AK642" s="12">
        <v>0</v>
      </c>
      <c r="AL642" s="12">
        <v>0</v>
      </c>
      <c r="AM642" s="12"/>
      <c r="AN642" s="12">
        <v>0</v>
      </c>
      <c r="AO642" s="12">
        <v>0</v>
      </c>
      <c r="AP642" s="12">
        <v>0</v>
      </c>
      <c r="AQ642" s="12">
        <v>0</v>
      </c>
      <c r="AR642" s="12">
        <v>0</v>
      </c>
      <c r="AS642" s="12">
        <v>0</v>
      </c>
      <c r="AT642" s="12">
        <v>0</v>
      </c>
      <c r="AU642" s="12">
        <v>0</v>
      </c>
      <c r="AV642" s="12">
        <v>0</v>
      </c>
      <c r="AW642" s="12">
        <v>0</v>
      </c>
      <c r="AX642" s="12">
        <v>0</v>
      </c>
      <c r="AY642" s="12">
        <v>0</v>
      </c>
      <c r="BB642" s="12">
        <v>0</v>
      </c>
      <c r="BC642" s="12">
        <v>0</v>
      </c>
      <c r="BD642" s="12">
        <v>0</v>
      </c>
      <c r="BE642" s="12">
        <v>0</v>
      </c>
      <c r="BF642" s="12">
        <v>0</v>
      </c>
      <c r="BI642" s="12">
        <v>0</v>
      </c>
      <c r="BJ642" s="12">
        <v>0</v>
      </c>
    </row>
    <row r="643" spans="1:62" x14ac:dyDescent="0.15">
      <c r="A643" s="12"/>
      <c r="B643"/>
      <c r="C643" s="23" t="s">
        <v>1063</v>
      </c>
      <c r="D643" t="s">
        <v>7387</v>
      </c>
      <c r="E643" t="s">
        <v>4882</v>
      </c>
      <c r="F643"/>
      <c r="G643"/>
      <c r="H643"/>
      <c r="I643"/>
      <c r="J643"/>
      <c r="K643"/>
      <c r="L643" s="10">
        <v>3704870</v>
      </c>
      <c r="M643" s="10">
        <v>722932</v>
      </c>
      <c r="N643" s="12">
        <v>15</v>
      </c>
      <c r="O643" s="12" t="s">
        <v>6992</v>
      </c>
      <c r="P643" s="8" t="s">
        <v>7388</v>
      </c>
      <c r="Q643"/>
      <c r="R643"/>
      <c r="S643" t="s">
        <v>7387</v>
      </c>
      <c r="T643" s="12" t="s">
        <v>4896</v>
      </c>
      <c r="U643" s="12" t="s">
        <v>4897</v>
      </c>
      <c r="V643" s="12" t="s">
        <v>4898</v>
      </c>
      <c r="W643" s="12">
        <v>0</v>
      </c>
      <c r="X643" s="12">
        <v>0</v>
      </c>
      <c r="Y643" s="12">
        <v>0</v>
      </c>
      <c r="Z643" s="12">
        <v>1</v>
      </c>
      <c r="AA643" s="12">
        <v>1</v>
      </c>
      <c r="AB643" s="12">
        <v>0</v>
      </c>
      <c r="AC643" s="12">
        <v>0</v>
      </c>
      <c r="AD643" s="12">
        <v>0</v>
      </c>
      <c r="AE643" s="12">
        <v>0</v>
      </c>
      <c r="AF643" s="12">
        <v>0</v>
      </c>
      <c r="AG643" s="12">
        <v>0</v>
      </c>
      <c r="AH643" s="12">
        <v>0</v>
      </c>
      <c r="AI643" s="12">
        <v>0</v>
      </c>
      <c r="AJ643" s="12">
        <v>0</v>
      </c>
      <c r="AK643" s="12">
        <v>0</v>
      </c>
      <c r="AL643" s="12">
        <v>0</v>
      </c>
      <c r="AM643" s="12"/>
      <c r="AN643" s="12">
        <v>0</v>
      </c>
      <c r="AO643" s="12">
        <v>0</v>
      </c>
      <c r="AP643" s="12">
        <v>0</v>
      </c>
      <c r="AQ643" s="12">
        <v>0</v>
      </c>
      <c r="AR643" s="12">
        <v>0</v>
      </c>
      <c r="AS643" s="12">
        <v>0</v>
      </c>
      <c r="AT643" s="12">
        <v>0</v>
      </c>
      <c r="AU643" s="12">
        <v>0</v>
      </c>
      <c r="AV643" s="12">
        <v>0</v>
      </c>
      <c r="AW643" s="12">
        <v>0</v>
      </c>
      <c r="AX643" s="12">
        <v>0</v>
      </c>
      <c r="AY643" s="12">
        <v>0</v>
      </c>
      <c r="BB643" s="12">
        <v>0</v>
      </c>
      <c r="BC643" s="12">
        <v>0</v>
      </c>
      <c r="BD643" s="12">
        <v>0</v>
      </c>
      <c r="BE643" s="12">
        <v>0</v>
      </c>
      <c r="BF643" s="12">
        <v>0</v>
      </c>
      <c r="BI643" s="12">
        <v>0</v>
      </c>
      <c r="BJ643" s="12">
        <v>0</v>
      </c>
    </row>
    <row r="644" spans="1:62" x14ac:dyDescent="0.15">
      <c r="A644" s="12"/>
      <c r="B644"/>
      <c r="C644" s="23" t="s">
        <v>7394</v>
      </c>
      <c r="D644" t="s">
        <v>7387</v>
      </c>
      <c r="E644" t="s">
        <v>4882</v>
      </c>
      <c r="F644"/>
      <c r="G644"/>
      <c r="H644"/>
      <c r="I644"/>
      <c r="J644"/>
      <c r="K644"/>
      <c r="L644" s="10">
        <v>3710990</v>
      </c>
      <c r="M644" s="10">
        <v>721297</v>
      </c>
      <c r="N644" s="12">
        <v>15</v>
      </c>
      <c r="O644" s="12" t="s">
        <v>6992</v>
      </c>
      <c r="P644" s="8" t="s">
        <v>7388</v>
      </c>
      <c r="Q644"/>
      <c r="R644"/>
      <c r="S644" t="s">
        <v>7387</v>
      </c>
      <c r="T644" s="12" t="s">
        <v>4896</v>
      </c>
      <c r="U644" s="12" t="s">
        <v>4897</v>
      </c>
      <c r="V644" s="12" t="s">
        <v>4898</v>
      </c>
      <c r="W644" s="12">
        <v>0</v>
      </c>
      <c r="X644" s="12">
        <v>0</v>
      </c>
      <c r="Y644" s="12">
        <v>0</v>
      </c>
      <c r="Z644" s="12">
        <v>1</v>
      </c>
      <c r="AA644" s="12">
        <v>1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2">
        <v>0</v>
      </c>
      <c r="AK644" s="12">
        <v>0</v>
      </c>
      <c r="AL644" s="12">
        <v>0</v>
      </c>
      <c r="AM644" s="12"/>
      <c r="AN644" s="12">
        <v>0</v>
      </c>
      <c r="AO644" s="12">
        <v>0</v>
      </c>
      <c r="AP644" s="12">
        <v>0</v>
      </c>
      <c r="AQ644" s="12">
        <v>0</v>
      </c>
      <c r="AR644" s="12">
        <v>0</v>
      </c>
      <c r="AS644" s="12">
        <v>0</v>
      </c>
      <c r="AT644" s="12">
        <v>0</v>
      </c>
      <c r="AU644" s="12">
        <v>0</v>
      </c>
      <c r="AV644" s="12">
        <v>0</v>
      </c>
      <c r="AW644" s="12">
        <v>0</v>
      </c>
      <c r="AX644" s="12">
        <v>0</v>
      </c>
      <c r="AY644" s="12">
        <v>0</v>
      </c>
      <c r="BB644" s="12">
        <v>0</v>
      </c>
      <c r="BC644" s="12">
        <v>0</v>
      </c>
      <c r="BD644" s="12">
        <v>0</v>
      </c>
      <c r="BE644" s="12">
        <v>0</v>
      </c>
      <c r="BF644" s="12">
        <v>0</v>
      </c>
      <c r="BI644" s="12">
        <v>0</v>
      </c>
      <c r="BJ644" s="12">
        <v>0</v>
      </c>
    </row>
    <row r="645" spans="1:62" x14ac:dyDescent="0.15">
      <c r="A645" s="12" t="s">
        <v>7395</v>
      </c>
      <c r="B645"/>
      <c r="C645" s="23" t="s">
        <v>7396</v>
      </c>
      <c r="D645" t="s">
        <v>7387</v>
      </c>
      <c r="E645" t="s">
        <v>4882</v>
      </c>
      <c r="F645"/>
      <c r="G645"/>
      <c r="H645"/>
      <c r="I645"/>
      <c r="J645"/>
      <c r="K645"/>
      <c r="L645" s="10">
        <v>3724110</v>
      </c>
      <c r="M645" s="10">
        <v>722990</v>
      </c>
      <c r="N645" s="12">
        <v>15</v>
      </c>
      <c r="O645" s="12" t="s">
        <v>6992</v>
      </c>
      <c r="P645" s="8" t="s">
        <v>7388</v>
      </c>
      <c r="Q645"/>
      <c r="R645"/>
      <c r="S645" t="s">
        <v>7387</v>
      </c>
      <c r="T645" s="12" t="s">
        <v>4896</v>
      </c>
      <c r="U645" s="12" t="s">
        <v>4897</v>
      </c>
      <c r="V645" s="12" t="s">
        <v>4898</v>
      </c>
      <c r="W645" s="12">
        <v>0</v>
      </c>
      <c r="X645" s="12">
        <v>0</v>
      </c>
      <c r="Y645" s="12">
        <v>0</v>
      </c>
      <c r="Z645" s="12">
        <v>1</v>
      </c>
      <c r="AA645" s="12">
        <v>1</v>
      </c>
      <c r="AB645" s="12">
        <v>0</v>
      </c>
      <c r="AC645" s="12">
        <v>0</v>
      </c>
      <c r="AD645" s="12">
        <v>0</v>
      </c>
      <c r="AE645" s="12">
        <v>0</v>
      </c>
      <c r="AF645" s="12">
        <v>0</v>
      </c>
      <c r="AG645" s="12">
        <v>0</v>
      </c>
      <c r="AH645" s="12" t="s">
        <v>8248</v>
      </c>
      <c r="AI645" s="12">
        <v>1</v>
      </c>
      <c r="AJ645" s="12">
        <v>1</v>
      </c>
      <c r="AK645" s="12">
        <v>0</v>
      </c>
      <c r="AL645" s="12">
        <v>0</v>
      </c>
      <c r="AM645" s="12"/>
      <c r="AN645" s="12">
        <v>0</v>
      </c>
      <c r="AO645" s="12">
        <v>0</v>
      </c>
      <c r="AP645" s="12">
        <v>0</v>
      </c>
      <c r="AQ645" s="12">
        <v>0</v>
      </c>
      <c r="AR645" s="12">
        <v>1</v>
      </c>
      <c r="AS645" s="12">
        <v>0</v>
      </c>
      <c r="AT645" s="12">
        <v>0</v>
      </c>
      <c r="AU645" s="12">
        <v>0</v>
      </c>
      <c r="AV645" s="12">
        <v>0</v>
      </c>
      <c r="AW645" s="12">
        <v>0</v>
      </c>
      <c r="AX645" s="12">
        <v>0</v>
      </c>
      <c r="AY645" s="12">
        <v>0</v>
      </c>
      <c r="AZ645" s="12" t="s">
        <v>4916</v>
      </c>
      <c r="BA645" s="12" t="s">
        <v>4911</v>
      </c>
      <c r="BB645" s="12">
        <v>0</v>
      </c>
      <c r="BC645" s="12">
        <v>0</v>
      </c>
      <c r="BD645" s="12">
        <v>0</v>
      </c>
      <c r="BE645" s="12">
        <v>0</v>
      </c>
      <c r="BF645" s="12">
        <v>0</v>
      </c>
      <c r="BI645" s="12">
        <v>0</v>
      </c>
      <c r="BJ645" s="12">
        <v>0</v>
      </c>
    </row>
    <row r="646" spans="1:62" x14ac:dyDescent="0.15">
      <c r="A646" s="12"/>
      <c r="B646"/>
      <c r="C646" s="23" t="s">
        <v>7397</v>
      </c>
      <c r="D646" t="s">
        <v>7387</v>
      </c>
      <c r="E646" t="s">
        <v>4882</v>
      </c>
      <c r="F646"/>
      <c r="G646"/>
      <c r="H646"/>
      <c r="I646"/>
      <c r="J646"/>
      <c r="K646"/>
      <c r="L646" s="10">
        <v>3704780</v>
      </c>
      <c r="M646" s="10">
        <v>745556</v>
      </c>
      <c r="N646" s="12">
        <v>15</v>
      </c>
      <c r="O646" s="12" t="s">
        <v>6992</v>
      </c>
      <c r="P646" s="8" t="s">
        <v>7388</v>
      </c>
      <c r="Q646"/>
      <c r="R646"/>
      <c r="S646" t="s">
        <v>7387</v>
      </c>
      <c r="T646" s="12" t="s">
        <v>4896</v>
      </c>
      <c r="U646" s="12" t="s">
        <v>4897</v>
      </c>
      <c r="V646" s="12" t="s">
        <v>4898</v>
      </c>
      <c r="W646" s="12">
        <v>0</v>
      </c>
      <c r="X646" s="12">
        <v>0</v>
      </c>
      <c r="Y646" s="12">
        <v>0</v>
      </c>
      <c r="Z646" s="12">
        <v>1</v>
      </c>
      <c r="AA646" s="12">
        <v>1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2">
        <v>0</v>
      </c>
      <c r="AK646" s="12">
        <v>0</v>
      </c>
      <c r="AL646" s="12">
        <v>0</v>
      </c>
      <c r="AM646" s="12"/>
      <c r="AN646" s="12">
        <v>0</v>
      </c>
      <c r="AO646" s="12">
        <v>0</v>
      </c>
      <c r="AP646" s="12">
        <v>0</v>
      </c>
      <c r="AQ646" s="12">
        <v>0</v>
      </c>
      <c r="AR646" s="12">
        <v>0</v>
      </c>
      <c r="AS646" s="12">
        <v>0</v>
      </c>
      <c r="AT646" s="12">
        <v>0</v>
      </c>
      <c r="AU646" s="12">
        <v>0</v>
      </c>
      <c r="AV646" s="12">
        <v>0</v>
      </c>
      <c r="AW646" s="12">
        <v>0</v>
      </c>
      <c r="AX646" s="12">
        <v>0</v>
      </c>
      <c r="AY646" s="12">
        <v>0</v>
      </c>
      <c r="AZ646" s="12" t="s">
        <v>4916</v>
      </c>
      <c r="BA646" s="12" t="s">
        <v>4911</v>
      </c>
      <c r="BB646" s="12">
        <v>0</v>
      </c>
      <c r="BC646" s="12">
        <v>0</v>
      </c>
      <c r="BD646" s="12">
        <v>0</v>
      </c>
      <c r="BE646" s="12">
        <v>0</v>
      </c>
      <c r="BF646" s="12">
        <v>0</v>
      </c>
      <c r="BI646" s="12">
        <v>0</v>
      </c>
      <c r="BJ646" s="12">
        <v>0</v>
      </c>
    </row>
    <row r="647" spans="1:62" x14ac:dyDescent="0.15">
      <c r="A647" s="12"/>
      <c r="B647"/>
      <c r="C647" s="23" t="s">
        <v>7398</v>
      </c>
      <c r="D647" t="s">
        <v>7387</v>
      </c>
      <c r="E647" t="s">
        <v>4882</v>
      </c>
      <c r="F647"/>
      <c r="G647"/>
      <c r="H647"/>
      <c r="I647"/>
      <c r="J647"/>
      <c r="K647"/>
      <c r="L647" s="10">
        <v>3726944</v>
      </c>
      <c r="M647" s="10">
        <v>751224</v>
      </c>
      <c r="N647" s="12">
        <v>15</v>
      </c>
      <c r="O647" s="12" t="s">
        <v>6992</v>
      </c>
      <c r="P647" s="8" t="s">
        <v>7388</v>
      </c>
      <c r="Q647"/>
      <c r="R647"/>
      <c r="S647" t="s">
        <v>7387</v>
      </c>
      <c r="T647" s="12" t="s">
        <v>4896</v>
      </c>
      <c r="U647" s="12" t="s">
        <v>4897</v>
      </c>
      <c r="V647" s="12" t="s">
        <v>4898</v>
      </c>
      <c r="W647" s="12">
        <v>0</v>
      </c>
      <c r="X647" s="12">
        <v>0</v>
      </c>
      <c r="Y647" s="12">
        <v>0</v>
      </c>
      <c r="Z647" s="12">
        <v>1</v>
      </c>
      <c r="AA647" s="12">
        <v>1</v>
      </c>
      <c r="AB647" s="12">
        <v>0</v>
      </c>
      <c r="AC647" s="12">
        <v>0</v>
      </c>
      <c r="AD647" s="12">
        <v>0</v>
      </c>
      <c r="AE647" s="12">
        <v>0</v>
      </c>
      <c r="AF647" s="12">
        <v>0</v>
      </c>
      <c r="AG647" s="12">
        <v>0</v>
      </c>
      <c r="AH647" s="12" t="s">
        <v>8248</v>
      </c>
      <c r="AI647" s="12">
        <v>1</v>
      </c>
      <c r="AJ647" s="12">
        <v>1</v>
      </c>
      <c r="AK647" s="12">
        <v>0</v>
      </c>
      <c r="AL647" s="12">
        <v>0</v>
      </c>
      <c r="AM647" s="12"/>
      <c r="AN647" s="12">
        <v>0</v>
      </c>
      <c r="AO647" s="12">
        <v>0</v>
      </c>
      <c r="AP647" s="12">
        <v>0</v>
      </c>
      <c r="AQ647" s="12">
        <v>0</v>
      </c>
      <c r="AR647" s="12">
        <v>1</v>
      </c>
      <c r="AS647" s="12">
        <v>0</v>
      </c>
      <c r="AT647" s="12">
        <v>0</v>
      </c>
      <c r="AU647" s="12">
        <v>0</v>
      </c>
      <c r="AV647" s="12">
        <v>0</v>
      </c>
      <c r="AW647" s="12">
        <v>0</v>
      </c>
      <c r="AX647" s="12">
        <v>0</v>
      </c>
      <c r="AY647" s="12">
        <v>0</v>
      </c>
      <c r="AZ647" s="12" t="s">
        <v>4172</v>
      </c>
      <c r="BA647" s="12" t="s">
        <v>4911</v>
      </c>
      <c r="BC647" s="12">
        <v>0</v>
      </c>
      <c r="BD647" s="12">
        <v>0</v>
      </c>
      <c r="BE647" s="12">
        <v>0</v>
      </c>
      <c r="BF647" s="12">
        <v>0</v>
      </c>
      <c r="BI647" s="12">
        <v>0</v>
      </c>
      <c r="BJ647" s="12">
        <v>0</v>
      </c>
    </row>
    <row r="648" spans="1:62" x14ac:dyDescent="0.15">
      <c r="A648" s="12"/>
      <c r="B648"/>
      <c r="C648" s="23" t="s">
        <v>7399</v>
      </c>
      <c r="D648" t="s">
        <v>7387</v>
      </c>
      <c r="E648" t="s">
        <v>4882</v>
      </c>
      <c r="F648"/>
      <c r="G648"/>
      <c r="H648"/>
      <c r="I648"/>
      <c r="J648"/>
      <c r="K648"/>
      <c r="L648" s="10">
        <v>3702450</v>
      </c>
      <c r="M648" s="10">
        <v>758232</v>
      </c>
      <c r="N648" s="12">
        <v>15</v>
      </c>
      <c r="O648" s="12" t="s">
        <v>6992</v>
      </c>
      <c r="P648" s="8" t="s">
        <v>7388</v>
      </c>
      <c r="Q648"/>
      <c r="R648"/>
      <c r="S648" t="s">
        <v>7387</v>
      </c>
      <c r="T648" s="12" t="s">
        <v>4896</v>
      </c>
      <c r="U648" s="12" t="s">
        <v>4897</v>
      </c>
      <c r="V648" s="12" t="s">
        <v>4898</v>
      </c>
      <c r="W648" s="12">
        <v>0</v>
      </c>
      <c r="X648" s="12">
        <v>0</v>
      </c>
      <c r="Y648" s="12">
        <v>0</v>
      </c>
      <c r="Z648" s="12">
        <v>1</v>
      </c>
      <c r="AA648" s="12">
        <v>1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2">
        <v>0</v>
      </c>
      <c r="AK648" s="12">
        <v>0</v>
      </c>
      <c r="AL648" s="12">
        <v>0</v>
      </c>
      <c r="AM648" s="12"/>
      <c r="AN648" s="12">
        <v>0</v>
      </c>
      <c r="AO648" s="12">
        <v>0</v>
      </c>
      <c r="AP648" s="12">
        <v>0</v>
      </c>
      <c r="AQ648" s="12">
        <v>0</v>
      </c>
      <c r="AR648" s="12">
        <v>0</v>
      </c>
      <c r="AS648" s="12">
        <v>0</v>
      </c>
      <c r="AT648" s="12">
        <v>0</v>
      </c>
      <c r="AU648" s="12">
        <v>0</v>
      </c>
      <c r="AV648" s="12">
        <v>0</v>
      </c>
      <c r="AW648" s="12">
        <v>0</v>
      </c>
      <c r="AX648" s="12">
        <v>0</v>
      </c>
      <c r="AY648" s="12">
        <v>0</v>
      </c>
      <c r="BB648" s="12">
        <v>0</v>
      </c>
      <c r="BC648" s="12">
        <v>0</v>
      </c>
      <c r="BD648" s="12">
        <v>0</v>
      </c>
      <c r="BE648" s="12">
        <v>0</v>
      </c>
      <c r="BF648" s="12">
        <v>0</v>
      </c>
      <c r="BI648" s="12">
        <v>0</v>
      </c>
      <c r="BJ648" s="12">
        <v>0</v>
      </c>
    </row>
    <row r="649" spans="1:62" x14ac:dyDescent="0.15">
      <c r="A649" s="12" t="str">
        <f>VLOOKUP(C649,'[1]LMV SiteNameNums'!B$1:C$65536,2,FALSE)</f>
        <v>34-G-2</v>
      </c>
      <c r="B649"/>
      <c r="C649" s="23" t="s">
        <v>7400</v>
      </c>
      <c r="D649" t="s">
        <v>7387</v>
      </c>
      <c r="E649" t="s">
        <v>4882</v>
      </c>
      <c r="F649"/>
      <c r="G649"/>
      <c r="H649"/>
      <c r="I649"/>
      <c r="J649"/>
      <c r="K649"/>
      <c r="L649" s="10">
        <v>3696656</v>
      </c>
      <c r="M649" s="10">
        <v>747104</v>
      </c>
      <c r="N649" s="12">
        <v>15</v>
      </c>
      <c r="O649" s="12" t="s">
        <v>6992</v>
      </c>
      <c r="P649" s="8" t="s">
        <v>7388</v>
      </c>
      <c r="Q649"/>
      <c r="R649"/>
      <c r="S649" t="s">
        <v>7387</v>
      </c>
      <c r="T649" s="12" t="s">
        <v>4896</v>
      </c>
      <c r="U649" s="12" t="s">
        <v>4897</v>
      </c>
      <c r="V649" s="12" t="s">
        <v>4898</v>
      </c>
      <c r="W649" s="12">
        <v>0</v>
      </c>
      <c r="X649" s="12">
        <v>0</v>
      </c>
      <c r="Y649" s="12">
        <v>0</v>
      </c>
      <c r="Z649" s="12">
        <v>1</v>
      </c>
      <c r="AA649" s="12">
        <v>1</v>
      </c>
      <c r="AB649" s="12">
        <v>0</v>
      </c>
      <c r="AC649" s="12">
        <v>0</v>
      </c>
      <c r="AD649" s="12">
        <v>0</v>
      </c>
      <c r="AE649" s="12">
        <v>0</v>
      </c>
      <c r="AF649" s="12">
        <v>0</v>
      </c>
      <c r="AG649" s="12">
        <v>0</v>
      </c>
      <c r="AH649" s="12">
        <v>0</v>
      </c>
      <c r="AI649" s="12">
        <v>0</v>
      </c>
      <c r="AJ649" s="12">
        <v>0</v>
      </c>
      <c r="AK649" s="12">
        <v>0</v>
      </c>
      <c r="AL649" s="12">
        <v>0</v>
      </c>
      <c r="AM649" s="12"/>
      <c r="AN649" s="12">
        <v>0</v>
      </c>
      <c r="AO649" s="12">
        <v>0</v>
      </c>
      <c r="AP649" s="12">
        <v>0</v>
      </c>
      <c r="AQ649" s="12">
        <v>0</v>
      </c>
      <c r="AR649" s="12">
        <v>0</v>
      </c>
      <c r="AS649" s="12">
        <v>0</v>
      </c>
      <c r="AT649" s="12">
        <v>0</v>
      </c>
      <c r="AU649" s="12">
        <v>0</v>
      </c>
      <c r="AV649" s="12">
        <v>0</v>
      </c>
      <c r="AW649" s="12">
        <v>0</v>
      </c>
      <c r="AX649" s="12">
        <v>0</v>
      </c>
      <c r="AY649" s="12">
        <v>0</v>
      </c>
      <c r="BB649" s="12">
        <v>0</v>
      </c>
      <c r="BC649" s="12">
        <v>0</v>
      </c>
      <c r="BD649" s="12">
        <v>0</v>
      </c>
      <c r="BE649" s="12">
        <v>0</v>
      </c>
      <c r="BF649" s="12">
        <v>0</v>
      </c>
      <c r="BI649" s="12">
        <v>0</v>
      </c>
      <c r="BJ649" s="12">
        <v>0</v>
      </c>
    </row>
    <row r="650" spans="1:62" x14ac:dyDescent="0.15">
      <c r="A650" s="12" t="s">
        <v>7401</v>
      </c>
      <c r="B650"/>
      <c r="C650" s="23" t="s">
        <v>7402</v>
      </c>
      <c r="D650" t="s">
        <v>7387</v>
      </c>
      <c r="E650" t="s">
        <v>4882</v>
      </c>
      <c r="F650"/>
      <c r="G650"/>
      <c r="H650"/>
      <c r="I650"/>
      <c r="J650"/>
      <c r="K650"/>
      <c r="L650" s="10">
        <v>3722616</v>
      </c>
      <c r="M650" s="10">
        <v>765983</v>
      </c>
      <c r="N650" s="12">
        <v>15</v>
      </c>
      <c r="O650" s="12" t="s">
        <v>6992</v>
      </c>
      <c r="P650" s="8" t="s">
        <v>7388</v>
      </c>
      <c r="Q650"/>
      <c r="R650"/>
      <c r="S650" t="s">
        <v>7387</v>
      </c>
      <c r="T650" s="12" t="s">
        <v>4896</v>
      </c>
      <c r="U650" s="12" t="s">
        <v>4897</v>
      </c>
      <c r="V650" s="12" t="s">
        <v>4898</v>
      </c>
      <c r="W650" s="12">
        <v>0</v>
      </c>
      <c r="X650" s="12">
        <v>0</v>
      </c>
      <c r="Y650" s="12">
        <v>0</v>
      </c>
      <c r="Z650" s="12">
        <v>1</v>
      </c>
      <c r="AA650" s="12">
        <v>1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2">
        <v>0</v>
      </c>
      <c r="AK650" s="12">
        <v>0</v>
      </c>
      <c r="AL650" s="12">
        <v>0</v>
      </c>
      <c r="AM650" s="12"/>
      <c r="AN650" s="12">
        <v>0</v>
      </c>
      <c r="AO650" s="12">
        <v>0</v>
      </c>
      <c r="AP650" s="12">
        <v>0</v>
      </c>
      <c r="AQ650" s="12">
        <v>0</v>
      </c>
      <c r="AR650" s="12">
        <v>0</v>
      </c>
      <c r="AS650" s="12">
        <v>0</v>
      </c>
      <c r="AT650" s="12">
        <v>0</v>
      </c>
      <c r="AU650" s="12">
        <v>0</v>
      </c>
      <c r="AV650" s="12">
        <v>0</v>
      </c>
      <c r="AW650" s="12">
        <v>0</v>
      </c>
      <c r="AX650" s="12">
        <v>0</v>
      </c>
      <c r="AY650" s="12">
        <v>0</v>
      </c>
      <c r="AZ650" s="12" t="s">
        <v>4916</v>
      </c>
      <c r="BA650" s="12" t="s">
        <v>4911</v>
      </c>
      <c r="BB650" s="12">
        <v>0</v>
      </c>
      <c r="BC650" s="12">
        <v>0</v>
      </c>
      <c r="BD650" s="12">
        <v>0</v>
      </c>
      <c r="BE650" s="12">
        <v>0</v>
      </c>
      <c r="BF650" s="12">
        <v>0</v>
      </c>
      <c r="BI650" s="12">
        <v>0</v>
      </c>
      <c r="BJ650" s="12">
        <v>0</v>
      </c>
    </row>
    <row r="651" spans="1:62" x14ac:dyDescent="0.15">
      <c r="A651" s="12" t="s">
        <v>7403</v>
      </c>
      <c r="B651"/>
      <c r="C651" s="23" t="s">
        <v>7404</v>
      </c>
      <c r="D651" t="s">
        <v>7387</v>
      </c>
      <c r="E651" t="s">
        <v>4882</v>
      </c>
      <c r="F651"/>
      <c r="G651"/>
      <c r="H651"/>
      <c r="I651"/>
      <c r="J651"/>
      <c r="K651"/>
      <c r="L651" s="10">
        <v>3722099</v>
      </c>
      <c r="M651" s="10">
        <v>768673</v>
      </c>
      <c r="N651" s="12">
        <v>15</v>
      </c>
      <c r="O651" s="12" t="s">
        <v>6992</v>
      </c>
      <c r="P651" s="8" t="s">
        <v>7388</v>
      </c>
      <c r="Q651"/>
      <c r="R651"/>
      <c r="S651" t="s">
        <v>7387</v>
      </c>
      <c r="T651" s="12" t="s">
        <v>4896</v>
      </c>
      <c r="U651" s="12" t="s">
        <v>4897</v>
      </c>
      <c r="V651" s="12" t="s">
        <v>4898</v>
      </c>
      <c r="W651" s="12">
        <v>0</v>
      </c>
      <c r="X651" s="12">
        <v>0</v>
      </c>
      <c r="Y651" s="12">
        <v>0</v>
      </c>
      <c r="Z651" s="12">
        <v>1</v>
      </c>
      <c r="AA651" s="12">
        <v>1</v>
      </c>
      <c r="AB651" s="12">
        <v>0</v>
      </c>
      <c r="AC651" s="12">
        <v>0</v>
      </c>
      <c r="AD651" s="12">
        <v>0</v>
      </c>
      <c r="AE651" s="12">
        <v>0</v>
      </c>
      <c r="AF651" s="12">
        <v>0</v>
      </c>
      <c r="AG651" s="12">
        <v>0</v>
      </c>
      <c r="AH651" s="12">
        <v>0</v>
      </c>
      <c r="AI651" s="12">
        <v>0</v>
      </c>
      <c r="AJ651" s="12">
        <v>0</v>
      </c>
      <c r="AK651" s="12">
        <v>0</v>
      </c>
      <c r="AL651" s="12">
        <v>0</v>
      </c>
      <c r="AM651" s="12"/>
      <c r="AN651" s="12">
        <v>0</v>
      </c>
      <c r="AO651" s="12">
        <v>0</v>
      </c>
      <c r="AP651" s="12">
        <v>0</v>
      </c>
      <c r="AQ651" s="12">
        <v>0</v>
      </c>
      <c r="AR651" s="12">
        <v>0</v>
      </c>
      <c r="AS651" s="12">
        <v>0</v>
      </c>
      <c r="AT651" s="12">
        <v>0</v>
      </c>
      <c r="AU651" s="12">
        <v>0</v>
      </c>
      <c r="AV651" s="12">
        <v>0</v>
      </c>
      <c r="AW651" s="12">
        <v>0</v>
      </c>
      <c r="AX651" s="12">
        <v>0</v>
      </c>
      <c r="AY651" s="12">
        <v>0</v>
      </c>
      <c r="AZ651" s="12" t="s">
        <v>4172</v>
      </c>
      <c r="BA651" s="12" t="s">
        <v>4911</v>
      </c>
      <c r="BB651" s="12">
        <v>0</v>
      </c>
      <c r="BC651" s="12">
        <v>0</v>
      </c>
      <c r="BD651" s="12">
        <v>0</v>
      </c>
      <c r="BE651" s="12">
        <v>0</v>
      </c>
      <c r="BF651" s="12">
        <v>0</v>
      </c>
      <c r="BI651" s="12">
        <v>0</v>
      </c>
      <c r="BJ651" s="12">
        <v>0</v>
      </c>
    </row>
    <row r="652" spans="1:62" x14ac:dyDescent="0.15">
      <c r="A652" s="12" t="s">
        <v>7405</v>
      </c>
      <c r="B652"/>
      <c r="C652" s="23" t="s">
        <v>7406</v>
      </c>
      <c r="D652" t="s">
        <v>7387</v>
      </c>
      <c r="E652" t="s">
        <v>4882</v>
      </c>
      <c r="F652"/>
      <c r="G652"/>
      <c r="H652"/>
      <c r="I652"/>
      <c r="J652"/>
      <c r="K652"/>
      <c r="L652" s="10">
        <v>3732912</v>
      </c>
      <c r="M652" s="10">
        <v>761344</v>
      </c>
      <c r="N652" s="12">
        <v>15</v>
      </c>
      <c r="O652" s="12" t="s">
        <v>6992</v>
      </c>
      <c r="P652" s="8" t="s">
        <v>7388</v>
      </c>
      <c r="Q652"/>
      <c r="R652"/>
      <c r="S652" t="s">
        <v>7387</v>
      </c>
      <c r="T652" s="12" t="s">
        <v>4896</v>
      </c>
      <c r="U652" s="12" t="s">
        <v>4897</v>
      </c>
      <c r="V652" s="12" t="s">
        <v>4898</v>
      </c>
      <c r="W652" s="12">
        <v>0</v>
      </c>
      <c r="X652" s="12">
        <v>0</v>
      </c>
      <c r="Y652" s="12">
        <v>0</v>
      </c>
      <c r="Z652" s="12">
        <v>1</v>
      </c>
      <c r="AA652" s="12">
        <v>1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 t="s">
        <v>8248</v>
      </c>
      <c r="AI652" s="12">
        <v>1</v>
      </c>
      <c r="AJ652" s="12">
        <v>1</v>
      </c>
      <c r="AK652" s="12">
        <v>0</v>
      </c>
      <c r="AL652" s="12">
        <v>0</v>
      </c>
      <c r="AM652" s="12"/>
      <c r="AN652" s="12">
        <v>0</v>
      </c>
      <c r="AO652" s="12">
        <v>0</v>
      </c>
      <c r="AP652" s="12">
        <v>0</v>
      </c>
      <c r="AQ652" s="12">
        <v>0</v>
      </c>
      <c r="AR652" s="12">
        <v>1</v>
      </c>
      <c r="AS652" s="12">
        <v>0</v>
      </c>
      <c r="AT652" s="12">
        <v>0</v>
      </c>
      <c r="AU652" s="12">
        <v>0</v>
      </c>
      <c r="AV652" s="12">
        <v>0</v>
      </c>
      <c r="AW652" s="12">
        <v>0</v>
      </c>
      <c r="AX652" s="12">
        <v>0</v>
      </c>
      <c r="AY652" s="12">
        <v>0</v>
      </c>
      <c r="AZ652" s="12" t="s">
        <v>4916</v>
      </c>
      <c r="BA652" s="12" t="s">
        <v>4911</v>
      </c>
      <c r="BB652" s="12">
        <v>0</v>
      </c>
      <c r="BC652" s="12">
        <v>0</v>
      </c>
      <c r="BD652" s="12">
        <v>0</v>
      </c>
      <c r="BE652" s="12">
        <v>0</v>
      </c>
      <c r="BF652" s="12">
        <v>0</v>
      </c>
      <c r="BI652" s="12">
        <v>0</v>
      </c>
      <c r="BJ652" s="12">
        <v>0</v>
      </c>
    </row>
    <row r="653" spans="1:62" x14ac:dyDescent="0.15">
      <c r="A653" s="12" t="s">
        <v>7407</v>
      </c>
      <c r="B653"/>
      <c r="C653" s="23" t="s">
        <v>7408</v>
      </c>
      <c r="D653" t="s">
        <v>7387</v>
      </c>
      <c r="E653" t="s">
        <v>4882</v>
      </c>
      <c r="F653"/>
      <c r="G653"/>
      <c r="H653"/>
      <c r="I653"/>
      <c r="J653"/>
      <c r="K653"/>
      <c r="L653" s="10">
        <v>3740370</v>
      </c>
      <c r="M653" s="10">
        <v>756486</v>
      </c>
      <c r="N653" s="12">
        <v>15</v>
      </c>
      <c r="O653" s="12" t="s">
        <v>6992</v>
      </c>
      <c r="P653" s="8" t="s">
        <v>7388</v>
      </c>
      <c r="Q653"/>
      <c r="R653"/>
      <c r="S653" t="s">
        <v>7387</v>
      </c>
      <c r="T653" s="12" t="s">
        <v>5283</v>
      </c>
      <c r="U653" s="12" t="s">
        <v>4897</v>
      </c>
      <c r="V653" s="12" t="s">
        <v>5016</v>
      </c>
      <c r="W653" s="12">
        <v>0</v>
      </c>
      <c r="X653" s="12">
        <v>0</v>
      </c>
      <c r="Y653" s="12">
        <v>0</v>
      </c>
      <c r="Z653" s="12">
        <v>1</v>
      </c>
      <c r="AA653" s="12">
        <v>1</v>
      </c>
      <c r="AB653" s="12">
        <v>1</v>
      </c>
      <c r="AC653" s="12">
        <v>0</v>
      </c>
      <c r="AD653" s="12">
        <v>0</v>
      </c>
      <c r="AE653" s="12">
        <v>0</v>
      </c>
      <c r="AF653" s="12">
        <v>0</v>
      </c>
      <c r="AG653" s="12">
        <v>0</v>
      </c>
      <c r="AH653" s="12">
        <v>0</v>
      </c>
      <c r="AI653" s="12">
        <v>0</v>
      </c>
      <c r="AJ653" s="12">
        <v>0</v>
      </c>
      <c r="AK653" s="12">
        <v>0</v>
      </c>
      <c r="AL653" s="12">
        <v>0</v>
      </c>
      <c r="AM653" s="12"/>
      <c r="AN653" s="12">
        <v>0</v>
      </c>
      <c r="AO653" s="12">
        <v>0</v>
      </c>
      <c r="AP653" s="12">
        <v>0</v>
      </c>
      <c r="AQ653" s="12">
        <v>0</v>
      </c>
      <c r="AR653" s="12">
        <v>0</v>
      </c>
      <c r="AS653" s="12">
        <v>0</v>
      </c>
      <c r="AT653" s="12">
        <v>0</v>
      </c>
      <c r="AU653" s="12">
        <v>0</v>
      </c>
      <c r="AV653" s="12">
        <v>0</v>
      </c>
      <c r="AW653" s="12">
        <v>0</v>
      </c>
      <c r="AX653" s="12">
        <v>0</v>
      </c>
      <c r="AY653" s="12">
        <v>0</v>
      </c>
      <c r="AZ653" s="12" t="s">
        <v>4916</v>
      </c>
      <c r="BA653" s="12" t="s">
        <v>4911</v>
      </c>
      <c r="BB653" s="12">
        <v>0</v>
      </c>
      <c r="BC653" s="12">
        <v>0</v>
      </c>
      <c r="BD653" s="12">
        <v>0</v>
      </c>
      <c r="BE653" s="12">
        <v>0</v>
      </c>
      <c r="BF653" s="12">
        <v>0</v>
      </c>
      <c r="BI653" s="12">
        <v>0</v>
      </c>
      <c r="BJ653" s="12">
        <v>0</v>
      </c>
    </row>
    <row r="654" spans="1:62" x14ac:dyDescent="0.15">
      <c r="A654" s="12" t="s">
        <v>7409</v>
      </c>
      <c r="B654"/>
      <c r="C654" s="23" t="s">
        <v>7410</v>
      </c>
      <c r="D654" t="s">
        <v>7387</v>
      </c>
      <c r="E654" t="s">
        <v>4882</v>
      </c>
      <c r="F654"/>
      <c r="G654"/>
      <c r="H654"/>
      <c r="I654"/>
      <c r="J654"/>
      <c r="K654"/>
      <c r="L654" s="10">
        <v>3753801</v>
      </c>
      <c r="M654" s="10">
        <v>747851</v>
      </c>
      <c r="N654" s="12">
        <v>15</v>
      </c>
      <c r="O654" s="12" t="s">
        <v>7964</v>
      </c>
      <c r="P654" s="8" t="s">
        <v>7388</v>
      </c>
      <c r="Q654"/>
      <c r="R654"/>
      <c r="S654" t="s">
        <v>7387</v>
      </c>
      <c r="T654" s="12" t="s">
        <v>4896</v>
      </c>
      <c r="U654" s="12" t="s">
        <v>4897</v>
      </c>
      <c r="V654" s="12" t="s">
        <v>4898</v>
      </c>
      <c r="W654" s="12">
        <v>0</v>
      </c>
      <c r="X654" s="12">
        <v>0</v>
      </c>
      <c r="Y654" s="12">
        <v>0</v>
      </c>
      <c r="Z654" s="12">
        <v>1</v>
      </c>
      <c r="AA654" s="12">
        <v>1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1</v>
      </c>
      <c r="AI654" s="12">
        <v>1</v>
      </c>
      <c r="AJ654" s="12">
        <v>1</v>
      </c>
      <c r="AK654" s="12">
        <v>0</v>
      </c>
      <c r="AL654" s="12">
        <v>0</v>
      </c>
      <c r="AM654" s="12"/>
      <c r="AN654" s="12">
        <v>0</v>
      </c>
      <c r="AO654" s="12">
        <v>0</v>
      </c>
      <c r="AP654" s="12">
        <v>0</v>
      </c>
      <c r="AQ654" s="12">
        <v>0</v>
      </c>
      <c r="AR654" s="12">
        <v>0</v>
      </c>
      <c r="AS654" s="12">
        <v>0</v>
      </c>
      <c r="AT654" s="12">
        <v>1</v>
      </c>
      <c r="AU654" s="12">
        <v>0</v>
      </c>
      <c r="AV654" s="12">
        <v>0</v>
      </c>
      <c r="AW654" s="12">
        <v>0</v>
      </c>
      <c r="AX654" s="12">
        <v>0</v>
      </c>
      <c r="AY654" s="12">
        <v>0</v>
      </c>
      <c r="AZ654" s="12" t="s">
        <v>4916</v>
      </c>
      <c r="BA654" s="12" t="s">
        <v>4911</v>
      </c>
      <c r="BB654" s="12">
        <v>0</v>
      </c>
      <c r="BC654" s="12">
        <v>0</v>
      </c>
      <c r="BD654" s="12">
        <v>0</v>
      </c>
      <c r="BE654" s="12">
        <v>0</v>
      </c>
      <c r="BF654" s="12">
        <v>0</v>
      </c>
      <c r="BI654" s="12">
        <v>0</v>
      </c>
      <c r="BJ654" s="12">
        <v>0</v>
      </c>
    </row>
    <row r="655" spans="1:62" x14ac:dyDescent="0.15">
      <c r="A655" s="12"/>
      <c r="B655"/>
      <c r="C655" s="23" t="s">
        <v>7411</v>
      </c>
      <c r="D655" t="s">
        <v>7387</v>
      </c>
      <c r="E655" t="s">
        <v>4882</v>
      </c>
      <c r="F655"/>
      <c r="G655"/>
      <c r="H655"/>
      <c r="I655"/>
      <c r="J655"/>
      <c r="K655"/>
      <c r="L655" s="10">
        <v>3757110</v>
      </c>
      <c r="M655" s="10">
        <v>742777</v>
      </c>
      <c r="N655" s="12">
        <v>15</v>
      </c>
      <c r="O655" s="12" t="s">
        <v>7412</v>
      </c>
      <c r="P655" s="8" t="s">
        <v>7388</v>
      </c>
      <c r="Q655"/>
      <c r="R655"/>
      <c r="S655" t="s">
        <v>7387</v>
      </c>
      <c r="T655" s="12" t="s">
        <v>4896</v>
      </c>
      <c r="U655" s="12" t="s">
        <v>4897</v>
      </c>
      <c r="V655" s="12" t="s">
        <v>4898</v>
      </c>
      <c r="W655" s="12">
        <v>0</v>
      </c>
      <c r="X655" s="12">
        <v>0</v>
      </c>
      <c r="Y655" s="12">
        <v>0</v>
      </c>
      <c r="Z655" s="12">
        <v>1</v>
      </c>
      <c r="AA655" s="12">
        <v>1</v>
      </c>
      <c r="AB655" s="12">
        <v>0</v>
      </c>
      <c r="AC655" s="12">
        <v>0</v>
      </c>
      <c r="AD655" s="12">
        <v>0</v>
      </c>
      <c r="AE655" s="12">
        <v>0</v>
      </c>
      <c r="AF655" s="12">
        <v>0</v>
      </c>
      <c r="AG655" s="12">
        <v>0</v>
      </c>
      <c r="AH655" s="12">
        <v>0</v>
      </c>
      <c r="AI655" s="12">
        <v>0</v>
      </c>
      <c r="AJ655" s="12">
        <v>0</v>
      </c>
      <c r="AK655" s="12">
        <v>0</v>
      </c>
      <c r="AL655" s="12">
        <v>0</v>
      </c>
      <c r="AM655" s="12"/>
      <c r="AN655" s="12">
        <v>0</v>
      </c>
      <c r="AO655" s="12">
        <v>0</v>
      </c>
      <c r="AP655" s="12">
        <v>0</v>
      </c>
      <c r="AQ655" s="12">
        <v>0</v>
      </c>
      <c r="AR655" s="12">
        <v>0</v>
      </c>
      <c r="AS655" s="12">
        <v>0</v>
      </c>
      <c r="AT655" s="12">
        <v>0</v>
      </c>
      <c r="AU655" s="12">
        <v>0</v>
      </c>
      <c r="AV655" s="12">
        <v>0</v>
      </c>
      <c r="AW655" s="12">
        <v>0</v>
      </c>
      <c r="AX655" s="12">
        <v>0</v>
      </c>
      <c r="AY655" s="12">
        <v>0</v>
      </c>
      <c r="AZ655" s="12" t="s">
        <v>4916</v>
      </c>
      <c r="BA655" s="12" t="s">
        <v>4911</v>
      </c>
      <c r="BB655" s="12">
        <v>0</v>
      </c>
      <c r="BC655" s="12">
        <v>0</v>
      </c>
      <c r="BD655" s="12">
        <v>0</v>
      </c>
      <c r="BE655" s="12">
        <v>0</v>
      </c>
      <c r="BF655" s="12">
        <v>0</v>
      </c>
      <c r="BI655" s="12">
        <v>0</v>
      </c>
      <c r="BJ655" s="12">
        <v>0</v>
      </c>
    </row>
    <row r="656" spans="1:62" x14ac:dyDescent="0.15">
      <c r="A656" s="12"/>
      <c r="B656"/>
      <c r="C656" s="23" t="s">
        <v>7413</v>
      </c>
      <c r="D656" t="s">
        <v>7387</v>
      </c>
      <c r="E656" t="s">
        <v>4882</v>
      </c>
      <c r="F656"/>
      <c r="G656"/>
      <c r="H656"/>
      <c r="I656"/>
      <c r="J656"/>
      <c r="K656"/>
      <c r="L656" s="10">
        <v>3780310</v>
      </c>
      <c r="M656" s="10">
        <v>733786</v>
      </c>
      <c r="N656" s="12">
        <v>15</v>
      </c>
      <c r="O656" s="12" t="s">
        <v>6992</v>
      </c>
      <c r="P656" s="8" t="s">
        <v>7388</v>
      </c>
      <c r="Q656"/>
      <c r="R656"/>
      <c r="S656" t="s">
        <v>7387</v>
      </c>
      <c r="T656" s="12" t="s">
        <v>4896</v>
      </c>
      <c r="U656" s="12" t="s">
        <v>4897</v>
      </c>
      <c r="V656" s="12" t="s">
        <v>4898</v>
      </c>
      <c r="W656" s="12">
        <v>0</v>
      </c>
      <c r="X656" s="12">
        <v>0</v>
      </c>
      <c r="Y656" s="12">
        <v>0</v>
      </c>
      <c r="Z656" s="12">
        <v>1</v>
      </c>
      <c r="AA656" s="12">
        <v>1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2">
        <v>0</v>
      </c>
      <c r="AK656" s="12">
        <v>0</v>
      </c>
      <c r="AL656" s="12">
        <v>0</v>
      </c>
      <c r="AM656" s="12"/>
      <c r="AN656" s="12">
        <v>0</v>
      </c>
      <c r="AO656" s="12">
        <v>0</v>
      </c>
      <c r="AP656" s="12">
        <v>0</v>
      </c>
      <c r="AQ656" s="12">
        <v>0</v>
      </c>
      <c r="AR656" s="12">
        <v>0</v>
      </c>
      <c r="AS656" s="12">
        <v>0</v>
      </c>
      <c r="AT656" s="12">
        <v>0</v>
      </c>
      <c r="AU656" s="12">
        <v>0</v>
      </c>
      <c r="AV656" s="12">
        <v>0</v>
      </c>
      <c r="AW656" s="12">
        <v>0</v>
      </c>
      <c r="AX656" s="12">
        <v>0</v>
      </c>
      <c r="AY656" s="12">
        <v>0</v>
      </c>
      <c r="BB656" s="12">
        <v>0</v>
      </c>
      <c r="BC656" s="12">
        <v>0</v>
      </c>
      <c r="BD656" s="12">
        <v>0</v>
      </c>
      <c r="BE656" s="12">
        <v>0</v>
      </c>
      <c r="BF656" s="12">
        <v>0</v>
      </c>
      <c r="BI656" s="12">
        <v>0</v>
      </c>
      <c r="BJ656" s="12">
        <v>0</v>
      </c>
    </row>
    <row r="657" spans="1:62" x14ac:dyDescent="0.15">
      <c r="A657" s="12"/>
      <c r="B657"/>
      <c r="C657" s="23" t="s">
        <v>7414</v>
      </c>
      <c r="D657" t="s">
        <v>7387</v>
      </c>
      <c r="E657" t="s">
        <v>4882</v>
      </c>
      <c r="F657"/>
      <c r="G657"/>
      <c r="H657"/>
      <c r="I657"/>
      <c r="J657"/>
      <c r="K657"/>
      <c r="L657" s="10">
        <v>3782182</v>
      </c>
      <c r="M657" s="10">
        <v>731422</v>
      </c>
      <c r="N657" s="12">
        <v>15</v>
      </c>
      <c r="O657" s="12" t="s">
        <v>6992</v>
      </c>
      <c r="P657" s="8" t="s">
        <v>7388</v>
      </c>
      <c r="Q657"/>
      <c r="R657"/>
      <c r="S657" t="s">
        <v>7387</v>
      </c>
      <c r="T657" s="12" t="s">
        <v>4896</v>
      </c>
      <c r="U657" s="12" t="s">
        <v>4897</v>
      </c>
      <c r="V657" s="12" t="s">
        <v>4898</v>
      </c>
      <c r="W657" s="12">
        <v>0</v>
      </c>
      <c r="X657" s="12">
        <v>0</v>
      </c>
      <c r="Y657" s="12">
        <v>0</v>
      </c>
      <c r="Z657" s="12">
        <v>1</v>
      </c>
      <c r="AA657" s="12">
        <v>1</v>
      </c>
      <c r="AB657" s="12">
        <v>0</v>
      </c>
      <c r="AC657" s="12">
        <v>0</v>
      </c>
      <c r="AD657" s="12">
        <v>0</v>
      </c>
      <c r="AE657" s="12">
        <v>0</v>
      </c>
      <c r="AF657" s="12">
        <v>0</v>
      </c>
      <c r="AG657" s="12">
        <v>0</v>
      </c>
      <c r="AH657" s="12">
        <v>0</v>
      </c>
      <c r="AI657" s="12">
        <v>0</v>
      </c>
      <c r="AJ657" s="12">
        <v>0</v>
      </c>
      <c r="AK657" s="12">
        <v>0</v>
      </c>
      <c r="AL657" s="12">
        <v>0</v>
      </c>
      <c r="AM657" s="12"/>
      <c r="AN657" s="12">
        <v>0</v>
      </c>
      <c r="AO657" s="12">
        <v>0</v>
      </c>
      <c r="AP657" s="12">
        <v>0</v>
      </c>
      <c r="AQ657" s="12">
        <v>0</v>
      </c>
      <c r="AR657" s="12">
        <v>0</v>
      </c>
      <c r="AS657" s="12">
        <v>0</v>
      </c>
      <c r="AT657" s="12">
        <v>0</v>
      </c>
      <c r="AU657" s="12">
        <v>0</v>
      </c>
      <c r="AV657" s="12">
        <v>0</v>
      </c>
      <c r="AW657" s="12">
        <v>0</v>
      </c>
      <c r="AX657" s="12">
        <v>0</v>
      </c>
      <c r="AY657" s="12">
        <v>0</v>
      </c>
      <c r="AZ657" s="12" t="s">
        <v>4916</v>
      </c>
      <c r="BA657" s="12" t="s">
        <v>4911</v>
      </c>
      <c r="BB657" s="12">
        <v>0</v>
      </c>
      <c r="BC657" s="12">
        <v>0</v>
      </c>
      <c r="BD657" s="12">
        <v>0</v>
      </c>
      <c r="BE657" s="12">
        <v>0</v>
      </c>
      <c r="BF657" s="12">
        <v>0</v>
      </c>
      <c r="BI657" s="12">
        <v>0</v>
      </c>
      <c r="BJ657" s="12">
        <v>0</v>
      </c>
    </row>
    <row r="658" spans="1:62" x14ac:dyDescent="0.15">
      <c r="A658" s="12"/>
      <c r="B658"/>
      <c r="C658" s="23" t="s">
        <v>7415</v>
      </c>
      <c r="D658" t="s">
        <v>7387</v>
      </c>
      <c r="E658" t="s">
        <v>4882</v>
      </c>
      <c r="F658"/>
      <c r="G658"/>
      <c r="H658"/>
      <c r="I658"/>
      <c r="J658"/>
      <c r="K658"/>
      <c r="L658" s="10">
        <v>3783820</v>
      </c>
      <c r="M658" s="10">
        <v>733202</v>
      </c>
      <c r="N658" s="12">
        <v>15</v>
      </c>
      <c r="O658" s="12" t="s">
        <v>6992</v>
      </c>
      <c r="P658" s="8" t="s">
        <v>7388</v>
      </c>
      <c r="Q658"/>
      <c r="R658"/>
      <c r="S658" t="s">
        <v>7387</v>
      </c>
      <c r="T658" s="12" t="s">
        <v>4896</v>
      </c>
      <c r="U658" s="12" t="s">
        <v>4897</v>
      </c>
      <c r="V658" s="12" t="s">
        <v>4898</v>
      </c>
      <c r="W658" s="12">
        <v>0</v>
      </c>
      <c r="X658" s="12">
        <v>0</v>
      </c>
      <c r="Y658" s="12">
        <v>0</v>
      </c>
      <c r="Z658" s="12">
        <v>1</v>
      </c>
      <c r="AA658" s="12">
        <v>1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2">
        <v>0</v>
      </c>
      <c r="AK658" s="12">
        <v>0</v>
      </c>
      <c r="AL658" s="12">
        <v>0</v>
      </c>
      <c r="AM658" s="12"/>
      <c r="AN658" s="12">
        <v>0</v>
      </c>
      <c r="AO658" s="12">
        <v>0</v>
      </c>
      <c r="AP658" s="12">
        <v>0</v>
      </c>
      <c r="AQ658" s="12">
        <v>0</v>
      </c>
      <c r="AR658" s="12">
        <v>0</v>
      </c>
      <c r="AS658" s="12">
        <v>0</v>
      </c>
      <c r="AT658" s="12">
        <v>0</v>
      </c>
      <c r="AU658" s="12">
        <v>0</v>
      </c>
      <c r="AV658" s="12">
        <v>0</v>
      </c>
      <c r="AW658" s="12">
        <v>0</v>
      </c>
      <c r="AX658" s="12">
        <v>0</v>
      </c>
      <c r="AY658" s="12">
        <v>0</v>
      </c>
      <c r="BB658" s="12">
        <v>0</v>
      </c>
      <c r="BC658" s="12">
        <v>0</v>
      </c>
      <c r="BD658" s="12">
        <v>0</v>
      </c>
      <c r="BE658" s="12">
        <v>0</v>
      </c>
      <c r="BF658" s="12">
        <v>0</v>
      </c>
      <c r="BI658" s="12">
        <v>0</v>
      </c>
      <c r="BJ658" s="12">
        <v>0</v>
      </c>
    </row>
    <row r="659" spans="1:62" x14ac:dyDescent="0.15">
      <c r="A659" s="12"/>
      <c r="B659"/>
      <c r="C659" s="23" t="s">
        <v>7416</v>
      </c>
      <c r="D659" t="s">
        <v>7387</v>
      </c>
      <c r="E659" t="s">
        <v>4882</v>
      </c>
      <c r="F659"/>
      <c r="G659"/>
      <c r="H659"/>
      <c r="I659"/>
      <c r="J659"/>
      <c r="K659"/>
      <c r="L659" s="10">
        <v>3788840</v>
      </c>
      <c r="M659" s="10">
        <v>727130</v>
      </c>
      <c r="N659" s="12">
        <v>15</v>
      </c>
      <c r="O659" s="12" t="s">
        <v>6992</v>
      </c>
      <c r="P659" s="8" t="s">
        <v>7388</v>
      </c>
      <c r="Q659"/>
      <c r="R659"/>
      <c r="S659" t="s">
        <v>7387</v>
      </c>
      <c r="T659" s="12" t="s">
        <v>4896</v>
      </c>
      <c r="U659" s="12" t="s">
        <v>4897</v>
      </c>
      <c r="V659" s="12" t="s">
        <v>4898</v>
      </c>
      <c r="W659" s="12">
        <v>0</v>
      </c>
      <c r="X659" s="12">
        <v>0</v>
      </c>
      <c r="Y659" s="12">
        <v>0</v>
      </c>
      <c r="Z659" s="12">
        <v>1</v>
      </c>
      <c r="AA659" s="12">
        <v>1</v>
      </c>
      <c r="AB659" s="12">
        <v>0</v>
      </c>
      <c r="AC659" s="12">
        <v>0</v>
      </c>
      <c r="AD659" s="12">
        <v>0</v>
      </c>
      <c r="AE659" s="12">
        <v>0</v>
      </c>
      <c r="AF659" s="12">
        <v>0</v>
      </c>
      <c r="AG659" s="12">
        <v>0</v>
      </c>
      <c r="AH659" s="12">
        <v>0</v>
      </c>
      <c r="AI659" s="12">
        <v>0</v>
      </c>
      <c r="AJ659" s="12">
        <v>0</v>
      </c>
      <c r="AK659" s="12">
        <v>0</v>
      </c>
      <c r="AL659" s="12">
        <v>0</v>
      </c>
      <c r="AM659" s="12"/>
      <c r="AN659" s="12">
        <v>0</v>
      </c>
      <c r="AO659" s="12">
        <v>0</v>
      </c>
      <c r="AP659" s="12">
        <v>0</v>
      </c>
      <c r="AQ659" s="12">
        <v>0</v>
      </c>
      <c r="AR659" s="12">
        <v>0</v>
      </c>
      <c r="AS659" s="12">
        <v>0</v>
      </c>
      <c r="AT659" s="12">
        <v>0</v>
      </c>
      <c r="AU659" s="12">
        <v>0</v>
      </c>
      <c r="AV659" s="12">
        <v>0</v>
      </c>
      <c r="AW659" s="12">
        <v>0</v>
      </c>
      <c r="AX659" s="12">
        <v>0</v>
      </c>
      <c r="AY659" s="12">
        <v>0</v>
      </c>
      <c r="BB659" s="12">
        <v>0</v>
      </c>
      <c r="BC659" s="12">
        <v>0</v>
      </c>
      <c r="BD659" s="12">
        <v>0</v>
      </c>
      <c r="BE659" s="12">
        <v>0</v>
      </c>
      <c r="BF659" s="12">
        <v>0</v>
      </c>
      <c r="BI659" s="12">
        <v>0</v>
      </c>
      <c r="BJ659" s="12">
        <v>0</v>
      </c>
    </row>
    <row r="660" spans="1:62" x14ac:dyDescent="0.15">
      <c r="A660" s="12"/>
      <c r="B660"/>
      <c r="C660" s="23" t="s">
        <v>7417</v>
      </c>
      <c r="D660" t="s">
        <v>7387</v>
      </c>
      <c r="E660" t="s">
        <v>4882</v>
      </c>
      <c r="F660"/>
      <c r="G660"/>
      <c r="H660"/>
      <c r="I660"/>
      <c r="J660"/>
      <c r="K660"/>
      <c r="L660" s="10">
        <v>3802882</v>
      </c>
      <c r="M660" s="10">
        <v>727761</v>
      </c>
      <c r="N660" s="12">
        <v>15</v>
      </c>
      <c r="O660" s="12" t="s">
        <v>6992</v>
      </c>
      <c r="P660" s="8" t="s">
        <v>7388</v>
      </c>
      <c r="Q660"/>
      <c r="R660"/>
      <c r="S660" t="s">
        <v>7387</v>
      </c>
      <c r="T660" s="12" t="s">
        <v>4896</v>
      </c>
      <c r="U660" s="12" t="s">
        <v>4897</v>
      </c>
      <c r="V660" s="12" t="s">
        <v>4898</v>
      </c>
      <c r="W660" s="12">
        <v>0</v>
      </c>
      <c r="X660" s="12">
        <v>0</v>
      </c>
      <c r="Y660" s="12">
        <v>0</v>
      </c>
      <c r="Z660" s="12">
        <v>1</v>
      </c>
      <c r="AA660" s="12">
        <v>1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2">
        <v>0</v>
      </c>
      <c r="AK660" s="12">
        <v>0</v>
      </c>
      <c r="AL660" s="12">
        <v>0</v>
      </c>
      <c r="AM660" s="12"/>
      <c r="AN660" s="12">
        <v>0</v>
      </c>
      <c r="AO660" s="12">
        <v>0</v>
      </c>
      <c r="AP660" s="12">
        <v>0</v>
      </c>
      <c r="AQ660" s="12">
        <v>0</v>
      </c>
      <c r="AR660" s="12">
        <v>0</v>
      </c>
      <c r="AS660" s="12">
        <v>0</v>
      </c>
      <c r="AT660" s="12">
        <v>0</v>
      </c>
      <c r="AU660" s="12">
        <v>0</v>
      </c>
      <c r="AV660" s="12">
        <v>0</v>
      </c>
      <c r="AW660" s="12">
        <v>0</v>
      </c>
      <c r="AX660" s="12">
        <v>0</v>
      </c>
      <c r="AY660" s="12">
        <v>0</v>
      </c>
      <c r="BB660" s="12">
        <v>0</v>
      </c>
      <c r="BC660" s="12">
        <v>0</v>
      </c>
      <c r="BD660" s="12">
        <v>0</v>
      </c>
      <c r="BE660" s="12">
        <v>0</v>
      </c>
      <c r="BF660" s="12">
        <v>0</v>
      </c>
      <c r="BI660" s="12">
        <v>0</v>
      </c>
      <c r="BJ660" s="12">
        <v>0</v>
      </c>
    </row>
    <row r="661" spans="1:62" x14ac:dyDescent="0.15">
      <c r="A661" s="12"/>
      <c r="B661"/>
      <c r="C661" s="23" t="s">
        <v>7418</v>
      </c>
      <c r="D661" t="s">
        <v>7387</v>
      </c>
      <c r="E661" t="s">
        <v>4882</v>
      </c>
      <c r="F661"/>
      <c r="G661"/>
      <c r="H661"/>
      <c r="I661"/>
      <c r="J661"/>
      <c r="K661"/>
      <c r="L661" s="10">
        <v>3776970</v>
      </c>
      <c r="M661" s="10">
        <v>719079</v>
      </c>
      <c r="N661" s="12">
        <v>15</v>
      </c>
      <c r="O661" s="12" t="s">
        <v>6992</v>
      </c>
      <c r="P661" s="8" t="s">
        <v>7388</v>
      </c>
      <c r="Q661"/>
      <c r="R661"/>
      <c r="S661" t="s">
        <v>7387</v>
      </c>
      <c r="T661" s="12" t="s">
        <v>4896</v>
      </c>
      <c r="U661" s="12" t="s">
        <v>4897</v>
      </c>
      <c r="V661" s="12" t="s">
        <v>4898</v>
      </c>
      <c r="W661" s="12">
        <v>0</v>
      </c>
      <c r="X661" s="12">
        <v>0</v>
      </c>
      <c r="Y661" s="12">
        <v>0</v>
      </c>
      <c r="Z661" s="12">
        <v>1</v>
      </c>
      <c r="AA661" s="12">
        <v>1</v>
      </c>
      <c r="AB661" s="12">
        <v>0</v>
      </c>
      <c r="AC661" s="12">
        <v>0</v>
      </c>
      <c r="AD661" s="12">
        <v>0</v>
      </c>
      <c r="AE661" s="12">
        <v>0</v>
      </c>
      <c r="AF661" s="12">
        <v>0</v>
      </c>
      <c r="AG661" s="12">
        <v>0</v>
      </c>
      <c r="AH661" s="12">
        <v>0</v>
      </c>
      <c r="AI661" s="12">
        <v>0</v>
      </c>
      <c r="AJ661" s="12">
        <v>0</v>
      </c>
      <c r="AK661" s="12">
        <v>0</v>
      </c>
      <c r="AL661" s="12">
        <v>0</v>
      </c>
      <c r="AM661" s="12"/>
      <c r="AN661" s="12">
        <v>0</v>
      </c>
      <c r="AO661" s="12">
        <v>0</v>
      </c>
      <c r="AP661" s="12">
        <v>0</v>
      </c>
      <c r="AQ661" s="12">
        <v>0</v>
      </c>
      <c r="AR661" s="12">
        <v>0</v>
      </c>
      <c r="AS661" s="12">
        <v>0</v>
      </c>
      <c r="AT661" s="12">
        <v>0</v>
      </c>
      <c r="AU661" s="12">
        <v>0</v>
      </c>
      <c r="AV661" s="12">
        <v>0</v>
      </c>
      <c r="AW661" s="12">
        <v>0</v>
      </c>
      <c r="AX661" s="12">
        <v>0</v>
      </c>
      <c r="AY661" s="12">
        <v>0</v>
      </c>
      <c r="BB661" s="12">
        <v>0</v>
      </c>
      <c r="BC661" s="12">
        <v>0</v>
      </c>
      <c r="BD661" s="12">
        <v>0</v>
      </c>
      <c r="BE661" s="12">
        <v>0</v>
      </c>
      <c r="BF661" s="12">
        <v>0</v>
      </c>
      <c r="BI661" s="12">
        <v>0</v>
      </c>
      <c r="BJ661" s="12">
        <v>0</v>
      </c>
    </row>
    <row r="662" spans="1:62" x14ac:dyDescent="0.15">
      <c r="A662" s="12"/>
      <c r="B662"/>
      <c r="C662" s="23" t="s">
        <v>7419</v>
      </c>
      <c r="D662" t="s">
        <v>7387</v>
      </c>
      <c r="E662" t="s">
        <v>4882</v>
      </c>
      <c r="F662"/>
      <c r="G662"/>
      <c r="H662"/>
      <c r="I662"/>
      <c r="J662"/>
      <c r="K662"/>
      <c r="L662" s="10">
        <v>3774350</v>
      </c>
      <c r="M662" s="10">
        <v>717269</v>
      </c>
      <c r="N662" s="12">
        <v>15</v>
      </c>
      <c r="O662" s="12" t="s">
        <v>6992</v>
      </c>
      <c r="P662" s="8" t="s">
        <v>7388</v>
      </c>
      <c r="Q662"/>
      <c r="R662"/>
      <c r="S662" t="s">
        <v>7387</v>
      </c>
      <c r="T662" s="12" t="s">
        <v>4896</v>
      </c>
      <c r="U662" s="12" t="s">
        <v>4897</v>
      </c>
      <c r="V662" s="12" t="s">
        <v>4898</v>
      </c>
      <c r="W662" s="12">
        <v>0</v>
      </c>
      <c r="X662" s="12">
        <v>0</v>
      </c>
      <c r="Y662" s="12">
        <v>0</v>
      </c>
      <c r="Z662" s="12">
        <v>1</v>
      </c>
      <c r="AA662" s="12">
        <v>1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2">
        <v>0</v>
      </c>
      <c r="AK662" s="12">
        <v>0</v>
      </c>
      <c r="AL662" s="12">
        <v>0</v>
      </c>
      <c r="AM662" s="12"/>
      <c r="AN662" s="12">
        <v>0</v>
      </c>
      <c r="AO662" s="12">
        <v>0</v>
      </c>
      <c r="AP662" s="12">
        <v>0</v>
      </c>
      <c r="AQ662" s="12">
        <v>0</v>
      </c>
      <c r="AR662" s="12">
        <v>0</v>
      </c>
      <c r="AS662" s="12">
        <v>0</v>
      </c>
      <c r="AT662" s="12">
        <v>0</v>
      </c>
      <c r="AU662" s="12">
        <v>0</v>
      </c>
      <c r="AV662" s="12">
        <v>0</v>
      </c>
      <c r="AW662" s="12">
        <v>0</v>
      </c>
      <c r="AX662" s="12">
        <v>0</v>
      </c>
      <c r="AY662" s="12">
        <v>0</v>
      </c>
      <c r="BB662" s="12">
        <v>0</v>
      </c>
      <c r="BC662" s="12">
        <v>0</v>
      </c>
      <c r="BD662" s="12">
        <v>0</v>
      </c>
      <c r="BE662" s="12">
        <v>0</v>
      </c>
      <c r="BF662" s="12">
        <v>0</v>
      </c>
      <c r="BI662" s="12">
        <v>0</v>
      </c>
      <c r="BJ662" s="12">
        <v>0</v>
      </c>
    </row>
    <row r="663" spans="1:62" x14ac:dyDescent="0.15">
      <c r="A663" s="12"/>
      <c r="B663"/>
      <c r="C663" s="23" t="s">
        <v>7420</v>
      </c>
      <c r="D663" t="s">
        <v>7387</v>
      </c>
      <c r="E663" t="s">
        <v>4882</v>
      </c>
      <c r="F663"/>
      <c r="G663"/>
      <c r="H663"/>
      <c r="I663"/>
      <c r="J663"/>
      <c r="K663"/>
      <c r="L663" s="10">
        <v>3758610</v>
      </c>
      <c r="M663" s="10">
        <v>695077</v>
      </c>
      <c r="N663" s="12">
        <v>15</v>
      </c>
      <c r="O663" s="12" t="s">
        <v>6992</v>
      </c>
      <c r="P663" s="8" t="s">
        <v>7388</v>
      </c>
      <c r="Q663"/>
      <c r="R663"/>
      <c r="S663" t="s">
        <v>7387</v>
      </c>
      <c r="T663" s="12" t="s">
        <v>4896</v>
      </c>
      <c r="U663" s="12" t="s">
        <v>4897</v>
      </c>
      <c r="V663" s="12" t="s">
        <v>4898</v>
      </c>
      <c r="W663" s="12">
        <v>0</v>
      </c>
      <c r="X663" s="12">
        <v>0</v>
      </c>
      <c r="Y663" s="12">
        <v>0</v>
      </c>
      <c r="Z663" s="12">
        <v>1</v>
      </c>
      <c r="AA663" s="12">
        <v>1</v>
      </c>
      <c r="AB663" s="12">
        <v>0</v>
      </c>
      <c r="AC663" s="12">
        <v>0</v>
      </c>
      <c r="AD663" s="12">
        <v>0</v>
      </c>
      <c r="AE663" s="12">
        <v>0</v>
      </c>
      <c r="AF663" s="12">
        <v>0</v>
      </c>
      <c r="AG663" s="12">
        <v>0</v>
      </c>
      <c r="AH663" s="12">
        <v>0</v>
      </c>
      <c r="AI663" s="12">
        <v>0</v>
      </c>
      <c r="AJ663" s="12">
        <v>0</v>
      </c>
      <c r="AK663" s="12">
        <v>0</v>
      </c>
      <c r="AL663" s="12">
        <v>0</v>
      </c>
      <c r="AM663" s="12"/>
      <c r="AN663" s="12">
        <v>0</v>
      </c>
      <c r="AO663" s="12">
        <v>0</v>
      </c>
      <c r="AP663" s="12">
        <v>0</v>
      </c>
      <c r="AQ663" s="12">
        <v>0</v>
      </c>
      <c r="AR663" s="12">
        <v>0</v>
      </c>
      <c r="AS663" s="12">
        <v>0</v>
      </c>
      <c r="AT663" s="12">
        <v>0</v>
      </c>
      <c r="AU663" s="12">
        <v>0</v>
      </c>
      <c r="AV663" s="12">
        <v>0</v>
      </c>
      <c r="AW663" s="12">
        <v>0</v>
      </c>
      <c r="AX663" s="12">
        <v>0</v>
      </c>
      <c r="AY663" s="12">
        <v>0</v>
      </c>
      <c r="AZ663" s="12" t="s">
        <v>4916</v>
      </c>
      <c r="BA663" s="12" t="s">
        <v>4911</v>
      </c>
      <c r="BB663" s="12">
        <v>0</v>
      </c>
      <c r="BC663" s="12">
        <v>0</v>
      </c>
      <c r="BD663" s="12">
        <v>0</v>
      </c>
      <c r="BE663" s="12">
        <v>0</v>
      </c>
      <c r="BF663" s="12">
        <v>0</v>
      </c>
      <c r="BI663" s="12">
        <v>0</v>
      </c>
      <c r="BJ663" s="12">
        <v>0</v>
      </c>
    </row>
    <row r="664" spans="1:62" x14ac:dyDescent="0.15">
      <c r="A664" s="12"/>
      <c r="B664"/>
      <c r="C664" s="23" t="s">
        <v>7421</v>
      </c>
      <c r="D664" t="s">
        <v>7422</v>
      </c>
      <c r="E664" s="12" t="s">
        <v>7423</v>
      </c>
      <c r="F664" s="12"/>
      <c r="G664" s="12"/>
      <c r="H664" s="12"/>
      <c r="I664" s="12"/>
      <c r="J664" s="12"/>
      <c r="K664" s="12"/>
      <c r="L664" s="10">
        <v>3535480</v>
      </c>
      <c r="M664" s="10">
        <v>607314</v>
      </c>
      <c r="N664" s="12">
        <v>15</v>
      </c>
      <c r="O664" s="12" t="s">
        <v>6992</v>
      </c>
      <c r="P664" s="8" t="s">
        <v>7424</v>
      </c>
      <c r="Q664"/>
      <c r="R664"/>
      <c r="S664" t="s">
        <v>7422</v>
      </c>
      <c r="T664" s="12" t="s">
        <v>4884</v>
      </c>
      <c r="U664" s="12" t="s">
        <v>5016</v>
      </c>
      <c r="V664" s="12" t="s">
        <v>5017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1</v>
      </c>
      <c r="AC664" s="12">
        <v>1</v>
      </c>
      <c r="AD664" s="12">
        <v>0</v>
      </c>
      <c r="AE664" s="12">
        <v>0</v>
      </c>
      <c r="AF664" s="12">
        <v>0</v>
      </c>
      <c r="AG664" s="12">
        <v>0</v>
      </c>
      <c r="AH664" s="12">
        <v>1</v>
      </c>
      <c r="AI664" s="12">
        <v>1</v>
      </c>
      <c r="AJ664" s="12">
        <v>1</v>
      </c>
      <c r="AK664" s="12">
        <v>0</v>
      </c>
      <c r="AL664" s="12">
        <v>0</v>
      </c>
      <c r="AM664" s="12"/>
      <c r="AN664" s="12">
        <v>0</v>
      </c>
      <c r="AO664" s="12">
        <v>0</v>
      </c>
      <c r="AP664" s="12">
        <v>0</v>
      </c>
      <c r="AQ664" s="12">
        <v>0</v>
      </c>
      <c r="AR664" s="12">
        <v>1</v>
      </c>
      <c r="AS664" s="12">
        <v>0</v>
      </c>
      <c r="AT664" s="12">
        <v>0</v>
      </c>
      <c r="AU664" s="12">
        <v>0</v>
      </c>
      <c r="AV664" s="12">
        <v>0</v>
      </c>
      <c r="AW664" s="12">
        <v>0</v>
      </c>
      <c r="AX664" s="12">
        <v>0</v>
      </c>
      <c r="AY664" s="12">
        <v>0</v>
      </c>
      <c r="BB664" s="12">
        <v>0</v>
      </c>
      <c r="BC664" s="12">
        <v>0</v>
      </c>
      <c r="BD664" s="12">
        <v>0</v>
      </c>
      <c r="BE664" s="12">
        <v>0</v>
      </c>
      <c r="BF664" s="12">
        <v>0</v>
      </c>
      <c r="BI664" s="12">
        <v>0</v>
      </c>
      <c r="BJ664" s="12">
        <v>0</v>
      </c>
    </row>
    <row r="665" spans="1:62" x14ac:dyDescent="0.15">
      <c r="A665" s="12" t="s">
        <v>7425</v>
      </c>
      <c r="B665"/>
      <c r="C665" s="23" t="s">
        <v>7426</v>
      </c>
      <c r="D665" t="s">
        <v>7422</v>
      </c>
      <c r="E665" s="12" t="s">
        <v>7423</v>
      </c>
      <c r="F665" s="12"/>
      <c r="G665" s="12"/>
      <c r="H665" s="12"/>
      <c r="I665" s="12"/>
      <c r="J665" s="12"/>
      <c r="K665" s="12"/>
      <c r="L665" s="10">
        <v>3513884</v>
      </c>
      <c r="M665" s="10">
        <v>611816</v>
      </c>
      <c r="N665" s="12">
        <v>15</v>
      </c>
      <c r="O665" s="12" t="s">
        <v>6992</v>
      </c>
      <c r="P665" s="8" t="s">
        <v>7424</v>
      </c>
      <c r="Q665"/>
      <c r="R665"/>
      <c r="S665" t="s">
        <v>7422</v>
      </c>
      <c r="T665" s="12" t="s">
        <v>4884</v>
      </c>
      <c r="U665" s="12" t="s">
        <v>5016</v>
      </c>
      <c r="V665" s="12" t="s">
        <v>5017</v>
      </c>
      <c r="W665" s="12">
        <v>0</v>
      </c>
      <c r="X665" s="12">
        <v>0</v>
      </c>
      <c r="Y665" s="12">
        <v>0</v>
      </c>
      <c r="Z665" s="12">
        <v>0</v>
      </c>
      <c r="AA665" s="12">
        <v>0</v>
      </c>
      <c r="AB665" s="12">
        <v>1</v>
      </c>
      <c r="AC665" s="12">
        <v>1</v>
      </c>
      <c r="AD665" s="12">
        <v>0</v>
      </c>
      <c r="AE665" s="12">
        <v>0</v>
      </c>
      <c r="AF665" s="12">
        <v>0</v>
      </c>
      <c r="AG665" s="12">
        <v>0</v>
      </c>
      <c r="AH665" s="12">
        <v>1</v>
      </c>
      <c r="AI665" s="12">
        <v>1</v>
      </c>
      <c r="AJ665" s="12">
        <v>1</v>
      </c>
      <c r="AK665" s="12">
        <v>0</v>
      </c>
      <c r="AL665" s="12">
        <v>0</v>
      </c>
      <c r="AM665" s="12"/>
      <c r="AN665" s="12">
        <v>0</v>
      </c>
      <c r="AO665" s="12">
        <v>0</v>
      </c>
      <c r="AP665" s="12">
        <v>0</v>
      </c>
      <c r="AQ665" s="12">
        <v>0</v>
      </c>
      <c r="AR665" s="12">
        <v>1</v>
      </c>
      <c r="AS665" s="12">
        <v>0</v>
      </c>
      <c r="AT665" s="12">
        <v>0</v>
      </c>
      <c r="AU665" s="12">
        <v>0</v>
      </c>
      <c r="AV665" s="12">
        <v>0</v>
      </c>
      <c r="AW665" s="12">
        <v>0</v>
      </c>
      <c r="AX665" s="12">
        <v>0</v>
      </c>
      <c r="AY665" s="12">
        <v>0</v>
      </c>
      <c r="BB665" s="12">
        <v>0</v>
      </c>
      <c r="BC665" s="12">
        <v>0</v>
      </c>
      <c r="BD665">
        <f>4*100/2.54/12</f>
        <v>13.123359580052494</v>
      </c>
      <c r="BE665" s="12">
        <v>0</v>
      </c>
      <c r="BF665">
        <f>PI()*(22*100/2.54/12)^2</f>
        <v>16366.857794292415</v>
      </c>
      <c r="BG665">
        <f>PI()*(30*100/2.54/12)^2</f>
        <v>30434.239700130522</v>
      </c>
      <c r="BH665">
        <f>PI()*(30*100/2.54/12)^2</f>
        <v>30434.239700130522</v>
      </c>
      <c r="BI665">
        <f>BD665/BF665</f>
        <v>8.0182523395718505E-4</v>
      </c>
      <c r="BJ665">
        <f>BI665*10000</f>
        <v>8.0182523395718501</v>
      </c>
    </row>
    <row r="666" spans="1:62" x14ac:dyDescent="0.15">
      <c r="A666" s="12" t="s">
        <v>7427</v>
      </c>
      <c r="B666"/>
      <c r="C666" s="23" t="s">
        <v>4886</v>
      </c>
      <c r="D666" t="s">
        <v>7422</v>
      </c>
      <c r="E666" s="12" t="s">
        <v>7423</v>
      </c>
      <c r="F666" s="12"/>
      <c r="G666" s="12"/>
      <c r="H666" s="12"/>
      <c r="I666" s="12"/>
      <c r="J666" s="12"/>
      <c r="K666" s="12"/>
      <c r="L666" s="10">
        <v>3507968</v>
      </c>
      <c r="M666" s="10">
        <v>613024</v>
      </c>
      <c r="N666" s="12">
        <v>15</v>
      </c>
      <c r="O666" s="12" t="s">
        <v>6992</v>
      </c>
      <c r="P666" s="8" t="s">
        <v>7428</v>
      </c>
      <c r="Q666"/>
      <c r="R666"/>
      <c r="S666" t="s">
        <v>7429</v>
      </c>
      <c r="T666" s="12" t="s">
        <v>4884</v>
      </c>
      <c r="U666" s="12" t="s">
        <v>5016</v>
      </c>
      <c r="V666" s="12" t="s">
        <v>5017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1</v>
      </c>
      <c r="AC666" s="12">
        <v>1</v>
      </c>
      <c r="AD666" s="12">
        <f>VLOOKUP(C666,'[1]Phillips 1970 - Baytown'!A$1:B$65536,2,FALSE)</f>
        <v>1</v>
      </c>
      <c r="AE666" s="12">
        <f>VLOOKUP(C666,'[1]Phillips 1970 - coles creek'!A$1:B$65536,2,FALSE)</f>
        <v>1</v>
      </c>
      <c r="AF666" s="12">
        <v>0</v>
      </c>
      <c r="AG666" s="12">
        <v>0</v>
      </c>
      <c r="AH666" s="12" t="s">
        <v>1131</v>
      </c>
      <c r="AI666" s="12">
        <v>2</v>
      </c>
      <c r="AJ666" s="12">
        <v>1</v>
      </c>
      <c r="AK666" s="12">
        <v>1</v>
      </c>
      <c r="AL666" s="12">
        <v>0</v>
      </c>
      <c r="AM666" s="12"/>
      <c r="AN666" s="12">
        <v>0</v>
      </c>
      <c r="AO666" s="12">
        <v>0</v>
      </c>
      <c r="AP666" s="12">
        <v>0</v>
      </c>
      <c r="AQ666" s="12">
        <v>0</v>
      </c>
      <c r="AR666" s="12">
        <v>1</v>
      </c>
      <c r="AS666" s="12">
        <v>0</v>
      </c>
      <c r="AT666" s="12">
        <v>0</v>
      </c>
      <c r="AU666" s="12">
        <v>0</v>
      </c>
      <c r="AV666" s="12">
        <v>0</v>
      </c>
      <c r="AW666" s="12">
        <v>0</v>
      </c>
      <c r="AX666" s="12">
        <v>0</v>
      </c>
      <c r="AY666" s="12">
        <v>0</v>
      </c>
      <c r="BB666" s="12">
        <v>0</v>
      </c>
      <c r="BC666" s="12">
        <v>0</v>
      </c>
      <c r="BD666" s="12">
        <v>0</v>
      </c>
      <c r="BE666" s="12">
        <v>0</v>
      </c>
      <c r="BF666" s="12">
        <v>0</v>
      </c>
      <c r="BI666" s="12">
        <v>0</v>
      </c>
      <c r="BJ666" s="12">
        <v>0</v>
      </c>
    </row>
    <row r="667" spans="1:62" x14ac:dyDescent="0.15">
      <c r="A667" s="12" t="s">
        <v>7430</v>
      </c>
      <c r="B667" t="s">
        <v>7431</v>
      </c>
      <c r="C667" s="23" t="s">
        <v>7388</v>
      </c>
      <c r="D667" t="s">
        <v>7387</v>
      </c>
      <c r="E667" t="s">
        <v>7423</v>
      </c>
      <c r="F667"/>
      <c r="G667"/>
      <c r="H667"/>
      <c r="I667"/>
      <c r="J667"/>
      <c r="K667"/>
      <c r="L667" s="10">
        <v>3611984</v>
      </c>
      <c r="M667" s="10">
        <v>649120</v>
      </c>
      <c r="N667" s="12">
        <v>15</v>
      </c>
      <c r="O667" s="12" t="s">
        <v>4871</v>
      </c>
      <c r="P667" s="8" t="s">
        <v>7432</v>
      </c>
      <c r="Q667"/>
      <c r="R667"/>
      <c r="S667" t="s">
        <v>7433</v>
      </c>
      <c r="T667" s="12" t="s">
        <v>7434</v>
      </c>
      <c r="U667" s="12" t="s">
        <v>7435</v>
      </c>
      <c r="V667" s="12" t="s">
        <v>5016</v>
      </c>
      <c r="W667" s="12">
        <v>0</v>
      </c>
      <c r="X667" s="12">
        <v>0</v>
      </c>
      <c r="Y667" s="12">
        <v>1</v>
      </c>
      <c r="Z667" s="12">
        <v>1</v>
      </c>
      <c r="AA667" s="12">
        <v>1</v>
      </c>
      <c r="AB667" s="12">
        <v>1</v>
      </c>
      <c r="AC667" s="12">
        <v>0</v>
      </c>
      <c r="AD667" s="12">
        <v>0</v>
      </c>
      <c r="AE667" s="12">
        <v>0</v>
      </c>
      <c r="AF667" s="12">
        <v>0</v>
      </c>
      <c r="AG667" s="12">
        <v>0</v>
      </c>
      <c r="AH667" s="12">
        <v>2</v>
      </c>
      <c r="AI667" s="12">
        <v>2</v>
      </c>
      <c r="AJ667" s="12">
        <v>1</v>
      </c>
      <c r="AK667" s="12">
        <v>1</v>
      </c>
      <c r="AL667" s="12">
        <v>0</v>
      </c>
      <c r="AM667" s="12"/>
      <c r="AN667" s="12">
        <v>1</v>
      </c>
      <c r="AO667" s="12">
        <v>1</v>
      </c>
      <c r="AP667" s="12">
        <v>0</v>
      </c>
      <c r="AQ667" s="12">
        <v>1</v>
      </c>
      <c r="AR667" s="12">
        <v>1</v>
      </c>
      <c r="AS667" s="12">
        <v>0</v>
      </c>
      <c r="AT667" s="12">
        <v>1</v>
      </c>
      <c r="AU667" s="12">
        <v>1</v>
      </c>
      <c r="AV667" s="12">
        <v>0</v>
      </c>
      <c r="AW667" s="12">
        <v>0</v>
      </c>
      <c r="AX667" s="12">
        <v>0</v>
      </c>
      <c r="AY667" s="12">
        <v>0</v>
      </c>
      <c r="AZ667" s="12" t="s">
        <v>4172</v>
      </c>
      <c r="BA667" s="12" t="s">
        <v>4911</v>
      </c>
      <c r="BB667" s="12">
        <v>1</v>
      </c>
      <c r="BC667" s="12">
        <v>0</v>
      </c>
      <c r="BD667" s="12">
        <v>23</v>
      </c>
      <c r="BE667" s="12">
        <v>0</v>
      </c>
      <c r="BF667">
        <f>240*300</f>
        <v>72000</v>
      </c>
      <c r="BG667" t="s">
        <v>7436</v>
      </c>
      <c r="BH667" t="s">
        <v>7436</v>
      </c>
      <c r="BI667">
        <f>BD667/BF667</f>
        <v>3.1944444444444446E-4</v>
      </c>
      <c r="BJ667">
        <f>BI667*10000</f>
        <v>3.1944444444444446</v>
      </c>
    </row>
    <row r="668" spans="1:62" x14ac:dyDescent="0.15">
      <c r="A668" s="12" t="s">
        <v>7437</v>
      </c>
      <c r="B668"/>
      <c r="C668" s="23" t="s">
        <v>7438</v>
      </c>
      <c r="D668" t="s">
        <v>7422</v>
      </c>
      <c r="E668" s="12" t="s">
        <v>7423</v>
      </c>
      <c r="F668" s="12"/>
      <c r="G668" s="12"/>
      <c r="H668" s="12"/>
      <c r="I668" s="12"/>
      <c r="J668" s="12"/>
      <c r="K668" s="12"/>
      <c r="L668" s="10">
        <v>3488420</v>
      </c>
      <c r="M668" s="10">
        <v>594344</v>
      </c>
      <c r="N668" s="12">
        <v>15</v>
      </c>
      <c r="O668" s="12" t="s">
        <v>6992</v>
      </c>
      <c r="P668" s="8" t="s">
        <v>7439</v>
      </c>
      <c r="Q668"/>
      <c r="R668"/>
      <c r="S668" t="s">
        <v>7440</v>
      </c>
      <c r="T668" s="12" t="s">
        <v>7441</v>
      </c>
      <c r="U668" s="12" t="s">
        <v>4898</v>
      </c>
      <c r="V668" s="12" t="s">
        <v>5021</v>
      </c>
      <c r="W668" s="12">
        <v>0</v>
      </c>
      <c r="X668" s="12">
        <v>0</v>
      </c>
      <c r="Y668" s="12">
        <v>0</v>
      </c>
      <c r="Z668" s="12">
        <v>0</v>
      </c>
      <c r="AA668" s="12">
        <v>1</v>
      </c>
      <c r="AB668" s="12">
        <v>1</v>
      </c>
      <c r="AC668" s="12">
        <v>1</v>
      </c>
      <c r="AD668" s="12">
        <v>1</v>
      </c>
      <c r="AE668" s="12">
        <v>1</v>
      </c>
      <c r="AF668" s="12">
        <v>1</v>
      </c>
      <c r="AG668" s="12">
        <v>1</v>
      </c>
      <c r="AH668" s="12">
        <v>2</v>
      </c>
      <c r="AI668" s="12">
        <v>2</v>
      </c>
      <c r="AJ668" s="12">
        <v>1</v>
      </c>
      <c r="AK668" s="12">
        <v>1</v>
      </c>
      <c r="AL668" s="12">
        <v>1</v>
      </c>
      <c r="AM668" s="12"/>
      <c r="AN668" s="12">
        <v>0</v>
      </c>
      <c r="AO668" s="12">
        <v>0</v>
      </c>
      <c r="AP668" s="12">
        <v>0</v>
      </c>
      <c r="AQ668" s="12">
        <v>1</v>
      </c>
      <c r="AR668" s="12">
        <v>1</v>
      </c>
      <c r="AS668" s="12">
        <v>0</v>
      </c>
      <c r="AT668" s="12">
        <v>0</v>
      </c>
      <c r="AU668" s="12">
        <v>0</v>
      </c>
      <c r="AV668" s="12">
        <v>0</v>
      </c>
      <c r="AW668" s="12">
        <v>0</v>
      </c>
      <c r="AX668" s="12">
        <v>0</v>
      </c>
      <c r="AY668" s="12">
        <v>1</v>
      </c>
      <c r="BB668" s="12">
        <v>0</v>
      </c>
      <c r="BC668" s="12">
        <v>0</v>
      </c>
      <c r="BD668">
        <f>5.5*100/2.54/12</f>
        <v>18.044619422572179</v>
      </c>
      <c r="BE668" s="12">
        <v>0</v>
      </c>
      <c r="BF668">
        <f>PI()*(28*100/2.54/12)^2</f>
        <v>26511.604361002581</v>
      </c>
      <c r="BG668" t="s">
        <v>7442</v>
      </c>
      <c r="BH668" t="s">
        <v>7442</v>
      </c>
      <c r="BI668">
        <f>BD668/BF668</f>
        <v>6.8063098622258525E-4</v>
      </c>
      <c r="BJ668">
        <f>BI668*10000</f>
        <v>6.8063098622258522</v>
      </c>
    </row>
    <row r="669" spans="1:62" x14ac:dyDescent="0.15">
      <c r="A669" s="12" t="s">
        <v>7443</v>
      </c>
      <c r="B669"/>
      <c r="C669" s="23" t="s">
        <v>7444</v>
      </c>
      <c r="D669" t="s">
        <v>7422</v>
      </c>
      <c r="E669" s="12" t="s">
        <v>7423</v>
      </c>
      <c r="F669" s="12"/>
      <c r="G669" s="12"/>
      <c r="H669" s="12"/>
      <c r="I669" s="12"/>
      <c r="J669" s="12"/>
      <c r="K669" s="12"/>
      <c r="L669" s="10">
        <v>3481830</v>
      </c>
      <c r="M669" s="10">
        <v>565816</v>
      </c>
      <c r="N669" s="12">
        <v>15</v>
      </c>
      <c r="O669" s="12" t="s">
        <v>6992</v>
      </c>
      <c r="P669" s="8" t="s">
        <v>7445</v>
      </c>
      <c r="Q669"/>
      <c r="R669"/>
      <c r="S669" t="s">
        <v>7446</v>
      </c>
      <c r="T669" s="12" t="s">
        <v>8276</v>
      </c>
      <c r="U669" s="12" t="s">
        <v>5016</v>
      </c>
      <c r="V669" s="12" t="s">
        <v>5017</v>
      </c>
      <c r="W669" s="12">
        <v>0</v>
      </c>
      <c r="X669" s="12">
        <v>0</v>
      </c>
      <c r="Y669" s="12">
        <v>0</v>
      </c>
      <c r="Z669" s="12">
        <v>0</v>
      </c>
      <c r="AA669" s="12">
        <v>0</v>
      </c>
      <c r="AB669" s="12">
        <v>1</v>
      </c>
      <c r="AC669" s="12">
        <v>1</v>
      </c>
      <c r="AD669" s="12">
        <v>0</v>
      </c>
      <c r="AE669" s="12">
        <v>0</v>
      </c>
      <c r="AF669" s="12">
        <v>0</v>
      </c>
      <c r="AG669" s="12">
        <v>0</v>
      </c>
      <c r="AH669" s="12">
        <v>1</v>
      </c>
      <c r="AI669" s="12">
        <v>1</v>
      </c>
      <c r="AJ669" s="12">
        <v>1</v>
      </c>
      <c r="AK669" s="12">
        <v>0</v>
      </c>
      <c r="AL669" s="12">
        <v>0</v>
      </c>
      <c r="AM669" s="12"/>
      <c r="AN669" s="12">
        <v>0</v>
      </c>
      <c r="AO669" s="12">
        <v>0</v>
      </c>
      <c r="AP669" s="12">
        <v>0</v>
      </c>
      <c r="AQ669" s="12">
        <v>0</v>
      </c>
      <c r="AR669" s="12">
        <v>1</v>
      </c>
      <c r="AS669" s="12">
        <v>0</v>
      </c>
      <c r="AT669" s="12">
        <v>0</v>
      </c>
      <c r="AU669" s="12">
        <v>0</v>
      </c>
      <c r="AV669" s="12">
        <v>0</v>
      </c>
      <c r="AW669" s="12">
        <v>0</v>
      </c>
      <c r="AX669" s="12">
        <v>0</v>
      </c>
      <c r="AY669" s="12">
        <v>0</v>
      </c>
      <c r="BB669" s="12">
        <v>0</v>
      </c>
      <c r="BC669" s="12">
        <v>0</v>
      </c>
      <c r="BD669" s="12">
        <v>0</v>
      </c>
      <c r="BE669" s="12">
        <v>0</v>
      </c>
      <c r="BF669" s="12">
        <v>0</v>
      </c>
      <c r="BI669" s="12">
        <v>0</v>
      </c>
      <c r="BJ669" s="12">
        <v>0</v>
      </c>
    </row>
    <row r="670" spans="1:62" x14ac:dyDescent="0.15">
      <c r="A670" s="12" t="s">
        <v>7447</v>
      </c>
      <c r="B670"/>
      <c r="C670" s="23" t="s">
        <v>7448</v>
      </c>
      <c r="D670" t="s">
        <v>7422</v>
      </c>
      <c r="E670" s="12" t="s">
        <v>7423</v>
      </c>
      <c r="F670" s="12"/>
      <c r="G670" s="12"/>
      <c r="H670" s="12"/>
      <c r="I670" s="12"/>
      <c r="J670" s="12"/>
      <c r="K670" s="12"/>
      <c r="L670" s="10">
        <v>3458848</v>
      </c>
      <c r="M670" s="10">
        <v>581824</v>
      </c>
      <c r="N670" s="12">
        <v>15</v>
      </c>
      <c r="O670" s="12" t="s">
        <v>6992</v>
      </c>
      <c r="P670" s="8" t="s">
        <v>7428</v>
      </c>
      <c r="Q670"/>
      <c r="R670"/>
      <c r="S670" t="s">
        <v>7422</v>
      </c>
      <c r="T670" s="12" t="s">
        <v>4884</v>
      </c>
      <c r="U670" s="12" t="s">
        <v>5016</v>
      </c>
      <c r="V670" s="12" t="s">
        <v>5017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1</v>
      </c>
      <c r="AC670" s="12">
        <v>1</v>
      </c>
      <c r="AD670" s="12">
        <v>0</v>
      </c>
      <c r="AE670" s="12">
        <v>0</v>
      </c>
      <c r="AF670" s="12">
        <v>0</v>
      </c>
      <c r="AG670" s="12">
        <v>0</v>
      </c>
      <c r="AH670" s="12" t="s">
        <v>8248</v>
      </c>
      <c r="AI670" s="12">
        <v>1</v>
      </c>
      <c r="AJ670" s="12">
        <v>1</v>
      </c>
      <c r="AK670" s="12">
        <v>0</v>
      </c>
      <c r="AL670" s="12">
        <v>0</v>
      </c>
      <c r="AM670" s="12"/>
      <c r="AN670" s="12">
        <v>0</v>
      </c>
      <c r="AO670" s="12">
        <v>0</v>
      </c>
      <c r="AP670" s="12">
        <v>0</v>
      </c>
      <c r="AQ670" s="12">
        <v>0</v>
      </c>
      <c r="AR670" s="12">
        <v>1</v>
      </c>
      <c r="AS670" s="12">
        <v>0</v>
      </c>
      <c r="AT670" s="12">
        <v>0</v>
      </c>
      <c r="AU670" s="12">
        <v>0</v>
      </c>
      <c r="AV670" s="12">
        <v>0</v>
      </c>
      <c r="AW670" s="12">
        <v>0</v>
      </c>
      <c r="AX670" s="12">
        <v>0</v>
      </c>
      <c r="AY670" s="12">
        <v>0</v>
      </c>
      <c r="BB670" s="12">
        <v>0</v>
      </c>
      <c r="BC670" s="12">
        <v>0</v>
      </c>
      <c r="BD670" s="12">
        <v>0</v>
      </c>
      <c r="BE670" s="12">
        <v>0</v>
      </c>
      <c r="BF670" s="12">
        <v>0</v>
      </c>
      <c r="BI670" s="12">
        <v>0</v>
      </c>
      <c r="BJ670" s="12">
        <v>0</v>
      </c>
    </row>
    <row r="671" spans="1:62" x14ac:dyDescent="0.15">
      <c r="A671" s="12" t="s">
        <v>7183</v>
      </c>
      <c r="B671"/>
      <c r="C671" s="23" t="s">
        <v>7184</v>
      </c>
      <c r="D671" t="s">
        <v>7422</v>
      </c>
      <c r="E671" s="12" t="s">
        <v>7423</v>
      </c>
      <c r="F671" s="12"/>
      <c r="G671" s="12"/>
      <c r="H671" s="12"/>
      <c r="I671" s="12"/>
      <c r="J671" s="12"/>
      <c r="K671" s="12"/>
      <c r="L671" s="10">
        <v>3450320</v>
      </c>
      <c r="M671" s="10">
        <v>581584</v>
      </c>
      <c r="N671" s="12">
        <v>15</v>
      </c>
      <c r="O671" s="12" t="s">
        <v>6992</v>
      </c>
      <c r="P671" s="8" t="s">
        <v>7428</v>
      </c>
      <c r="Q671"/>
      <c r="R671"/>
      <c r="S671" t="s">
        <v>7422</v>
      </c>
      <c r="T671" s="12" t="s">
        <v>4884</v>
      </c>
      <c r="U671" s="12" t="s">
        <v>5016</v>
      </c>
      <c r="V671" s="12" t="s">
        <v>5017</v>
      </c>
      <c r="W671" s="12">
        <v>0</v>
      </c>
      <c r="X671" s="12">
        <v>0</v>
      </c>
      <c r="Y671" s="12">
        <v>0</v>
      </c>
      <c r="Z671" s="12">
        <v>0</v>
      </c>
      <c r="AA671" s="12">
        <v>0</v>
      </c>
      <c r="AB671" s="12">
        <v>1</v>
      </c>
      <c r="AC671" s="12">
        <v>1</v>
      </c>
      <c r="AD671" s="12">
        <v>0</v>
      </c>
      <c r="AE671" s="12">
        <v>0</v>
      </c>
      <c r="AF671" s="12">
        <v>0</v>
      </c>
      <c r="AG671" s="12">
        <v>0</v>
      </c>
      <c r="AH671" s="12" t="s">
        <v>8248</v>
      </c>
      <c r="AI671" s="12">
        <v>1</v>
      </c>
      <c r="AJ671" s="12">
        <v>1</v>
      </c>
      <c r="AK671" s="12">
        <v>0</v>
      </c>
      <c r="AL671" s="12">
        <v>0</v>
      </c>
      <c r="AM671" s="12"/>
      <c r="AN671" s="12">
        <v>0</v>
      </c>
      <c r="AO671" s="12">
        <v>0</v>
      </c>
      <c r="AP671" s="12">
        <v>0</v>
      </c>
      <c r="AQ671" s="12">
        <v>0</v>
      </c>
      <c r="AR671" s="12">
        <v>1</v>
      </c>
      <c r="AS671" s="12">
        <v>0</v>
      </c>
      <c r="AT671" s="12">
        <v>0</v>
      </c>
      <c r="AU671" s="12">
        <v>0</v>
      </c>
      <c r="AV671" s="12">
        <v>0</v>
      </c>
      <c r="AW671" s="12">
        <v>0</v>
      </c>
      <c r="AX671" s="12">
        <v>0</v>
      </c>
      <c r="AY671" s="12">
        <v>0</v>
      </c>
      <c r="AZ671" s="12" t="s">
        <v>4916</v>
      </c>
      <c r="BA671" s="12" t="s">
        <v>4911</v>
      </c>
      <c r="BB671" s="12">
        <v>0</v>
      </c>
      <c r="BC671" s="12">
        <v>0</v>
      </c>
      <c r="BD671" s="12">
        <v>0</v>
      </c>
      <c r="BE671" s="12">
        <v>0</v>
      </c>
      <c r="BF671" s="12">
        <v>0</v>
      </c>
      <c r="BI671" s="12">
        <v>0</v>
      </c>
      <c r="BJ671" s="12">
        <v>0</v>
      </c>
    </row>
    <row r="672" spans="1:62" x14ac:dyDescent="0.15">
      <c r="A672" s="12"/>
      <c r="B672"/>
      <c r="C672" s="23" t="s">
        <v>7449</v>
      </c>
      <c r="D672" t="s">
        <v>7422</v>
      </c>
      <c r="E672" s="12" t="s">
        <v>7423</v>
      </c>
      <c r="F672" s="12"/>
      <c r="G672" s="12"/>
      <c r="H672" s="12"/>
      <c r="I672" s="12"/>
      <c r="J672" s="12"/>
      <c r="K672" s="12"/>
      <c r="L672" s="10">
        <v>3455376</v>
      </c>
      <c r="M672" s="10">
        <v>585984</v>
      </c>
      <c r="N672" s="12">
        <v>15</v>
      </c>
      <c r="O672" s="12" t="s">
        <v>6992</v>
      </c>
      <c r="P672" s="8" t="s">
        <v>7428</v>
      </c>
      <c r="Q672"/>
      <c r="R672"/>
      <c r="S672" t="s">
        <v>7422</v>
      </c>
      <c r="T672" s="12" t="s">
        <v>4884</v>
      </c>
      <c r="U672" s="12" t="s">
        <v>5016</v>
      </c>
      <c r="V672" s="12" t="s">
        <v>5017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1</v>
      </c>
      <c r="AC672" s="12">
        <v>1</v>
      </c>
      <c r="AD672" s="12">
        <v>0</v>
      </c>
      <c r="AE672" s="12">
        <v>0</v>
      </c>
      <c r="AF672" s="12">
        <v>0</v>
      </c>
      <c r="AG672" s="12">
        <v>0</v>
      </c>
      <c r="AH672" s="12" t="s">
        <v>8248</v>
      </c>
      <c r="AI672" s="12">
        <v>1</v>
      </c>
      <c r="AJ672" s="12">
        <v>1</v>
      </c>
      <c r="AK672" s="12">
        <v>0</v>
      </c>
      <c r="AL672" s="12">
        <v>0</v>
      </c>
      <c r="AM672" s="12"/>
      <c r="AN672" s="12">
        <v>0</v>
      </c>
      <c r="AO672" s="12">
        <v>0</v>
      </c>
      <c r="AP672" s="12">
        <v>0</v>
      </c>
      <c r="AQ672" s="12">
        <v>0</v>
      </c>
      <c r="AR672" s="12">
        <v>1</v>
      </c>
      <c r="AS672" s="12">
        <v>0</v>
      </c>
      <c r="AT672" s="12">
        <v>0</v>
      </c>
      <c r="AU672" s="12">
        <v>0</v>
      </c>
      <c r="AV672" s="12">
        <v>0</v>
      </c>
      <c r="AW672" s="12">
        <v>0</v>
      </c>
      <c r="AX672" s="12">
        <v>0</v>
      </c>
      <c r="AY672" s="12">
        <v>0</v>
      </c>
      <c r="BB672" s="12">
        <v>0</v>
      </c>
      <c r="BC672" s="12">
        <v>0</v>
      </c>
      <c r="BD672" s="12">
        <v>0</v>
      </c>
      <c r="BE672" s="12">
        <v>0</v>
      </c>
      <c r="BF672" s="12">
        <v>0</v>
      </c>
      <c r="BI672" s="12">
        <v>0</v>
      </c>
      <c r="BJ672" s="12">
        <v>0</v>
      </c>
    </row>
    <row r="673" spans="1:62" x14ac:dyDescent="0.15">
      <c r="A673" s="12" t="s">
        <v>7450</v>
      </c>
      <c r="B673"/>
      <c r="C673" s="23" t="s">
        <v>7451</v>
      </c>
      <c r="D673" t="s">
        <v>7422</v>
      </c>
      <c r="E673" s="12" t="s">
        <v>7423</v>
      </c>
      <c r="F673" s="12"/>
      <c r="G673" s="12"/>
      <c r="H673" s="12"/>
      <c r="I673" s="12"/>
      <c r="J673" s="12"/>
      <c r="K673" s="12"/>
      <c r="L673" s="10">
        <v>3452287</v>
      </c>
      <c r="M673" s="10">
        <v>583612</v>
      </c>
      <c r="N673" s="12">
        <v>15</v>
      </c>
      <c r="O673" s="12" t="s">
        <v>6992</v>
      </c>
      <c r="P673" s="8" t="s">
        <v>7428</v>
      </c>
      <c r="Q673"/>
      <c r="R673"/>
      <c r="S673" t="s">
        <v>7422</v>
      </c>
      <c r="T673" s="12" t="s">
        <v>4884</v>
      </c>
      <c r="U673" s="12" t="s">
        <v>5016</v>
      </c>
      <c r="V673" s="12" t="s">
        <v>5017</v>
      </c>
      <c r="W673" s="12">
        <v>0</v>
      </c>
      <c r="X673" s="12">
        <v>0</v>
      </c>
      <c r="Y673" s="12">
        <v>0</v>
      </c>
      <c r="Z673" s="12">
        <v>0</v>
      </c>
      <c r="AA673" s="12">
        <v>0</v>
      </c>
      <c r="AB673" s="12">
        <v>1</v>
      </c>
      <c r="AC673" s="12">
        <v>1</v>
      </c>
      <c r="AD673" s="12">
        <v>0</v>
      </c>
      <c r="AE673" s="12">
        <v>0</v>
      </c>
      <c r="AF673" s="12">
        <v>0</v>
      </c>
      <c r="AG673" s="12">
        <v>0</v>
      </c>
      <c r="AH673" s="12" t="s">
        <v>8248</v>
      </c>
      <c r="AI673" s="12">
        <v>1</v>
      </c>
      <c r="AJ673" s="12">
        <v>1</v>
      </c>
      <c r="AK673" s="12">
        <v>0</v>
      </c>
      <c r="AL673" s="12">
        <v>0</v>
      </c>
      <c r="AM673" s="12"/>
      <c r="AN673" s="12">
        <v>0</v>
      </c>
      <c r="AO673" s="12">
        <v>0</v>
      </c>
      <c r="AP673" s="12">
        <v>0</v>
      </c>
      <c r="AQ673" s="12">
        <v>0</v>
      </c>
      <c r="AR673" s="12">
        <v>1</v>
      </c>
      <c r="AS673" s="12">
        <v>0</v>
      </c>
      <c r="AT673" s="12">
        <v>0</v>
      </c>
      <c r="AU673" s="12">
        <v>0</v>
      </c>
      <c r="AV673" s="12">
        <v>0</v>
      </c>
      <c r="AW673" s="12">
        <v>0</v>
      </c>
      <c r="AX673" s="12">
        <v>0</v>
      </c>
      <c r="AY673" s="12">
        <v>0</v>
      </c>
      <c r="BB673" s="12">
        <v>0</v>
      </c>
      <c r="BC673" s="12">
        <v>0</v>
      </c>
      <c r="BD673" s="12">
        <v>0</v>
      </c>
      <c r="BE673" s="12">
        <v>0</v>
      </c>
      <c r="BF673" s="12">
        <v>0</v>
      </c>
      <c r="BI673" s="12">
        <v>0</v>
      </c>
      <c r="BJ673" s="12">
        <v>0</v>
      </c>
    </row>
    <row r="674" spans="1:62" x14ac:dyDescent="0.15">
      <c r="A674" s="12" t="s">
        <v>7245</v>
      </c>
      <c r="B674"/>
      <c r="C674" s="23" t="s">
        <v>7246</v>
      </c>
      <c r="D674" t="s">
        <v>7422</v>
      </c>
      <c r="E674" s="12" t="s">
        <v>7423</v>
      </c>
      <c r="F674" s="12"/>
      <c r="G674" s="12"/>
      <c r="H674" s="12"/>
      <c r="I674" s="12"/>
      <c r="J674" s="12"/>
      <c r="K674" s="12"/>
      <c r="L674" s="10">
        <v>3454128</v>
      </c>
      <c r="M674" s="10">
        <v>583920</v>
      </c>
      <c r="N674" s="12">
        <v>15</v>
      </c>
      <c r="O674" s="12" t="s">
        <v>6992</v>
      </c>
      <c r="P674" s="8" t="s">
        <v>7428</v>
      </c>
      <c r="Q674"/>
      <c r="R674"/>
      <c r="S674" t="s">
        <v>7422</v>
      </c>
      <c r="T674" s="12" t="s">
        <v>4884</v>
      </c>
      <c r="U674" s="12" t="s">
        <v>5016</v>
      </c>
      <c r="V674" s="12" t="s">
        <v>5017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1</v>
      </c>
      <c r="AC674" s="12">
        <v>1</v>
      </c>
      <c r="AD674" s="12">
        <v>0</v>
      </c>
      <c r="AE674" s="12">
        <v>0</v>
      </c>
      <c r="AF674" s="12">
        <v>0</v>
      </c>
      <c r="AG674" s="12">
        <v>0</v>
      </c>
      <c r="AH674" s="12" t="s">
        <v>8248</v>
      </c>
      <c r="AI674" s="12">
        <v>1</v>
      </c>
      <c r="AJ674" s="12">
        <v>1</v>
      </c>
      <c r="AK674" s="12">
        <v>0</v>
      </c>
      <c r="AL674" s="12">
        <v>0</v>
      </c>
      <c r="AM674" s="12"/>
      <c r="AN674" s="12">
        <v>0</v>
      </c>
      <c r="AO674" s="12">
        <v>0</v>
      </c>
      <c r="AP674" s="12">
        <v>0</v>
      </c>
      <c r="AQ674" s="12">
        <v>0</v>
      </c>
      <c r="AR674" s="12">
        <v>1</v>
      </c>
      <c r="AS674" s="12">
        <v>0</v>
      </c>
      <c r="AT674" s="12">
        <v>0</v>
      </c>
      <c r="AU674" s="12">
        <v>0</v>
      </c>
      <c r="AV674" s="12">
        <v>0</v>
      </c>
      <c r="AW674" s="12">
        <v>0</v>
      </c>
      <c r="AX674" s="12">
        <v>0</v>
      </c>
      <c r="AY674" s="12">
        <v>0</v>
      </c>
      <c r="BB674" s="12">
        <v>0</v>
      </c>
      <c r="BC674" s="12">
        <v>0</v>
      </c>
      <c r="BD674" s="12">
        <v>0</v>
      </c>
      <c r="BE674" s="12">
        <v>0</v>
      </c>
      <c r="BF674" s="12">
        <v>0</v>
      </c>
      <c r="BI674" s="12">
        <v>0</v>
      </c>
      <c r="BJ674" s="12">
        <v>0</v>
      </c>
    </row>
    <row r="675" spans="1:62" x14ac:dyDescent="0.15">
      <c r="A675" s="12" t="s">
        <v>7247</v>
      </c>
      <c r="B675" t="s">
        <v>7247</v>
      </c>
      <c r="C675" s="23" t="s">
        <v>7428</v>
      </c>
      <c r="D675" t="s">
        <v>7422</v>
      </c>
      <c r="E675" s="12" t="s">
        <v>7423</v>
      </c>
      <c r="F675" s="12"/>
      <c r="G675" s="12"/>
      <c r="H675" s="12"/>
      <c r="I675" s="12"/>
      <c r="J675" s="12"/>
      <c r="K675" s="12"/>
      <c r="L675" s="10">
        <v>3440850</v>
      </c>
      <c r="M675" s="10">
        <v>587147</v>
      </c>
      <c r="N675" s="12">
        <v>15</v>
      </c>
      <c r="O675" s="12" t="s">
        <v>6992</v>
      </c>
      <c r="P675" s="8" t="s">
        <v>7248</v>
      </c>
      <c r="Q675"/>
      <c r="R675"/>
      <c r="S675" t="s">
        <v>7422</v>
      </c>
      <c r="T675" s="12" t="s">
        <v>8276</v>
      </c>
      <c r="U675" s="12" t="s">
        <v>4898</v>
      </c>
      <c r="V675" s="12" t="s">
        <v>5017</v>
      </c>
      <c r="W675" s="12">
        <v>0</v>
      </c>
      <c r="X675" s="12">
        <v>0</v>
      </c>
      <c r="Y675" s="12">
        <v>0</v>
      </c>
      <c r="Z675" s="12">
        <v>0</v>
      </c>
      <c r="AA675" s="12">
        <v>1</v>
      </c>
      <c r="AB675" s="12">
        <v>1</v>
      </c>
      <c r="AC675" s="12">
        <v>1</v>
      </c>
      <c r="AD675" s="12">
        <f>VLOOKUP(C675,'[1]Phillips 1970 - Baytown'!A$1:B$65536,2,FALSE)</f>
        <v>1</v>
      </c>
      <c r="AE675" s="12">
        <v>0</v>
      </c>
      <c r="AF675" s="12">
        <v>0</v>
      </c>
      <c r="AG675" s="12">
        <v>0</v>
      </c>
      <c r="AH675" s="12">
        <v>5</v>
      </c>
      <c r="AI675" s="12">
        <v>5</v>
      </c>
      <c r="AJ675" s="12">
        <v>1</v>
      </c>
      <c r="AK675" s="12">
        <v>1</v>
      </c>
      <c r="AL675" s="12">
        <v>1</v>
      </c>
      <c r="AM675" s="12"/>
      <c r="AN675" s="12">
        <v>0</v>
      </c>
      <c r="AO675" s="12">
        <v>0</v>
      </c>
      <c r="AP675" s="12">
        <v>0</v>
      </c>
      <c r="AQ675" s="12">
        <v>1</v>
      </c>
      <c r="AR675" s="12">
        <v>1</v>
      </c>
      <c r="AS675" s="12">
        <v>0</v>
      </c>
      <c r="AT675" s="12">
        <v>1</v>
      </c>
      <c r="AU675" s="12">
        <v>1</v>
      </c>
      <c r="AV675" s="12">
        <v>0</v>
      </c>
      <c r="AW675" s="12">
        <v>0</v>
      </c>
      <c r="AX675" s="12">
        <v>0</v>
      </c>
      <c r="AY675" s="12">
        <v>0</v>
      </c>
      <c r="AZ675" s="12" t="s">
        <v>4172</v>
      </c>
      <c r="BA675" s="12" t="s">
        <v>4911</v>
      </c>
      <c r="BB675" s="12">
        <v>0</v>
      </c>
      <c r="BC675" s="12">
        <v>0</v>
      </c>
      <c r="BD675" s="12">
        <v>0</v>
      </c>
      <c r="BE675" s="12">
        <v>0</v>
      </c>
      <c r="BF675" s="12">
        <v>0</v>
      </c>
      <c r="BI675" s="12">
        <v>0</v>
      </c>
      <c r="BJ675" s="12">
        <v>0</v>
      </c>
    </row>
    <row r="676" spans="1:62" x14ac:dyDescent="0.15">
      <c r="A676" s="12"/>
      <c r="B676"/>
      <c r="C676" s="23" t="s">
        <v>7249</v>
      </c>
      <c r="D676" t="s">
        <v>7422</v>
      </c>
      <c r="E676" s="12" t="s">
        <v>7423</v>
      </c>
      <c r="F676" s="12"/>
      <c r="G676" s="12"/>
      <c r="H676" s="12"/>
      <c r="I676" s="12"/>
      <c r="J676" s="12"/>
      <c r="K676" s="12"/>
      <c r="L676" s="10">
        <v>3409990</v>
      </c>
      <c r="M676" s="10">
        <v>592060</v>
      </c>
      <c r="N676" s="12">
        <v>15</v>
      </c>
      <c r="O676" s="12" t="s">
        <v>6992</v>
      </c>
      <c r="P676" s="8" t="s">
        <v>7424</v>
      </c>
      <c r="Q676"/>
      <c r="R676"/>
      <c r="S676" t="s">
        <v>7422</v>
      </c>
      <c r="T676" s="12" t="s">
        <v>6655</v>
      </c>
      <c r="U676" s="12" t="s">
        <v>4898</v>
      </c>
      <c r="V676" s="12" t="s">
        <v>5016</v>
      </c>
      <c r="W676" s="12">
        <v>0</v>
      </c>
      <c r="X676" s="12">
        <v>0</v>
      </c>
      <c r="Y676" s="12">
        <v>0</v>
      </c>
      <c r="Z676" s="12">
        <v>0</v>
      </c>
      <c r="AA676" s="12">
        <v>1</v>
      </c>
      <c r="AB676" s="12">
        <v>1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1</v>
      </c>
      <c r="AI676" s="12">
        <v>1</v>
      </c>
      <c r="AJ676" s="12">
        <v>1</v>
      </c>
      <c r="AK676" s="12">
        <v>0</v>
      </c>
      <c r="AL676" s="12">
        <v>0</v>
      </c>
      <c r="AM676" s="12"/>
      <c r="AN676" s="12">
        <v>0</v>
      </c>
      <c r="AO676" s="12">
        <v>0</v>
      </c>
      <c r="AP676" s="12">
        <v>0</v>
      </c>
      <c r="AQ676" s="12">
        <v>0</v>
      </c>
      <c r="AR676" s="12">
        <v>1</v>
      </c>
      <c r="AS676" s="12">
        <v>0</v>
      </c>
      <c r="AT676" s="12">
        <v>0</v>
      </c>
      <c r="AU676" s="12">
        <v>0</v>
      </c>
      <c r="AV676" s="12">
        <v>0</v>
      </c>
      <c r="AW676" s="12">
        <v>0</v>
      </c>
      <c r="AX676" s="12">
        <v>0</v>
      </c>
      <c r="AY676" s="12">
        <v>0</v>
      </c>
      <c r="BB676" s="12">
        <v>0</v>
      </c>
      <c r="BC676" s="12">
        <v>0</v>
      </c>
      <c r="BD676" s="12">
        <v>0</v>
      </c>
      <c r="BE676" s="12">
        <v>0</v>
      </c>
      <c r="BF676" s="12">
        <v>0</v>
      </c>
      <c r="BI676" s="12">
        <v>0</v>
      </c>
      <c r="BJ676" s="12">
        <v>0</v>
      </c>
    </row>
    <row r="677" spans="1:62" x14ac:dyDescent="0.15">
      <c r="A677" s="12" t="s">
        <v>4178</v>
      </c>
      <c r="B677"/>
      <c r="C677" s="23" t="s">
        <v>7250</v>
      </c>
      <c r="D677" t="s">
        <v>7422</v>
      </c>
      <c r="E677" s="12" t="s">
        <v>7423</v>
      </c>
      <c r="F677" s="12"/>
      <c r="G677" s="12"/>
      <c r="H677" s="12"/>
      <c r="I677" s="12"/>
      <c r="J677" s="12"/>
      <c r="K677" s="12"/>
      <c r="L677" s="10">
        <v>3388570</v>
      </c>
      <c r="M677" s="10">
        <v>591542</v>
      </c>
      <c r="N677" s="12">
        <v>15</v>
      </c>
      <c r="O677" s="12" t="s">
        <v>6992</v>
      </c>
      <c r="P677" s="8" t="s">
        <v>7424</v>
      </c>
      <c r="Q677"/>
      <c r="R677"/>
      <c r="S677" t="s">
        <v>7422</v>
      </c>
      <c r="T677" s="12" t="s">
        <v>6655</v>
      </c>
      <c r="U677" s="12" t="s">
        <v>4898</v>
      </c>
      <c r="V677" s="12" t="s">
        <v>5016</v>
      </c>
      <c r="W677" s="12">
        <v>0</v>
      </c>
      <c r="X677" s="12">
        <v>0</v>
      </c>
      <c r="Y677" s="12">
        <v>0</v>
      </c>
      <c r="Z677" s="12">
        <v>0</v>
      </c>
      <c r="AA677" s="12">
        <v>1</v>
      </c>
      <c r="AB677" s="12">
        <v>1</v>
      </c>
      <c r="AC677" s="12">
        <v>0</v>
      </c>
      <c r="AD677" s="12">
        <v>0</v>
      </c>
      <c r="AE677" s="12">
        <v>0</v>
      </c>
      <c r="AF677" s="12">
        <v>0</v>
      </c>
      <c r="AG677" s="12">
        <v>0</v>
      </c>
      <c r="AH677" s="12" t="s">
        <v>8248</v>
      </c>
      <c r="AI677" s="12">
        <v>2</v>
      </c>
      <c r="AJ677" s="12">
        <v>1</v>
      </c>
      <c r="AK677" s="12">
        <v>1</v>
      </c>
      <c r="AL677" s="12">
        <v>0</v>
      </c>
      <c r="AM677" s="12"/>
      <c r="AN677" s="12">
        <v>0</v>
      </c>
      <c r="AO677" s="12">
        <v>0</v>
      </c>
      <c r="AP677" s="12">
        <v>0</v>
      </c>
      <c r="AQ677" s="12">
        <v>0</v>
      </c>
      <c r="AR677" s="12">
        <v>1</v>
      </c>
      <c r="AS677" s="12">
        <v>0</v>
      </c>
      <c r="AT677" s="12">
        <v>0</v>
      </c>
      <c r="AU677" s="12">
        <v>0</v>
      </c>
      <c r="AV677" s="12">
        <v>0</v>
      </c>
      <c r="AW677" s="12">
        <v>0</v>
      </c>
      <c r="AX677" s="12">
        <v>0</v>
      </c>
      <c r="AY677" s="12">
        <v>0</v>
      </c>
      <c r="BB677" s="12">
        <v>0</v>
      </c>
      <c r="BC677" s="12">
        <v>0</v>
      </c>
      <c r="BD677" s="12">
        <v>0</v>
      </c>
      <c r="BE677" s="12">
        <v>0</v>
      </c>
      <c r="BF677" s="12">
        <v>0</v>
      </c>
      <c r="BI677" s="12">
        <v>0</v>
      </c>
      <c r="BJ677" s="12">
        <v>0</v>
      </c>
    </row>
    <row r="678" spans="1:62" x14ac:dyDescent="0.15">
      <c r="A678" s="12" t="s">
        <v>7251</v>
      </c>
      <c r="B678"/>
      <c r="C678" s="23" t="s">
        <v>7252</v>
      </c>
      <c r="D678" t="s">
        <v>7422</v>
      </c>
      <c r="E678" s="12" t="s">
        <v>7423</v>
      </c>
      <c r="F678" s="12"/>
      <c r="G678" s="12"/>
      <c r="H678" s="12"/>
      <c r="I678" s="12"/>
      <c r="J678" s="12"/>
      <c r="K678" s="12"/>
      <c r="L678" s="10">
        <v>3381488</v>
      </c>
      <c r="M678" s="10">
        <v>664544</v>
      </c>
      <c r="N678" s="12">
        <v>15</v>
      </c>
      <c r="O678" s="12" t="s">
        <v>6992</v>
      </c>
      <c r="P678" s="8" t="s">
        <v>7428</v>
      </c>
      <c r="Q678"/>
      <c r="R678"/>
      <c r="S678" t="s">
        <v>7422</v>
      </c>
      <c r="T678" s="12" t="s">
        <v>4884</v>
      </c>
      <c r="U678" s="12" t="s">
        <v>5016</v>
      </c>
      <c r="V678" s="12" t="s">
        <v>5017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1</v>
      </c>
      <c r="AC678" s="12">
        <v>1</v>
      </c>
      <c r="AD678" s="12">
        <f>VLOOKUP(C678,'[1]Phillips 1970 - Baytown'!A$1:B$65536,2,FALSE)</f>
        <v>1</v>
      </c>
      <c r="AE678" s="12">
        <v>0</v>
      </c>
      <c r="AF678" s="12">
        <v>0</v>
      </c>
      <c r="AG678" s="12">
        <v>0</v>
      </c>
      <c r="AH678" s="12">
        <v>1</v>
      </c>
      <c r="AI678" s="12">
        <v>1</v>
      </c>
      <c r="AJ678" s="12">
        <v>0</v>
      </c>
      <c r="AK678" s="12">
        <v>0</v>
      </c>
      <c r="AL678" s="12">
        <v>0</v>
      </c>
      <c r="AM678" s="12"/>
      <c r="AN678" s="12">
        <v>0</v>
      </c>
      <c r="AO678" s="12">
        <v>0</v>
      </c>
      <c r="AP678" s="12">
        <v>0</v>
      </c>
      <c r="AQ678" s="12">
        <v>0</v>
      </c>
      <c r="AR678" s="12">
        <v>1</v>
      </c>
      <c r="AS678" s="12">
        <v>0</v>
      </c>
      <c r="AT678" s="12">
        <v>0</v>
      </c>
      <c r="AU678" s="12">
        <v>0</v>
      </c>
      <c r="AV678" s="12">
        <v>0</v>
      </c>
      <c r="AW678" s="12">
        <v>0</v>
      </c>
      <c r="AX678" s="12">
        <v>0</v>
      </c>
      <c r="AY678" s="12">
        <v>0</v>
      </c>
      <c r="BB678" s="12">
        <v>0</v>
      </c>
      <c r="BC678" s="12">
        <v>0</v>
      </c>
      <c r="BD678" s="12">
        <v>0</v>
      </c>
      <c r="BE678" s="12">
        <v>0</v>
      </c>
      <c r="BF678" s="12">
        <v>0</v>
      </c>
      <c r="BI678" s="12">
        <v>0</v>
      </c>
      <c r="BJ678" s="12">
        <v>0</v>
      </c>
    </row>
    <row r="679" spans="1:62" x14ac:dyDescent="0.15">
      <c r="A679" s="12"/>
      <c r="B679" t="s">
        <v>7253</v>
      </c>
      <c r="C679" s="23" t="s">
        <v>7254</v>
      </c>
      <c r="D679" t="s">
        <v>7422</v>
      </c>
      <c r="E679" s="12" t="s">
        <v>7423</v>
      </c>
      <c r="F679" s="12"/>
      <c r="G679" s="12"/>
      <c r="H679" s="12"/>
      <c r="I679" s="12"/>
      <c r="J679" s="12"/>
      <c r="K679" s="12"/>
      <c r="L679" s="10">
        <v>3384570</v>
      </c>
      <c r="M679" s="10">
        <v>675676</v>
      </c>
      <c r="N679" s="12">
        <v>15</v>
      </c>
      <c r="O679" s="12" t="s">
        <v>6992</v>
      </c>
      <c r="P679" s="8" t="s">
        <v>7255</v>
      </c>
      <c r="Q679"/>
      <c r="R679"/>
      <c r="S679" t="s">
        <v>7256</v>
      </c>
      <c r="T679" s="12" t="s">
        <v>7257</v>
      </c>
      <c r="U679" s="12" t="s">
        <v>7435</v>
      </c>
      <c r="V679" s="12" t="s">
        <v>5017</v>
      </c>
      <c r="W679" s="12">
        <v>0</v>
      </c>
      <c r="X679" s="12">
        <v>0</v>
      </c>
      <c r="Y679" s="12">
        <v>1</v>
      </c>
      <c r="Z679" s="12">
        <v>1</v>
      </c>
      <c r="AA679" s="12">
        <v>1</v>
      </c>
      <c r="AB679" s="12">
        <v>1</v>
      </c>
      <c r="AC679" s="12">
        <v>1</v>
      </c>
      <c r="AD679" s="12">
        <v>0</v>
      </c>
      <c r="AE679" s="12">
        <v>0</v>
      </c>
      <c r="AF679" s="12">
        <v>0</v>
      </c>
      <c r="AG679" s="12">
        <v>0</v>
      </c>
      <c r="AH679" s="12">
        <v>2</v>
      </c>
      <c r="AI679" s="12">
        <v>2</v>
      </c>
      <c r="AJ679" s="12">
        <v>1</v>
      </c>
      <c r="AK679" s="12">
        <v>1</v>
      </c>
      <c r="AL679" s="12">
        <v>1</v>
      </c>
      <c r="AM679" s="12"/>
      <c r="AN679" s="12">
        <v>0</v>
      </c>
      <c r="AO679" s="12">
        <v>0</v>
      </c>
      <c r="AP679" s="12">
        <v>0</v>
      </c>
      <c r="AQ679" s="12">
        <v>1</v>
      </c>
      <c r="AR679" s="12">
        <v>1</v>
      </c>
      <c r="AS679" s="12">
        <v>0</v>
      </c>
      <c r="AT679" s="12">
        <v>0</v>
      </c>
      <c r="AU679" s="12">
        <v>0</v>
      </c>
      <c r="AV679" s="12">
        <v>0</v>
      </c>
      <c r="AW679" s="12">
        <v>0</v>
      </c>
      <c r="AX679" s="12">
        <v>0</v>
      </c>
      <c r="AY679" s="12">
        <v>0</v>
      </c>
      <c r="BA679" s="12" t="s">
        <v>4877</v>
      </c>
      <c r="BB679" s="12">
        <v>0</v>
      </c>
      <c r="BC679" s="12">
        <v>0</v>
      </c>
      <c r="BD679">
        <v>12</v>
      </c>
      <c r="BE679" s="12">
        <v>0</v>
      </c>
      <c r="BF679">
        <f>120*120</f>
        <v>14400</v>
      </c>
      <c r="BG679" t="s">
        <v>7258</v>
      </c>
      <c r="BH679" t="s">
        <v>7258</v>
      </c>
      <c r="BI679">
        <f>BD679/BF679</f>
        <v>8.3333333333333339E-4</v>
      </c>
      <c r="BJ679">
        <f>BI679*10000</f>
        <v>8.3333333333333339</v>
      </c>
    </row>
    <row r="680" spans="1:62" x14ac:dyDescent="0.15">
      <c r="A680" s="12"/>
      <c r="B680"/>
      <c r="C680" s="23" t="s">
        <v>7259</v>
      </c>
      <c r="D680" t="s">
        <v>7422</v>
      </c>
      <c r="E680" s="12" t="s">
        <v>7423</v>
      </c>
      <c r="F680" s="12"/>
      <c r="G680" s="12"/>
      <c r="H680" s="12"/>
      <c r="I680" s="12"/>
      <c r="J680" s="12"/>
      <c r="K680" s="12"/>
      <c r="L680" s="10">
        <v>3379140</v>
      </c>
      <c r="M680" s="10">
        <v>677745</v>
      </c>
      <c r="N680" s="12">
        <v>15</v>
      </c>
      <c r="O680" s="12" t="s">
        <v>6992</v>
      </c>
      <c r="P680" s="8" t="s">
        <v>7260</v>
      </c>
      <c r="Q680"/>
      <c r="R680"/>
      <c r="S680" t="s">
        <v>7261</v>
      </c>
      <c r="T680" s="12" t="s">
        <v>4896</v>
      </c>
      <c r="U680" s="12" t="s">
        <v>4897</v>
      </c>
      <c r="V680" s="12" t="s">
        <v>4898</v>
      </c>
      <c r="W680" s="12">
        <v>0</v>
      </c>
      <c r="X680" s="12">
        <v>0</v>
      </c>
      <c r="Y680" s="12">
        <v>1</v>
      </c>
      <c r="Z680" s="12">
        <v>1</v>
      </c>
      <c r="AA680" s="12">
        <v>1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2</v>
      </c>
      <c r="AI680" s="12">
        <v>2</v>
      </c>
      <c r="AJ680" s="12">
        <v>1</v>
      </c>
      <c r="AK680" s="12">
        <v>1</v>
      </c>
      <c r="AL680" s="12">
        <v>0</v>
      </c>
      <c r="AM680" s="12"/>
      <c r="AN680" s="12">
        <v>0</v>
      </c>
      <c r="AO680" s="12">
        <v>0</v>
      </c>
      <c r="AP680" s="12">
        <v>0</v>
      </c>
      <c r="AQ680" s="12">
        <v>0</v>
      </c>
      <c r="AR680" s="12">
        <v>1</v>
      </c>
      <c r="AS680" s="12">
        <v>0</v>
      </c>
      <c r="AT680" s="12">
        <v>0</v>
      </c>
      <c r="AU680" s="12">
        <v>0</v>
      </c>
      <c r="AV680" s="12">
        <v>0</v>
      </c>
      <c r="AW680" s="12">
        <v>0</v>
      </c>
      <c r="AX680" s="12">
        <v>0</v>
      </c>
      <c r="AY680" s="12">
        <v>0</v>
      </c>
      <c r="BA680" s="12" t="s">
        <v>4877</v>
      </c>
      <c r="BB680" s="12">
        <v>0</v>
      </c>
      <c r="BC680" s="12">
        <v>0</v>
      </c>
      <c r="BD680">
        <v>16</v>
      </c>
      <c r="BE680" s="12">
        <v>0</v>
      </c>
      <c r="BF680" s="12">
        <v>0</v>
      </c>
      <c r="BG680" t="s">
        <v>7262</v>
      </c>
      <c r="BH680" t="s">
        <v>7262</v>
      </c>
      <c r="BI680" s="12">
        <v>0</v>
      </c>
      <c r="BJ680" s="12">
        <v>0</v>
      </c>
    </row>
    <row r="681" spans="1:62" ht="14" x14ac:dyDescent="0.15">
      <c r="A681" s="24" t="s">
        <v>7263</v>
      </c>
      <c r="B681" s="25" t="s">
        <v>7263</v>
      </c>
      <c r="C681" s="26" t="s">
        <v>7264</v>
      </c>
      <c r="D681" t="s">
        <v>7265</v>
      </c>
      <c r="E681" t="s">
        <v>7963</v>
      </c>
      <c r="F681"/>
      <c r="G681"/>
      <c r="H681"/>
      <c r="I681"/>
      <c r="J681"/>
      <c r="K681"/>
      <c r="L681" s="10">
        <v>4004323.0950000002</v>
      </c>
      <c r="M681" s="10">
        <v>773718.08400000003</v>
      </c>
      <c r="N681" s="12">
        <v>15</v>
      </c>
      <c r="O681" s="12" t="s">
        <v>6992</v>
      </c>
      <c r="P681" s="8" t="s">
        <v>7266</v>
      </c>
      <c r="Q681"/>
      <c r="R681"/>
      <c r="S681" t="s">
        <v>7267</v>
      </c>
      <c r="T681" s="12" t="s">
        <v>8484</v>
      </c>
      <c r="U681" s="12" t="s">
        <v>5019</v>
      </c>
      <c r="V681" s="12" t="s">
        <v>5020</v>
      </c>
      <c r="W681" s="12">
        <v>0</v>
      </c>
      <c r="X681" s="12">
        <v>0</v>
      </c>
      <c r="Y681" s="12">
        <v>0</v>
      </c>
      <c r="Z681" s="12">
        <v>0</v>
      </c>
      <c r="AA681" s="12">
        <v>0</v>
      </c>
      <c r="AB681" s="12">
        <v>0</v>
      </c>
      <c r="AC681" s="12">
        <v>0</v>
      </c>
      <c r="AD681" s="12">
        <v>0</v>
      </c>
      <c r="AE681" s="12">
        <v>1</v>
      </c>
      <c r="AF681" s="12">
        <v>1</v>
      </c>
      <c r="AG681" s="12">
        <v>0</v>
      </c>
      <c r="AH681" s="12" t="s">
        <v>8248</v>
      </c>
      <c r="AI681" s="12">
        <v>1</v>
      </c>
      <c r="AJ681" s="12">
        <v>1</v>
      </c>
      <c r="AK681" s="12">
        <v>0</v>
      </c>
      <c r="AL681" s="12">
        <v>0</v>
      </c>
      <c r="AM681" s="12"/>
      <c r="AN681" s="12">
        <v>0</v>
      </c>
      <c r="AO681" s="12">
        <v>0</v>
      </c>
      <c r="AP681" s="12">
        <v>0</v>
      </c>
      <c r="AQ681" s="12">
        <v>0</v>
      </c>
      <c r="AR681" s="12">
        <v>0</v>
      </c>
      <c r="AS681" s="12">
        <v>0</v>
      </c>
      <c r="AT681" s="12">
        <v>1</v>
      </c>
      <c r="AU681" s="12">
        <v>0</v>
      </c>
      <c r="AV681" s="12">
        <v>0</v>
      </c>
      <c r="AW681" s="12">
        <v>0</v>
      </c>
      <c r="AX681" s="12">
        <v>0</v>
      </c>
      <c r="AY681" s="12">
        <v>0</v>
      </c>
      <c r="BB681" s="12">
        <v>0</v>
      </c>
      <c r="BC681" s="12">
        <v>0</v>
      </c>
      <c r="BD681" s="12">
        <v>0</v>
      </c>
      <c r="BE681" s="12">
        <v>0</v>
      </c>
      <c r="BF681" s="12">
        <v>0</v>
      </c>
      <c r="BI681" s="12">
        <v>0</v>
      </c>
      <c r="BJ681" s="12">
        <v>0</v>
      </c>
    </row>
    <row r="682" spans="1:62" ht="28" x14ac:dyDescent="0.15">
      <c r="A682" s="24" t="s">
        <v>7268</v>
      </c>
      <c r="B682" s="25" t="s">
        <v>7268</v>
      </c>
      <c r="C682" s="26" t="s">
        <v>7269</v>
      </c>
      <c r="D682" t="s">
        <v>7265</v>
      </c>
      <c r="E682" t="s">
        <v>7963</v>
      </c>
      <c r="F682"/>
      <c r="G682"/>
      <c r="H682"/>
      <c r="I682"/>
      <c r="J682"/>
      <c r="K682"/>
      <c r="L682" s="10">
        <v>4004223.0389999999</v>
      </c>
      <c r="M682" s="10">
        <v>791531.47699999996</v>
      </c>
      <c r="N682" s="12">
        <v>15</v>
      </c>
      <c r="O682" s="12" t="s">
        <v>6992</v>
      </c>
      <c r="P682" s="8" t="s">
        <v>7266</v>
      </c>
      <c r="Q682"/>
      <c r="R682"/>
      <c r="S682" t="s">
        <v>7267</v>
      </c>
      <c r="T682" s="12" t="s">
        <v>8484</v>
      </c>
      <c r="U682" s="12" t="s">
        <v>5019</v>
      </c>
      <c r="V682" s="12" t="s">
        <v>5020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1</v>
      </c>
      <c r="AF682" s="12">
        <v>1</v>
      </c>
      <c r="AG682" s="12">
        <v>0</v>
      </c>
      <c r="AH682" s="12" t="s">
        <v>8248</v>
      </c>
      <c r="AI682" s="12">
        <v>1</v>
      </c>
      <c r="AJ682" s="12">
        <v>1</v>
      </c>
      <c r="AK682" s="12">
        <v>0</v>
      </c>
      <c r="AL682" s="12">
        <v>0</v>
      </c>
      <c r="AM682" s="12"/>
      <c r="AN682" s="12">
        <v>0</v>
      </c>
      <c r="AO682" s="12">
        <v>0</v>
      </c>
      <c r="AP682" s="12">
        <v>0</v>
      </c>
      <c r="AQ682" s="12">
        <v>0</v>
      </c>
      <c r="AR682" s="12">
        <v>0</v>
      </c>
      <c r="AS682" s="12">
        <v>0</v>
      </c>
      <c r="AT682" s="12">
        <v>1</v>
      </c>
      <c r="AU682" s="12">
        <v>0</v>
      </c>
      <c r="AV682" s="12">
        <v>0</v>
      </c>
      <c r="AW682" s="12">
        <v>0</v>
      </c>
      <c r="AX682" s="12">
        <v>0</v>
      </c>
      <c r="AY682" s="12">
        <v>0</v>
      </c>
      <c r="BB682" s="12">
        <v>0</v>
      </c>
      <c r="BC682" s="12">
        <v>0</v>
      </c>
      <c r="BD682" s="12">
        <v>0</v>
      </c>
      <c r="BE682" s="12">
        <v>0</v>
      </c>
      <c r="BF682" s="12">
        <v>0</v>
      </c>
      <c r="BI682" s="12">
        <v>0</v>
      </c>
      <c r="BJ682" s="12">
        <v>0</v>
      </c>
    </row>
    <row r="683" spans="1:62" ht="14" x14ac:dyDescent="0.15">
      <c r="A683" s="24" t="s">
        <v>7270</v>
      </c>
      <c r="B683" s="25" t="s">
        <v>7270</v>
      </c>
      <c r="C683" s="26" t="s">
        <v>7271</v>
      </c>
      <c r="D683" t="s">
        <v>7265</v>
      </c>
      <c r="E683" t="s">
        <v>7963</v>
      </c>
      <c r="F683"/>
      <c r="G683"/>
      <c r="H683"/>
      <c r="I683"/>
      <c r="J683"/>
      <c r="K683"/>
      <c r="L683" s="10">
        <v>4033216.0469999998</v>
      </c>
      <c r="M683" s="10">
        <v>800366.15599999996</v>
      </c>
      <c r="N683" s="12">
        <v>15</v>
      </c>
      <c r="O683" s="12" t="s">
        <v>6992</v>
      </c>
      <c r="P683" s="8" t="s">
        <v>7266</v>
      </c>
      <c r="Q683"/>
      <c r="R683"/>
      <c r="S683" t="s">
        <v>7267</v>
      </c>
      <c r="T683" s="12" t="s">
        <v>8484</v>
      </c>
      <c r="U683" s="12" t="s">
        <v>5019</v>
      </c>
      <c r="V683" s="12" t="s">
        <v>5020</v>
      </c>
      <c r="W683" s="12">
        <v>0</v>
      </c>
      <c r="X683" s="12">
        <v>0</v>
      </c>
      <c r="Y683" s="12">
        <v>0</v>
      </c>
      <c r="Z683" s="12">
        <v>0</v>
      </c>
      <c r="AA683" s="12">
        <v>0</v>
      </c>
      <c r="AB683" s="12">
        <v>0</v>
      </c>
      <c r="AC683" s="12">
        <v>0</v>
      </c>
      <c r="AD683" s="12">
        <v>0</v>
      </c>
      <c r="AE683" s="12">
        <v>1</v>
      </c>
      <c r="AF683" s="12">
        <v>1</v>
      </c>
      <c r="AG683" s="12">
        <v>0</v>
      </c>
      <c r="AH683" s="12" t="s">
        <v>8248</v>
      </c>
      <c r="AI683" s="12">
        <v>1</v>
      </c>
      <c r="AJ683" s="12">
        <v>1</v>
      </c>
      <c r="AK683" s="12">
        <v>0</v>
      </c>
      <c r="AL683" s="12">
        <v>0</v>
      </c>
      <c r="AM683" s="12"/>
      <c r="AN683" s="12">
        <v>0</v>
      </c>
      <c r="AO683" s="12">
        <v>0</v>
      </c>
      <c r="AP683" s="12">
        <v>0</v>
      </c>
      <c r="AQ683" s="12">
        <v>0</v>
      </c>
      <c r="AR683" s="12">
        <v>0</v>
      </c>
      <c r="AS683" s="12">
        <v>0</v>
      </c>
      <c r="AT683" s="12">
        <v>1</v>
      </c>
      <c r="AU683" s="12">
        <v>0</v>
      </c>
      <c r="AV683" s="12">
        <v>0</v>
      </c>
      <c r="AW683" s="12">
        <v>0</v>
      </c>
      <c r="AX683" s="12">
        <v>0</v>
      </c>
      <c r="AY683" s="12">
        <v>0</v>
      </c>
      <c r="BB683" s="12">
        <v>0</v>
      </c>
      <c r="BC683" s="12">
        <v>0</v>
      </c>
      <c r="BD683" s="12">
        <v>0</v>
      </c>
      <c r="BE683" s="12">
        <v>0</v>
      </c>
      <c r="BF683" s="12">
        <v>0</v>
      </c>
      <c r="BI683" s="12">
        <v>0</v>
      </c>
      <c r="BJ683" s="12">
        <v>0</v>
      </c>
    </row>
    <row r="684" spans="1:62" ht="28" x14ac:dyDescent="0.15">
      <c r="A684" s="24" t="s">
        <v>7272</v>
      </c>
      <c r="B684" s="25" t="s">
        <v>7272</v>
      </c>
      <c r="C684" s="26" t="s">
        <v>7273</v>
      </c>
      <c r="D684" t="s">
        <v>7265</v>
      </c>
      <c r="E684" t="s">
        <v>7963</v>
      </c>
      <c r="F684"/>
      <c r="G684"/>
      <c r="H684"/>
      <c r="I684"/>
      <c r="J684"/>
      <c r="K684"/>
      <c r="L684" s="10">
        <v>3995653.2110000001</v>
      </c>
      <c r="M684" s="10">
        <v>786809.90599999996</v>
      </c>
      <c r="N684" s="12">
        <v>15</v>
      </c>
      <c r="O684" s="12" t="s">
        <v>6992</v>
      </c>
      <c r="P684" s="8" t="s">
        <v>7266</v>
      </c>
      <c r="Q684"/>
      <c r="R684"/>
      <c r="S684" t="s">
        <v>7267</v>
      </c>
      <c r="T684" s="12" t="s">
        <v>8484</v>
      </c>
      <c r="U684" s="12" t="s">
        <v>5019</v>
      </c>
      <c r="V684" s="12" t="s">
        <v>5020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1</v>
      </c>
      <c r="AF684" s="12">
        <v>1</v>
      </c>
      <c r="AG684" s="12">
        <v>0</v>
      </c>
      <c r="AH684" s="12" t="s">
        <v>8248</v>
      </c>
      <c r="AI684" s="12">
        <v>1</v>
      </c>
      <c r="AJ684" s="12">
        <v>1</v>
      </c>
      <c r="AK684" s="12">
        <v>0</v>
      </c>
      <c r="AL684" s="12">
        <v>0</v>
      </c>
      <c r="AM684" s="12"/>
      <c r="AN684" s="12">
        <v>0</v>
      </c>
      <c r="AO684" s="12">
        <v>0</v>
      </c>
      <c r="AP684" s="12">
        <v>0</v>
      </c>
      <c r="AQ684" s="12">
        <v>0</v>
      </c>
      <c r="AR684" s="12">
        <v>0</v>
      </c>
      <c r="AS684" s="12">
        <v>0</v>
      </c>
      <c r="AT684" s="12">
        <v>1</v>
      </c>
      <c r="AU684" s="12">
        <v>0</v>
      </c>
      <c r="AV684" s="12">
        <v>0</v>
      </c>
      <c r="AW684" s="12">
        <v>0</v>
      </c>
      <c r="AX684" s="12">
        <v>0</v>
      </c>
      <c r="AY684" s="12">
        <v>0</v>
      </c>
      <c r="BB684" s="12">
        <v>0</v>
      </c>
      <c r="BC684" s="12">
        <v>0</v>
      </c>
      <c r="BD684" s="12">
        <v>0</v>
      </c>
      <c r="BE684" s="12">
        <v>0</v>
      </c>
      <c r="BF684" s="12">
        <v>0</v>
      </c>
      <c r="BI684" s="12">
        <v>0</v>
      </c>
      <c r="BJ684" s="12">
        <v>0</v>
      </c>
    </row>
    <row r="685" spans="1:62" ht="14" x14ac:dyDescent="0.15">
      <c r="A685" s="24" t="s">
        <v>7274</v>
      </c>
      <c r="B685" s="25" t="s">
        <v>7274</v>
      </c>
      <c r="C685" s="26" t="s">
        <v>7275</v>
      </c>
      <c r="D685" t="s">
        <v>7265</v>
      </c>
      <c r="E685" t="s">
        <v>7963</v>
      </c>
      <c r="F685"/>
      <c r="G685"/>
      <c r="H685"/>
      <c r="I685"/>
      <c r="J685"/>
      <c r="K685"/>
      <c r="L685" s="21">
        <v>4004377.6269999999</v>
      </c>
      <c r="M685" s="21">
        <v>801805.23699999996</v>
      </c>
      <c r="N685" s="12">
        <v>15</v>
      </c>
      <c r="O685" s="12" t="s">
        <v>6992</v>
      </c>
      <c r="P685" s="8" t="s">
        <v>7266</v>
      </c>
      <c r="Q685"/>
      <c r="R685"/>
      <c r="S685" t="s">
        <v>7267</v>
      </c>
      <c r="T685" s="12" t="s">
        <v>8484</v>
      </c>
      <c r="U685" s="12" t="s">
        <v>5019</v>
      </c>
      <c r="V685" s="12" t="s">
        <v>5020</v>
      </c>
      <c r="W685" s="12">
        <v>0</v>
      </c>
      <c r="X685" s="12">
        <v>0</v>
      </c>
      <c r="Y685" s="12">
        <v>0</v>
      </c>
      <c r="Z685" s="12">
        <v>0</v>
      </c>
      <c r="AA685" s="12">
        <v>0</v>
      </c>
      <c r="AB685" s="12">
        <v>0</v>
      </c>
      <c r="AC685" s="12">
        <v>0</v>
      </c>
      <c r="AD685" s="12">
        <v>0</v>
      </c>
      <c r="AE685" s="12">
        <v>1</v>
      </c>
      <c r="AF685" s="12">
        <v>1</v>
      </c>
      <c r="AG685" s="12">
        <v>0</v>
      </c>
      <c r="AH685" s="12" t="s">
        <v>8248</v>
      </c>
      <c r="AI685" s="12">
        <v>1</v>
      </c>
      <c r="AJ685" s="12">
        <v>1</v>
      </c>
      <c r="AK685" s="12">
        <v>0</v>
      </c>
      <c r="AL685" s="12">
        <v>0</v>
      </c>
      <c r="AM685" s="12"/>
      <c r="AN685" s="12">
        <v>0</v>
      </c>
      <c r="AO685" s="12">
        <v>0</v>
      </c>
      <c r="AP685" s="12">
        <v>0</v>
      </c>
      <c r="AQ685" s="12">
        <v>0</v>
      </c>
      <c r="AR685" s="12">
        <v>0</v>
      </c>
      <c r="AS685" s="12">
        <v>0</v>
      </c>
      <c r="AT685" s="12">
        <v>1</v>
      </c>
      <c r="AU685" s="12">
        <v>0</v>
      </c>
      <c r="AV685" s="12">
        <v>0</v>
      </c>
      <c r="AW685" s="12">
        <v>0</v>
      </c>
      <c r="AX685" s="12">
        <v>0</v>
      </c>
      <c r="AY685" s="12">
        <v>0</v>
      </c>
      <c r="BB685" s="12">
        <v>0</v>
      </c>
      <c r="BC685" s="12">
        <v>0</v>
      </c>
      <c r="BD685" s="12">
        <v>0</v>
      </c>
      <c r="BE685" s="12">
        <v>0</v>
      </c>
      <c r="BF685" s="12">
        <v>0</v>
      </c>
      <c r="BI685" s="12">
        <v>0</v>
      </c>
      <c r="BJ685" s="12">
        <v>0</v>
      </c>
    </row>
    <row r="686" spans="1:62" ht="14" x14ac:dyDescent="0.15">
      <c r="A686" s="24" t="s">
        <v>7276</v>
      </c>
      <c r="B686" s="25" t="s">
        <v>7276</v>
      </c>
      <c r="C686" s="26" t="s">
        <v>7277</v>
      </c>
      <c r="D686" t="s">
        <v>7265</v>
      </c>
      <c r="E686" t="s">
        <v>7963</v>
      </c>
      <c r="F686"/>
      <c r="G686"/>
      <c r="H686"/>
      <c r="I686"/>
      <c r="J686"/>
      <c r="K686"/>
      <c r="L686" s="21">
        <v>4002963.4410000001</v>
      </c>
      <c r="M686" s="21">
        <v>799036.11199999996</v>
      </c>
      <c r="N686" s="12">
        <v>15</v>
      </c>
      <c r="O686" s="12" t="s">
        <v>6992</v>
      </c>
      <c r="P686" s="8" t="s">
        <v>7266</v>
      </c>
      <c r="Q686"/>
      <c r="R686"/>
      <c r="S686" t="s">
        <v>7267</v>
      </c>
      <c r="T686" s="12" t="s">
        <v>8484</v>
      </c>
      <c r="U686" s="12" t="s">
        <v>5019</v>
      </c>
      <c r="V686" s="12" t="s">
        <v>5020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1</v>
      </c>
      <c r="AF686" s="12">
        <v>1</v>
      </c>
      <c r="AG686" s="12">
        <v>0</v>
      </c>
      <c r="AH686" s="12" t="s">
        <v>8248</v>
      </c>
      <c r="AI686" s="12">
        <v>1</v>
      </c>
      <c r="AJ686" s="12">
        <v>1</v>
      </c>
      <c r="AK686" s="12">
        <v>0</v>
      </c>
      <c r="AL686" s="12">
        <v>0</v>
      </c>
      <c r="AM686" s="12"/>
      <c r="AN686" s="12">
        <v>0</v>
      </c>
      <c r="AO686" s="12">
        <v>0</v>
      </c>
      <c r="AP686" s="12">
        <v>0</v>
      </c>
      <c r="AQ686" s="12">
        <v>0</v>
      </c>
      <c r="AR686" s="12">
        <v>0</v>
      </c>
      <c r="AS686" s="12">
        <v>0</v>
      </c>
      <c r="AT686" s="12">
        <v>1</v>
      </c>
      <c r="AU686" s="12">
        <v>0</v>
      </c>
      <c r="AV686" s="12">
        <v>0</v>
      </c>
      <c r="AW686" s="12">
        <v>0</v>
      </c>
      <c r="AX686" s="12">
        <v>0</v>
      </c>
      <c r="AY686" s="12">
        <v>0</v>
      </c>
      <c r="BB686" s="12">
        <v>0</v>
      </c>
      <c r="BC686" s="12">
        <v>0</v>
      </c>
      <c r="BD686" s="12">
        <v>0</v>
      </c>
      <c r="BE686" s="12">
        <v>0</v>
      </c>
      <c r="BF686" s="12">
        <v>0</v>
      </c>
      <c r="BI686" s="12">
        <v>0</v>
      </c>
      <c r="BJ686" s="12">
        <v>0</v>
      </c>
    </row>
    <row r="687" spans="1:62" ht="14" x14ac:dyDescent="0.15">
      <c r="A687" s="24" t="s">
        <v>7278</v>
      </c>
      <c r="B687" s="25" t="s">
        <v>7278</v>
      </c>
      <c r="C687" s="26" t="s">
        <v>7279</v>
      </c>
      <c r="D687" t="s">
        <v>7265</v>
      </c>
      <c r="E687" t="s">
        <v>7963</v>
      </c>
      <c r="F687"/>
      <c r="G687"/>
      <c r="H687"/>
      <c r="I687"/>
      <c r="J687"/>
      <c r="K687"/>
      <c r="L687" s="21">
        <v>4001773.5329999998</v>
      </c>
      <c r="M687" s="21">
        <v>796974.83700000006</v>
      </c>
      <c r="N687" s="12">
        <v>15</v>
      </c>
      <c r="O687" s="12" t="s">
        <v>6992</v>
      </c>
      <c r="P687" s="8" t="s">
        <v>7266</v>
      </c>
      <c r="Q687"/>
      <c r="R687"/>
      <c r="S687" t="s">
        <v>7267</v>
      </c>
      <c r="T687" s="12" t="s">
        <v>8484</v>
      </c>
      <c r="U687" s="12" t="s">
        <v>5019</v>
      </c>
      <c r="V687" s="12" t="s">
        <v>5020</v>
      </c>
      <c r="W687" s="12">
        <v>0</v>
      </c>
      <c r="X687" s="12">
        <v>0</v>
      </c>
      <c r="Y687" s="12">
        <v>0</v>
      </c>
      <c r="Z687" s="12">
        <v>0</v>
      </c>
      <c r="AA687" s="12">
        <v>0</v>
      </c>
      <c r="AB687" s="12">
        <v>0</v>
      </c>
      <c r="AC687" s="12">
        <v>0</v>
      </c>
      <c r="AD687" s="12">
        <v>0</v>
      </c>
      <c r="AE687" s="12">
        <v>1</v>
      </c>
      <c r="AF687" s="12">
        <v>1</v>
      </c>
      <c r="AG687" s="12">
        <v>0</v>
      </c>
      <c r="AH687" s="12" t="s">
        <v>8248</v>
      </c>
      <c r="AI687" s="12">
        <v>1</v>
      </c>
      <c r="AJ687" s="12">
        <v>1</v>
      </c>
      <c r="AK687" s="12">
        <v>0</v>
      </c>
      <c r="AL687" s="12">
        <v>0</v>
      </c>
      <c r="AM687" s="12"/>
      <c r="AN687" s="12">
        <v>0</v>
      </c>
      <c r="AO687" s="12">
        <v>0</v>
      </c>
      <c r="AP687" s="12">
        <v>0</v>
      </c>
      <c r="AQ687" s="12">
        <v>0</v>
      </c>
      <c r="AR687" s="12">
        <v>0</v>
      </c>
      <c r="AS687" s="12">
        <v>0</v>
      </c>
      <c r="AT687" s="12">
        <v>1</v>
      </c>
      <c r="AU687" s="12">
        <v>0</v>
      </c>
      <c r="AV687" s="12">
        <v>0</v>
      </c>
      <c r="AW687" s="12">
        <v>0</v>
      </c>
      <c r="AX687" s="12">
        <v>0</v>
      </c>
      <c r="AY687" s="12">
        <v>0</v>
      </c>
      <c r="BB687" s="12">
        <v>0</v>
      </c>
      <c r="BC687" s="12">
        <v>0</v>
      </c>
      <c r="BD687" s="12">
        <v>0</v>
      </c>
      <c r="BE687" s="12">
        <v>0</v>
      </c>
      <c r="BF687" s="12">
        <v>0</v>
      </c>
      <c r="BI687" s="12">
        <v>0</v>
      </c>
      <c r="BJ687" s="12">
        <v>0</v>
      </c>
    </row>
    <row r="688" spans="1:62" ht="14" x14ac:dyDescent="0.15">
      <c r="A688" s="24" t="s">
        <v>7280</v>
      </c>
      <c r="B688" t="s">
        <v>7281</v>
      </c>
      <c r="C688" s="26" t="s">
        <v>7282</v>
      </c>
      <c r="D688" t="s">
        <v>7283</v>
      </c>
      <c r="E688" t="s">
        <v>7284</v>
      </c>
      <c r="F688"/>
      <c r="G688"/>
      <c r="H688"/>
      <c r="I688"/>
      <c r="J688"/>
      <c r="K688"/>
      <c r="L688" s="10">
        <v>3661436</v>
      </c>
      <c r="M688" s="10">
        <v>660836</v>
      </c>
      <c r="N688" s="12">
        <v>15</v>
      </c>
      <c r="O688" s="12" t="s">
        <v>6992</v>
      </c>
      <c r="P688" s="8" t="s">
        <v>7285</v>
      </c>
      <c r="Q688"/>
      <c r="R688"/>
      <c r="S688" t="s">
        <v>7283</v>
      </c>
      <c r="T688" s="12" t="s">
        <v>4896</v>
      </c>
      <c r="U688" s="12" t="s">
        <v>4897</v>
      </c>
      <c r="V688" s="12" t="s">
        <v>4898</v>
      </c>
      <c r="W688" s="12">
        <v>0</v>
      </c>
      <c r="X688" s="12">
        <v>0</v>
      </c>
      <c r="Y688" s="12">
        <v>0</v>
      </c>
      <c r="Z688" s="12"/>
      <c r="AA688" s="12"/>
      <c r="AB688" s="12"/>
      <c r="AC688" s="12"/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2">
        <v>0</v>
      </c>
      <c r="AK688" s="12">
        <v>0</v>
      </c>
      <c r="AL688" s="12">
        <v>0</v>
      </c>
      <c r="AM688" s="12"/>
      <c r="AN688" s="12">
        <v>0</v>
      </c>
      <c r="AO688" s="12">
        <v>0</v>
      </c>
      <c r="AP688" s="12">
        <v>0</v>
      </c>
      <c r="AQ688" s="12">
        <v>0</v>
      </c>
      <c r="AR688" s="12">
        <v>0</v>
      </c>
      <c r="AS688" s="12">
        <v>0</v>
      </c>
      <c r="AT688" s="12">
        <v>0</v>
      </c>
      <c r="AU688" s="12">
        <v>0</v>
      </c>
      <c r="AV688" s="12">
        <v>0</v>
      </c>
      <c r="AW688" s="12">
        <v>0</v>
      </c>
      <c r="AX688" s="12">
        <v>0</v>
      </c>
      <c r="AY688" s="12">
        <v>0</v>
      </c>
      <c r="BB688" s="12">
        <v>0</v>
      </c>
      <c r="BC688" s="12">
        <v>0</v>
      </c>
      <c r="BD688" s="12">
        <v>0</v>
      </c>
      <c r="BE688" s="12">
        <v>0</v>
      </c>
      <c r="BF688" s="12">
        <v>0</v>
      </c>
      <c r="BI688" s="12">
        <v>0</v>
      </c>
      <c r="BJ688" s="12">
        <v>0</v>
      </c>
    </row>
    <row r="689" spans="1:62" ht="14" x14ac:dyDescent="0.15">
      <c r="A689" s="24" t="s">
        <v>7286</v>
      </c>
      <c r="B689" s="25" t="s">
        <v>7287</v>
      </c>
      <c r="C689" s="26" t="s">
        <v>7288</v>
      </c>
      <c r="D689" t="s">
        <v>7283</v>
      </c>
      <c r="E689" t="s">
        <v>7284</v>
      </c>
      <c r="F689"/>
      <c r="G689"/>
      <c r="H689"/>
      <c r="I689"/>
      <c r="J689"/>
      <c r="K689"/>
      <c r="L689" s="10">
        <v>3637329</v>
      </c>
      <c r="M689" s="10">
        <v>655049</v>
      </c>
      <c r="N689" s="12">
        <v>15</v>
      </c>
      <c r="O689" s="12" t="s">
        <v>6992</v>
      </c>
      <c r="P689" s="8" t="s">
        <v>7285</v>
      </c>
      <c r="Q689"/>
      <c r="R689"/>
      <c r="S689" t="s">
        <v>7289</v>
      </c>
      <c r="T689" s="12" t="s">
        <v>7290</v>
      </c>
      <c r="U689" s="12" t="s">
        <v>4897</v>
      </c>
      <c r="V689" s="12" t="s">
        <v>5017</v>
      </c>
      <c r="W689" s="12">
        <v>0</v>
      </c>
      <c r="X689" s="12">
        <v>0</v>
      </c>
      <c r="Y689" s="12">
        <v>0</v>
      </c>
      <c r="Z689" s="12">
        <v>0</v>
      </c>
      <c r="AA689" s="12">
        <v>0</v>
      </c>
      <c r="AB689" s="12">
        <v>0</v>
      </c>
      <c r="AC689" s="12">
        <v>1</v>
      </c>
      <c r="AD689" s="12">
        <v>0</v>
      </c>
      <c r="AE689" s="12">
        <v>0</v>
      </c>
      <c r="AF689" s="12">
        <v>0</v>
      </c>
      <c r="AG689" s="12">
        <v>0</v>
      </c>
      <c r="AH689" s="12">
        <v>0</v>
      </c>
      <c r="AI689" s="12">
        <v>0</v>
      </c>
      <c r="AJ689" s="12">
        <v>0</v>
      </c>
      <c r="AK689" s="12">
        <v>0</v>
      </c>
      <c r="AL689" s="12">
        <v>0</v>
      </c>
      <c r="AM689" s="12"/>
      <c r="AN689" s="12">
        <v>0</v>
      </c>
      <c r="AO689" s="12">
        <v>0</v>
      </c>
      <c r="AP689" s="12">
        <v>0</v>
      </c>
      <c r="AQ689" s="12">
        <v>0</v>
      </c>
      <c r="AR689" s="12">
        <v>0</v>
      </c>
      <c r="AS689" s="12">
        <v>0</v>
      </c>
      <c r="AT689" s="12">
        <v>0</v>
      </c>
      <c r="AU689" s="12">
        <v>0</v>
      </c>
      <c r="AV689" s="12">
        <v>0</v>
      </c>
      <c r="AW689" s="12">
        <v>0</v>
      </c>
      <c r="AX689" s="12">
        <v>0</v>
      </c>
      <c r="AY689" s="12">
        <v>0</v>
      </c>
      <c r="BB689" s="12">
        <v>0</v>
      </c>
      <c r="BC689" s="12">
        <v>0</v>
      </c>
      <c r="BD689" s="12">
        <v>0</v>
      </c>
      <c r="BE689" s="12">
        <v>0</v>
      </c>
      <c r="BF689" s="12">
        <v>0</v>
      </c>
      <c r="BI689" s="12">
        <v>0</v>
      </c>
      <c r="BJ689" s="12">
        <v>0</v>
      </c>
    </row>
    <row r="690" spans="1:62" ht="14" x14ac:dyDescent="0.15">
      <c r="A690" s="12" t="s">
        <v>7291</v>
      </c>
      <c r="B690" t="s">
        <v>7292</v>
      </c>
      <c r="C690" s="26" t="s">
        <v>7293</v>
      </c>
      <c r="D690" t="s">
        <v>7283</v>
      </c>
      <c r="E690" t="s">
        <v>7284</v>
      </c>
      <c r="F690"/>
      <c r="G690"/>
      <c r="H690"/>
      <c r="I690"/>
      <c r="J690"/>
      <c r="K690"/>
      <c r="L690" s="10">
        <v>3624612</v>
      </c>
      <c r="M690" s="10">
        <v>654952</v>
      </c>
      <c r="N690" s="12">
        <v>15</v>
      </c>
      <c r="O690" s="12" t="s">
        <v>6992</v>
      </c>
      <c r="P690" s="8" t="s">
        <v>7285</v>
      </c>
      <c r="Q690"/>
      <c r="R690"/>
      <c r="S690" t="s">
        <v>7283</v>
      </c>
      <c r="T690" s="12" t="s">
        <v>4896</v>
      </c>
      <c r="U690" s="12" t="s">
        <v>4897</v>
      </c>
      <c r="V690" s="12" t="s">
        <v>4898</v>
      </c>
      <c r="W690" s="12">
        <v>0</v>
      </c>
      <c r="X690" s="12">
        <v>0</v>
      </c>
      <c r="Y690" s="12">
        <v>0</v>
      </c>
      <c r="Z690" s="12"/>
      <c r="AA690" s="12"/>
      <c r="AB690" s="12"/>
      <c r="AC690" s="12"/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2">
        <v>0</v>
      </c>
      <c r="AK690" s="12">
        <v>0</v>
      </c>
      <c r="AL690" s="12">
        <v>0</v>
      </c>
      <c r="AM690" s="12"/>
      <c r="AN690" s="12">
        <v>0</v>
      </c>
      <c r="AO690" s="12">
        <v>0</v>
      </c>
      <c r="AP690" s="12">
        <v>0</v>
      </c>
      <c r="AQ690" s="12">
        <v>0</v>
      </c>
      <c r="AR690" s="12">
        <v>0</v>
      </c>
      <c r="AS690" s="12">
        <v>0</v>
      </c>
      <c r="AT690" s="12">
        <v>0</v>
      </c>
      <c r="AU690" s="12">
        <v>0</v>
      </c>
      <c r="AV690" s="12">
        <v>0</v>
      </c>
      <c r="AW690" s="12">
        <v>0</v>
      </c>
      <c r="AX690" s="12">
        <v>0</v>
      </c>
      <c r="AY690" s="12">
        <v>0</v>
      </c>
      <c r="BB690" s="12">
        <v>0</v>
      </c>
      <c r="BC690" s="12">
        <v>0</v>
      </c>
      <c r="BD690" s="12">
        <v>0</v>
      </c>
      <c r="BE690" s="12">
        <v>0</v>
      </c>
      <c r="BF690" s="12">
        <v>0</v>
      </c>
      <c r="BI690" s="12">
        <v>0</v>
      </c>
      <c r="BJ690" s="12">
        <v>0</v>
      </c>
    </row>
    <row r="691" spans="1:62" ht="14" x14ac:dyDescent="0.15">
      <c r="A691" s="24" t="s">
        <v>7294</v>
      </c>
      <c r="B691" s="25" t="s">
        <v>7295</v>
      </c>
      <c r="C691" s="26" t="s">
        <v>7296</v>
      </c>
      <c r="D691" t="s">
        <v>7283</v>
      </c>
      <c r="E691" t="s">
        <v>7284</v>
      </c>
      <c r="F691"/>
      <c r="G691"/>
      <c r="H691"/>
      <c r="I691"/>
      <c r="J691"/>
      <c r="K691"/>
      <c r="L691" s="10">
        <v>3609109</v>
      </c>
      <c r="M691" s="10">
        <v>650201</v>
      </c>
      <c r="N691" s="12">
        <v>15</v>
      </c>
      <c r="O691" s="12" t="s">
        <v>6992</v>
      </c>
      <c r="P691" s="8" t="s">
        <v>7297</v>
      </c>
      <c r="Q691"/>
      <c r="R691"/>
      <c r="S691" t="s">
        <v>7298</v>
      </c>
      <c r="T691" s="12" t="s">
        <v>7299</v>
      </c>
      <c r="U691" s="12" t="s">
        <v>4897</v>
      </c>
      <c r="V691" s="12" t="s">
        <v>5016</v>
      </c>
      <c r="W691" s="12">
        <v>0</v>
      </c>
      <c r="X691" s="12">
        <v>0</v>
      </c>
      <c r="Y691" s="12">
        <v>0</v>
      </c>
      <c r="Z691" s="12">
        <v>1</v>
      </c>
      <c r="AA691" s="12">
        <v>1</v>
      </c>
      <c r="AB691" s="12">
        <v>0</v>
      </c>
      <c r="AC691" s="12">
        <v>1</v>
      </c>
      <c r="AD691" s="12">
        <v>0</v>
      </c>
      <c r="AE691" s="12">
        <v>0</v>
      </c>
      <c r="AF691" s="12">
        <v>0</v>
      </c>
      <c r="AG691" s="12">
        <v>0</v>
      </c>
      <c r="AH691" s="12" t="s">
        <v>8248</v>
      </c>
      <c r="AI691" s="12">
        <v>1</v>
      </c>
      <c r="AJ691" s="12">
        <v>1</v>
      </c>
      <c r="AK691" s="12">
        <v>0</v>
      </c>
      <c r="AL691" s="12">
        <v>0</v>
      </c>
      <c r="AM691" s="12"/>
      <c r="AN691" s="12">
        <v>0</v>
      </c>
      <c r="AO691" s="12">
        <v>0</v>
      </c>
      <c r="AP691" s="12">
        <v>0</v>
      </c>
      <c r="AQ691" s="12">
        <v>0</v>
      </c>
      <c r="AR691" s="12">
        <v>1</v>
      </c>
      <c r="AS691" s="12">
        <v>0</v>
      </c>
      <c r="AT691" s="12">
        <v>0</v>
      </c>
      <c r="AU691" s="12">
        <v>0</v>
      </c>
      <c r="AV691" s="12">
        <v>0</v>
      </c>
      <c r="AW691" s="12">
        <v>0</v>
      </c>
      <c r="AX691" s="12">
        <v>0</v>
      </c>
      <c r="AY691" s="12">
        <v>0</v>
      </c>
      <c r="AZ691" s="12" t="s">
        <v>4916</v>
      </c>
      <c r="BA691" s="12" t="s">
        <v>4911</v>
      </c>
      <c r="BB691" s="12">
        <v>0</v>
      </c>
      <c r="BC691" s="12">
        <v>0</v>
      </c>
      <c r="BD691" s="12">
        <v>0</v>
      </c>
      <c r="BE691" s="12">
        <v>0</v>
      </c>
      <c r="BF691" s="12">
        <v>0</v>
      </c>
      <c r="BI691" s="12">
        <v>0</v>
      </c>
      <c r="BJ691" s="12">
        <v>0</v>
      </c>
    </row>
    <row r="692" spans="1:62" ht="14" x14ac:dyDescent="0.15">
      <c r="A692" s="24" t="s">
        <v>7300</v>
      </c>
      <c r="B692" s="25" t="s">
        <v>7301</v>
      </c>
      <c r="C692" s="26" t="s">
        <v>7302</v>
      </c>
      <c r="D692" t="s">
        <v>7283</v>
      </c>
      <c r="E692" t="s">
        <v>7284</v>
      </c>
      <c r="F692"/>
      <c r="G692"/>
      <c r="H692"/>
      <c r="I692"/>
      <c r="J692"/>
      <c r="K692"/>
      <c r="L692" s="10">
        <v>3616644</v>
      </c>
      <c r="M692" s="10">
        <v>658266</v>
      </c>
      <c r="N692" s="12">
        <v>15</v>
      </c>
      <c r="O692" s="12" t="s">
        <v>4871</v>
      </c>
      <c r="P692" s="8" t="s">
        <v>7285</v>
      </c>
      <c r="Q692"/>
      <c r="R692"/>
      <c r="S692" t="s">
        <v>7298</v>
      </c>
      <c r="T692" s="12" t="s">
        <v>4896</v>
      </c>
      <c r="U692" s="12" t="s">
        <v>4897</v>
      </c>
      <c r="V692" s="12" t="s">
        <v>4898</v>
      </c>
      <c r="W692" s="12">
        <v>0</v>
      </c>
      <c r="X692" s="12">
        <v>0</v>
      </c>
      <c r="Y692" s="12">
        <v>0</v>
      </c>
      <c r="Z692" s="12">
        <v>1</v>
      </c>
      <c r="AA692" s="12">
        <v>1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2">
        <v>0</v>
      </c>
      <c r="AK692" s="12">
        <v>0</v>
      </c>
      <c r="AL692" s="12">
        <v>0</v>
      </c>
      <c r="AM692" s="12"/>
      <c r="AN692" s="12">
        <v>0</v>
      </c>
      <c r="AO692" s="12">
        <v>0</v>
      </c>
      <c r="AP692" s="12">
        <v>0</v>
      </c>
      <c r="AQ692" s="12">
        <v>0</v>
      </c>
      <c r="AR692" s="12">
        <v>0</v>
      </c>
      <c r="AS692" s="12">
        <v>0</v>
      </c>
      <c r="AT692" s="12">
        <v>0</v>
      </c>
      <c r="AU692" s="12">
        <v>0</v>
      </c>
      <c r="AV692" s="12">
        <v>0</v>
      </c>
      <c r="AW692" s="12">
        <v>0</v>
      </c>
      <c r="AX692" s="12">
        <v>0</v>
      </c>
      <c r="AY692" s="12">
        <v>0</v>
      </c>
      <c r="AZ692" s="12" t="s">
        <v>4916</v>
      </c>
      <c r="BA692" s="12" t="s">
        <v>4911</v>
      </c>
      <c r="BB692" s="12">
        <v>0</v>
      </c>
      <c r="BC692" s="12">
        <v>0</v>
      </c>
      <c r="BD692" s="12">
        <v>0</v>
      </c>
      <c r="BE692" s="12">
        <v>0</v>
      </c>
      <c r="BF692" s="12">
        <v>0</v>
      </c>
      <c r="BI692" s="12">
        <v>0</v>
      </c>
      <c r="BJ692" s="12">
        <v>0</v>
      </c>
    </row>
    <row r="693" spans="1:62" ht="14" x14ac:dyDescent="0.15">
      <c r="A693" s="24" t="s">
        <v>7303</v>
      </c>
      <c r="B693" s="25"/>
      <c r="C693" s="26" t="s">
        <v>7304</v>
      </c>
      <c r="D693" t="s">
        <v>7283</v>
      </c>
      <c r="E693" t="s">
        <v>7284</v>
      </c>
      <c r="F693"/>
      <c r="G693"/>
      <c r="H693"/>
      <c r="I693"/>
      <c r="J693"/>
      <c r="K693"/>
      <c r="L693" s="10">
        <v>3610612</v>
      </c>
      <c r="M693" s="10">
        <v>652286</v>
      </c>
      <c r="N693" s="12">
        <v>15</v>
      </c>
      <c r="O693" s="12" t="s">
        <v>6992</v>
      </c>
      <c r="P693" s="8" t="s">
        <v>7285</v>
      </c>
      <c r="Q693"/>
      <c r="R693"/>
      <c r="S693" t="s">
        <v>7283</v>
      </c>
      <c r="T693" s="12" t="s">
        <v>4896</v>
      </c>
      <c r="U693" s="12" t="s">
        <v>4897</v>
      </c>
      <c r="V693" s="12" t="s">
        <v>4898</v>
      </c>
      <c r="W693" s="12">
        <v>0</v>
      </c>
      <c r="X693" s="12">
        <v>0</v>
      </c>
      <c r="Y693" s="12">
        <v>0</v>
      </c>
      <c r="Z693" s="12"/>
      <c r="AA693" s="12"/>
      <c r="AB693" s="12"/>
      <c r="AC693" s="12"/>
      <c r="AD693" s="12">
        <v>0</v>
      </c>
      <c r="AE693" s="12">
        <v>0</v>
      </c>
      <c r="AF693" s="12">
        <v>0</v>
      </c>
      <c r="AG693" s="12">
        <v>0</v>
      </c>
      <c r="AH693" s="12">
        <v>0</v>
      </c>
      <c r="AI693" s="12">
        <v>0</v>
      </c>
      <c r="AJ693" s="12">
        <v>0</v>
      </c>
      <c r="AK693" s="12">
        <v>0</v>
      </c>
      <c r="AL693" s="12">
        <v>0</v>
      </c>
      <c r="AM693" s="12"/>
      <c r="AN693" s="12">
        <v>0</v>
      </c>
      <c r="AO693" s="12">
        <v>0</v>
      </c>
      <c r="AP693" s="12">
        <v>0</v>
      </c>
      <c r="AQ693" s="12">
        <v>0</v>
      </c>
      <c r="AR693" s="12">
        <v>0</v>
      </c>
      <c r="AS693" s="12">
        <v>0</v>
      </c>
      <c r="AT693" s="12">
        <v>0</v>
      </c>
      <c r="AU693" s="12">
        <v>0</v>
      </c>
      <c r="AV693" s="12">
        <v>0</v>
      </c>
      <c r="AW693" s="12">
        <v>0</v>
      </c>
      <c r="AX693" s="12">
        <v>0</v>
      </c>
      <c r="AY693" s="12">
        <v>0</v>
      </c>
      <c r="BB693" s="12">
        <v>0</v>
      </c>
      <c r="BC693" s="12">
        <v>0</v>
      </c>
      <c r="BD693" s="12">
        <v>0</v>
      </c>
      <c r="BE693" s="12">
        <v>0</v>
      </c>
      <c r="BF693" s="12">
        <v>0</v>
      </c>
      <c r="BI693" s="12">
        <v>0</v>
      </c>
      <c r="BJ693" s="12">
        <v>0</v>
      </c>
    </row>
    <row r="694" spans="1:62" ht="14" x14ac:dyDescent="0.15">
      <c r="A694" s="24" t="s">
        <v>7305</v>
      </c>
      <c r="B694"/>
      <c r="C694" s="26" t="s">
        <v>7306</v>
      </c>
      <c r="D694" t="s">
        <v>7283</v>
      </c>
      <c r="E694" t="s">
        <v>7284</v>
      </c>
      <c r="F694"/>
      <c r="G694"/>
      <c r="H694"/>
      <c r="I694"/>
      <c r="J694"/>
      <c r="K694"/>
      <c r="L694" s="10">
        <v>3600059</v>
      </c>
      <c r="M694" s="10">
        <v>649873</v>
      </c>
      <c r="N694" s="12">
        <v>15</v>
      </c>
      <c r="O694" s="12" t="s">
        <v>6992</v>
      </c>
      <c r="P694" s="8" t="s">
        <v>7285</v>
      </c>
      <c r="Q694"/>
      <c r="R694"/>
      <c r="S694" t="s">
        <v>7283</v>
      </c>
      <c r="T694" s="12" t="s">
        <v>4896</v>
      </c>
      <c r="U694" s="12" t="s">
        <v>4897</v>
      </c>
      <c r="V694" s="12" t="s">
        <v>4898</v>
      </c>
      <c r="W694" s="12">
        <v>0</v>
      </c>
      <c r="X694" s="12">
        <v>0</v>
      </c>
      <c r="Y694" s="12">
        <v>0</v>
      </c>
      <c r="Z694" s="12"/>
      <c r="AA694" s="12"/>
      <c r="AB694" s="12"/>
      <c r="AC694" s="12"/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2">
        <v>0</v>
      </c>
      <c r="AK694" s="12">
        <v>0</v>
      </c>
      <c r="AL694" s="12">
        <v>0</v>
      </c>
      <c r="AM694" s="12"/>
      <c r="AN694" s="12">
        <v>0</v>
      </c>
      <c r="AO694" s="12">
        <v>0</v>
      </c>
      <c r="AP694" s="12">
        <v>0</v>
      </c>
      <c r="AQ694" s="12">
        <v>0</v>
      </c>
      <c r="AR694" s="12">
        <v>0</v>
      </c>
      <c r="AS694" s="12">
        <v>0</v>
      </c>
      <c r="AT694" s="12">
        <v>0</v>
      </c>
      <c r="AU694" s="12">
        <v>0</v>
      </c>
      <c r="AV694" s="12">
        <v>0</v>
      </c>
      <c r="AW694" s="12">
        <v>0</v>
      </c>
      <c r="AX694" s="12">
        <v>0</v>
      </c>
      <c r="AY694" s="12">
        <v>0</v>
      </c>
      <c r="BB694" s="12">
        <v>0</v>
      </c>
      <c r="BC694" s="12">
        <v>0</v>
      </c>
      <c r="BD694" s="12">
        <v>0</v>
      </c>
      <c r="BE694" s="12">
        <v>0</v>
      </c>
      <c r="BF694" s="12">
        <v>0</v>
      </c>
      <c r="BI694" s="12">
        <v>0</v>
      </c>
      <c r="BJ694" s="12">
        <v>0</v>
      </c>
    </row>
    <row r="695" spans="1:62" ht="14" x14ac:dyDescent="0.15">
      <c r="A695" s="24" t="s">
        <v>7307</v>
      </c>
      <c r="B695" s="25" t="s">
        <v>7308</v>
      </c>
      <c r="C695" s="26" t="s">
        <v>7309</v>
      </c>
      <c r="D695" t="s">
        <v>7283</v>
      </c>
      <c r="E695" t="s">
        <v>7284</v>
      </c>
      <c r="F695"/>
      <c r="G695"/>
      <c r="H695"/>
      <c r="I695"/>
      <c r="J695"/>
      <c r="K695"/>
      <c r="L695" s="10">
        <v>3600787</v>
      </c>
      <c r="M695" s="10">
        <v>651296</v>
      </c>
      <c r="N695" s="12">
        <v>15</v>
      </c>
      <c r="O695" s="12" t="s">
        <v>4871</v>
      </c>
      <c r="P695" s="8" t="s">
        <v>7285</v>
      </c>
      <c r="Q695"/>
      <c r="R695"/>
      <c r="S695" t="s">
        <v>7283</v>
      </c>
      <c r="T695" s="12" t="s">
        <v>4896</v>
      </c>
      <c r="U695" s="12" t="s">
        <v>4897</v>
      </c>
      <c r="V695" s="12" t="s">
        <v>4898</v>
      </c>
      <c r="W695" s="12">
        <v>0</v>
      </c>
      <c r="X695" s="12">
        <v>0</v>
      </c>
      <c r="Y695" s="12">
        <v>0</v>
      </c>
      <c r="Z695" s="12">
        <v>1</v>
      </c>
      <c r="AA695" s="12">
        <v>1</v>
      </c>
      <c r="AB695" s="12">
        <v>0</v>
      </c>
      <c r="AC695" s="12">
        <v>0</v>
      </c>
      <c r="AD695" s="12">
        <v>0</v>
      </c>
      <c r="AE695" s="12">
        <v>0</v>
      </c>
      <c r="AF695" s="12">
        <v>0</v>
      </c>
      <c r="AG695" s="12">
        <v>0</v>
      </c>
      <c r="AH695" s="12">
        <v>0</v>
      </c>
      <c r="AI695" s="12">
        <v>0</v>
      </c>
      <c r="AJ695" s="12">
        <v>0</v>
      </c>
      <c r="AK695" s="12">
        <v>0</v>
      </c>
      <c r="AL695" s="12">
        <v>0</v>
      </c>
      <c r="AM695" s="12"/>
      <c r="AN695" s="12">
        <v>0</v>
      </c>
      <c r="AO695" s="12">
        <v>0</v>
      </c>
      <c r="AP695" s="12">
        <v>0</v>
      </c>
      <c r="AQ695" s="12">
        <v>0</v>
      </c>
      <c r="AR695" s="12">
        <v>0</v>
      </c>
      <c r="AS695" s="12">
        <v>0</v>
      </c>
      <c r="AT695" s="12">
        <v>0</v>
      </c>
      <c r="AU695" s="12">
        <v>0</v>
      </c>
      <c r="AV695" s="12">
        <v>0</v>
      </c>
      <c r="AW695" s="12">
        <v>0</v>
      </c>
      <c r="AX695" s="12">
        <v>0</v>
      </c>
      <c r="AY695" s="12">
        <v>0</v>
      </c>
      <c r="AZ695" s="12" t="s">
        <v>4916</v>
      </c>
      <c r="BA695" s="12" t="s">
        <v>4911</v>
      </c>
      <c r="BB695" s="12">
        <v>0</v>
      </c>
      <c r="BC695" s="12">
        <v>0</v>
      </c>
      <c r="BD695" s="12">
        <v>0</v>
      </c>
      <c r="BE695" s="12">
        <v>0</v>
      </c>
      <c r="BF695" s="12">
        <v>0</v>
      </c>
      <c r="BI695" s="12">
        <v>0</v>
      </c>
      <c r="BJ695" s="12">
        <v>0</v>
      </c>
    </row>
    <row r="696" spans="1:62" ht="14" x14ac:dyDescent="0.15">
      <c r="A696" s="24" t="s">
        <v>7310</v>
      </c>
      <c r="B696" s="25" t="s">
        <v>7311</v>
      </c>
      <c r="C696" s="26" t="s">
        <v>7312</v>
      </c>
      <c r="D696" t="s">
        <v>7283</v>
      </c>
      <c r="E696" t="s">
        <v>7284</v>
      </c>
      <c r="F696"/>
      <c r="G696"/>
      <c r="H696"/>
      <c r="I696"/>
      <c r="J696"/>
      <c r="K696"/>
      <c r="L696" s="10">
        <v>3596641</v>
      </c>
      <c r="M696" s="10">
        <v>642334</v>
      </c>
      <c r="N696" s="12">
        <v>15</v>
      </c>
      <c r="O696" s="12" t="s">
        <v>6992</v>
      </c>
      <c r="P696" s="8" t="s">
        <v>7285</v>
      </c>
      <c r="Q696"/>
      <c r="R696"/>
      <c r="S696" t="s">
        <v>7283</v>
      </c>
      <c r="T696" s="12" t="s">
        <v>5283</v>
      </c>
      <c r="U696" s="12" t="s">
        <v>4897</v>
      </c>
      <c r="V696" s="12" t="s">
        <v>5016</v>
      </c>
      <c r="W696" s="12">
        <v>0</v>
      </c>
      <c r="X696" s="12">
        <v>0</v>
      </c>
      <c r="Y696" s="12">
        <v>0</v>
      </c>
      <c r="Z696" s="12">
        <v>1</v>
      </c>
      <c r="AA696" s="12">
        <v>1</v>
      </c>
      <c r="AB696" s="12">
        <v>1</v>
      </c>
      <c r="AC696" s="12">
        <v>0</v>
      </c>
      <c r="AD696" s="12">
        <f>VLOOKUP(C696,'[1]Phillips 1970 - Baytown'!A$1:B$65536,2,FALSE)</f>
        <v>1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2">
        <v>0</v>
      </c>
      <c r="AK696" s="12">
        <v>0</v>
      </c>
      <c r="AL696" s="12">
        <v>0</v>
      </c>
      <c r="AM696" s="12"/>
      <c r="AN696" s="12">
        <v>0</v>
      </c>
      <c r="AO696" s="12">
        <v>0</v>
      </c>
      <c r="AP696" s="12">
        <v>0</v>
      </c>
      <c r="AQ696" s="12">
        <v>0</v>
      </c>
      <c r="AR696" s="12">
        <v>0</v>
      </c>
      <c r="AS696" s="12">
        <v>0</v>
      </c>
      <c r="AT696" s="12">
        <v>0</v>
      </c>
      <c r="AU696" s="12">
        <v>0</v>
      </c>
      <c r="AV696" s="12">
        <v>0</v>
      </c>
      <c r="AW696" s="12">
        <v>0</v>
      </c>
      <c r="AX696" s="12">
        <v>0</v>
      </c>
      <c r="AY696" s="12">
        <v>0</v>
      </c>
      <c r="BB696" s="12">
        <v>0</v>
      </c>
      <c r="BC696" s="12">
        <v>0</v>
      </c>
      <c r="BD696" s="12">
        <v>0</v>
      </c>
      <c r="BE696" s="12">
        <v>0</v>
      </c>
      <c r="BF696" s="12">
        <v>0</v>
      </c>
      <c r="BI696" s="12">
        <v>0</v>
      </c>
      <c r="BJ696" s="12">
        <v>0</v>
      </c>
    </row>
    <row r="697" spans="1:62" ht="14" x14ac:dyDescent="0.15">
      <c r="A697" s="24" t="s">
        <v>7313</v>
      </c>
      <c r="B697" s="25" t="s">
        <v>7314</v>
      </c>
      <c r="C697" s="26" t="s">
        <v>7315</v>
      </c>
      <c r="D697" t="s">
        <v>7283</v>
      </c>
      <c r="E697" t="s">
        <v>7284</v>
      </c>
      <c r="F697"/>
      <c r="G697"/>
      <c r="H697"/>
      <c r="I697"/>
      <c r="J697"/>
      <c r="K697"/>
      <c r="L697" s="10">
        <v>3575684</v>
      </c>
      <c r="M697" s="10">
        <v>642856</v>
      </c>
      <c r="N697" s="12">
        <v>15</v>
      </c>
      <c r="O697" s="12" t="s">
        <v>6992</v>
      </c>
      <c r="P697" s="8" t="s">
        <v>7316</v>
      </c>
      <c r="Q697"/>
      <c r="R697"/>
      <c r="S697" t="s">
        <v>7317</v>
      </c>
      <c r="T697" s="12" t="s">
        <v>4896</v>
      </c>
      <c r="U697" s="12" t="s">
        <v>4897</v>
      </c>
      <c r="V697" s="12" t="s">
        <v>4898</v>
      </c>
      <c r="W697" s="12">
        <v>0</v>
      </c>
      <c r="X697" s="12">
        <v>0</v>
      </c>
      <c r="Y697" s="12">
        <v>0</v>
      </c>
      <c r="Z697" s="12">
        <v>1</v>
      </c>
      <c r="AA697" s="12">
        <v>1</v>
      </c>
      <c r="AB697" s="12">
        <v>0</v>
      </c>
      <c r="AC697" s="12">
        <v>0</v>
      </c>
      <c r="AD697" s="12">
        <f>VLOOKUP(C697,'[1]Phillips 1970 - Baytown'!A$1:B$65536,2,FALSE)</f>
        <v>1</v>
      </c>
      <c r="AE697" s="12">
        <f>VLOOKUP(C697,'[1]Phillips 1970 - coles creek'!A$1:B$65536,2,FALSE)</f>
        <v>1</v>
      </c>
      <c r="AF697" s="12">
        <v>0</v>
      </c>
      <c r="AG697" s="12">
        <v>0</v>
      </c>
      <c r="AH697" s="12">
        <v>12</v>
      </c>
      <c r="AI697" s="12">
        <v>12</v>
      </c>
      <c r="AJ697" s="12">
        <v>1</v>
      </c>
      <c r="AK697" s="12">
        <v>1</v>
      </c>
      <c r="AL697" s="12">
        <v>0</v>
      </c>
      <c r="AM697" s="12"/>
      <c r="AN697" s="12">
        <v>0</v>
      </c>
      <c r="AO697" s="12">
        <v>0</v>
      </c>
      <c r="AP697" s="12">
        <v>0</v>
      </c>
      <c r="AQ697" s="12">
        <v>1</v>
      </c>
      <c r="AR697" s="12">
        <v>1</v>
      </c>
      <c r="AS697" s="12">
        <v>0</v>
      </c>
      <c r="AT697" s="12">
        <v>0</v>
      </c>
      <c r="AU697" s="12">
        <v>0</v>
      </c>
      <c r="AV697" s="12">
        <v>0</v>
      </c>
      <c r="AW697" s="12">
        <v>0</v>
      </c>
      <c r="AX697" s="12">
        <v>0</v>
      </c>
      <c r="AY697" s="12">
        <v>0</v>
      </c>
      <c r="AZ697" s="12" t="s">
        <v>4172</v>
      </c>
      <c r="BA697" s="12" t="s">
        <v>4911</v>
      </c>
      <c r="BB697" s="12">
        <v>1</v>
      </c>
      <c r="BC697" s="12">
        <v>0</v>
      </c>
      <c r="BD697" s="12">
        <v>0</v>
      </c>
      <c r="BE697" s="12">
        <v>0</v>
      </c>
      <c r="BF697" s="12">
        <v>0</v>
      </c>
      <c r="BI697" s="12">
        <v>0</v>
      </c>
      <c r="BJ697" s="12">
        <v>0</v>
      </c>
    </row>
    <row r="698" spans="1:62" ht="14" x14ac:dyDescent="0.15">
      <c r="A698" s="24" t="s">
        <v>7318</v>
      </c>
      <c r="B698" s="25" t="s">
        <v>7319</v>
      </c>
      <c r="C698" s="26" t="s">
        <v>7320</v>
      </c>
      <c r="D698" t="s">
        <v>7283</v>
      </c>
      <c r="E698" t="s">
        <v>7284</v>
      </c>
      <c r="F698"/>
      <c r="G698"/>
      <c r="H698"/>
      <c r="I698"/>
      <c r="J698"/>
      <c r="K698"/>
      <c r="L698" s="10">
        <v>3575684</v>
      </c>
      <c r="M698" s="10">
        <v>640516</v>
      </c>
      <c r="N698" s="12">
        <v>15</v>
      </c>
      <c r="O698" s="12" t="s">
        <v>6992</v>
      </c>
      <c r="P698" s="8" t="s">
        <v>7321</v>
      </c>
      <c r="Q698"/>
      <c r="R698"/>
      <c r="S698" t="s">
        <v>7283</v>
      </c>
      <c r="T698" s="12" t="s">
        <v>4915</v>
      </c>
      <c r="U698" s="12" t="s">
        <v>4897</v>
      </c>
      <c r="V698" s="12" t="s">
        <v>5018</v>
      </c>
      <c r="W698" s="12">
        <v>0</v>
      </c>
      <c r="X698" s="12">
        <v>0</v>
      </c>
      <c r="Y698" s="12">
        <v>0</v>
      </c>
      <c r="Z698" s="12">
        <v>1</v>
      </c>
      <c r="AA698" s="12">
        <v>1</v>
      </c>
      <c r="AB698" s="12">
        <v>1</v>
      </c>
      <c r="AC698" s="12">
        <v>1</v>
      </c>
      <c r="AD698" s="12">
        <f>VLOOKUP(C698,'[1]Phillips 1970 - Baytown'!A$1:B$65536,2,FALSE)</f>
        <v>1</v>
      </c>
      <c r="AE698" s="12">
        <v>1</v>
      </c>
      <c r="AF698" s="12">
        <v>1</v>
      </c>
      <c r="AG698" s="12">
        <v>1</v>
      </c>
      <c r="AH698" s="12">
        <v>1</v>
      </c>
      <c r="AI698" s="12">
        <v>1</v>
      </c>
      <c r="AJ698" s="12">
        <v>1</v>
      </c>
      <c r="AK698" s="12">
        <v>0</v>
      </c>
      <c r="AL698" s="12">
        <v>0</v>
      </c>
      <c r="AM698" s="12"/>
      <c r="AN698" s="12">
        <v>0</v>
      </c>
      <c r="AO698" s="12">
        <v>0</v>
      </c>
      <c r="AP698" s="12">
        <v>0</v>
      </c>
      <c r="AQ698" s="12">
        <v>0</v>
      </c>
      <c r="AR698" s="12">
        <v>0</v>
      </c>
      <c r="AS698" s="12">
        <v>0</v>
      </c>
      <c r="AT698" s="12">
        <v>1</v>
      </c>
      <c r="AU698" s="12">
        <v>0</v>
      </c>
      <c r="AV698" s="12">
        <v>0</v>
      </c>
      <c r="AW698" s="12">
        <v>0</v>
      </c>
      <c r="AX698" s="12">
        <v>0</v>
      </c>
      <c r="AY698" s="12">
        <v>0</v>
      </c>
      <c r="BB698" s="12">
        <v>0</v>
      </c>
      <c r="BC698" s="12">
        <v>0</v>
      </c>
      <c r="BD698" s="12">
        <v>0</v>
      </c>
      <c r="BE698" s="12">
        <v>0</v>
      </c>
      <c r="BF698" s="12">
        <v>0</v>
      </c>
      <c r="BI698" s="12">
        <v>0</v>
      </c>
      <c r="BJ698" s="12">
        <v>0</v>
      </c>
    </row>
    <row r="699" spans="1:62" ht="14" x14ac:dyDescent="0.15">
      <c r="A699" s="24" t="s">
        <v>7322</v>
      </c>
      <c r="B699" s="25" t="s">
        <v>7323</v>
      </c>
      <c r="C699" s="26" t="s">
        <v>3481</v>
      </c>
      <c r="D699" t="s">
        <v>7283</v>
      </c>
      <c r="E699" t="s">
        <v>7284</v>
      </c>
      <c r="F699"/>
      <c r="G699"/>
      <c r="H699"/>
      <c r="I699"/>
      <c r="J699"/>
      <c r="K699"/>
      <c r="L699" s="10">
        <v>3595131</v>
      </c>
      <c r="M699" s="10">
        <v>651250</v>
      </c>
      <c r="N699" s="12">
        <v>15</v>
      </c>
      <c r="O699" s="12" t="s">
        <v>6992</v>
      </c>
      <c r="P699" s="8" t="s">
        <v>7285</v>
      </c>
      <c r="Q699"/>
      <c r="R699"/>
      <c r="S699" t="s">
        <v>3482</v>
      </c>
      <c r="T699" s="12" t="s">
        <v>4896</v>
      </c>
      <c r="U699" s="12" t="s">
        <v>4897</v>
      </c>
      <c r="V699" s="12" t="s">
        <v>4898</v>
      </c>
      <c r="W699" s="12">
        <v>0</v>
      </c>
      <c r="X699" s="12">
        <v>0</v>
      </c>
      <c r="Y699" s="12">
        <v>0</v>
      </c>
      <c r="Z699" s="12">
        <v>1</v>
      </c>
      <c r="AA699" s="12">
        <v>1</v>
      </c>
      <c r="AB699" s="12">
        <v>0</v>
      </c>
      <c r="AC699" s="12">
        <v>0</v>
      </c>
      <c r="AD699" s="12">
        <v>0</v>
      </c>
      <c r="AE699" s="12">
        <v>0</v>
      </c>
      <c r="AF699" s="12">
        <v>0</v>
      </c>
      <c r="AG699" s="12">
        <v>0</v>
      </c>
      <c r="AH699" s="12">
        <v>0</v>
      </c>
      <c r="AI699" s="12">
        <v>0</v>
      </c>
      <c r="AJ699" s="12">
        <v>0</v>
      </c>
      <c r="AK699" s="12">
        <v>0</v>
      </c>
      <c r="AL699" s="12">
        <v>0</v>
      </c>
      <c r="AM699" s="12"/>
      <c r="AN699" s="12">
        <v>0</v>
      </c>
      <c r="AO699" s="12">
        <v>0</v>
      </c>
      <c r="AP699" s="12">
        <v>0</v>
      </c>
      <c r="AQ699" s="12">
        <v>0</v>
      </c>
      <c r="AR699" s="12">
        <v>0</v>
      </c>
      <c r="AS699" s="12">
        <v>0</v>
      </c>
      <c r="AT699" s="12">
        <v>0</v>
      </c>
      <c r="AU699" s="12">
        <v>0</v>
      </c>
      <c r="AV699" s="12">
        <v>0</v>
      </c>
      <c r="AW699" s="12">
        <v>0</v>
      </c>
      <c r="AX699" s="12">
        <v>0</v>
      </c>
      <c r="AY699" s="12">
        <v>0</v>
      </c>
      <c r="AZ699" s="12" t="s">
        <v>4916</v>
      </c>
      <c r="BA699" s="12" t="s">
        <v>4911</v>
      </c>
      <c r="BB699" s="12">
        <v>0</v>
      </c>
      <c r="BC699" s="12">
        <v>0</v>
      </c>
      <c r="BD699" s="12">
        <v>0</v>
      </c>
      <c r="BE699" s="12">
        <v>0</v>
      </c>
      <c r="BF699" s="12">
        <v>0</v>
      </c>
      <c r="BI699" s="12">
        <v>0</v>
      </c>
      <c r="BJ699" s="12">
        <v>0</v>
      </c>
    </row>
    <row r="700" spans="1:62" ht="14" x14ac:dyDescent="0.15">
      <c r="A700" s="24" t="s">
        <v>3483</v>
      </c>
      <c r="B700" s="25" t="s">
        <v>3484</v>
      </c>
      <c r="C700" s="26" t="s">
        <v>3485</v>
      </c>
      <c r="D700" t="s">
        <v>7283</v>
      </c>
      <c r="E700" t="s">
        <v>7284</v>
      </c>
      <c r="F700"/>
      <c r="G700"/>
      <c r="H700"/>
      <c r="I700"/>
      <c r="J700"/>
      <c r="K700"/>
      <c r="L700" s="10">
        <v>3565632</v>
      </c>
      <c r="M700" s="10">
        <v>633360</v>
      </c>
      <c r="N700" s="12">
        <v>15</v>
      </c>
      <c r="O700" s="12" t="s">
        <v>6992</v>
      </c>
      <c r="P700" s="8" t="s">
        <v>7285</v>
      </c>
      <c r="Q700"/>
      <c r="R700"/>
      <c r="S700" t="s">
        <v>7283</v>
      </c>
      <c r="T700" s="12" t="s">
        <v>4896</v>
      </c>
      <c r="U700" s="12" t="s">
        <v>4897</v>
      </c>
      <c r="V700" s="12" t="s">
        <v>4898</v>
      </c>
      <c r="W700" s="12">
        <v>0</v>
      </c>
      <c r="X700" s="12">
        <v>0</v>
      </c>
      <c r="Y700" s="12">
        <v>0</v>
      </c>
      <c r="Z700" s="12">
        <v>1</v>
      </c>
      <c r="AA700" s="12">
        <v>1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2">
        <v>0</v>
      </c>
      <c r="AK700" s="12">
        <v>0</v>
      </c>
      <c r="AL700" s="12">
        <v>0</v>
      </c>
      <c r="AM700" s="12"/>
      <c r="AN700" s="12">
        <v>0</v>
      </c>
      <c r="AO700" s="12">
        <v>0</v>
      </c>
      <c r="AP700" s="12">
        <v>0</v>
      </c>
      <c r="AQ700" s="12">
        <v>0</v>
      </c>
      <c r="AR700" s="12">
        <v>0</v>
      </c>
      <c r="AS700" s="12">
        <v>0</v>
      </c>
      <c r="AT700" s="12">
        <v>0</v>
      </c>
      <c r="AU700" s="12">
        <v>0</v>
      </c>
      <c r="AV700" s="12">
        <v>0</v>
      </c>
      <c r="AW700" s="12">
        <v>0</v>
      </c>
      <c r="AX700" s="12">
        <v>0</v>
      </c>
      <c r="AY700" s="12">
        <v>0</v>
      </c>
      <c r="BB700" s="12">
        <v>0</v>
      </c>
      <c r="BC700" s="12">
        <v>0</v>
      </c>
      <c r="BD700" s="12">
        <v>0</v>
      </c>
      <c r="BE700" s="12">
        <v>0</v>
      </c>
      <c r="BF700" s="12">
        <v>0</v>
      </c>
      <c r="BI700" s="12">
        <v>0</v>
      </c>
      <c r="BJ700" s="12">
        <v>0</v>
      </c>
    </row>
    <row r="701" spans="1:62" ht="14" x14ac:dyDescent="0.15">
      <c r="A701" s="24" t="s">
        <v>3486</v>
      </c>
      <c r="B701" s="25" t="s">
        <v>3487</v>
      </c>
      <c r="C701" s="26" t="s">
        <v>3488</v>
      </c>
      <c r="D701" t="s">
        <v>7283</v>
      </c>
      <c r="E701" t="s">
        <v>7284</v>
      </c>
      <c r="F701"/>
      <c r="G701"/>
      <c r="H701"/>
      <c r="I701"/>
      <c r="J701"/>
      <c r="K701"/>
      <c r="L701" s="10">
        <v>3604372</v>
      </c>
      <c r="M701" s="10">
        <v>653108</v>
      </c>
      <c r="N701" s="12">
        <v>15</v>
      </c>
      <c r="O701" s="12" t="s">
        <v>6992</v>
      </c>
      <c r="P701" s="8" t="s">
        <v>7285</v>
      </c>
      <c r="Q701"/>
      <c r="R701"/>
      <c r="S701" t="s">
        <v>7283</v>
      </c>
      <c r="T701" s="12" t="s">
        <v>4896</v>
      </c>
      <c r="U701" s="12" t="s">
        <v>4897</v>
      </c>
      <c r="V701" s="12" t="s">
        <v>4898</v>
      </c>
      <c r="W701" s="12">
        <v>0</v>
      </c>
      <c r="X701" s="12">
        <v>0</v>
      </c>
      <c r="Y701" s="12">
        <v>0</v>
      </c>
      <c r="Z701" s="12">
        <v>1</v>
      </c>
      <c r="AA701" s="12">
        <v>1</v>
      </c>
      <c r="AB701" s="12">
        <v>0</v>
      </c>
      <c r="AC701" s="12">
        <v>0</v>
      </c>
      <c r="AD701" s="12">
        <v>0</v>
      </c>
      <c r="AE701" s="12">
        <v>0</v>
      </c>
      <c r="AF701" s="12">
        <v>0</v>
      </c>
      <c r="AG701" s="12">
        <v>0</v>
      </c>
      <c r="AH701" s="12">
        <v>0</v>
      </c>
      <c r="AI701" s="12">
        <v>0</v>
      </c>
      <c r="AJ701" s="12">
        <v>0</v>
      </c>
      <c r="AK701" s="12">
        <v>0</v>
      </c>
      <c r="AL701" s="12">
        <v>0</v>
      </c>
      <c r="AM701" s="12"/>
      <c r="AN701" s="12">
        <v>0</v>
      </c>
      <c r="AO701" s="12">
        <v>0</v>
      </c>
      <c r="AP701" s="12">
        <v>0</v>
      </c>
      <c r="AQ701" s="12">
        <v>0</v>
      </c>
      <c r="AR701" s="12">
        <v>0</v>
      </c>
      <c r="AS701" s="12">
        <v>0</v>
      </c>
      <c r="AT701" s="12">
        <v>0</v>
      </c>
      <c r="AU701" s="12">
        <v>0</v>
      </c>
      <c r="AV701" s="12">
        <v>0</v>
      </c>
      <c r="AW701" s="12">
        <v>0</v>
      </c>
      <c r="AX701" s="12">
        <v>0</v>
      </c>
      <c r="AY701" s="12">
        <v>0</v>
      </c>
      <c r="BB701" s="12">
        <v>0</v>
      </c>
      <c r="BC701" s="12">
        <v>0</v>
      </c>
      <c r="BD701" s="12">
        <v>0</v>
      </c>
      <c r="BE701" s="12">
        <v>0</v>
      </c>
      <c r="BF701" s="12">
        <v>0</v>
      </c>
      <c r="BI701" s="12">
        <v>0</v>
      </c>
      <c r="BJ701" s="12">
        <v>0</v>
      </c>
    </row>
    <row r="702" spans="1:62" ht="14" x14ac:dyDescent="0.15">
      <c r="A702" s="24" t="s">
        <v>3489</v>
      </c>
      <c r="B702" s="25" t="s">
        <v>3490</v>
      </c>
      <c r="C702" s="26" t="s">
        <v>3491</v>
      </c>
      <c r="D702" t="s">
        <v>7283</v>
      </c>
      <c r="E702" t="s">
        <v>3492</v>
      </c>
      <c r="F702"/>
      <c r="G702"/>
      <c r="H702"/>
      <c r="I702"/>
      <c r="J702"/>
      <c r="K702"/>
      <c r="L702" s="10">
        <v>3649552</v>
      </c>
      <c r="M702" s="10">
        <v>625586</v>
      </c>
      <c r="N702" s="12">
        <v>15</v>
      </c>
      <c r="O702" s="12" t="s">
        <v>6992</v>
      </c>
      <c r="P702" s="8" t="s">
        <v>3493</v>
      </c>
      <c r="Q702"/>
      <c r="R702"/>
      <c r="S702" t="s">
        <v>7283</v>
      </c>
      <c r="T702" s="12" t="s">
        <v>4896</v>
      </c>
      <c r="U702" s="12" t="s">
        <v>4897</v>
      </c>
      <c r="V702" s="12" t="s">
        <v>4898</v>
      </c>
      <c r="W702" s="12">
        <v>0</v>
      </c>
      <c r="X702" s="12">
        <v>0</v>
      </c>
      <c r="Y702" s="12">
        <v>0</v>
      </c>
      <c r="Z702" s="12">
        <v>1</v>
      </c>
      <c r="AA702" s="12">
        <v>1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2</v>
      </c>
      <c r="AI702" s="12">
        <v>2</v>
      </c>
      <c r="AJ702" s="12">
        <v>1</v>
      </c>
      <c r="AK702" s="12">
        <v>1</v>
      </c>
      <c r="AL702" s="12">
        <v>0</v>
      </c>
      <c r="AM702" s="12"/>
      <c r="AN702" s="12">
        <v>0</v>
      </c>
      <c r="AO702" s="12">
        <v>0</v>
      </c>
      <c r="AP702" s="12">
        <v>0</v>
      </c>
      <c r="AQ702" s="12">
        <v>0</v>
      </c>
      <c r="AR702" s="12">
        <v>1</v>
      </c>
      <c r="AS702" s="12">
        <v>0</v>
      </c>
      <c r="AT702" s="12">
        <v>0</v>
      </c>
      <c r="AU702" s="12">
        <v>0</v>
      </c>
      <c r="AV702" s="12">
        <v>0</v>
      </c>
      <c r="AW702" s="12">
        <v>0</v>
      </c>
      <c r="AX702" s="12">
        <v>0</v>
      </c>
      <c r="AY702" s="12">
        <v>0</v>
      </c>
      <c r="BD702" s="12">
        <v>0</v>
      </c>
      <c r="BE702" s="12">
        <v>0</v>
      </c>
      <c r="BF702" s="12">
        <v>0</v>
      </c>
      <c r="BI702" s="12">
        <v>0</v>
      </c>
      <c r="BJ702" s="12">
        <v>0</v>
      </c>
    </row>
    <row r="703" spans="1:62" ht="14" x14ac:dyDescent="0.15">
      <c r="A703" s="24" t="s">
        <v>3494</v>
      </c>
      <c r="B703" s="25" t="s">
        <v>3495</v>
      </c>
      <c r="C703" s="26" t="s">
        <v>3496</v>
      </c>
      <c r="D703" t="s">
        <v>7283</v>
      </c>
      <c r="E703" t="s">
        <v>3492</v>
      </c>
      <c r="F703"/>
      <c r="G703"/>
      <c r="H703"/>
      <c r="I703"/>
      <c r="J703"/>
      <c r="K703"/>
      <c r="L703" s="10">
        <v>3624089</v>
      </c>
      <c r="M703" s="10">
        <v>631948</v>
      </c>
      <c r="N703" s="12">
        <v>15</v>
      </c>
      <c r="O703" s="12" t="s">
        <v>6992</v>
      </c>
      <c r="P703" s="8" t="s">
        <v>3497</v>
      </c>
      <c r="Q703"/>
      <c r="R703"/>
      <c r="S703" t="s">
        <v>7289</v>
      </c>
      <c r="T703" s="12" t="s">
        <v>4896</v>
      </c>
      <c r="U703" s="12" t="s">
        <v>4897</v>
      </c>
      <c r="V703" s="12" t="s">
        <v>4898</v>
      </c>
      <c r="W703" s="12">
        <v>0</v>
      </c>
      <c r="X703" s="12">
        <v>0</v>
      </c>
      <c r="Y703" s="12">
        <v>0</v>
      </c>
      <c r="Z703" s="12">
        <v>1</v>
      </c>
      <c r="AA703" s="12">
        <v>1</v>
      </c>
      <c r="AB703" s="12">
        <v>0</v>
      </c>
      <c r="AC703" s="12">
        <v>0</v>
      </c>
      <c r="AD703" s="12">
        <v>0</v>
      </c>
      <c r="AE703" s="12">
        <v>0</v>
      </c>
      <c r="AF703" s="12">
        <v>0</v>
      </c>
      <c r="AG703" s="12">
        <v>0</v>
      </c>
      <c r="AH703" s="12">
        <v>0</v>
      </c>
      <c r="AI703" s="12">
        <v>0</v>
      </c>
      <c r="AJ703" s="12">
        <v>0</v>
      </c>
      <c r="AK703" s="12">
        <v>0</v>
      </c>
      <c r="AL703" s="12">
        <v>0</v>
      </c>
      <c r="AM703" s="12"/>
      <c r="AN703" s="12">
        <v>0</v>
      </c>
      <c r="AO703" s="12">
        <v>0</v>
      </c>
      <c r="AP703" s="12">
        <v>0</v>
      </c>
      <c r="AQ703" s="12">
        <v>0</v>
      </c>
      <c r="AR703" s="12">
        <v>0</v>
      </c>
      <c r="AS703" s="12">
        <v>0</v>
      </c>
      <c r="AT703" s="12">
        <v>0</v>
      </c>
      <c r="AU703" s="12">
        <v>0</v>
      </c>
      <c r="AV703" s="12">
        <v>0</v>
      </c>
      <c r="AW703" s="12">
        <v>0</v>
      </c>
      <c r="AX703" s="12">
        <v>0</v>
      </c>
      <c r="AY703" s="12">
        <v>0</v>
      </c>
      <c r="BB703" s="12">
        <v>0</v>
      </c>
      <c r="BC703" s="12">
        <v>0</v>
      </c>
      <c r="BD703" s="12">
        <v>0</v>
      </c>
      <c r="BE703" s="12">
        <v>0</v>
      </c>
      <c r="BF703" s="12">
        <v>0</v>
      </c>
      <c r="BI703" s="12">
        <v>0</v>
      </c>
      <c r="BJ703" s="12">
        <v>0</v>
      </c>
    </row>
    <row r="704" spans="1:62" ht="14" x14ac:dyDescent="0.15">
      <c r="A704" s="24" t="s">
        <v>3498</v>
      </c>
      <c r="B704" s="25" t="s">
        <v>3499</v>
      </c>
      <c r="C704" s="26" t="s">
        <v>1122</v>
      </c>
      <c r="D704" t="s">
        <v>7283</v>
      </c>
      <c r="E704" t="s">
        <v>3492</v>
      </c>
      <c r="F704"/>
      <c r="G704"/>
      <c r="H704"/>
      <c r="I704"/>
      <c r="J704"/>
      <c r="K704"/>
      <c r="L704" s="10">
        <v>3614561</v>
      </c>
      <c r="M704" s="10">
        <v>623872</v>
      </c>
      <c r="N704" s="12">
        <v>15</v>
      </c>
      <c r="O704" s="12" t="s">
        <v>6992</v>
      </c>
      <c r="P704" s="8" t="s">
        <v>3500</v>
      </c>
      <c r="Q704"/>
      <c r="R704"/>
      <c r="S704" t="s">
        <v>7283</v>
      </c>
      <c r="T704" s="12" t="s">
        <v>4896</v>
      </c>
      <c r="U704" s="12" t="s">
        <v>4897</v>
      </c>
      <c r="V704" s="12" t="s">
        <v>4898</v>
      </c>
      <c r="W704" s="12">
        <v>0</v>
      </c>
      <c r="X704" s="12">
        <v>0</v>
      </c>
      <c r="Y704" s="12">
        <v>0</v>
      </c>
      <c r="Z704" s="12">
        <v>1</v>
      </c>
      <c r="AA704" s="12">
        <v>1</v>
      </c>
      <c r="AB704" s="12">
        <v>0</v>
      </c>
      <c r="AC704" s="12">
        <v>0</v>
      </c>
      <c r="AD704" s="12">
        <v>0</v>
      </c>
      <c r="AE704" s="12">
        <f>VLOOKUP(C704,'[1]Phillips 1970 - coles creek'!A$1:B$65536,2,FALSE)</f>
        <v>1</v>
      </c>
      <c r="AF704" s="12">
        <f>VLOOKUP(C704,'[1]Phillips 1970 - Miss.'!A$1:B$65536,2,FALSE)</f>
        <v>1</v>
      </c>
      <c r="AG704" s="12">
        <v>1</v>
      </c>
      <c r="AH704" s="12">
        <v>0</v>
      </c>
      <c r="AI704" s="12">
        <v>0</v>
      </c>
      <c r="AJ704" s="12">
        <v>0</v>
      </c>
      <c r="AK704" s="12">
        <v>0</v>
      </c>
      <c r="AL704" s="12">
        <v>0</v>
      </c>
      <c r="AM704" s="12"/>
      <c r="AN704" s="12">
        <v>0</v>
      </c>
      <c r="AO704" s="12">
        <v>0</v>
      </c>
      <c r="AP704" s="12">
        <v>0</v>
      </c>
      <c r="AQ704" s="12">
        <v>0</v>
      </c>
      <c r="AR704" s="12">
        <v>0</v>
      </c>
      <c r="AS704" s="12">
        <v>0</v>
      </c>
      <c r="AT704" s="12">
        <v>0</v>
      </c>
      <c r="AU704" s="12">
        <v>0</v>
      </c>
      <c r="AV704" s="12">
        <v>0</v>
      </c>
      <c r="AW704" s="12">
        <v>0</v>
      </c>
      <c r="AX704" s="12">
        <v>0</v>
      </c>
      <c r="AY704" s="12">
        <v>0</v>
      </c>
      <c r="BB704" s="12">
        <v>0</v>
      </c>
      <c r="BC704" s="12">
        <v>0</v>
      </c>
      <c r="BD704" s="12">
        <v>0</v>
      </c>
      <c r="BE704" s="12">
        <v>0</v>
      </c>
      <c r="BF704" s="12">
        <v>0</v>
      </c>
      <c r="BI704" s="12">
        <v>0</v>
      </c>
      <c r="BJ704" s="12">
        <v>0</v>
      </c>
    </row>
    <row r="705" spans="1:62" ht="14" x14ac:dyDescent="0.15">
      <c r="A705" s="24" t="s">
        <v>3501</v>
      </c>
      <c r="B705" s="25" t="s">
        <v>3502</v>
      </c>
      <c r="C705" s="26" t="s">
        <v>3503</v>
      </c>
      <c r="D705" t="s">
        <v>7283</v>
      </c>
      <c r="E705" t="s">
        <v>3492</v>
      </c>
      <c r="F705"/>
      <c r="G705"/>
      <c r="H705"/>
      <c r="I705"/>
      <c r="J705"/>
      <c r="K705"/>
      <c r="L705" s="10">
        <v>3606527</v>
      </c>
      <c r="M705" s="10">
        <v>623869</v>
      </c>
      <c r="N705" s="12">
        <v>15</v>
      </c>
      <c r="O705" s="12" t="s">
        <v>6992</v>
      </c>
      <c r="P705" s="8" t="s">
        <v>7285</v>
      </c>
      <c r="Q705"/>
      <c r="R705"/>
      <c r="S705" t="s">
        <v>7298</v>
      </c>
      <c r="T705" s="12" t="s">
        <v>4896</v>
      </c>
      <c r="U705" s="12" t="s">
        <v>4897</v>
      </c>
      <c r="V705" s="12" t="s">
        <v>4898</v>
      </c>
      <c r="W705" s="12">
        <v>0</v>
      </c>
      <c r="X705" s="12">
        <v>0</v>
      </c>
      <c r="Y705" s="12">
        <v>0</v>
      </c>
      <c r="Z705" s="12">
        <v>1</v>
      </c>
      <c r="AA705" s="12">
        <v>1</v>
      </c>
      <c r="AB705" s="12">
        <v>0</v>
      </c>
      <c r="AC705" s="12">
        <v>0</v>
      </c>
      <c r="AD705" s="12">
        <v>0</v>
      </c>
      <c r="AE705" s="12">
        <v>0</v>
      </c>
      <c r="AF705" s="12">
        <v>0</v>
      </c>
      <c r="AG705" s="12">
        <v>0</v>
      </c>
      <c r="AH705" s="12">
        <v>0</v>
      </c>
      <c r="AI705" s="12">
        <v>0</v>
      </c>
      <c r="AJ705" s="12">
        <v>0</v>
      </c>
      <c r="AK705" s="12">
        <v>0</v>
      </c>
      <c r="AL705" s="12">
        <v>0</v>
      </c>
      <c r="AM705" s="12"/>
      <c r="AN705" s="12">
        <v>0</v>
      </c>
      <c r="AO705" s="12">
        <v>0</v>
      </c>
      <c r="AP705" s="12">
        <v>0</v>
      </c>
      <c r="AQ705" s="12">
        <v>0</v>
      </c>
      <c r="AR705" s="12">
        <v>0</v>
      </c>
      <c r="AS705" s="12">
        <v>0</v>
      </c>
      <c r="AT705" s="12">
        <v>0</v>
      </c>
      <c r="AU705" s="12">
        <v>0</v>
      </c>
      <c r="AV705" s="12">
        <v>0</v>
      </c>
      <c r="AW705" s="12">
        <v>0</v>
      </c>
      <c r="AX705" s="12">
        <v>0</v>
      </c>
      <c r="AY705" s="12">
        <v>0</v>
      </c>
      <c r="BB705" s="12">
        <v>0</v>
      </c>
      <c r="BC705" s="12">
        <v>0</v>
      </c>
      <c r="BD705" s="12">
        <v>0</v>
      </c>
      <c r="BE705" s="12">
        <v>0</v>
      </c>
      <c r="BF705" s="12">
        <v>0</v>
      </c>
      <c r="BI705" s="12">
        <v>0</v>
      </c>
      <c r="BJ705" s="12">
        <v>0</v>
      </c>
    </row>
    <row r="706" spans="1:62" ht="14" x14ac:dyDescent="0.15">
      <c r="A706" s="24" t="s">
        <v>3504</v>
      </c>
      <c r="B706" s="25" t="s">
        <v>3505</v>
      </c>
      <c r="C706" s="26" t="s">
        <v>3506</v>
      </c>
      <c r="D706" t="s">
        <v>7283</v>
      </c>
      <c r="E706" t="s">
        <v>3492</v>
      </c>
      <c r="F706"/>
      <c r="G706"/>
      <c r="H706"/>
      <c r="I706"/>
      <c r="J706"/>
      <c r="K706"/>
      <c r="L706" s="10">
        <v>3629233</v>
      </c>
      <c r="M706" s="10">
        <v>622185</v>
      </c>
      <c r="N706" s="12">
        <v>15</v>
      </c>
      <c r="O706" s="12" t="s">
        <v>6992</v>
      </c>
      <c r="P706" s="8" t="s">
        <v>7285</v>
      </c>
      <c r="Q706"/>
      <c r="R706"/>
      <c r="S706" t="s">
        <v>7283</v>
      </c>
      <c r="T706" s="12" t="s">
        <v>4896</v>
      </c>
      <c r="U706" s="12" t="s">
        <v>4897</v>
      </c>
      <c r="V706" s="12" t="s">
        <v>4898</v>
      </c>
      <c r="W706" s="12">
        <v>0</v>
      </c>
      <c r="X706" s="12">
        <v>0</v>
      </c>
      <c r="Y706" s="12">
        <v>0</v>
      </c>
      <c r="Z706" s="12">
        <v>1</v>
      </c>
      <c r="AA706" s="12">
        <v>1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2">
        <v>0</v>
      </c>
      <c r="AK706" s="12">
        <v>0</v>
      </c>
      <c r="AL706" s="12">
        <v>0</v>
      </c>
      <c r="AM706" s="12"/>
      <c r="AN706" s="12">
        <v>0</v>
      </c>
      <c r="AO706" s="12">
        <v>0</v>
      </c>
      <c r="AP706" s="12">
        <v>0</v>
      </c>
      <c r="AQ706" s="12">
        <v>0</v>
      </c>
      <c r="AR706" s="12">
        <v>0</v>
      </c>
      <c r="AS706" s="12">
        <v>0</v>
      </c>
      <c r="AT706" s="12">
        <v>0</v>
      </c>
      <c r="AU706" s="12">
        <v>0</v>
      </c>
      <c r="AV706" s="12">
        <v>0</v>
      </c>
      <c r="AW706" s="12">
        <v>0</v>
      </c>
      <c r="AX706" s="12">
        <v>0</v>
      </c>
      <c r="AY706" s="12">
        <v>0</v>
      </c>
      <c r="BB706" s="12">
        <v>0</v>
      </c>
      <c r="BC706" s="12">
        <v>0</v>
      </c>
      <c r="BD706" s="12">
        <v>0</v>
      </c>
      <c r="BE706" s="12">
        <v>0</v>
      </c>
      <c r="BF706" s="12">
        <v>0</v>
      </c>
      <c r="BI706" s="12">
        <v>0</v>
      </c>
      <c r="BJ706" s="12">
        <v>0</v>
      </c>
    </row>
    <row r="707" spans="1:62" ht="14" x14ac:dyDescent="0.15">
      <c r="A707" s="24" t="s">
        <v>3507</v>
      </c>
      <c r="B707" s="25" t="s">
        <v>3508</v>
      </c>
      <c r="C707" s="26" t="s">
        <v>3509</v>
      </c>
      <c r="D707" t="s">
        <v>7283</v>
      </c>
      <c r="E707" t="s">
        <v>3492</v>
      </c>
      <c r="F707"/>
      <c r="G707"/>
      <c r="H707"/>
      <c r="I707"/>
      <c r="J707"/>
      <c r="K707"/>
      <c r="L707" s="10">
        <v>3623666</v>
      </c>
      <c r="M707" s="10">
        <v>621137</v>
      </c>
      <c r="N707" s="12">
        <v>15</v>
      </c>
      <c r="O707" s="12" t="s">
        <v>6992</v>
      </c>
      <c r="P707" s="8" t="s">
        <v>7285</v>
      </c>
      <c r="Q707"/>
      <c r="R707"/>
      <c r="S707" t="s">
        <v>7283</v>
      </c>
      <c r="T707" s="12" t="s">
        <v>4896</v>
      </c>
      <c r="U707" s="12" t="s">
        <v>4897</v>
      </c>
      <c r="V707" s="12" t="s">
        <v>4898</v>
      </c>
      <c r="W707" s="12">
        <v>0</v>
      </c>
      <c r="X707" s="12">
        <v>0</v>
      </c>
      <c r="Y707" s="12">
        <v>0</v>
      </c>
      <c r="Z707" s="12">
        <v>1</v>
      </c>
      <c r="AA707" s="12">
        <v>1</v>
      </c>
      <c r="AB707" s="12">
        <v>0</v>
      </c>
      <c r="AC707" s="12">
        <v>0</v>
      </c>
      <c r="AD707" s="12">
        <v>0</v>
      </c>
      <c r="AE707" s="12">
        <v>0</v>
      </c>
      <c r="AF707" s="12">
        <v>0</v>
      </c>
      <c r="AG707" s="12">
        <v>0</v>
      </c>
      <c r="AH707" s="12">
        <v>0</v>
      </c>
      <c r="AI707" s="12">
        <v>0</v>
      </c>
      <c r="AJ707" s="12">
        <v>0</v>
      </c>
      <c r="AK707" s="12">
        <v>0</v>
      </c>
      <c r="AL707" s="12">
        <v>0</v>
      </c>
      <c r="AM707" s="12"/>
      <c r="AN707" s="12">
        <v>0</v>
      </c>
      <c r="AO707" s="12">
        <v>0</v>
      </c>
      <c r="AP707" s="12">
        <v>0</v>
      </c>
      <c r="AQ707" s="12">
        <v>0</v>
      </c>
      <c r="AR707" s="12">
        <v>0</v>
      </c>
      <c r="AS707" s="12">
        <v>0</v>
      </c>
      <c r="AT707" s="12">
        <v>0</v>
      </c>
      <c r="AU707" s="12">
        <v>0</v>
      </c>
      <c r="AV707" s="12">
        <v>0</v>
      </c>
      <c r="AW707" s="12">
        <v>0</v>
      </c>
      <c r="AX707" s="12">
        <v>0</v>
      </c>
      <c r="AY707" s="12">
        <v>0</v>
      </c>
      <c r="BB707" s="12">
        <v>0</v>
      </c>
      <c r="BC707" s="12">
        <v>0</v>
      </c>
      <c r="BD707" s="12">
        <v>0</v>
      </c>
      <c r="BE707" s="12">
        <v>0</v>
      </c>
      <c r="BF707" s="12">
        <v>0</v>
      </c>
      <c r="BI707" s="12">
        <v>0</v>
      </c>
      <c r="BJ707" s="12">
        <v>0</v>
      </c>
    </row>
    <row r="708" spans="1:62" ht="14" x14ac:dyDescent="0.15">
      <c r="A708" s="24" t="s">
        <v>3510</v>
      </c>
      <c r="B708" s="25" t="s">
        <v>3511</v>
      </c>
      <c r="C708" s="26" t="s">
        <v>3512</v>
      </c>
      <c r="D708" t="s">
        <v>7283</v>
      </c>
      <c r="E708" t="s">
        <v>3492</v>
      </c>
      <c r="F708"/>
      <c r="G708"/>
      <c r="H708"/>
      <c r="I708"/>
      <c r="J708"/>
      <c r="K708"/>
      <c r="L708" s="10">
        <v>3623278</v>
      </c>
      <c r="M708" s="10">
        <v>621644</v>
      </c>
      <c r="N708" s="12">
        <v>15</v>
      </c>
      <c r="O708" s="12" t="s">
        <v>6992</v>
      </c>
      <c r="P708" s="8" t="s">
        <v>7285</v>
      </c>
      <c r="Q708"/>
      <c r="R708"/>
      <c r="S708" t="s">
        <v>7283</v>
      </c>
      <c r="T708" s="12" t="s">
        <v>4896</v>
      </c>
      <c r="U708" s="12" t="s">
        <v>4897</v>
      </c>
      <c r="V708" s="12" t="s">
        <v>4898</v>
      </c>
      <c r="W708" s="12">
        <v>0</v>
      </c>
      <c r="X708" s="12">
        <v>0</v>
      </c>
      <c r="Y708" s="12">
        <v>0</v>
      </c>
      <c r="Z708" s="12">
        <v>1</v>
      </c>
      <c r="AA708" s="12">
        <v>1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2">
        <v>0</v>
      </c>
      <c r="AK708" s="12">
        <v>0</v>
      </c>
      <c r="AL708" s="12">
        <v>0</v>
      </c>
      <c r="AM708" s="12"/>
      <c r="AN708" s="12">
        <v>0</v>
      </c>
      <c r="AO708" s="12">
        <v>0</v>
      </c>
      <c r="AP708" s="12">
        <v>0</v>
      </c>
      <c r="AQ708" s="12">
        <v>0</v>
      </c>
      <c r="AR708" s="12">
        <v>0</v>
      </c>
      <c r="AS708" s="12">
        <v>0</v>
      </c>
      <c r="AT708" s="12">
        <v>0</v>
      </c>
      <c r="AU708" s="12">
        <v>0</v>
      </c>
      <c r="AV708" s="12">
        <v>0</v>
      </c>
      <c r="AW708" s="12">
        <v>0</v>
      </c>
      <c r="AX708" s="12">
        <v>0</v>
      </c>
      <c r="AY708" s="12">
        <v>0</v>
      </c>
      <c r="BB708" s="12">
        <v>0</v>
      </c>
      <c r="BC708" s="12">
        <v>0</v>
      </c>
      <c r="BD708" s="12">
        <v>0</v>
      </c>
      <c r="BE708" s="12">
        <v>0</v>
      </c>
      <c r="BF708" s="12">
        <v>0</v>
      </c>
      <c r="BI708" s="12">
        <v>0</v>
      </c>
      <c r="BJ708" s="12">
        <v>0</v>
      </c>
    </row>
    <row r="709" spans="1:62" ht="14" x14ac:dyDescent="0.15">
      <c r="A709" s="24" t="s">
        <v>3513</v>
      </c>
      <c r="B709" s="25" t="s">
        <v>3514</v>
      </c>
      <c r="C709" s="26" t="s">
        <v>3515</v>
      </c>
      <c r="D709" t="s">
        <v>7283</v>
      </c>
      <c r="E709" t="s">
        <v>3492</v>
      </c>
      <c r="F709"/>
      <c r="G709"/>
      <c r="H709"/>
      <c r="I709"/>
      <c r="J709"/>
      <c r="K709"/>
      <c r="L709" s="10">
        <v>3627154</v>
      </c>
      <c r="M709" s="10">
        <v>623065</v>
      </c>
      <c r="N709" s="12">
        <v>15</v>
      </c>
      <c r="O709" s="12" t="s">
        <v>6992</v>
      </c>
      <c r="P709" s="8" t="s">
        <v>3516</v>
      </c>
      <c r="Q709"/>
      <c r="R709"/>
      <c r="S709" t="s">
        <v>7283</v>
      </c>
      <c r="T709" s="12" t="s">
        <v>4896</v>
      </c>
      <c r="U709" s="12" t="s">
        <v>4897</v>
      </c>
      <c r="V709" s="12" t="s">
        <v>4898</v>
      </c>
      <c r="W709" s="12">
        <v>0</v>
      </c>
      <c r="X709" s="12">
        <v>0</v>
      </c>
      <c r="Y709" s="12">
        <v>0</v>
      </c>
      <c r="Z709" s="12">
        <v>1</v>
      </c>
      <c r="AA709" s="12">
        <v>1</v>
      </c>
      <c r="AB709" s="12">
        <v>0</v>
      </c>
      <c r="AC709" s="12">
        <v>0</v>
      </c>
      <c r="AD709" s="12">
        <v>0</v>
      </c>
      <c r="AE709" s="12">
        <v>0</v>
      </c>
      <c r="AF709" s="12">
        <v>0</v>
      </c>
      <c r="AG709" s="12">
        <v>0</v>
      </c>
      <c r="AH709" s="12">
        <v>0</v>
      </c>
      <c r="AI709" s="12">
        <v>0</v>
      </c>
      <c r="AJ709" s="12">
        <v>0</v>
      </c>
      <c r="AK709" s="12">
        <v>0</v>
      </c>
      <c r="AL709" s="12">
        <v>0</v>
      </c>
      <c r="AM709" s="12"/>
      <c r="AN709" s="12">
        <v>0</v>
      </c>
      <c r="AO709" s="12">
        <v>0</v>
      </c>
      <c r="AP709" s="12">
        <v>0</v>
      </c>
      <c r="AQ709" s="12">
        <v>0</v>
      </c>
      <c r="AR709" s="12">
        <v>0</v>
      </c>
      <c r="AS709" s="12">
        <v>0</v>
      </c>
      <c r="AT709" s="12">
        <v>0</v>
      </c>
      <c r="AU709" s="12">
        <v>0</v>
      </c>
      <c r="AV709" s="12">
        <v>0</v>
      </c>
      <c r="AW709" s="12">
        <v>0</v>
      </c>
      <c r="AX709" s="12">
        <v>0</v>
      </c>
      <c r="AY709" s="12">
        <v>0</v>
      </c>
      <c r="BB709" s="12">
        <v>0</v>
      </c>
      <c r="BC709" s="12">
        <v>0</v>
      </c>
      <c r="BD709" s="12">
        <v>0</v>
      </c>
      <c r="BE709" s="12">
        <v>0</v>
      </c>
      <c r="BF709" s="12">
        <v>0</v>
      </c>
      <c r="BI709" s="12">
        <v>0</v>
      </c>
      <c r="BJ709" s="12">
        <v>0</v>
      </c>
    </row>
    <row r="710" spans="1:62" ht="14" x14ac:dyDescent="0.15">
      <c r="A710" s="24" t="s">
        <v>3517</v>
      </c>
      <c r="B710" s="25" t="s">
        <v>3518</v>
      </c>
      <c r="C710" s="26" t="s">
        <v>3519</v>
      </c>
      <c r="D710" t="s">
        <v>7283</v>
      </c>
      <c r="E710" t="s">
        <v>3492</v>
      </c>
      <c r="F710"/>
      <c r="G710"/>
      <c r="H710"/>
      <c r="I710"/>
      <c r="J710"/>
      <c r="K710"/>
      <c r="L710" s="10">
        <v>3615132</v>
      </c>
      <c r="M710" s="10">
        <v>623472</v>
      </c>
      <c r="N710" s="12">
        <v>15</v>
      </c>
      <c r="O710" s="12" t="s">
        <v>6992</v>
      </c>
      <c r="P710" s="8" t="s">
        <v>3516</v>
      </c>
      <c r="Q710"/>
      <c r="R710"/>
      <c r="S710" t="s">
        <v>7283</v>
      </c>
      <c r="T710" s="12" t="s">
        <v>4896</v>
      </c>
      <c r="U710" s="12" t="s">
        <v>4897</v>
      </c>
      <c r="V710" s="12" t="s">
        <v>4898</v>
      </c>
      <c r="W710" s="12">
        <v>0</v>
      </c>
      <c r="X710" s="12">
        <v>0</v>
      </c>
      <c r="Y710" s="12">
        <v>0</v>
      </c>
      <c r="Z710" s="12">
        <v>1</v>
      </c>
      <c r="AA710" s="12">
        <v>1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2">
        <v>0</v>
      </c>
      <c r="AK710" s="12">
        <v>0</v>
      </c>
      <c r="AL710" s="12">
        <v>0</v>
      </c>
      <c r="AM710" s="12"/>
      <c r="AN710" s="12">
        <v>0</v>
      </c>
      <c r="AO710" s="12">
        <v>0</v>
      </c>
      <c r="AP710" s="12">
        <v>0</v>
      </c>
      <c r="AQ710" s="12">
        <v>0</v>
      </c>
      <c r="AR710" s="12">
        <v>0</v>
      </c>
      <c r="AS710" s="12">
        <v>0</v>
      </c>
      <c r="AT710" s="12">
        <v>0</v>
      </c>
      <c r="AU710" s="12">
        <v>0</v>
      </c>
      <c r="AV710" s="12">
        <v>0</v>
      </c>
      <c r="AW710" s="12">
        <v>0</v>
      </c>
      <c r="AX710" s="12">
        <v>0</v>
      </c>
      <c r="AY710" s="12">
        <v>0</v>
      </c>
      <c r="BB710" s="12">
        <v>0</v>
      </c>
      <c r="BC710" s="12">
        <v>0</v>
      </c>
      <c r="BD710" s="12">
        <v>0</v>
      </c>
      <c r="BE710" s="12">
        <v>0</v>
      </c>
      <c r="BF710" s="12">
        <v>0</v>
      </c>
      <c r="BI710" s="12">
        <v>0</v>
      </c>
      <c r="BJ710" s="12">
        <v>0</v>
      </c>
    </row>
    <row r="711" spans="1:62" ht="14" x14ac:dyDescent="0.15">
      <c r="A711" s="24" t="s">
        <v>3520</v>
      </c>
      <c r="B711" s="25" t="s">
        <v>3521</v>
      </c>
      <c r="C711" s="26" t="s">
        <v>3522</v>
      </c>
      <c r="D711" t="s">
        <v>7283</v>
      </c>
      <c r="E711" t="s">
        <v>3492</v>
      </c>
      <c r="F711"/>
      <c r="G711"/>
      <c r="H711"/>
      <c r="I711"/>
      <c r="J711"/>
      <c r="K711"/>
      <c r="L711" s="10">
        <v>3643887</v>
      </c>
      <c r="M711" s="10">
        <v>632413</v>
      </c>
      <c r="N711" s="12">
        <v>15</v>
      </c>
      <c r="O711" s="12" t="s">
        <v>6992</v>
      </c>
      <c r="P711" s="8" t="s">
        <v>3523</v>
      </c>
      <c r="Q711"/>
      <c r="R711"/>
      <c r="S711" t="s">
        <v>7283</v>
      </c>
      <c r="T711" s="12" t="s">
        <v>4896</v>
      </c>
      <c r="U711" s="12" t="s">
        <v>4897</v>
      </c>
      <c r="V711" s="12" t="s">
        <v>4898</v>
      </c>
      <c r="W711" s="12">
        <v>0</v>
      </c>
      <c r="X711" s="12">
        <v>0</v>
      </c>
      <c r="Y711" s="12">
        <v>0</v>
      </c>
      <c r="Z711" s="12">
        <v>1</v>
      </c>
      <c r="AA711" s="12">
        <v>1</v>
      </c>
      <c r="AB711" s="12">
        <v>0</v>
      </c>
      <c r="AC711" s="12">
        <v>0</v>
      </c>
      <c r="AD711" s="12">
        <v>0</v>
      </c>
      <c r="AE711" s="12">
        <v>0</v>
      </c>
      <c r="AF711" s="12">
        <v>0</v>
      </c>
      <c r="AG711" s="12">
        <v>0</v>
      </c>
      <c r="AH711" s="12">
        <v>0</v>
      </c>
      <c r="AI711" s="12">
        <v>0</v>
      </c>
      <c r="AJ711" s="12">
        <v>0</v>
      </c>
      <c r="AK711" s="12">
        <v>0</v>
      </c>
      <c r="AL711" s="12">
        <v>0</v>
      </c>
      <c r="AM711" s="12"/>
      <c r="AN711" s="12">
        <v>0</v>
      </c>
      <c r="AO711" s="12">
        <v>0</v>
      </c>
      <c r="AP711" s="12">
        <v>0</v>
      </c>
      <c r="AQ711" s="12">
        <v>0</v>
      </c>
      <c r="AR711" s="12">
        <v>0</v>
      </c>
      <c r="AS711" s="12">
        <v>0</v>
      </c>
      <c r="AT711" s="12">
        <v>0</v>
      </c>
      <c r="AU711" s="12">
        <v>0</v>
      </c>
      <c r="AV711" s="12">
        <v>0</v>
      </c>
      <c r="AW711" s="12">
        <v>0</v>
      </c>
      <c r="AX711" s="12">
        <v>0</v>
      </c>
      <c r="AY711" s="12">
        <v>0</v>
      </c>
      <c r="BB711" s="12">
        <v>0</v>
      </c>
      <c r="BC711" s="12">
        <v>0</v>
      </c>
      <c r="BD711" s="12">
        <v>0</v>
      </c>
      <c r="BE711" s="12">
        <v>0</v>
      </c>
      <c r="BF711" s="12">
        <v>0</v>
      </c>
      <c r="BI711" s="12">
        <v>0</v>
      </c>
      <c r="BJ711" s="12">
        <v>0</v>
      </c>
    </row>
    <row r="712" spans="1:62" ht="14" x14ac:dyDescent="0.15">
      <c r="A712" s="24" t="s">
        <v>3524</v>
      </c>
      <c r="B712" s="25" t="s">
        <v>3525</v>
      </c>
      <c r="C712" s="26" t="s">
        <v>3526</v>
      </c>
      <c r="D712" t="s">
        <v>7283</v>
      </c>
      <c r="E712" t="s">
        <v>3492</v>
      </c>
      <c r="F712"/>
      <c r="G712"/>
      <c r="H712"/>
      <c r="I712"/>
      <c r="J712"/>
      <c r="K712"/>
      <c r="L712" s="10">
        <v>3619794</v>
      </c>
      <c r="M712" s="10">
        <v>620961</v>
      </c>
      <c r="N712" s="12">
        <v>15</v>
      </c>
      <c r="O712" s="12" t="s">
        <v>6992</v>
      </c>
      <c r="P712" s="8" t="s">
        <v>7285</v>
      </c>
      <c r="Q712"/>
      <c r="R712"/>
      <c r="S712" t="s">
        <v>7283</v>
      </c>
      <c r="T712" s="12" t="s">
        <v>4896</v>
      </c>
      <c r="U712" s="12" t="s">
        <v>4897</v>
      </c>
      <c r="V712" s="12" t="s">
        <v>4898</v>
      </c>
      <c r="W712" s="12">
        <v>0</v>
      </c>
      <c r="X712" s="12">
        <v>0</v>
      </c>
      <c r="Y712" s="12">
        <v>0</v>
      </c>
      <c r="Z712" s="12">
        <v>1</v>
      </c>
      <c r="AA712" s="12">
        <v>1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2">
        <v>0</v>
      </c>
      <c r="AK712" s="12">
        <v>0</v>
      </c>
      <c r="AL712" s="12">
        <v>0</v>
      </c>
      <c r="AM712" s="12"/>
      <c r="AN712" s="12">
        <v>0</v>
      </c>
      <c r="AO712" s="12">
        <v>0</v>
      </c>
      <c r="AP712" s="12">
        <v>0</v>
      </c>
      <c r="AQ712" s="12">
        <v>0</v>
      </c>
      <c r="AR712" s="12">
        <v>0</v>
      </c>
      <c r="AS712" s="12">
        <v>0</v>
      </c>
      <c r="AT712" s="12">
        <v>0</v>
      </c>
      <c r="AU712" s="12">
        <v>0</v>
      </c>
      <c r="AV712" s="12">
        <v>0</v>
      </c>
      <c r="AW712" s="12">
        <v>0</v>
      </c>
      <c r="AX712" s="12">
        <v>0</v>
      </c>
      <c r="AY712" s="12">
        <v>0</v>
      </c>
      <c r="BB712" s="12">
        <v>0</v>
      </c>
      <c r="BC712" s="12">
        <v>0</v>
      </c>
      <c r="BD712" s="12">
        <v>0</v>
      </c>
      <c r="BE712" s="12">
        <v>0</v>
      </c>
      <c r="BF712" s="12">
        <v>0</v>
      </c>
      <c r="BI712" s="12">
        <v>0</v>
      </c>
      <c r="BJ712" s="12">
        <v>0</v>
      </c>
    </row>
    <row r="713" spans="1:62" ht="14" x14ac:dyDescent="0.15">
      <c r="A713" s="24" t="s">
        <v>3527</v>
      </c>
      <c r="B713" s="25" t="s">
        <v>3528</v>
      </c>
      <c r="C713" s="26" t="s">
        <v>3529</v>
      </c>
      <c r="D713" t="s">
        <v>7283</v>
      </c>
      <c r="E713" t="s">
        <v>3492</v>
      </c>
      <c r="F713"/>
      <c r="G713"/>
      <c r="H713"/>
      <c r="I713"/>
      <c r="J713"/>
      <c r="K713"/>
      <c r="L713" s="10">
        <v>3558884</v>
      </c>
      <c r="M713" s="10">
        <v>607772</v>
      </c>
      <c r="N713" s="12">
        <v>15</v>
      </c>
      <c r="O713" s="12" t="s">
        <v>6992</v>
      </c>
      <c r="P713" s="8" t="s">
        <v>7285</v>
      </c>
      <c r="Q713"/>
      <c r="R713"/>
      <c r="S713" t="s">
        <v>7283</v>
      </c>
      <c r="T713" s="12" t="s">
        <v>4896</v>
      </c>
      <c r="U713" s="12" t="s">
        <v>4897</v>
      </c>
      <c r="V713" s="12" t="s">
        <v>4898</v>
      </c>
      <c r="W713" s="12">
        <v>0</v>
      </c>
      <c r="X713" s="12">
        <v>0</v>
      </c>
      <c r="Y713" s="12">
        <v>0</v>
      </c>
      <c r="Z713" s="12">
        <v>1</v>
      </c>
      <c r="AA713" s="12">
        <v>1</v>
      </c>
      <c r="AB713" s="12">
        <v>0</v>
      </c>
      <c r="AC713" s="12">
        <v>0</v>
      </c>
      <c r="AD713" s="12">
        <v>0</v>
      </c>
      <c r="AE713" s="12">
        <v>0</v>
      </c>
      <c r="AF713" s="12">
        <v>0</v>
      </c>
      <c r="AG713" s="12">
        <v>0</v>
      </c>
      <c r="AH713" s="12">
        <v>0</v>
      </c>
      <c r="AI713" s="12">
        <v>0</v>
      </c>
      <c r="AJ713" s="12">
        <v>0</v>
      </c>
      <c r="AK713" s="12">
        <v>0</v>
      </c>
      <c r="AL713" s="12">
        <v>0</v>
      </c>
      <c r="AM713" s="12"/>
      <c r="AN713" s="12">
        <v>0</v>
      </c>
      <c r="AO713" s="12">
        <v>0</v>
      </c>
      <c r="AP713" s="12">
        <v>0</v>
      </c>
      <c r="AQ713" s="12">
        <v>0</v>
      </c>
      <c r="AR713" s="12">
        <v>0</v>
      </c>
      <c r="AS713" s="12">
        <v>0</v>
      </c>
      <c r="AT713" s="12">
        <v>0</v>
      </c>
      <c r="AU713" s="12">
        <v>0</v>
      </c>
      <c r="AV713" s="12">
        <v>0</v>
      </c>
      <c r="AW713" s="12">
        <v>0</v>
      </c>
      <c r="AX713" s="12">
        <v>0</v>
      </c>
      <c r="AY713" s="12">
        <v>0</v>
      </c>
      <c r="BB713" s="12">
        <v>0</v>
      </c>
      <c r="BC713" s="12">
        <v>0</v>
      </c>
      <c r="BD713" s="12">
        <v>0</v>
      </c>
      <c r="BE713" s="12">
        <v>0</v>
      </c>
      <c r="BF713" s="12">
        <v>0</v>
      </c>
      <c r="BI713" s="12">
        <v>0</v>
      </c>
      <c r="BJ713" s="12">
        <v>0</v>
      </c>
    </row>
    <row r="714" spans="1:62" ht="14" x14ac:dyDescent="0.15">
      <c r="A714" s="24" t="s">
        <v>3530</v>
      </c>
      <c r="B714" s="25" t="s">
        <v>3531</v>
      </c>
      <c r="C714" s="26" t="s">
        <v>3532</v>
      </c>
      <c r="D714" t="s">
        <v>7283</v>
      </c>
      <c r="E714" t="s">
        <v>3492</v>
      </c>
      <c r="F714"/>
      <c r="G714"/>
      <c r="H714"/>
      <c r="I714"/>
      <c r="J714"/>
      <c r="K714"/>
      <c r="L714" s="10">
        <v>3559632</v>
      </c>
      <c r="M714" s="10">
        <v>610384</v>
      </c>
      <c r="N714" s="12">
        <v>15</v>
      </c>
      <c r="O714" s="12" t="s">
        <v>6992</v>
      </c>
      <c r="P714" s="8" t="s">
        <v>7285</v>
      </c>
      <c r="Q714"/>
      <c r="R714"/>
      <c r="S714" t="s">
        <v>7283</v>
      </c>
      <c r="T714" s="12" t="s">
        <v>4896</v>
      </c>
      <c r="U714" s="12" t="s">
        <v>4897</v>
      </c>
      <c r="V714" s="12" t="s">
        <v>4898</v>
      </c>
      <c r="W714" s="12">
        <v>0</v>
      </c>
      <c r="X714" s="12">
        <v>0</v>
      </c>
      <c r="Y714" s="12">
        <v>0</v>
      </c>
      <c r="Z714" s="12">
        <v>1</v>
      </c>
      <c r="AA714" s="12">
        <v>1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2">
        <v>0</v>
      </c>
      <c r="AK714" s="12">
        <v>0</v>
      </c>
      <c r="AL714" s="12">
        <v>0</v>
      </c>
      <c r="AM714" s="12"/>
      <c r="AN714" s="12">
        <v>0</v>
      </c>
      <c r="AO714" s="12">
        <v>0</v>
      </c>
      <c r="AP714" s="12">
        <v>0</v>
      </c>
      <c r="AQ714" s="12">
        <v>0</v>
      </c>
      <c r="AR714" s="12">
        <v>0</v>
      </c>
      <c r="AS714" s="12">
        <v>0</v>
      </c>
      <c r="AT714" s="12">
        <v>0</v>
      </c>
      <c r="AU714" s="12">
        <v>0</v>
      </c>
      <c r="AV714" s="12">
        <v>0</v>
      </c>
      <c r="AW714" s="12">
        <v>0</v>
      </c>
      <c r="AX714" s="12">
        <v>0</v>
      </c>
      <c r="AY714" s="12">
        <v>0</v>
      </c>
      <c r="BB714" s="12">
        <v>0</v>
      </c>
      <c r="BC714" s="12">
        <v>0</v>
      </c>
      <c r="BD714" s="12">
        <v>0</v>
      </c>
      <c r="BE714" s="12">
        <v>0</v>
      </c>
      <c r="BF714" s="12">
        <v>0</v>
      </c>
      <c r="BI714" s="12">
        <v>0</v>
      </c>
      <c r="BJ714" s="12">
        <v>0</v>
      </c>
    </row>
    <row r="715" spans="1:62" ht="14" x14ac:dyDescent="0.15">
      <c r="A715" s="24" t="s">
        <v>3533</v>
      </c>
      <c r="B715" s="25" t="s">
        <v>3534</v>
      </c>
      <c r="C715" s="26" t="s">
        <v>3535</v>
      </c>
      <c r="D715" t="s">
        <v>7283</v>
      </c>
      <c r="E715" t="s">
        <v>3492</v>
      </c>
      <c r="F715"/>
      <c r="G715"/>
      <c r="H715"/>
      <c r="I715"/>
      <c r="J715"/>
      <c r="K715"/>
      <c r="L715" s="10">
        <v>3534684</v>
      </c>
      <c r="M715" s="10">
        <v>608700</v>
      </c>
      <c r="N715" s="12">
        <v>15</v>
      </c>
      <c r="O715" s="12" t="s">
        <v>6992</v>
      </c>
      <c r="P715" s="8" t="s">
        <v>7285</v>
      </c>
      <c r="Q715"/>
      <c r="R715"/>
      <c r="S715" t="s">
        <v>7283</v>
      </c>
      <c r="T715" s="12" t="s">
        <v>4896</v>
      </c>
      <c r="U715" s="12" t="s">
        <v>4897</v>
      </c>
      <c r="V715" s="12" t="s">
        <v>4898</v>
      </c>
      <c r="W715" s="12">
        <v>0</v>
      </c>
      <c r="X715" s="12">
        <v>0</v>
      </c>
      <c r="Y715" s="12">
        <v>0</v>
      </c>
      <c r="Z715" s="12">
        <v>1</v>
      </c>
      <c r="AA715" s="12">
        <v>1</v>
      </c>
      <c r="AB715" s="12">
        <v>0</v>
      </c>
      <c r="AC715" s="12">
        <v>0</v>
      </c>
      <c r="AD715" s="12">
        <v>0</v>
      </c>
      <c r="AE715" s="12">
        <v>0</v>
      </c>
      <c r="AF715" s="12">
        <v>0</v>
      </c>
      <c r="AG715" s="12">
        <v>0</v>
      </c>
      <c r="AH715" s="12">
        <v>0</v>
      </c>
      <c r="AI715" s="12">
        <v>0</v>
      </c>
      <c r="AJ715" s="12">
        <v>0</v>
      </c>
      <c r="AK715" s="12">
        <v>0</v>
      </c>
      <c r="AL715" s="12">
        <v>0</v>
      </c>
      <c r="AM715" s="12"/>
      <c r="AN715" s="12">
        <v>0</v>
      </c>
      <c r="AO715" s="12">
        <v>0</v>
      </c>
      <c r="AP715" s="12">
        <v>0</v>
      </c>
      <c r="AQ715" s="12">
        <v>0</v>
      </c>
      <c r="AR715" s="12">
        <v>0</v>
      </c>
      <c r="AS715" s="12">
        <v>0</v>
      </c>
      <c r="AT715" s="12">
        <v>0</v>
      </c>
      <c r="AU715" s="12">
        <v>0</v>
      </c>
      <c r="AV715" s="12">
        <v>0</v>
      </c>
      <c r="AW715" s="12">
        <v>0</v>
      </c>
      <c r="AX715" s="12">
        <v>0</v>
      </c>
      <c r="AY715" s="12">
        <v>0</v>
      </c>
      <c r="BB715" s="12">
        <v>0</v>
      </c>
      <c r="BC715" s="12">
        <v>0</v>
      </c>
      <c r="BD715" s="12">
        <v>0</v>
      </c>
      <c r="BE715" s="12">
        <v>0</v>
      </c>
      <c r="BF715" s="12">
        <v>0</v>
      </c>
      <c r="BI715" s="12">
        <v>0</v>
      </c>
      <c r="BJ715" s="12">
        <v>0</v>
      </c>
    </row>
    <row r="716" spans="1:62" ht="14" x14ac:dyDescent="0.15">
      <c r="A716" s="24" t="s">
        <v>3536</v>
      </c>
      <c r="B716" s="25" t="s">
        <v>3537</v>
      </c>
      <c r="C716" s="26" t="s">
        <v>3538</v>
      </c>
      <c r="D716" t="s">
        <v>7283</v>
      </c>
      <c r="E716" t="s">
        <v>3539</v>
      </c>
      <c r="F716"/>
      <c r="G716"/>
      <c r="H716"/>
      <c r="I716"/>
      <c r="J716"/>
      <c r="K716"/>
      <c r="L716" s="10">
        <v>3601416</v>
      </c>
      <c r="M716" s="10">
        <v>581240</v>
      </c>
      <c r="N716" s="12">
        <v>15</v>
      </c>
      <c r="O716" s="12" t="s">
        <v>6992</v>
      </c>
      <c r="P716" s="8" t="s">
        <v>7285</v>
      </c>
      <c r="Q716"/>
      <c r="R716"/>
      <c r="S716" t="s">
        <v>7283</v>
      </c>
      <c r="T716" s="12" t="s">
        <v>4896</v>
      </c>
      <c r="U716" s="12" t="s">
        <v>4897</v>
      </c>
      <c r="V716" s="12" t="s">
        <v>4898</v>
      </c>
      <c r="W716" s="12">
        <v>0</v>
      </c>
      <c r="X716" s="12">
        <v>0</v>
      </c>
      <c r="Y716" s="12">
        <v>0</v>
      </c>
      <c r="Z716" s="12">
        <v>1</v>
      </c>
      <c r="AA716" s="12">
        <v>1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2">
        <v>0</v>
      </c>
      <c r="AK716" s="12">
        <v>0</v>
      </c>
      <c r="AL716" s="12">
        <v>0</v>
      </c>
      <c r="AM716" s="12"/>
      <c r="AN716" s="12">
        <v>0</v>
      </c>
      <c r="AO716" s="12">
        <v>0</v>
      </c>
      <c r="AP716" s="12">
        <v>0</v>
      </c>
      <c r="AQ716" s="12">
        <v>0</v>
      </c>
      <c r="AR716" s="12">
        <v>0</v>
      </c>
      <c r="AS716" s="12">
        <v>0</v>
      </c>
      <c r="AT716" s="12">
        <v>0</v>
      </c>
      <c r="AU716" s="12">
        <v>0</v>
      </c>
      <c r="AV716" s="12">
        <v>0</v>
      </c>
      <c r="AW716" s="12">
        <v>0</v>
      </c>
      <c r="AX716" s="12">
        <v>0</v>
      </c>
      <c r="AY716" s="12">
        <v>0</v>
      </c>
      <c r="BB716" s="12">
        <v>0</v>
      </c>
      <c r="BC716" s="12">
        <v>0</v>
      </c>
      <c r="BD716" s="12">
        <v>0</v>
      </c>
      <c r="BE716" s="12">
        <v>0</v>
      </c>
      <c r="BF716" s="12">
        <v>0</v>
      </c>
      <c r="BI716" s="12">
        <v>0</v>
      </c>
      <c r="BJ716" s="12">
        <v>0</v>
      </c>
    </row>
    <row r="717" spans="1:62" ht="14" x14ac:dyDescent="0.15">
      <c r="A717" s="24" t="s">
        <v>3540</v>
      </c>
      <c r="B717" s="25" t="s">
        <v>3541</v>
      </c>
      <c r="C717" s="26" t="s">
        <v>3542</v>
      </c>
      <c r="D717" t="s">
        <v>7283</v>
      </c>
      <c r="E717" t="s">
        <v>3539</v>
      </c>
      <c r="F717"/>
      <c r="G717"/>
      <c r="H717"/>
      <c r="I717"/>
      <c r="J717"/>
      <c r="K717"/>
      <c r="L717" s="10">
        <v>3581652</v>
      </c>
      <c r="M717" s="10">
        <v>581284</v>
      </c>
      <c r="N717" s="12">
        <v>15</v>
      </c>
      <c r="O717" s="12" t="s">
        <v>6992</v>
      </c>
      <c r="P717" s="8" t="s">
        <v>7285</v>
      </c>
      <c r="Q717"/>
      <c r="R717"/>
      <c r="S717" t="s">
        <v>7283</v>
      </c>
      <c r="T717" s="12" t="s">
        <v>3543</v>
      </c>
      <c r="U717" s="12" t="s">
        <v>7435</v>
      </c>
      <c r="V717" s="12" t="s">
        <v>4898</v>
      </c>
      <c r="W717" s="12">
        <v>0</v>
      </c>
      <c r="X717" s="12">
        <v>0</v>
      </c>
      <c r="Y717" s="12">
        <v>1</v>
      </c>
      <c r="Z717" s="12">
        <v>1</v>
      </c>
      <c r="AA717" s="12">
        <v>1</v>
      </c>
      <c r="AB717" s="12">
        <v>0</v>
      </c>
      <c r="AC717" s="12">
        <v>0</v>
      </c>
      <c r="AD717" s="12">
        <v>0</v>
      </c>
      <c r="AE717" s="12">
        <v>0</v>
      </c>
      <c r="AF717" s="12">
        <v>0</v>
      </c>
      <c r="AG717" s="12">
        <v>0</v>
      </c>
      <c r="AH717" s="12">
        <v>11</v>
      </c>
      <c r="AI717" s="12">
        <v>11</v>
      </c>
      <c r="AJ717" s="12">
        <v>1</v>
      </c>
      <c r="AK717" s="12">
        <v>1</v>
      </c>
      <c r="AL717" s="12">
        <v>0</v>
      </c>
      <c r="AM717" s="12"/>
      <c r="AN717" s="12">
        <v>0</v>
      </c>
      <c r="AO717" s="12">
        <v>0</v>
      </c>
      <c r="AP717" s="12">
        <v>1</v>
      </c>
      <c r="AQ717" s="12">
        <v>0</v>
      </c>
      <c r="AR717" s="12">
        <v>1</v>
      </c>
      <c r="AS717" s="12">
        <v>0</v>
      </c>
      <c r="AT717" s="12">
        <v>0</v>
      </c>
      <c r="AU717" s="12">
        <v>0</v>
      </c>
      <c r="AV717" s="12">
        <v>0</v>
      </c>
      <c r="AW717" s="12">
        <v>0</v>
      </c>
      <c r="AX717" s="12">
        <v>0</v>
      </c>
      <c r="AY717" s="12">
        <v>0</v>
      </c>
      <c r="AZ717" s="12" t="s">
        <v>4172</v>
      </c>
      <c r="BA717" s="12" t="s">
        <v>4911</v>
      </c>
      <c r="BB717" s="12">
        <v>1</v>
      </c>
      <c r="BC717" s="12">
        <v>0</v>
      </c>
      <c r="BD717" s="12">
        <v>21</v>
      </c>
      <c r="BE717" s="12">
        <v>0</v>
      </c>
      <c r="BF717" s="12">
        <v>0</v>
      </c>
      <c r="BG717" t="s">
        <v>3544</v>
      </c>
      <c r="BI717" s="12">
        <v>0</v>
      </c>
      <c r="BJ717" s="12">
        <v>0</v>
      </c>
    </row>
    <row r="718" spans="1:62" ht="14" x14ac:dyDescent="0.15">
      <c r="A718" s="12"/>
      <c r="B718" s="25" t="s">
        <v>3545</v>
      </c>
      <c r="C718" s="26" t="s">
        <v>3546</v>
      </c>
      <c r="D718" t="s">
        <v>3547</v>
      </c>
      <c r="E718" t="s">
        <v>3548</v>
      </c>
      <c r="F718"/>
      <c r="G718"/>
      <c r="H718"/>
      <c r="I718"/>
      <c r="J718"/>
      <c r="K718"/>
      <c r="L718" s="10">
        <v>3481416</v>
      </c>
      <c r="M718" s="10">
        <v>595112</v>
      </c>
      <c r="N718" s="12">
        <v>15</v>
      </c>
      <c r="O718" s="12" t="s">
        <v>7412</v>
      </c>
      <c r="P718" s="8" t="s">
        <v>3549</v>
      </c>
      <c r="Q718"/>
      <c r="R718"/>
      <c r="S718" t="s">
        <v>3547</v>
      </c>
      <c r="T718" s="12" t="s">
        <v>4896</v>
      </c>
      <c r="U718" s="12" t="s">
        <v>4897</v>
      </c>
      <c r="V718" s="12" t="s">
        <v>4898</v>
      </c>
      <c r="W718" s="12">
        <v>0</v>
      </c>
      <c r="X718" s="12">
        <v>0</v>
      </c>
      <c r="Y718" s="12">
        <v>0</v>
      </c>
      <c r="Z718" s="12">
        <v>1</v>
      </c>
      <c r="AA718" s="12">
        <v>1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2">
        <v>0</v>
      </c>
      <c r="AK718" s="12">
        <v>0</v>
      </c>
      <c r="AL718" s="12">
        <v>0</v>
      </c>
      <c r="AM718" s="12"/>
      <c r="AN718" s="12">
        <v>0</v>
      </c>
      <c r="AO718" s="12">
        <v>0</v>
      </c>
      <c r="AP718" s="12">
        <v>0</v>
      </c>
      <c r="AQ718" s="12">
        <v>0</v>
      </c>
      <c r="AR718" s="12">
        <v>0</v>
      </c>
      <c r="AS718" s="12">
        <v>0</v>
      </c>
      <c r="AT718" s="12">
        <v>0</v>
      </c>
      <c r="AU718" s="12">
        <v>0</v>
      </c>
      <c r="AV718" s="12">
        <v>0</v>
      </c>
      <c r="AW718" s="12">
        <v>0</v>
      </c>
      <c r="AX718" s="12">
        <v>0</v>
      </c>
      <c r="AY718" s="12">
        <v>0</v>
      </c>
      <c r="BB718" s="12">
        <v>0</v>
      </c>
      <c r="BC718" s="12">
        <v>0</v>
      </c>
      <c r="BD718" s="12">
        <v>0</v>
      </c>
      <c r="BE718" s="12">
        <v>0</v>
      </c>
      <c r="BF718" s="12">
        <v>0</v>
      </c>
      <c r="BI718" s="12">
        <v>0</v>
      </c>
      <c r="BJ718" s="12">
        <v>0</v>
      </c>
    </row>
    <row r="719" spans="1:62" ht="14" x14ac:dyDescent="0.15">
      <c r="A719" s="12"/>
      <c r="B719" s="25" t="s">
        <v>3550</v>
      </c>
      <c r="C719" s="26" t="s">
        <v>3551</v>
      </c>
      <c r="D719" t="s">
        <v>3547</v>
      </c>
      <c r="E719" t="s">
        <v>3548</v>
      </c>
      <c r="F719"/>
      <c r="G719"/>
      <c r="H719"/>
      <c r="I719"/>
      <c r="J719"/>
      <c r="K719"/>
      <c r="L719" s="10">
        <v>3481944</v>
      </c>
      <c r="M719" s="10">
        <v>594168</v>
      </c>
      <c r="N719" s="12">
        <v>15</v>
      </c>
      <c r="O719" s="12" t="s">
        <v>6992</v>
      </c>
      <c r="P719" s="8" t="s">
        <v>3549</v>
      </c>
      <c r="Q719"/>
      <c r="R719"/>
      <c r="S719" t="s">
        <v>3552</v>
      </c>
      <c r="T719" s="12" t="s">
        <v>4896</v>
      </c>
      <c r="U719" s="12" t="s">
        <v>4897</v>
      </c>
      <c r="V719" s="12" t="s">
        <v>4898</v>
      </c>
      <c r="W719" s="12">
        <v>0</v>
      </c>
      <c r="X719" s="12">
        <v>0</v>
      </c>
      <c r="Y719" s="12">
        <v>0</v>
      </c>
      <c r="Z719" s="12">
        <v>1</v>
      </c>
      <c r="AA719" s="12">
        <v>1</v>
      </c>
      <c r="AB719" s="12">
        <v>0</v>
      </c>
      <c r="AC719" s="12">
        <v>0</v>
      </c>
      <c r="AD719" s="12">
        <v>0</v>
      </c>
      <c r="AE719" s="12">
        <v>0</v>
      </c>
      <c r="AF719" s="12">
        <v>0</v>
      </c>
      <c r="AG719" s="12">
        <v>0</v>
      </c>
      <c r="AH719" s="12">
        <v>0</v>
      </c>
      <c r="AI719" s="12">
        <v>0</v>
      </c>
      <c r="AJ719" s="12">
        <v>0</v>
      </c>
      <c r="AK719" s="12">
        <v>0</v>
      </c>
      <c r="AL719" s="12">
        <v>0</v>
      </c>
      <c r="AM719" s="12"/>
      <c r="AN719" s="12">
        <v>0</v>
      </c>
      <c r="AO719" s="12">
        <v>0</v>
      </c>
      <c r="AP719" s="12">
        <v>0</v>
      </c>
      <c r="AQ719" s="12">
        <v>0</v>
      </c>
      <c r="AR719" s="12">
        <v>0</v>
      </c>
      <c r="AS719" s="12">
        <v>0</v>
      </c>
      <c r="AT719" s="12">
        <v>0</v>
      </c>
      <c r="AU719" s="12">
        <v>0</v>
      </c>
      <c r="AV719" s="12">
        <v>0</v>
      </c>
      <c r="AW719" s="12">
        <v>0</v>
      </c>
      <c r="AX719" s="12">
        <v>0</v>
      </c>
      <c r="AY719" s="12">
        <v>0</v>
      </c>
      <c r="BB719" s="12">
        <v>0</v>
      </c>
      <c r="BC719" s="12">
        <v>0</v>
      </c>
      <c r="BD719" s="12">
        <v>0</v>
      </c>
      <c r="BE719" s="12">
        <v>0</v>
      </c>
      <c r="BF719" s="12">
        <v>0</v>
      </c>
      <c r="BI719" s="12">
        <v>0</v>
      </c>
      <c r="BJ719" s="12">
        <v>0</v>
      </c>
    </row>
    <row r="720" spans="1:62" ht="14" x14ac:dyDescent="0.15">
      <c r="A720" s="12"/>
      <c r="B720"/>
      <c r="C720" s="26" t="s">
        <v>3553</v>
      </c>
      <c r="D720" t="s">
        <v>3547</v>
      </c>
      <c r="E720" t="s">
        <v>3548</v>
      </c>
      <c r="F720"/>
      <c r="G720"/>
      <c r="H720"/>
      <c r="I720"/>
      <c r="J720"/>
      <c r="K720"/>
      <c r="L720" s="10">
        <v>3481008</v>
      </c>
      <c r="M720" s="10">
        <v>595560</v>
      </c>
      <c r="N720" s="12">
        <v>15</v>
      </c>
      <c r="O720" s="12" t="s">
        <v>7412</v>
      </c>
      <c r="P720" s="8" t="s">
        <v>3549</v>
      </c>
      <c r="Q720"/>
      <c r="R720"/>
      <c r="S720" t="s">
        <v>3547</v>
      </c>
      <c r="T720" s="12" t="s">
        <v>4896</v>
      </c>
      <c r="U720" s="12" t="s">
        <v>4897</v>
      </c>
      <c r="V720" s="12" t="s">
        <v>4898</v>
      </c>
      <c r="W720" s="12">
        <v>0</v>
      </c>
      <c r="X720" s="12">
        <v>0</v>
      </c>
      <c r="Y720" s="12">
        <v>0</v>
      </c>
      <c r="Z720" s="12">
        <v>1</v>
      </c>
      <c r="AA720" s="12">
        <v>1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2">
        <v>0</v>
      </c>
      <c r="AK720" s="12">
        <v>0</v>
      </c>
      <c r="AL720" s="12">
        <v>0</v>
      </c>
      <c r="AM720" s="12"/>
      <c r="AN720" s="12">
        <v>0</v>
      </c>
      <c r="AO720" s="12">
        <v>0</v>
      </c>
      <c r="AP720" s="12">
        <v>0</v>
      </c>
      <c r="AQ720" s="12">
        <v>0</v>
      </c>
      <c r="AR720" s="12">
        <v>0</v>
      </c>
      <c r="AS720" s="12">
        <v>0</v>
      </c>
      <c r="AT720" s="12">
        <v>0</v>
      </c>
      <c r="AU720" s="12">
        <v>0</v>
      </c>
      <c r="AV720" s="12">
        <v>0</v>
      </c>
      <c r="AW720" s="12">
        <v>0</v>
      </c>
      <c r="AX720" s="12">
        <v>0</v>
      </c>
      <c r="AY720" s="12">
        <v>0</v>
      </c>
      <c r="BB720" s="12">
        <v>0</v>
      </c>
      <c r="BC720" s="12">
        <v>0</v>
      </c>
      <c r="BD720" s="12">
        <v>0</v>
      </c>
      <c r="BE720" s="12">
        <v>0</v>
      </c>
      <c r="BF720" s="12">
        <v>0</v>
      </c>
      <c r="BI720" s="12">
        <v>0</v>
      </c>
      <c r="BJ720" s="12">
        <v>0</v>
      </c>
    </row>
    <row r="721" spans="1:62" ht="14" x14ac:dyDescent="0.15">
      <c r="A721" s="12"/>
      <c r="B721" s="25" t="s">
        <v>3554</v>
      </c>
      <c r="C721" s="26" t="s">
        <v>3555</v>
      </c>
      <c r="D721" t="s">
        <v>3547</v>
      </c>
      <c r="E721" t="s">
        <v>3548</v>
      </c>
      <c r="F721"/>
      <c r="G721"/>
      <c r="H721"/>
      <c r="I721"/>
      <c r="J721"/>
      <c r="K721"/>
      <c r="L721" s="10">
        <v>3480576</v>
      </c>
      <c r="M721" s="10">
        <v>598160</v>
      </c>
      <c r="N721" s="12">
        <v>15</v>
      </c>
      <c r="O721" s="12" t="s">
        <v>7412</v>
      </c>
      <c r="P721" s="8" t="s">
        <v>3549</v>
      </c>
      <c r="Q721"/>
      <c r="R721"/>
      <c r="S721" t="s">
        <v>3547</v>
      </c>
      <c r="T721" s="12" t="s">
        <v>4896</v>
      </c>
      <c r="U721" s="12" t="s">
        <v>4897</v>
      </c>
      <c r="V721" s="12" t="s">
        <v>4898</v>
      </c>
      <c r="W721" s="12">
        <v>0</v>
      </c>
      <c r="X721" s="12">
        <v>0</v>
      </c>
      <c r="Y721" s="12">
        <v>0</v>
      </c>
      <c r="Z721" s="12">
        <v>1</v>
      </c>
      <c r="AA721" s="12">
        <v>1</v>
      </c>
      <c r="AB721" s="12">
        <v>0</v>
      </c>
      <c r="AC721" s="12">
        <v>0</v>
      </c>
      <c r="AD721" s="12">
        <v>0</v>
      </c>
      <c r="AE721" s="12">
        <v>0</v>
      </c>
      <c r="AF721" s="12">
        <v>0</v>
      </c>
      <c r="AG721" s="12">
        <v>0</v>
      </c>
      <c r="AH721" s="12">
        <v>0</v>
      </c>
      <c r="AI721" s="12">
        <v>0</v>
      </c>
      <c r="AJ721" s="12">
        <v>0</v>
      </c>
      <c r="AK721" s="12">
        <v>0</v>
      </c>
      <c r="AL721" s="12">
        <v>0</v>
      </c>
      <c r="AM721" s="12"/>
      <c r="AN721" s="12">
        <v>0</v>
      </c>
      <c r="AO721" s="12">
        <v>0</v>
      </c>
      <c r="AP721" s="12">
        <v>0</v>
      </c>
      <c r="AQ721" s="12">
        <v>0</v>
      </c>
      <c r="AR721" s="12">
        <v>0</v>
      </c>
      <c r="AS721" s="12">
        <v>0</v>
      </c>
      <c r="AT721" s="12">
        <v>0</v>
      </c>
      <c r="AU721" s="12">
        <v>0</v>
      </c>
      <c r="AV721" s="12">
        <v>0</v>
      </c>
      <c r="AW721" s="12">
        <v>0</v>
      </c>
      <c r="AX721" s="12">
        <v>0</v>
      </c>
      <c r="AY721" s="12">
        <v>0</v>
      </c>
      <c r="BB721" s="12">
        <v>0</v>
      </c>
      <c r="BC721" s="12">
        <v>0</v>
      </c>
      <c r="BD721" s="12">
        <v>0</v>
      </c>
      <c r="BE721" s="12">
        <v>0</v>
      </c>
      <c r="BF721" s="12">
        <v>0</v>
      </c>
      <c r="BI721" s="12">
        <v>0</v>
      </c>
      <c r="BJ721" s="12">
        <v>0</v>
      </c>
    </row>
    <row r="722" spans="1:62" ht="14" x14ac:dyDescent="0.15">
      <c r="A722" s="12"/>
      <c r="B722" s="25" t="s">
        <v>3556</v>
      </c>
      <c r="C722" s="26" t="s">
        <v>3557</v>
      </c>
      <c r="D722" t="s">
        <v>3547</v>
      </c>
      <c r="E722" t="s">
        <v>3548</v>
      </c>
      <c r="F722"/>
      <c r="G722"/>
      <c r="H722"/>
      <c r="I722"/>
      <c r="J722"/>
      <c r="K722"/>
      <c r="L722" s="10">
        <v>3478456</v>
      </c>
      <c r="M722" s="10">
        <v>601768</v>
      </c>
      <c r="N722" s="12">
        <v>15</v>
      </c>
      <c r="O722" s="12" t="s">
        <v>7412</v>
      </c>
      <c r="P722" s="8" t="s">
        <v>3549</v>
      </c>
      <c r="Q722"/>
      <c r="R722"/>
      <c r="S722" t="s">
        <v>3558</v>
      </c>
      <c r="T722" s="12" t="s">
        <v>4896</v>
      </c>
      <c r="U722" s="12" t="s">
        <v>4897</v>
      </c>
      <c r="V722" s="12" t="s">
        <v>4898</v>
      </c>
      <c r="W722" s="12">
        <v>0</v>
      </c>
      <c r="X722" s="12">
        <v>0</v>
      </c>
      <c r="Y722" s="12">
        <v>0</v>
      </c>
      <c r="Z722" s="12">
        <v>1</v>
      </c>
      <c r="AA722" s="12">
        <v>1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2">
        <v>0</v>
      </c>
      <c r="AK722" s="12">
        <v>0</v>
      </c>
      <c r="AL722" s="12">
        <v>0</v>
      </c>
      <c r="AM722" s="12"/>
      <c r="AN722" s="12">
        <v>0</v>
      </c>
      <c r="AO722" s="12">
        <v>0</v>
      </c>
      <c r="AP722" s="12">
        <v>0</v>
      </c>
      <c r="AQ722" s="12">
        <v>0</v>
      </c>
      <c r="AR722" s="12">
        <v>0</v>
      </c>
      <c r="AS722" s="12">
        <v>0</v>
      </c>
      <c r="AT722" s="12">
        <v>0</v>
      </c>
      <c r="AU722" s="12">
        <v>0</v>
      </c>
      <c r="AV722" s="12">
        <v>0</v>
      </c>
      <c r="AW722" s="12">
        <v>0</v>
      </c>
      <c r="AX722" s="12">
        <v>0</v>
      </c>
      <c r="AY722" s="12">
        <v>0</v>
      </c>
      <c r="BB722" s="12">
        <v>0</v>
      </c>
      <c r="BC722" s="12">
        <v>0</v>
      </c>
      <c r="BD722" s="12">
        <v>0</v>
      </c>
      <c r="BE722" s="12">
        <v>0</v>
      </c>
      <c r="BF722" s="12">
        <v>0</v>
      </c>
      <c r="BI722" s="12">
        <v>0</v>
      </c>
      <c r="BJ722" s="12">
        <v>0</v>
      </c>
    </row>
    <row r="723" spans="1:62" ht="14" x14ac:dyDescent="0.15">
      <c r="A723" s="12"/>
      <c r="B723" s="25" t="s">
        <v>3559</v>
      </c>
      <c r="C723" s="26" t="s">
        <v>3560</v>
      </c>
      <c r="D723" t="s">
        <v>3547</v>
      </c>
      <c r="E723" t="s">
        <v>3548</v>
      </c>
      <c r="F723"/>
      <c r="G723"/>
      <c r="H723"/>
      <c r="I723"/>
      <c r="J723"/>
      <c r="K723"/>
      <c r="L723" s="10">
        <v>3479432</v>
      </c>
      <c r="M723" s="10">
        <v>602616</v>
      </c>
      <c r="N723" s="12">
        <v>15</v>
      </c>
      <c r="O723" s="12" t="s">
        <v>7412</v>
      </c>
      <c r="P723" s="8" t="s">
        <v>3549</v>
      </c>
      <c r="Q723"/>
      <c r="R723"/>
      <c r="S723" t="s">
        <v>3547</v>
      </c>
      <c r="T723" s="12" t="s">
        <v>4896</v>
      </c>
      <c r="U723" s="12" t="s">
        <v>4897</v>
      </c>
      <c r="V723" s="12" t="s">
        <v>4898</v>
      </c>
      <c r="W723" s="12">
        <v>0</v>
      </c>
      <c r="X723" s="12">
        <v>0</v>
      </c>
      <c r="Y723" s="12">
        <v>0</v>
      </c>
      <c r="Z723" s="12">
        <v>1</v>
      </c>
      <c r="AA723" s="12">
        <v>1</v>
      </c>
      <c r="AB723" s="12">
        <v>0</v>
      </c>
      <c r="AC723" s="12">
        <v>0</v>
      </c>
      <c r="AD723" s="12">
        <v>0</v>
      </c>
      <c r="AE723" s="12">
        <v>0</v>
      </c>
      <c r="AF723" s="12">
        <v>0</v>
      </c>
      <c r="AG723" s="12">
        <v>0</v>
      </c>
      <c r="AH723" s="12">
        <v>0</v>
      </c>
      <c r="AI723" s="12">
        <v>0</v>
      </c>
      <c r="AJ723" s="12">
        <v>0</v>
      </c>
      <c r="AK723" s="12">
        <v>0</v>
      </c>
      <c r="AL723" s="12">
        <v>0</v>
      </c>
      <c r="AM723" s="12"/>
      <c r="AN723" s="12">
        <v>0</v>
      </c>
      <c r="AO723" s="12">
        <v>0</v>
      </c>
      <c r="AP723" s="12">
        <v>0</v>
      </c>
      <c r="AQ723" s="12">
        <v>0</v>
      </c>
      <c r="AR723" s="12">
        <v>0</v>
      </c>
      <c r="AS723" s="12">
        <v>0</v>
      </c>
      <c r="AT723" s="12">
        <v>0</v>
      </c>
      <c r="AU723" s="12">
        <v>0</v>
      </c>
      <c r="AV723" s="12">
        <v>0</v>
      </c>
      <c r="AW723" s="12">
        <v>0</v>
      </c>
      <c r="AX723" s="12">
        <v>0</v>
      </c>
      <c r="AY723" s="12">
        <v>0</v>
      </c>
      <c r="BB723" s="12">
        <v>0</v>
      </c>
      <c r="BC723" s="12">
        <v>0</v>
      </c>
      <c r="BD723" s="12">
        <v>0</v>
      </c>
      <c r="BE723" s="12">
        <v>0</v>
      </c>
      <c r="BF723" s="12">
        <v>0</v>
      </c>
      <c r="BI723" s="12">
        <v>0</v>
      </c>
      <c r="BJ723" s="12">
        <v>0</v>
      </c>
    </row>
    <row r="724" spans="1:62" ht="14" x14ac:dyDescent="0.15">
      <c r="A724" s="12"/>
      <c r="B724" s="25" t="s">
        <v>3561</v>
      </c>
      <c r="C724" s="26" t="s">
        <v>3562</v>
      </c>
      <c r="D724" t="s">
        <v>3547</v>
      </c>
      <c r="E724" t="s">
        <v>3548</v>
      </c>
      <c r="F724"/>
      <c r="G724"/>
      <c r="H724"/>
      <c r="I724"/>
      <c r="J724"/>
      <c r="K724"/>
      <c r="L724" s="10">
        <v>3478744</v>
      </c>
      <c r="M724" s="10">
        <v>602176</v>
      </c>
      <c r="N724" s="12">
        <v>15</v>
      </c>
      <c r="O724" s="12" t="s">
        <v>7412</v>
      </c>
      <c r="P724" s="8" t="s">
        <v>3549</v>
      </c>
      <c r="Q724"/>
      <c r="R724"/>
      <c r="S724" t="s">
        <v>3547</v>
      </c>
      <c r="T724" s="12" t="s">
        <v>4896</v>
      </c>
      <c r="U724" s="12" t="s">
        <v>4897</v>
      </c>
      <c r="V724" s="12" t="s">
        <v>4898</v>
      </c>
      <c r="W724" s="12">
        <v>0</v>
      </c>
      <c r="X724" s="12">
        <v>0</v>
      </c>
      <c r="Y724" s="12">
        <v>0</v>
      </c>
      <c r="Z724" s="12">
        <v>1</v>
      </c>
      <c r="AA724" s="12">
        <v>1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2">
        <v>0</v>
      </c>
      <c r="AK724" s="12">
        <v>0</v>
      </c>
      <c r="AL724" s="12">
        <v>0</v>
      </c>
      <c r="AM724" s="12"/>
      <c r="AN724" s="12">
        <v>0</v>
      </c>
      <c r="AO724" s="12">
        <v>0</v>
      </c>
      <c r="AP724" s="12">
        <v>0</v>
      </c>
      <c r="AQ724" s="12">
        <v>0</v>
      </c>
      <c r="AR724" s="12">
        <v>0</v>
      </c>
      <c r="AS724" s="12">
        <v>0</v>
      </c>
      <c r="AT724" s="12">
        <v>0</v>
      </c>
      <c r="AU724" s="12">
        <v>0</v>
      </c>
      <c r="AV724" s="12">
        <v>0</v>
      </c>
      <c r="AW724" s="12">
        <v>0</v>
      </c>
      <c r="AX724" s="12">
        <v>0</v>
      </c>
      <c r="AY724" s="12">
        <v>0</v>
      </c>
      <c r="BB724" s="12">
        <v>0</v>
      </c>
      <c r="BC724" s="12">
        <v>0</v>
      </c>
      <c r="BD724" s="12">
        <v>0</v>
      </c>
      <c r="BE724" s="12">
        <v>0</v>
      </c>
      <c r="BF724" s="12">
        <v>0</v>
      </c>
      <c r="BI724" s="12">
        <v>0</v>
      </c>
      <c r="BJ724" s="12">
        <v>0</v>
      </c>
    </row>
    <row r="725" spans="1:62" ht="14" x14ac:dyDescent="0.15">
      <c r="A725" s="12" t="s">
        <v>3563</v>
      </c>
      <c r="B725" s="25" t="s">
        <v>3564</v>
      </c>
      <c r="C725" s="26" t="s">
        <v>3565</v>
      </c>
      <c r="D725" t="s">
        <v>3547</v>
      </c>
      <c r="E725" t="s">
        <v>3548</v>
      </c>
      <c r="F725"/>
      <c r="G725"/>
      <c r="H725"/>
      <c r="I725"/>
      <c r="J725"/>
      <c r="K725"/>
      <c r="L725" s="10">
        <v>3480960</v>
      </c>
      <c r="M725" s="10">
        <v>583728</v>
      </c>
      <c r="N725" s="12">
        <v>15</v>
      </c>
      <c r="O725" s="12" t="s">
        <v>7412</v>
      </c>
      <c r="P725" s="8" t="s">
        <v>3549</v>
      </c>
      <c r="Q725"/>
      <c r="R725"/>
      <c r="S725" t="s">
        <v>3566</v>
      </c>
      <c r="T725" s="12" t="s">
        <v>4896</v>
      </c>
      <c r="U725" s="12" t="s">
        <v>4897</v>
      </c>
      <c r="V725" s="12" t="s">
        <v>4898</v>
      </c>
      <c r="W725" s="12">
        <v>0</v>
      </c>
      <c r="X725" s="12">
        <v>0</v>
      </c>
      <c r="Y725" s="12">
        <v>0</v>
      </c>
      <c r="Z725" s="12">
        <v>1</v>
      </c>
      <c r="AA725" s="12">
        <v>1</v>
      </c>
      <c r="AB725" s="12">
        <v>0</v>
      </c>
      <c r="AC725" s="12">
        <v>0</v>
      </c>
      <c r="AD725" s="12">
        <v>0</v>
      </c>
      <c r="AE725" s="12">
        <v>0</v>
      </c>
      <c r="AF725" s="12">
        <v>0</v>
      </c>
      <c r="AG725" s="12">
        <v>0</v>
      </c>
      <c r="AH725" s="12">
        <v>0</v>
      </c>
      <c r="AI725" s="12">
        <v>0</v>
      </c>
      <c r="AJ725" s="12">
        <v>0</v>
      </c>
      <c r="AK725" s="12">
        <v>0</v>
      </c>
      <c r="AL725" s="12">
        <v>0</v>
      </c>
      <c r="AM725" s="12"/>
      <c r="AN725" s="12">
        <v>0</v>
      </c>
      <c r="AO725" s="12">
        <v>0</v>
      </c>
      <c r="AP725" s="12">
        <v>0</v>
      </c>
      <c r="AQ725" s="12">
        <v>0</v>
      </c>
      <c r="AR725" s="12">
        <v>0</v>
      </c>
      <c r="AS725" s="12">
        <v>0</v>
      </c>
      <c r="AT725" s="12">
        <v>0</v>
      </c>
      <c r="AU725" s="12">
        <v>0</v>
      </c>
      <c r="AV725" s="12">
        <v>0</v>
      </c>
      <c r="AW725" s="12">
        <v>0</v>
      </c>
      <c r="AX725" s="12">
        <v>0</v>
      </c>
      <c r="AY725" s="12">
        <v>0</v>
      </c>
      <c r="BB725" s="12">
        <v>0</v>
      </c>
      <c r="BC725" s="12">
        <v>0</v>
      </c>
      <c r="BD725" s="12">
        <v>0</v>
      </c>
      <c r="BE725" s="12">
        <v>0</v>
      </c>
      <c r="BF725" s="12">
        <v>0</v>
      </c>
      <c r="BI725" s="12">
        <v>0</v>
      </c>
      <c r="BJ725" s="12">
        <v>0</v>
      </c>
    </row>
    <row r="726" spans="1:62" ht="14" x14ac:dyDescent="0.15">
      <c r="A726" s="12"/>
      <c r="B726" s="25" t="s">
        <v>3567</v>
      </c>
      <c r="C726" s="26" t="s">
        <v>3568</v>
      </c>
      <c r="D726" t="s">
        <v>3569</v>
      </c>
      <c r="E726" t="s">
        <v>3548</v>
      </c>
      <c r="F726"/>
      <c r="G726"/>
      <c r="H726"/>
      <c r="I726"/>
      <c r="J726"/>
      <c r="K726"/>
      <c r="L726" s="10">
        <v>3466412</v>
      </c>
      <c r="M726" s="10">
        <v>601268</v>
      </c>
      <c r="N726" s="12">
        <v>15</v>
      </c>
      <c r="O726" s="12" t="s">
        <v>7412</v>
      </c>
      <c r="P726" s="8" t="s">
        <v>3549</v>
      </c>
      <c r="Q726"/>
      <c r="R726"/>
      <c r="S726" t="s">
        <v>3558</v>
      </c>
      <c r="T726" s="12" t="s">
        <v>4896</v>
      </c>
      <c r="U726" s="12" t="s">
        <v>4897</v>
      </c>
      <c r="V726" s="12" t="s">
        <v>4898</v>
      </c>
      <c r="W726" s="12">
        <v>0</v>
      </c>
      <c r="X726" s="12">
        <v>0</v>
      </c>
      <c r="Y726" s="12">
        <v>0</v>
      </c>
      <c r="Z726" s="12">
        <v>1</v>
      </c>
      <c r="AA726" s="12">
        <v>1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2">
        <v>0</v>
      </c>
      <c r="AK726" s="12">
        <v>0</v>
      </c>
      <c r="AL726" s="12">
        <v>0</v>
      </c>
      <c r="AM726" s="12"/>
      <c r="AN726" s="12">
        <v>0</v>
      </c>
      <c r="AO726" s="12">
        <v>0</v>
      </c>
      <c r="AP726" s="12">
        <v>0</v>
      </c>
      <c r="AQ726" s="12">
        <v>0</v>
      </c>
      <c r="AR726" s="12">
        <v>0</v>
      </c>
      <c r="AS726" s="12">
        <v>0</v>
      </c>
      <c r="AT726" s="12">
        <v>0</v>
      </c>
      <c r="AU726" s="12">
        <v>0</v>
      </c>
      <c r="AV726" s="12">
        <v>0</v>
      </c>
      <c r="AW726" s="12">
        <v>0</v>
      </c>
      <c r="AX726" s="12">
        <v>0</v>
      </c>
      <c r="AY726" s="12">
        <v>1</v>
      </c>
      <c r="AZ726" s="12" t="s">
        <v>4916</v>
      </c>
      <c r="BA726" s="12" t="s">
        <v>4911</v>
      </c>
      <c r="BB726" s="12">
        <v>0</v>
      </c>
      <c r="BC726" s="12">
        <v>0</v>
      </c>
      <c r="BD726" s="12">
        <v>0</v>
      </c>
      <c r="BE726" s="12">
        <v>0</v>
      </c>
      <c r="BF726" s="12">
        <v>0</v>
      </c>
      <c r="BG726" t="s">
        <v>3570</v>
      </c>
      <c r="BH726" t="s">
        <v>3570</v>
      </c>
      <c r="BI726" s="12">
        <v>0</v>
      </c>
      <c r="BJ726" s="12">
        <v>0</v>
      </c>
    </row>
    <row r="727" spans="1:62" ht="14" x14ac:dyDescent="0.15">
      <c r="A727" s="12"/>
      <c r="B727" s="25" t="s">
        <v>3571</v>
      </c>
      <c r="C727" s="26" t="s">
        <v>3572</v>
      </c>
      <c r="D727" t="s">
        <v>3547</v>
      </c>
      <c r="E727" t="s">
        <v>3548</v>
      </c>
      <c r="F727"/>
      <c r="G727"/>
      <c r="H727"/>
      <c r="I727"/>
      <c r="J727"/>
      <c r="K727"/>
      <c r="L727" s="10">
        <v>3466334</v>
      </c>
      <c r="M727" s="10">
        <v>591968</v>
      </c>
      <c r="N727" s="12">
        <v>15</v>
      </c>
      <c r="O727" s="12" t="s">
        <v>7412</v>
      </c>
      <c r="P727" s="8" t="s">
        <v>3549</v>
      </c>
      <c r="Q727"/>
      <c r="R727"/>
      <c r="S727" t="s">
        <v>3552</v>
      </c>
      <c r="T727" s="12" t="s">
        <v>4896</v>
      </c>
      <c r="U727" s="12" t="s">
        <v>4897</v>
      </c>
      <c r="V727" s="12" t="s">
        <v>4898</v>
      </c>
      <c r="W727" s="12">
        <v>0</v>
      </c>
      <c r="X727" s="12">
        <v>0</v>
      </c>
      <c r="Y727" s="12">
        <v>0</v>
      </c>
      <c r="Z727" s="12">
        <v>1</v>
      </c>
      <c r="AA727" s="12">
        <v>1</v>
      </c>
      <c r="AB727" s="12">
        <v>0</v>
      </c>
      <c r="AC727" s="12">
        <v>0</v>
      </c>
      <c r="AD727" s="12">
        <v>0</v>
      </c>
      <c r="AE727" s="12">
        <v>0</v>
      </c>
      <c r="AF727" s="12">
        <v>0</v>
      </c>
      <c r="AG727" s="12">
        <v>0</v>
      </c>
      <c r="AH727" s="12">
        <v>0</v>
      </c>
      <c r="AI727" s="12">
        <v>0</v>
      </c>
      <c r="AJ727" s="12">
        <v>0</v>
      </c>
      <c r="AK727" s="12">
        <v>0</v>
      </c>
      <c r="AL727" s="12">
        <v>0</v>
      </c>
      <c r="AM727" s="12"/>
      <c r="AN727" s="12">
        <v>0</v>
      </c>
      <c r="AO727" s="12">
        <v>0</v>
      </c>
      <c r="AP727" s="12">
        <v>0</v>
      </c>
      <c r="AQ727" s="12">
        <v>0</v>
      </c>
      <c r="AR727" s="12">
        <v>0</v>
      </c>
      <c r="AS727" s="12">
        <v>0</v>
      </c>
      <c r="AT727" s="12">
        <v>0</v>
      </c>
      <c r="AU727" s="12">
        <v>0</v>
      </c>
      <c r="AV727" s="12">
        <v>0</v>
      </c>
      <c r="AW727" s="12">
        <v>0</v>
      </c>
      <c r="AX727" s="12">
        <v>0</v>
      </c>
      <c r="AY727" s="12">
        <v>0</v>
      </c>
      <c r="BB727" s="12">
        <v>0</v>
      </c>
      <c r="BC727" s="12">
        <v>0</v>
      </c>
      <c r="BD727" s="12">
        <v>0</v>
      </c>
      <c r="BE727" s="12">
        <v>0</v>
      </c>
      <c r="BF727" s="12">
        <v>0</v>
      </c>
      <c r="BI727" s="12">
        <v>0</v>
      </c>
      <c r="BJ727" s="12">
        <v>0</v>
      </c>
    </row>
    <row r="728" spans="1:62" ht="14" x14ac:dyDescent="0.15">
      <c r="A728" s="12"/>
      <c r="B728" s="25" t="s">
        <v>3573</v>
      </c>
      <c r="C728" s="26" t="s">
        <v>3574</v>
      </c>
      <c r="D728" t="s">
        <v>3547</v>
      </c>
      <c r="E728" t="s">
        <v>3548</v>
      </c>
      <c r="F728"/>
      <c r="G728"/>
      <c r="H728"/>
      <c r="I728"/>
      <c r="J728"/>
      <c r="K728"/>
      <c r="L728" s="10">
        <v>3477784</v>
      </c>
      <c r="M728" s="10">
        <v>597672</v>
      </c>
      <c r="N728" s="12">
        <v>15</v>
      </c>
      <c r="O728" s="12" t="s">
        <v>7412</v>
      </c>
      <c r="P728" s="8" t="s">
        <v>3549</v>
      </c>
      <c r="Q728"/>
      <c r="R728"/>
      <c r="S728" t="s">
        <v>3552</v>
      </c>
      <c r="T728" s="12" t="s">
        <v>4896</v>
      </c>
      <c r="U728" s="12" t="s">
        <v>4897</v>
      </c>
      <c r="V728" s="12" t="s">
        <v>4898</v>
      </c>
      <c r="W728" s="12">
        <v>0</v>
      </c>
      <c r="X728" s="12">
        <v>0</v>
      </c>
      <c r="Y728" s="12">
        <v>0</v>
      </c>
      <c r="Z728" s="12">
        <v>1</v>
      </c>
      <c r="AA728" s="12">
        <v>1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2">
        <v>0</v>
      </c>
      <c r="AK728" s="12">
        <v>0</v>
      </c>
      <c r="AL728" s="12">
        <v>0</v>
      </c>
      <c r="AM728" s="12"/>
      <c r="AN728" s="12">
        <v>0</v>
      </c>
      <c r="AO728" s="12">
        <v>0</v>
      </c>
      <c r="AP728" s="12">
        <v>0</v>
      </c>
      <c r="AQ728" s="12">
        <v>0</v>
      </c>
      <c r="AR728" s="12">
        <v>0</v>
      </c>
      <c r="AS728" s="12">
        <v>0</v>
      </c>
      <c r="AT728" s="12">
        <v>0</v>
      </c>
      <c r="AU728" s="12">
        <v>0</v>
      </c>
      <c r="AV728" s="12">
        <v>0</v>
      </c>
      <c r="AW728" s="12">
        <v>0</v>
      </c>
      <c r="AX728" s="12">
        <v>0</v>
      </c>
      <c r="AY728" s="12">
        <v>0</v>
      </c>
      <c r="BB728" s="12">
        <v>0</v>
      </c>
      <c r="BC728" s="12">
        <v>0</v>
      </c>
      <c r="BD728" s="12">
        <v>0</v>
      </c>
      <c r="BE728" s="12">
        <v>0</v>
      </c>
      <c r="BF728" s="12">
        <v>0</v>
      </c>
      <c r="BI728" s="12">
        <v>0</v>
      </c>
      <c r="BJ728" s="12">
        <v>0</v>
      </c>
    </row>
    <row r="729" spans="1:62" ht="14" x14ac:dyDescent="0.15">
      <c r="A729" s="12"/>
      <c r="B729"/>
      <c r="C729" s="26" t="s">
        <v>3575</v>
      </c>
      <c r="D729" t="s">
        <v>3547</v>
      </c>
      <c r="E729" t="s">
        <v>3548</v>
      </c>
      <c r="F729"/>
      <c r="G729"/>
      <c r="H729"/>
      <c r="I729"/>
      <c r="J729"/>
      <c r="K729"/>
      <c r="L729" s="10">
        <v>3464980</v>
      </c>
      <c r="M729" s="10">
        <v>600820</v>
      </c>
      <c r="N729" s="12">
        <v>15</v>
      </c>
      <c r="O729" s="12" t="s">
        <v>7412</v>
      </c>
      <c r="P729" s="8" t="s">
        <v>3549</v>
      </c>
      <c r="Q729"/>
      <c r="R729"/>
      <c r="S729" t="s">
        <v>3552</v>
      </c>
      <c r="T729" s="12" t="s">
        <v>4896</v>
      </c>
      <c r="U729" s="12" t="s">
        <v>4897</v>
      </c>
      <c r="V729" s="12" t="s">
        <v>4898</v>
      </c>
      <c r="W729" s="12">
        <v>0</v>
      </c>
      <c r="X729" s="12">
        <v>0</v>
      </c>
      <c r="Y729" s="12">
        <v>0</v>
      </c>
      <c r="Z729" s="12">
        <v>1</v>
      </c>
      <c r="AA729" s="12">
        <v>1</v>
      </c>
      <c r="AB729" s="12">
        <v>0</v>
      </c>
      <c r="AC729" s="12">
        <v>0</v>
      </c>
      <c r="AD729" s="12">
        <v>0</v>
      </c>
      <c r="AE729" s="12">
        <v>0</v>
      </c>
      <c r="AF729" s="12">
        <v>0</v>
      </c>
      <c r="AG729" s="12">
        <v>0</v>
      </c>
      <c r="AH729" s="12">
        <v>0</v>
      </c>
      <c r="AI729" s="12">
        <v>0</v>
      </c>
      <c r="AJ729" s="12">
        <v>0</v>
      </c>
      <c r="AK729" s="12">
        <v>0</v>
      </c>
      <c r="AL729" s="12">
        <v>0</v>
      </c>
      <c r="AM729" s="12"/>
      <c r="AN729" s="12">
        <v>0</v>
      </c>
      <c r="AO729" s="12">
        <v>0</v>
      </c>
      <c r="AP729" s="12">
        <v>0</v>
      </c>
      <c r="AQ729" s="12">
        <v>0</v>
      </c>
      <c r="AR729" s="12">
        <v>0</v>
      </c>
      <c r="AS729" s="12">
        <v>0</v>
      </c>
      <c r="AT729" s="12">
        <v>0</v>
      </c>
      <c r="AU729" s="12">
        <v>0</v>
      </c>
      <c r="AV729" s="12">
        <v>0</v>
      </c>
      <c r="AW729" s="12">
        <v>0</v>
      </c>
      <c r="AX729" s="12">
        <v>0</v>
      </c>
      <c r="AY729" s="12">
        <v>0</v>
      </c>
      <c r="BB729" s="12">
        <v>0</v>
      </c>
      <c r="BC729" s="12">
        <v>0</v>
      </c>
      <c r="BD729" s="12">
        <v>0</v>
      </c>
      <c r="BE729" s="12">
        <v>0</v>
      </c>
      <c r="BF729" s="12">
        <v>0</v>
      </c>
      <c r="BG729" t="s">
        <v>3576</v>
      </c>
      <c r="BH729" t="s">
        <v>3576</v>
      </c>
      <c r="BI729" s="12">
        <v>0</v>
      </c>
      <c r="BJ729" s="12">
        <v>0</v>
      </c>
    </row>
    <row r="730" spans="1:62" ht="14" x14ac:dyDescent="0.15">
      <c r="A730" s="12"/>
      <c r="B730" s="25" t="s">
        <v>3577</v>
      </c>
      <c r="C730" s="26" t="s">
        <v>3337</v>
      </c>
      <c r="D730" t="s">
        <v>3547</v>
      </c>
      <c r="E730" t="s">
        <v>3548</v>
      </c>
      <c r="F730"/>
      <c r="G730"/>
      <c r="H730"/>
      <c r="I730"/>
      <c r="J730"/>
      <c r="K730"/>
      <c r="L730" s="10">
        <v>3477536</v>
      </c>
      <c r="M730" s="10">
        <v>579376</v>
      </c>
      <c r="N730" s="12">
        <v>15</v>
      </c>
      <c r="O730" s="12" t="s">
        <v>7412</v>
      </c>
      <c r="P730" s="8" t="s">
        <v>3549</v>
      </c>
      <c r="Q730"/>
      <c r="R730"/>
      <c r="S730" t="s">
        <v>3547</v>
      </c>
      <c r="T730" s="12" t="s">
        <v>4896</v>
      </c>
      <c r="U730" s="12" t="s">
        <v>4897</v>
      </c>
      <c r="V730" s="12" t="s">
        <v>4898</v>
      </c>
      <c r="W730" s="12">
        <v>0</v>
      </c>
      <c r="X730" s="12">
        <v>0</v>
      </c>
      <c r="Y730" s="12">
        <v>0</v>
      </c>
      <c r="Z730" s="12">
        <v>1</v>
      </c>
      <c r="AA730" s="12">
        <v>1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2">
        <v>0</v>
      </c>
      <c r="AK730" s="12">
        <v>0</v>
      </c>
      <c r="AL730" s="12">
        <v>0</v>
      </c>
      <c r="AM730" s="12"/>
      <c r="AN730" s="12">
        <v>0</v>
      </c>
      <c r="AO730" s="12">
        <v>0</v>
      </c>
      <c r="AP730" s="12">
        <v>0</v>
      </c>
      <c r="AQ730" s="12">
        <v>0</v>
      </c>
      <c r="AR730" s="12">
        <v>0</v>
      </c>
      <c r="AS730" s="12">
        <v>0</v>
      </c>
      <c r="AT730" s="12">
        <v>0</v>
      </c>
      <c r="AU730" s="12">
        <v>0</v>
      </c>
      <c r="AV730" s="12">
        <v>0</v>
      </c>
      <c r="AW730" s="12">
        <v>0</v>
      </c>
      <c r="AX730" s="12">
        <v>0</v>
      </c>
      <c r="AY730" s="12">
        <v>0</v>
      </c>
      <c r="BB730" s="12">
        <v>0</v>
      </c>
      <c r="BC730" s="12">
        <v>0</v>
      </c>
      <c r="BD730" s="12">
        <v>0</v>
      </c>
      <c r="BE730" s="12">
        <v>0</v>
      </c>
      <c r="BF730" s="12">
        <v>0</v>
      </c>
      <c r="BI730" s="12">
        <v>0</v>
      </c>
      <c r="BJ730" s="12">
        <v>0</v>
      </c>
    </row>
    <row r="731" spans="1:62" ht="14" x14ac:dyDescent="0.15">
      <c r="A731" s="12"/>
      <c r="B731" s="25" t="s">
        <v>3338</v>
      </c>
      <c r="C731" s="26" t="s">
        <v>3339</v>
      </c>
      <c r="D731" t="s">
        <v>3547</v>
      </c>
      <c r="E731" t="s">
        <v>3548</v>
      </c>
      <c r="F731"/>
      <c r="G731"/>
      <c r="H731"/>
      <c r="I731"/>
      <c r="J731"/>
      <c r="K731"/>
      <c r="L731" s="10">
        <v>3486672</v>
      </c>
      <c r="M731" s="10">
        <v>594736</v>
      </c>
      <c r="N731" s="12">
        <v>15</v>
      </c>
      <c r="O731" s="12" t="s">
        <v>7412</v>
      </c>
      <c r="P731" s="8" t="s">
        <v>3549</v>
      </c>
      <c r="Q731"/>
      <c r="R731"/>
      <c r="S731" t="s">
        <v>3547</v>
      </c>
      <c r="T731" s="12" t="s">
        <v>4896</v>
      </c>
      <c r="U731" s="12" t="s">
        <v>4897</v>
      </c>
      <c r="V731" s="12" t="s">
        <v>4898</v>
      </c>
      <c r="W731" s="12">
        <v>0</v>
      </c>
      <c r="X731" s="12">
        <v>0</v>
      </c>
      <c r="Y731" s="12">
        <v>0</v>
      </c>
      <c r="Z731" s="12">
        <v>1</v>
      </c>
      <c r="AA731" s="12">
        <v>1</v>
      </c>
      <c r="AB731" s="12">
        <v>0</v>
      </c>
      <c r="AC731" s="12">
        <v>0</v>
      </c>
      <c r="AD731" s="12">
        <v>0</v>
      </c>
      <c r="AE731" s="12">
        <v>0</v>
      </c>
      <c r="AF731" s="12">
        <v>0</v>
      </c>
      <c r="AG731" s="12">
        <v>0</v>
      </c>
      <c r="AH731" s="12">
        <v>0</v>
      </c>
      <c r="AI731" s="12">
        <v>0</v>
      </c>
      <c r="AJ731" s="12">
        <v>0</v>
      </c>
      <c r="AK731" s="12">
        <v>0</v>
      </c>
      <c r="AL731" s="12">
        <v>0</v>
      </c>
      <c r="AM731" s="12"/>
      <c r="AN731" s="12">
        <v>0</v>
      </c>
      <c r="AO731" s="12">
        <v>0</v>
      </c>
      <c r="AP731" s="12">
        <v>0</v>
      </c>
      <c r="AQ731" s="12">
        <v>0</v>
      </c>
      <c r="AR731" s="12">
        <v>0</v>
      </c>
      <c r="AS731" s="12">
        <v>0</v>
      </c>
      <c r="AT731" s="12">
        <v>0</v>
      </c>
      <c r="AU731" s="12">
        <v>0</v>
      </c>
      <c r="AV731" s="12">
        <v>0</v>
      </c>
      <c r="AW731" s="12">
        <v>0</v>
      </c>
      <c r="AX731" s="12">
        <v>0</v>
      </c>
      <c r="AY731" s="12">
        <v>0</v>
      </c>
      <c r="BB731" s="12">
        <v>0</v>
      </c>
      <c r="BC731" s="12">
        <v>0</v>
      </c>
      <c r="BD731" s="12">
        <v>0</v>
      </c>
      <c r="BE731" s="12">
        <v>0</v>
      </c>
      <c r="BF731" s="12">
        <v>0</v>
      </c>
      <c r="BI731" s="12">
        <v>0</v>
      </c>
      <c r="BJ731" s="12">
        <v>0</v>
      </c>
    </row>
    <row r="732" spans="1:62" ht="14" x14ac:dyDescent="0.15">
      <c r="A732" s="12"/>
      <c r="B732" s="25" t="s">
        <v>3340</v>
      </c>
      <c r="C732" s="26" t="s">
        <v>3341</v>
      </c>
      <c r="D732" t="s">
        <v>3547</v>
      </c>
      <c r="E732" t="s">
        <v>3548</v>
      </c>
      <c r="F732"/>
      <c r="G732"/>
      <c r="H732"/>
      <c r="I732"/>
      <c r="J732"/>
      <c r="K732"/>
      <c r="L732" s="10">
        <v>3482096</v>
      </c>
      <c r="M732" s="10">
        <v>605080</v>
      </c>
      <c r="N732" s="12">
        <v>15</v>
      </c>
      <c r="O732" s="12" t="s">
        <v>7412</v>
      </c>
      <c r="P732" s="8" t="s">
        <v>3549</v>
      </c>
      <c r="Q732"/>
      <c r="R732"/>
      <c r="S732" t="s">
        <v>3552</v>
      </c>
      <c r="T732" s="12" t="s">
        <v>4896</v>
      </c>
      <c r="U732" s="12" t="s">
        <v>4897</v>
      </c>
      <c r="V732" s="12" t="s">
        <v>4898</v>
      </c>
      <c r="W732" s="12">
        <v>0</v>
      </c>
      <c r="X732" s="12">
        <v>0</v>
      </c>
      <c r="Y732" s="12">
        <v>0</v>
      </c>
      <c r="Z732" s="12">
        <v>1</v>
      </c>
      <c r="AA732" s="12">
        <v>1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2">
        <v>0</v>
      </c>
      <c r="AK732" s="12">
        <v>0</v>
      </c>
      <c r="AL732" s="12">
        <v>0</v>
      </c>
      <c r="AM732" s="12"/>
      <c r="AN732" s="12">
        <v>0</v>
      </c>
      <c r="AO732" s="12">
        <v>0</v>
      </c>
      <c r="AP732" s="12">
        <v>0</v>
      </c>
      <c r="AQ732" s="12">
        <v>0</v>
      </c>
      <c r="AR732" s="12">
        <v>0</v>
      </c>
      <c r="AS732" s="12">
        <v>0</v>
      </c>
      <c r="AT732" s="12">
        <v>0</v>
      </c>
      <c r="AU732" s="12">
        <v>0</v>
      </c>
      <c r="AV732" s="12">
        <v>0</v>
      </c>
      <c r="AW732" s="12">
        <v>0</v>
      </c>
      <c r="AX732" s="12">
        <v>0</v>
      </c>
      <c r="AY732" s="12">
        <v>0</v>
      </c>
      <c r="BB732" s="12">
        <v>0</v>
      </c>
      <c r="BC732" s="12">
        <v>0</v>
      </c>
      <c r="BD732" s="12">
        <v>0</v>
      </c>
      <c r="BE732" s="12">
        <v>0</v>
      </c>
      <c r="BF732" s="12">
        <v>0</v>
      </c>
      <c r="BI732" s="12">
        <v>0</v>
      </c>
      <c r="BJ732" s="12">
        <v>0</v>
      </c>
    </row>
    <row r="733" spans="1:62" ht="14" x14ac:dyDescent="0.15">
      <c r="A733" s="12"/>
      <c r="B733" s="25"/>
      <c r="C733" s="26" t="s">
        <v>3342</v>
      </c>
      <c r="D733" t="s">
        <v>3547</v>
      </c>
      <c r="E733" t="s">
        <v>3548</v>
      </c>
      <c r="F733"/>
      <c r="G733"/>
      <c r="H733"/>
      <c r="I733"/>
      <c r="J733"/>
      <c r="K733"/>
      <c r="L733" s="10">
        <v>3475936</v>
      </c>
      <c r="M733" s="10">
        <v>604144</v>
      </c>
      <c r="N733" s="12">
        <v>15</v>
      </c>
      <c r="O733" s="12" t="s">
        <v>7412</v>
      </c>
      <c r="P733" s="8" t="s">
        <v>3549</v>
      </c>
      <c r="Q733"/>
      <c r="R733"/>
      <c r="S733" t="s">
        <v>3547</v>
      </c>
      <c r="T733" s="12" t="s">
        <v>4896</v>
      </c>
      <c r="U733" s="12" t="s">
        <v>4897</v>
      </c>
      <c r="V733" s="12" t="s">
        <v>4898</v>
      </c>
      <c r="W733" s="12">
        <v>0</v>
      </c>
      <c r="X733" s="12">
        <v>0</v>
      </c>
      <c r="Y733" s="12">
        <v>0</v>
      </c>
      <c r="Z733" s="12">
        <v>1</v>
      </c>
      <c r="AA733" s="12">
        <v>1</v>
      </c>
      <c r="AB733" s="12">
        <v>0</v>
      </c>
      <c r="AC733" s="12">
        <v>0</v>
      </c>
      <c r="AD733" s="12">
        <v>0</v>
      </c>
      <c r="AE733" s="12">
        <v>0</v>
      </c>
      <c r="AF733" s="12">
        <v>0</v>
      </c>
      <c r="AG733" s="12">
        <v>0</v>
      </c>
      <c r="AH733" s="12">
        <v>0</v>
      </c>
      <c r="AI733" s="12">
        <v>0</v>
      </c>
      <c r="AJ733" s="12">
        <v>0</v>
      </c>
      <c r="AK733" s="12">
        <v>0</v>
      </c>
      <c r="AL733" s="12">
        <v>0</v>
      </c>
      <c r="AM733" s="12"/>
      <c r="AN733" s="12">
        <v>0</v>
      </c>
      <c r="AO733" s="12">
        <v>0</v>
      </c>
      <c r="AP733" s="12">
        <v>0</v>
      </c>
      <c r="AQ733" s="12">
        <v>0</v>
      </c>
      <c r="AR733" s="12">
        <v>0</v>
      </c>
      <c r="AS733" s="12">
        <v>0</v>
      </c>
      <c r="AT733" s="12">
        <v>0</v>
      </c>
      <c r="AU733" s="12">
        <v>0</v>
      </c>
      <c r="AV733" s="12">
        <v>0</v>
      </c>
      <c r="AW733" s="12">
        <v>0</v>
      </c>
      <c r="AX733" s="12">
        <v>0</v>
      </c>
      <c r="AY733" s="12">
        <v>0</v>
      </c>
      <c r="BB733" s="12">
        <v>0</v>
      </c>
      <c r="BC733" s="12">
        <v>0</v>
      </c>
      <c r="BD733" s="12">
        <v>0</v>
      </c>
      <c r="BE733" s="12">
        <v>0</v>
      </c>
      <c r="BF733" s="12">
        <v>0</v>
      </c>
      <c r="BI733" s="12">
        <v>0</v>
      </c>
      <c r="BJ733" s="12">
        <v>0</v>
      </c>
    </row>
    <row r="734" spans="1:62" ht="14" x14ac:dyDescent="0.15">
      <c r="A734" s="12"/>
      <c r="B734" s="25" t="s">
        <v>3343</v>
      </c>
      <c r="C734" s="26" t="s">
        <v>3344</v>
      </c>
      <c r="D734" t="s">
        <v>3547</v>
      </c>
      <c r="E734" t="s">
        <v>3548</v>
      </c>
      <c r="F734"/>
      <c r="G734"/>
      <c r="H734"/>
      <c r="I734"/>
      <c r="J734"/>
      <c r="K734"/>
      <c r="L734" s="10">
        <v>3477016</v>
      </c>
      <c r="M734" s="10">
        <v>604576</v>
      </c>
      <c r="N734" s="12">
        <v>15</v>
      </c>
      <c r="O734" s="12" t="s">
        <v>7412</v>
      </c>
      <c r="P734" s="8" t="s">
        <v>3549</v>
      </c>
      <c r="Q734"/>
      <c r="R734"/>
      <c r="S734" t="s">
        <v>3547</v>
      </c>
      <c r="T734" s="12" t="s">
        <v>4896</v>
      </c>
      <c r="U734" s="12" t="s">
        <v>4897</v>
      </c>
      <c r="V734" s="12" t="s">
        <v>4898</v>
      </c>
      <c r="W734" s="12">
        <v>0</v>
      </c>
      <c r="X734" s="12">
        <v>0</v>
      </c>
      <c r="Y734" s="12">
        <v>0</v>
      </c>
      <c r="Z734" s="12">
        <v>1</v>
      </c>
      <c r="AA734" s="12">
        <v>1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2">
        <v>0</v>
      </c>
      <c r="AK734" s="12">
        <v>0</v>
      </c>
      <c r="AL734" s="12">
        <v>0</v>
      </c>
      <c r="AM734" s="12"/>
      <c r="AN734" s="12">
        <v>0</v>
      </c>
      <c r="AO734" s="12">
        <v>0</v>
      </c>
      <c r="AP734" s="12">
        <v>0</v>
      </c>
      <c r="AQ734" s="12">
        <v>0</v>
      </c>
      <c r="AR734" s="12">
        <v>0</v>
      </c>
      <c r="AS734" s="12">
        <v>0</v>
      </c>
      <c r="AT734" s="12">
        <v>0</v>
      </c>
      <c r="AU734" s="12">
        <v>0</v>
      </c>
      <c r="AV734" s="12">
        <v>0</v>
      </c>
      <c r="AW734" s="12">
        <v>0</v>
      </c>
      <c r="AX734" s="12">
        <v>0</v>
      </c>
      <c r="AY734" s="12">
        <v>0</v>
      </c>
      <c r="BB734" s="12">
        <v>0</v>
      </c>
      <c r="BC734" s="12">
        <v>0</v>
      </c>
      <c r="BD734" s="12">
        <v>0</v>
      </c>
      <c r="BE734" s="12">
        <v>0</v>
      </c>
      <c r="BF734" s="12">
        <v>0</v>
      </c>
      <c r="BI734" s="12">
        <v>0</v>
      </c>
      <c r="BJ734" s="12">
        <v>0</v>
      </c>
    </row>
    <row r="735" spans="1:62" ht="14" x14ac:dyDescent="0.15">
      <c r="A735" s="12"/>
      <c r="B735" s="25" t="s">
        <v>3345</v>
      </c>
      <c r="C735" s="26" t="s">
        <v>3346</v>
      </c>
      <c r="D735" t="s">
        <v>3547</v>
      </c>
      <c r="E735" t="s">
        <v>3548</v>
      </c>
      <c r="F735"/>
      <c r="G735"/>
      <c r="H735"/>
      <c r="I735"/>
      <c r="J735"/>
      <c r="K735"/>
      <c r="L735" s="10">
        <v>3478448</v>
      </c>
      <c r="M735" s="10">
        <v>599784</v>
      </c>
      <c r="N735" s="12">
        <v>15</v>
      </c>
      <c r="O735" s="12" t="s">
        <v>7412</v>
      </c>
      <c r="P735" s="8" t="s">
        <v>3549</v>
      </c>
      <c r="Q735"/>
      <c r="R735"/>
      <c r="S735" t="s">
        <v>3552</v>
      </c>
      <c r="T735" s="12" t="s">
        <v>4896</v>
      </c>
      <c r="U735" s="12" t="s">
        <v>4897</v>
      </c>
      <c r="V735" s="12" t="s">
        <v>4898</v>
      </c>
      <c r="W735" s="12">
        <v>0</v>
      </c>
      <c r="X735" s="12">
        <v>0</v>
      </c>
      <c r="Y735" s="12">
        <v>0</v>
      </c>
      <c r="Z735" s="12">
        <v>1</v>
      </c>
      <c r="AA735" s="12">
        <v>1</v>
      </c>
      <c r="AB735" s="12">
        <v>0</v>
      </c>
      <c r="AC735" s="12">
        <v>0</v>
      </c>
      <c r="AD735" s="12">
        <v>0</v>
      </c>
      <c r="AE735" s="12">
        <v>0</v>
      </c>
      <c r="AF735" s="12">
        <v>0</v>
      </c>
      <c r="AG735" s="12">
        <v>0</v>
      </c>
      <c r="AH735" s="12">
        <v>0</v>
      </c>
      <c r="AI735" s="12">
        <v>0</v>
      </c>
      <c r="AJ735" s="12">
        <v>0</v>
      </c>
      <c r="AK735" s="12">
        <v>0</v>
      </c>
      <c r="AL735" s="12">
        <v>0</v>
      </c>
      <c r="AM735" s="12"/>
      <c r="AN735" s="12">
        <v>0</v>
      </c>
      <c r="AO735" s="12">
        <v>0</v>
      </c>
      <c r="AP735" s="12">
        <v>0</v>
      </c>
      <c r="AQ735" s="12">
        <v>0</v>
      </c>
      <c r="AR735" s="12">
        <v>0</v>
      </c>
      <c r="AS735" s="12">
        <v>0</v>
      </c>
      <c r="AT735" s="12">
        <v>0</v>
      </c>
      <c r="AU735" s="12">
        <v>0</v>
      </c>
      <c r="AV735" s="12">
        <v>0</v>
      </c>
      <c r="AW735" s="12">
        <v>0</v>
      </c>
      <c r="AX735" s="12">
        <v>0</v>
      </c>
      <c r="AY735" s="12">
        <v>0</v>
      </c>
      <c r="BB735" s="12">
        <v>0</v>
      </c>
      <c r="BC735" s="12">
        <v>0</v>
      </c>
      <c r="BD735" s="12">
        <v>0</v>
      </c>
      <c r="BE735" s="12">
        <v>0</v>
      </c>
      <c r="BF735" s="12">
        <v>0</v>
      </c>
      <c r="BI735" s="12">
        <v>0</v>
      </c>
      <c r="BJ735" s="12">
        <v>0</v>
      </c>
    </row>
    <row r="736" spans="1:62" ht="28" x14ac:dyDescent="0.15">
      <c r="A736" s="12"/>
      <c r="B736" s="25" t="s">
        <v>3347</v>
      </c>
      <c r="C736" s="26" t="s">
        <v>3348</v>
      </c>
      <c r="D736" t="s">
        <v>3547</v>
      </c>
      <c r="E736" t="s">
        <v>3548</v>
      </c>
      <c r="F736"/>
      <c r="G736"/>
      <c r="H736"/>
      <c r="I736"/>
      <c r="J736"/>
      <c r="K736"/>
      <c r="L736" s="10">
        <v>3473856</v>
      </c>
      <c r="M736" s="10">
        <v>602272</v>
      </c>
      <c r="N736" s="12">
        <v>15</v>
      </c>
      <c r="O736" s="12" t="s">
        <v>6992</v>
      </c>
      <c r="P736" s="8" t="s">
        <v>3549</v>
      </c>
      <c r="Q736"/>
      <c r="R736"/>
      <c r="S736"/>
      <c r="T736" s="12" t="s">
        <v>4896</v>
      </c>
      <c r="U736" s="12" t="s">
        <v>4897</v>
      </c>
      <c r="V736" s="12" t="s">
        <v>4898</v>
      </c>
      <c r="W736" s="12">
        <v>0</v>
      </c>
      <c r="X736" s="12">
        <v>0</v>
      </c>
      <c r="Y736" s="12">
        <v>0</v>
      </c>
      <c r="Z736" s="12">
        <v>1</v>
      </c>
      <c r="AA736" s="12">
        <v>1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2">
        <v>0</v>
      </c>
      <c r="AK736" s="12">
        <v>0</v>
      </c>
      <c r="AL736" s="12">
        <v>0</v>
      </c>
      <c r="AM736" s="12"/>
      <c r="AN736" s="12">
        <v>0</v>
      </c>
      <c r="AO736" s="12">
        <v>0</v>
      </c>
      <c r="AP736" s="12">
        <v>0</v>
      </c>
      <c r="AQ736" s="12">
        <v>0</v>
      </c>
      <c r="AR736" s="12">
        <v>0</v>
      </c>
      <c r="AS736" s="12">
        <v>0</v>
      </c>
      <c r="AT736" s="12">
        <v>0</v>
      </c>
      <c r="AU736" s="12">
        <v>0</v>
      </c>
      <c r="AV736" s="12">
        <v>0</v>
      </c>
      <c r="AW736" s="12">
        <v>0</v>
      </c>
      <c r="AX736" s="12">
        <v>0</v>
      </c>
      <c r="AY736" s="12">
        <v>0</v>
      </c>
      <c r="BB736" s="12">
        <v>0</v>
      </c>
      <c r="BC736" s="12">
        <v>0</v>
      </c>
      <c r="BD736" s="12">
        <v>0</v>
      </c>
      <c r="BE736" s="12">
        <v>0</v>
      </c>
      <c r="BF736" s="12">
        <v>0</v>
      </c>
      <c r="BI736" s="12">
        <v>0</v>
      </c>
      <c r="BJ736" s="12">
        <v>0</v>
      </c>
    </row>
    <row r="737" spans="1:62" ht="14" x14ac:dyDescent="0.15">
      <c r="A737" s="12"/>
      <c r="B737" s="25" t="s">
        <v>3349</v>
      </c>
      <c r="C737" s="26" t="s">
        <v>3350</v>
      </c>
      <c r="D737" t="s">
        <v>3547</v>
      </c>
      <c r="E737" t="s">
        <v>3548</v>
      </c>
      <c r="F737"/>
      <c r="G737"/>
      <c r="H737"/>
      <c r="I737"/>
      <c r="J737"/>
      <c r="K737"/>
      <c r="L737" s="10">
        <v>3478144</v>
      </c>
      <c r="M737" s="10">
        <v>596992</v>
      </c>
      <c r="N737" s="12">
        <v>15</v>
      </c>
      <c r="O737" s="12" t="s">
        <v>7412</v>
      </c>
      <c r="P737" s="8" t="s">
        <v>3549</v>
      </c>
      <c r="Q737"/>
      <c r="R737"/>
      <c r="S737" t="s">
        <v>3547</v>
      </c>
      <c r="T737" s="12" t="s">
        <v>4896</v>
      </c>
      <c r="U737" s="12" t="s">
        <v>4897</v>
      </c>
      <c r="V737" s="12" t="s">
        <v>4898</v>
      </c>
      <c r="W737" s="12">
        <v>0</v>
      </c>
      <c r="X737" s="12">
        <v>0</v>
      </c>
      <c r="Y737" s="12">
        <v>0</v>
      </c>
      <c r="Z737" s="12">
        <v>1</v>
      </c>
      <c r="AA737" s="12">
        <v>1</v>
      </c>
      <c r="AB737" s="12">
        <v>0</v>
      </c>
      <c r="AC737" s="12">
        <v>0</v>
      </c>
      <c r="AD737" s="12">
        <v>0</v>
      </c>
      <c r="AE737" s="12">
        <v>0</v>
      </c>
      <c r="AF737" s="12">
        <v>0</v>
      </c>
      <c r="AG737" s="12">
        <v>0</v>
      </c>
      <c r="AH737" s="12">
        <v>0</v>
      </c>
      <c r="AI737" s="12">
        <v>0</v>
      </c>
      <c r="AJ737" s="12">
        <v>0</v>
      </c>
      <c r="AK737" s="12">
        <v>0</v>
      </c>
      <c r="AL737" s="12">
        <v>0</v>
      </c>
      <c r="AM737" s="12"/>
      <c r="AN737" s="12">
        <v>0</v>
      </c>
      <c r="AO737" s="12">
        <v>0</v>
      </c>
      <c r="AP737" s="12">
        <v>0</v>
      </c>
      <c r="AQ737" s="12">
        <v>0</v>
      </c>
      <c r="AR737" s="12">
        <v>0</v>
      </c>
      <c r="AS737" s="12">
        <v>0</v>
      </c>
      <c r="AT737" s="12">
        <v>0</v>
      </c>
      <c r="AU737" s="12">
        <v>0</v>
      </c>
      <c r="AV737" s="12">
        <v>0</v>
      </c>
      <c r="AW737" s="12">
        <v>0</v>
      </c>
      <c r="AX737" s="12">
        <v>0</v>
      </c>
      <c r="AY737" s="12">
        <v>0</v>
      </c>
      <c r="BB737" s="12">
        <v>0</v>
      </c>
      <c r="BC737" s="12">
        <v>0</v>
      </c>
      <c r="BD737" s="12">
        <v>0</v>
      </c>
      <c r="BE737" s="12">
        <v>0</v>
      </c>
      <c r="BF737" s="12">
        <v>0</v>
      </c>
      <c r="BI737" s="12">
        <v>0</v>
      </c>
      <c r="BJ737" s="12">
        <v>0</v>
      </c>
    </row>
    <row r="738" spans="1:62" ht="14" x14ac:dyDescent="0.15">
      <c r="A738" s="12"/>
      <c r="B738"/>
      <c r="C738" s="26" t="s">
        <v>3351</v>
      </c>
      <c r="D738" t="s">
        <v>3547</v>
      </c>
      <c r="E738" t="s">
        <v>3548</v>
      </c>
      <c r="F738"/>
      <c r="G738"/>
      <c r="H738"/>
      <c r="I738"/>
      <c r="J738"/>
      <c r="K738"/>
      <c r="L738" s="10">
        <v>3467247</v>
      </c>
      <c r="M738" s="10">
        <v>594185</v>
      </c>
      <c r="N738" s="12">
        <v>15</v>
      </c>
      <c r="O738" s="12" t="s">
        <v>7412</v>
      </c>
      <c r="P738" s="8" t="s">
        <v>3549</v>
      </c>
      <c r="Q738"/>
      <c r="R738"/>
      <c r="S738" t="s">
        <v>3552</v>
      </c>
      <c r="T738" s="12" t="s">
        <v>4896</v>
      </c>
      <c r="U738" s="12" t="s">
        <v>4897</v>
      </c>
      <c r="V738" s="12" t="s">
        <v>4898</v>
      </c>
      <c r="W738" s="12">
        <v>0</v>
      </c>
      <c r="X738" s="12">
        <v>0</v>
      </c>
      <c r="Y738" s="12">
        <v>0</v>
      </c>
      <c r="Z738" s="12">
        <v>1</v>
      </c>
      <c r="AA738" s="12">
        <v>1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2">
        <v>0</v>
      </c>
      <c r="AK738" s="12">
        <v>0</v>
      </c>
      <c r="AL738" s="12">
        <v>0</v>
      </c>
      <c r="AM738" s="12"/>
      <c r="AN738" s="12">
        <v>0</v>
      </c>
      <c r="AO738" s="12">
        <v>0</v>
      </c>
      <c r="AP738" s="12">
        <v>0</v>
      </c>
      <c r="AQ738" s="12">
        <v>0</v>
      </c>
      <c r="AR738" s="12">
        <v>0</v>
      </c>
      <c r="AS738" s="12">
        <v>0</v>
      </c>
      <c r="AT738" s="12">
        <v>0</v>
      </c>
      <c r="AU738" s="12">
        <v>0</v>
      </c>
      <c r="AV738" s="12">
        <v>0</v>
      </c>
      <c r="AW738" s="12">
        <v>0</v>
      </c>
      <c r="AX738" s="12">
        <v>0</v>
      </c>
      <c r="AY738" s="12">
        <v>0</v>
      </c>
      <c r="BB738" s="12">
        <v>0</v>
      </c>
      <c r="BC738" s="12">
        <v>0</v>
      </c>
      <c r="BD738" s="12">
        <v>0</v>
      </c>
      <c r="BE738" s="12">
        <v>0</v>
      </c>
      <c r="BF738" s="12">
        <v>0</v>
      </c>
      <c r="BI738" s="12">
        <v>0</v>
      </c>
      <c r="BJ738" s="12">
        <v>0</v>
      </c>
    </row>
    <row r="739" spans="1:62" ht="14" x14ac:dyDescent="0.15">
      <c r="A739" s="12"/>
      <c r="B739" s="25" t="s">
        <v>3352</v>
      </c>
      <c r="C739" s="26" t="s">
        <v>3353</v>
      </c>
      <c r="D739" t="s">
        <v>3547</v>
      </c>
      <c r="E739" t="s">
        <v>3548</v>
      </c>
      <c r="F739"/>
      <c r="G739"/>
      <c r="H739"/>
      <c r="I739"/>
      <c r="J739"/>
      <c r="K739"/>
      <c r="L739" s="10">
        <v>3479280</v>
      </c>
      <c r="M739" s="10">
        <v>595800</v>
      </c>
      <c r="N739" s="12">
        <v>15</v>
      </c>
      <c r="O739" s="12" t="s">
        <v>7412</v>
      </c>
      <c r="P739" s="8" t="s">
        <v>3549</v>
      </c>
      <c r="Q739"/>
      <c r="R739"/>
      <c r="S739" t="s">
        <v>3547</v>
      </c>
      <c r="T739" s="12" t="s">
        <v>4896</v>
      </c>
      <c r="U739" s="12" t="s">
        <v>4897</v>
      </c>
      <c r="V739" s="12" t="s">
        <v>4898</v>
      </c>
      <c r="W739" s="12">
        <v>0</v>
      </c>
      <c r="X739" s="12">
        <v>0</v>
      </c>
      <c r="Y739" s="12">
        <v>0</v>
      </c>
      <c r="Z739" s="12">
        <v>1</v>
      </c>
      <c r="AA739" s="12">
        <v>1</v>
      </c>
      <c r="AB739" s="12">
        <v>0</v>
      </c>
      <c r="AC739" s="12">
        <v>0</v>
      </c>
      <c r="AD739" s="12">
        <v>0</v>
      </c>
      <c r="AE739" s="12">
        <v>0</v>
      </c>
      <c r="AF739" s="12">
        <v>0</v>
      </c>
      <c r="AG739" s="12">
        <v>0</v>
      </c>
      <c r="AH739" s="12">
        <v>0</v>
      </c>
      <c r="AI739" s="12">
        <v>0</v>
      </c>
      <c r="AJ739" s="12">
        <v>0</v>
      </c>
      <c r="AK739" s="12">
        <v>0</v>
      </c>
      <c r="AL739" s="12">
        <v>0</v>
      </c>
      <c r="AM739" s="12"/>
      <c r="AN739" s="12">
        <v>0</v>
      </c>
      <c r="AO739" s="12">
        <v>0</v>
      </c>
      <c r="AP739" s="12">
        <v>0</v>
      </c>
      <c r="AQ739" s="12">
        <v>0</v>
      </c>
      <c r="AR739" s="12">
        <v>0</v>
      </c>
      <c r="AS739" s="12">
        <v>0</v>
      </c>
      <c r="AT739" s="12">
        <v>0</v>
      </c>
      <c r="AU739" s="12">
        <v>0</v>
      </c>
      <c r="AV739" s="12">
        <v>0</v>
      </c>
      <c r="AW739" s="12">
        <v>0</v>
      </c>
      <c r="AX739" s="12">
        <v>0</v>
      </c>
      <c r="AY739" s="12">
        <v>0</v>
      </c>
      <c r="BB739" s="12">
        <v>0</v>
      </c>
      <c r="BC739" s="12">
        <v>0</v>
      </c>
      <c r="BD739" s="12">
        <v>0</v>
      </c>
      <c r="BE739" s="12">
        <v>0</v>
      </c>
      <c r="BF739" s="12">
        <v>0</v>
      </c>
      <c r="BI739" s="12">
        <v>0</v>
      </c>
      <c r="BJ739" s="12">
        <v>0</v>
      </c>
    </row>
    <row r="740" spans="1:62" ht="14.25" customHeight="1" x14ac:dyDescent="0.15">
      <c r="A740" s="12"/>
      <c r="B740" s="25" t="s">
        <v>3354</v>
      </c>
      <c r="C740" s="26" t="s">
        <v>3355</v>
      </c>
      <c r="D740" t="s">
        <v>3547</v>
      </c>
      <c r="E740" t="s">
        <v>3548</v>
      </c>
      <c r="F740"/>
      <c r="G740"/>
      <c r="H740"/>
      <c r="I740"/>
      <c r="J740"/>
      <c r="K740"/>
      <c r="L740" s="10">
        <v>3483104</v>
      </c>
      <c r="M740" s="10">
        <v>595704</v>
      </c>
      <c r="N740" s="12">
        <v>15</v>
      </c>
      <c r="O740" s="12" t="s">
        <v>7412</v>
      </c>
      <c r="P740" s="8" t="s">
        <v>3549</v>
      </c>
      <c r="Q740"/>
      <c r="R740"/>
      <c r="S740" t="s">
        <v>3547</v>
      </c>
      <c r="T740" s="12" t="s">
        <v>4896</v>
      </c>
      <c r="U740" s="12" t="s">
        <v>4897</v>
      </c>
      <c r="V740" s="12" t="s">
        <v>4898</v>
      </c>
      <c r="W740" s="12">
        <v>0</v>
      </c>
      <c r="X740" s="12">
        <v>0</v>
      </c>
      <c r="Y740" s="12">
        <v>0</v>
      </c>
      <c r="Z740" s="12">
        <v>1</v>
      </c>
      <c r="AA740" s="12">
        <v>1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2">
        <v>0</v>
      </c>
      <c r="AK740" s="12">
        <v>0</v>
      </c>
      <c r="AL740" s="12">
        <v>0</v>
      </c>
      <c r="AM740" s="12"/>
      <c r="AN740" s="12">
        <v>0</v>
      </c>
      <c r="AO740" s="12">
        <v>0</v>
      </c>
      <c r="AP740" s="12">
        <v>0</v>
      </c>
      <c r="AQ740" s="12">
        <v>0</v>
      </c>
      <c r="AR740" s="12">
        <v>0</v>
      </c>
      <c r="AS740" s="12">
        <v>0</v>
      </c>
      <c r="AT740" s="12">
        <v>0</v>
      </c>
      <c r="AU740" s="12">
        <v>0</v>
      </c>
      <c r="AV740" s="12">
        <v>0</v>
      </c>
      <c r="AW740" s="12">
        <v>0</v>
      </c>
      <c r="AX740" s="12">
        <v>0</v>
      </c>
      <c r="AY740" s="12">
        <v>0</v>
      </c>
      <c r="BB740" s="12">
        <v>0</v>
      </c>
      <c r="BC740" s="12">
        <v>0</v>
      </c>
      <c r="BD740" s="12">
        <v>0</v>
      </c>
      <c r="BE740" s="12">
        <v>0</v>
      </c>
      <c r="BF740" s="12">
        <v>0</v>
      </c>
      <c r="BI740" s="12">
        <v>0</v>
      </c>
      <c r="BJ740" s="12">
        <v>0</v>
      </c>
    </row>
    <row r="741" spans="1:62" ht="14" x14ac:dyDescent="0.15">
      <c r="A741" s="12"/>
      <c r="B741" s="25" t="s">
        <v>3356</v>
      </c>
      <c r="C741" s="26" t="s">
        <v>3357</v>
      </c>
      <c r="D741" t="s">
        <v>3547</v>
      </c>
      <c r="E741" t="s">
        <v>3548</v>
      </c>
      <c r="F741"/>
      <c r="G741"/>
      <c r="H741"/>
      <c r="I741"/>
      <c r="J741"/>
      <c r="K741"/>
      <c r="L741" s="10">
        <v>3477584</v>
      </c>
      <c r="M741" s="10">
        <v>599312</v>
      </c>
      <c r="N741" s="12">
        <v>15</v>
      </c>
      <c r="O741" s="12" t="s">
        <v>7412</v>
      </c>
      <c r="P741" s="8" t="s">
        <v>3549</v>
      </c>
      <c r="Q741"/>
      <c r="R741"/>
      <c r="S741" t="s">
        <v>3547</v>
      </c>
      <c r="T741" s="12" t="s">
        <v>4896</v>
      </c>
      <c r="U741" s="12" t="s">
        <v>4897</v>
      </c>
      <c r="V741" s="12" t="s">
        <v>4898</v>
      </c>
      <c r="W741" s="12">
        <v>0</v>
      </c>
      <c r="X741" s="12">
        <v>0</v>
      </c>
      <c r="Y741" s="12">
        <v>0</v>
      </c>
      <c r="Z741" s="12">
        <v>1</v>
      </c>
      <c r="AA741" s="12">
        <v>1</v>
      </c>
      <c r="AB741" s="12">
        <v>0</v>
      </c>
      <c r="AC741" s="12">
        <v>0</v>
      </c>
      <c r="AD741" s="12">
        <v>0</v>
      </c>
      <c r="AE741" s="12">
        <v>0</v>
      </c>
      <c r="AF741" s="12">
        <v>0</v>
      </c>
      <c r="AG741" s="12">
        <v>0</v>
      </c>
      <c r="AH741" s="12">
        <v>0</v>
      </c>
      <c r="AI741" s="12">
        <v>0</v>
      </c>
      <c r="AJ741" s="12">
        <v>0</v>
      </c>
      <c r="AK741" s="12">
        <v>0</v>
      </c>
      <c r="AL741" s="12">
        <v>0</v>
      </c>
      <c r="AM741" s="12"/>
      <c r="AN741" s="12">
        <v>0</v>
      </c>
      <c r="AO741" s="12">
        <v>0</v>
      </c>
      <c r="AP741" s="12">
        <v>0</v>
      </c>
      <c r="AQ741" s="12">
        <v>0</v>
      </c>
      <c r="AR741" s="12">
        <v>0</v>
      </c>
      <c r="AS741" s="12">
        <v>0</v>
      </c>
      <c r="AT741" s="12">
        <v>0</v>
      </c>
      <c r="AU741" s="12">
        <v>0</v>
      </c>
      <c r="AV741" s="12">
        <v>0</v>
      </c>
      <c r="AW741" s="12">
        <v>0</v>
      </c>
      <c r="AX741" s="12">
        <v>0</v>
      </c>
      <c r="AY741" s="12">
        <v>0</v>
      </c>
      <c r="BB741" s="12">
        <v>0</v>
      </c>
      <c r="BC741" s="12">
        <v>0</v>
      </c>
      <c r="BD741" s="12">
        <v>0</v>
      </c>
      <c r="BE741" s="12">
        <v>0</v>
      </c>
      <c r="BF741" s="12">
        <v>0</v>
      </c>
      <c r="BI741" s="12">
        <v>0</v>
      </c>
      <c r="BJ741" s="12">
        <v>0</v>
      </c>
    </row>
    <row r="742" spans="1:62" ht="14" x14ac:dyDescent="0.15">
      <c r="A742" s="12"/>
      <c r="B742" s="25" t="s">
        <v>3358</v>
      </c>
      <c r="C742" s="26" t="s">
        <v>3359</v>
      </c>
      <c r="D742" t="s">
        <v>3547</v>
      </c>
      <c r="E742" t="s">
        <v>3548</v>
      </c>
      <c r="F742"/>
      <c r="G742"/>
      <c r="H742"/>
      <c r="I742"/>
      <c r="J742"/>
      <c r="K742"/>
      <c r="L742" s="10">
        <v>3477936</v>
      </c>
      <c r="M742" s="10">
        <v>599884</v>
      </c>
      <c r="N742" s="12">
        <v>15</v>
      </c>
      <c r="O742" s="12" t="s">
        <v>7412</v>
      </c>
      <c r="P742" s="8" t="s">
        <v>3549</v>
      </c>
      <c r="Q742"/>
      <c r="R742"/>
      <c r="S742" t="s">
        <v>3547</v>
      </c>
      <c r="T742" s="12" t="s">
        <v>4896</v>
      </c>
      <c r="U742" s="12" t="s">
        <v>4897</v>
      </c>
      <c r="V742" s="12" t="s">
        <v>4898</v>
      </c>
      <c r="W742" s="12">
        <v>0</v>
      </c>
      <c r="X742" s="12">
        <v>0</v>
      </c>
      <c r="Y742" s="12">
        <v>0</v>
      </c>
      <c r="Z742" s="12">
        <v>1</v>
      </c>
      <c r="AA742" s="12">
        <v>1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2">
        <v>0</v>
      </c>
      <c r="AK742" s="12">
        <v>0</v>
      </c>
      <c r="AL742" s="12">
        <v>0</v>
      </c>
      <c r="AM742" s="12"/>
      <c r="AN742" s="12">
        <v>0</v>
      </c>
      <c r="AO742" s="12">
        <v>0</v>
      </c>
      <c r="AP742" s="12">
        <v>0</v>
      </c>
      <c r="AQ742" s="12">
        <v>0</v>
      </c>
      <c r="AR742" s="12">
        <v>0</v>
      </c>
      <c r="AS742" s="12">
        <v>0</v>
      </c>
      <c r="AT742" s="12">
        <v>0</v>
      </c>
      <c r="AU742" s="12">
        <v>0</v>
      </c>
      <c r="AV742" s="12">
        <v>0</v>
      </c>
      <c r="AW742" s="12">
        <v>0</v>
      </c>
      <c r="AX742" s="12">
        <v>0</v>
      </c>
      <c r="AY742" s="12">
        <v>0</v>
      </c>
      <c r="BB742" s="12">
        <v>0</v>
      </c>
      <c r="BC742" s="12">
        <v>0</v>
      </c>
      <c r="BD742" s="12">
        <v>0</v>
      </c>
      <c r="BE742" s="12">
        <v>0</v>
      </c>
      <c r="BF742" s="12">
        <v>0</v>
      </c>
      <c r="BI742" s="12">
        <v>0</v>
      </c>
      <c r="BJ742" s="12">
        <v>0</v>
      </c>
    </row>
    <row r="743" spans="1:62" ht="14" x14ac:dyDescent="0.15">
      <c r="A743" s="12"/>
      <c r="B743" s="25" t="s">
        <v>3360</v>
      </c>
      <c r="C743" s="26" t="s">
        <v>3361</v>
      </c>
      <c r="D743" t="s">
        <v>3547</v>
      </c>
      <c r="E743" t="s">
        <v>3548</v>
      </c>
      <c r="F743"/>
      <c r="G743"/>
      <c r="H743"/>
      <c r="I743"/>
      <c r="J743"/>
      <c r="K743"/>
      <c r="L743" s="10">
        <v>3465848</v>
      </c>
      <c r="M743" s="10">
        <v>595120</v>
      </c>
      <c r="N743" s="12">
        <v>15</v>
      </c>
      <c r="O743" s="12" t="s">
        <v>7412</v>
      </c>
      <c r="P743" s="8" t="s">
        <v>3549</v>
      </c>
      <c r="Q743"/>
      <c r="R743"/>
      <c r="S743" t="s">
        <v>3552</v>
      </c>
      <c r="T743" s="12" t="s">
        <v>4896</v>
      </c>
      <c r="U743" s="12" t="s">
        <v>4897</v>
      </c>
      <c r="V743" s="12" t="s">
        <v>4898</v>
      </c>
      <c r="W743" s="12">
        <v>0</v>
      </c>
      <c r="X743" s="12">
        <v>0</v>
      </c>
      <c r="Y743" s="12">
        <v>0</v>
      </c>
      <c r="Z743" s="12">
        <v>1</v>
      </c>
      <c r="AA743" s="12">
        <v>1</v>
      </c>
      <c r="AB743" s="12">
        <v>0</v>
      </c>
      <c r="AC743" s="12">
        <v>0</v>
      </c>
      <c r="AD743" s="12">
        <v>0</v>
      </c>
      <c r="AE743" s="12">
        <v>0</v>
      </c>
      <c r="AF743" s="12">
        <v>0</v>
      </c>
      <c r="AG743" s="12">
        <v>0</v>
      </c>
      <c r="AH743" s="12">
        <v>0</v>
      </c>
      <c r="AI743" s="12">
        <v>0</v>
      </c>
      <c r="AJ743" s="12">
        <v>0</v>
      </c>
      <c r="AK743" s="12">
        <v>0</v>
      </c>
      <c r="AL743" s="12">
        <v>0</v>
      </c>
      <c r="AM743" s="12"/>
      <c r="AN743" s="12">
        <v>0</v>
      </c>
      <c r="AO743" s="12">
        <v>0</v>
      </c>
      <c r="AP743" s="12">
        <v>0</v>
      </c>
      <c r="AQ743" s="12">
        <v>0</v>
      </c>
      <c r="AR743" s="12">
        <v>0</v>
      </c>
      <c r="AS743" s="12">
        <v>0</v>
      </c>
      <c r="AT743" s="12">
        <v>0</v>
      </c>
      <c r="AU743" s="12">
        <v>0</v>
      </c>
      <c r="AV743" s="12">
        <v>0</v>
      </c>
      <c r="AW743" s="12">
        <v>0</v>
      </c>
      <c r="AX743" s="12">
        <v>0</v>
      </c>
      <c r="AY743" s="12">
        <v>0</v>
      </c>
      <c r="BB743" s="12">
        <v>0</v>
      </c>
      <c r="BC743" s="12">
        <v>0</v>
      </c>
      <c r="BD743" s="12">
        <v>0</v>
      </c>
      <c r="BE743" s="12">
        <v>0</v>
      </c>
      <c r="BF743" s="12">
        <v>0</v>
      </c>
      <c r="BI743" s="12">
        <v>0</v>
      </c>
      <c r="BJ743" s="12">
        <v>0</v>
      </c>
    </row>
    <row r="744" spans="1:62" ht="14" x14ac:dyDescent="0.15">
      <c r="A744" s="12"/>
      <c r="B744" s="25" t="s">
        <v>3362</v>
      </c>
      <c r="C744" s="26" t="s">
        <v>3363</v>
      </c>
      <c r="D744" t="s">
        <v>3547</v>
      </c>
      <c r="E744" t="s">
        <v>3548</v>
      </c>
      <c r="F744"/>
      <c r="G744"/>
      <c r="H744"/>
      <c r="I744"/>
      <c r="J744"/>
      <c r="K744"/>
      <c r="L744" s="10">
        <v>3477338</v>
      </c>
      <c r="M744" s="10">
        <v>596055</v>
      </c>
      <c r="N744" s="12">
        <v>15</v>
      </c>
      <c r="O744" s="12" t="s">
        <v>7412</v>
      </c>
      <c r="P744" s="8" t="s">
        <v>3549</v>
      </c>
      <c r="Q744"/>
      <c r="R744"/>
      <c r="S744" t="s">
        <v>7298</v>
      </c>
      <c r="T744" s="12" t="s">
        <v>4896</v>
      </c>
      <c r="U744" s="12" t="s">
        <v>4897</v>
      </c>
      <c r="V744" s="12" t="s">
        <v>4898</v>
      </c>
      <c r="W744" s="12">
        <v>0</v>
      </c>
      <c r="X744" s="12">
        <v>0</v>
      </c>
      <c r="Y744" s="12">
        <v>0</v>
      </c>
      <c r="Z744" s="12">
        <v>1</v>
      </c>
      <c r="AA744" s="12">
        <v>1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2">
        <v>0</v>
      </c>
      <c r="AK744" s="12">
        <v>0</v>
      </c>
      <c r="AL744" s="12">
        <v>0</v>
      </c>
      <c r="AM744" s="12"/>
      <c r="AN744" s="12">
        <v>0</v>
      </c>
      <c r="AO744" s="12">
        <v>0</v>
      </c>
      <c r="AP744" s="12">
        <v>0</v>
      </c>
      <c r="AQ744" s="12">
        <v>0</v>
      </c>
      <c r="AR744" s="12">
        <v>0</v>
      </c>
      <c r="AS744" s="12">
        <v>0</v>
      </c>
      <c r="AT744" s="12">
        <v>0</v>
      </c>
      <c r="AU744" s="12">
        <v>0</v>
      </c>
      <c r="AV744" s="12">
        <v>0</v>
      </c>
      <c r="AW744" s="12">
        <v>0</v>
      </c>
      <c r="AX744" s="12">
        <v>0</v>
      </c>
      <c r="AY744" s="12">
        <v>0</v>
      </c>
      <c r="BB744" s="12">
        <v>0</v>
      </c>
      <c r="BC744" s="12">
        <v>0</v>
      </c>
      <c r="BD744" s="12">
        <v>0</v>
      </c>
      <c r="BE744" s="12">
        <v>0</v>
      </c>
      <c r="BF744" s="12">
        <v>0</v>
      </c>
      <c r="BI744" s="12">
        <v>0</v>
      </c>
      <c r="BJ744" s="12">
        <v>0</v>
      </c>
    </row>
    <row r="745" spans="1:62" x14ac:dyDescent="0.15">
      <c r="A745" s="12"/>
      <c r="B745"/>
      <c r="C745" s="20" t="s">
        <v>3364</v>
      </c>
      <c r="D745" t="s">
        <v>7387</v>
      </c>
      <c r="E745" t="s">
        <v>7284</v>
      </c>
      <c r="F745"/>
      <c r="G745"/>
      <c r="H745"/>
      <c r="I745"/>
      <c r="J745"/>
      <c r="K745"/>
      <c r="L745" s="10">
        <v>3614372</v>
      </c>
      <c r="M745" s="10">
        <v>649568</v>
      </c>
      <c r="N745" s="12">
        <v>15</v>
      </c>
      <c r="O745" s="12" t="s">
        <v>4871</v>
      </c>
      <c r="P745" s="8" t="s">
        <v>3549</v>
      </c>
      <c r="Q745"/>
      <c r="R745"/>
      <c r="S745" t="s">
        <v>7387</v>
      </c>
      <c r="T745" s="12" t="s">
        <v>4896</v>
      </c>
      <c r="U745" s="12" t="s">
        <v>4897</v>
      </c>
      <c r="V745" s="12" t="s">
        <v>4898</v>
      </c>
      <c r="W745" s="12">
        <v>0</v>
      </c>
      <c r="X745" s="12">
        <v>0</v>
      </c>
      <c r="Y745" s="12">
        <v>0</v>
      </c>
      <c r="Z745" s="12">
        <v>1</v>
      </c>
      <c r="AA745" s="12">
        <v>1</v>
      </c>
      <c r="AB745" s="12">
        <v>0</v>
      </c>
      <c r="AC745" s="12">
        <v>0</v>
      </c>
      <c r="AD745" s="12">
        <v>0</v>
      </c>
      <c r="AE745" s="12">
        <v>0</v>
      </c>
      <c r="AF745" s="12">
        <v>0</v>
      </c>
      <c r="AG745" s="12">
        <v>0</v>
      </c>
      <c r="AH745" s="12">
        <v>0</v>
      </c>
      <c r="AI745" s="12">
        <v>0</v>
      </c>
      <c r="AJ745" s="12">
        <v>0</v>
      </c>
      <c r="AK745" s="12">
        <v>0</v>
      </c>
      <c r="AL745" s="12">
        <v>0</v>
      </c>
      <c r="AM745" s="12"/>
      <c r="AN745" s="12">
        <v>0</v>
      </c>
      <c r="AO745" s="12">
        <v>0</v>
      </c>
      <c r="AP745" s="12">
        <v>0</v>
      </c>
      <c r="AQ745" s="12">
        <v>0</v>
      </c>
      <c r="AR745" s="12">
        <v>0</v>
      </c>
      <c r="AS745" s="12">
        <v>0</v>
      </c>
      <c r="AT745" s="12">
        <v>0</v>
      </c>
      <c r="AU745" s="12">
        <v>0</v>
      </c>
      <c r="AV745" s="12">
        <v>0</v>
      </c>
      <c r="AW745" s="12">
        <v>0</v>
      </c>
      <c r="AX745" s="12">
        <v>0</v>
      </c>
      <c r="AY745" s="12">
        <v>0</v>
      </c>
      <c r="BB745" s="12">
        <v>0</v>
      </c>
      <c r="BC745" s="12">
        <v>0</v>
      </c>
      <c r="BD745" s="12">
        <v>0</v>
      </c>
      <c r="BE745" s="12">
        <v>0</v>
      </c>
      <c r="BF745" s="12">
        <v>0</v>
      </c>
      <c r="BI745" s="12">
        <v>0</v>
      </c>
      <c r="BJ745" s="12">
        <v>0</v>
      </c>
    </row>
    <row r="746" spans="1:62" x14ac:dyDescent="0.15">
      <c r="A746" s="12"/>
      <c r="B746"/>
      <c r="C746" s="20" t="s">
        <v>3365</v>
      </c>
      <c r="D746" t="s">
        <v>7387</v>
      </c>
      <c r="E746" t="s">
        <v>7284</v>
      </c>
      <c r="F746"/>
      <c r="G746"/>
      <c r="H746"/>
      <c r="I746"/>
      <c r="J746"/>
      <c r="K746"/>
      <c r="L746" s="10">
        <v>3624621</v>
      </c>
      <c r="M746" s="10">
        <v>654949</v>
      </c>
      <c r="N746" s="12">
        <v>15</v>
      </c>
      <c r="O746" s="12" t="s">
        <v>6992</v>
      </c>
      <c r="P746" t="s">
        <v>7388</v>
      </c>
      <c r="Q746"/>
      <c r="R746"/>
      <c r="S746" t="s">
        <v>7387</v>
      </c>
      <c r="T746" s="12" t="s">
        <v>4896</v>
      </c>
      <c r="U746" s="12" t="s">
        <v>4897</v>
      </c>
      <c r="V746" s="12" t="s">
        <v>4898</v>
      </c>
      <c r="W746" s="12">
        <v>0</v>
      </c>
      <c r="X746" s="12">
        <v>0</v>
      </c>
      <c r="Y746" s="12">
        <v>0</v>
      </c>
      <c r="Z746" s="12">
        <v>1</v>
      </c>
      <c r="AA746" s="12">
        <v>1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2">
        <v>0</v>
      </c>
      <c r="AK746" s="12">
        <v>0</v>
      </c>
      <c r="AL746" s="12">
        <v>0</v>
      </c>
      <c r="AM746" s="12"/>
      <c r="AN746" s="12">
        <v>0</v>
      </c>
      <c r="AO746" s="12">
        <v>0</v>
      </c>
      <c r="AP746" s="12">
        <v>0</v>
      </c>
      <c r="AQ746" s="12">
        <v>0</v>
      </c>
      <c r="AR746" s="12">
        <v>0</v>
      </c>
      <c r="AS746" s="12">
        <v>0</v>
      </c>
      <c r="AT746" s="12">
        <v>0</v>
      </c>
      <c r="AU746" s="12">
        <v>0</v>
      </c>
      <c r="AV746" s="12">
        <v>0</v>
      </c>
      <c r="AW746" s="12">
        <v>0</v>
      </c>
      <c r="AX746" s="12">
        <v>0</v>
      </c>
      <c r="AY746" s="12">
        <v>0</v>
      </c>
      <c r="BB746" s="12">
        <v>0</v>
      </c>
      <c r="BC746" s="12">
        <v>0</v>
      </c>
      <c r="BD746" s="12">
        <v>0</v>
      </c>
      <c r="BE746" s="12">
        <v>0</v>
      </c>
      <c r="BF746" s="12">
        <v>0</v>
      </c>
      <c r="BI746" s="12">
        <v>0</v>
      </c>
      <c r="BJ746" s="12">
        <v>0</v>
      </c>
    </row>
    <row r="747" spans="1:62" x14ac:dyDescent="0.15">
      <c r="A747" s="12"/>
      <c r="B747"/>
      <c r="C747" s="20" t="s">
        <v>3366</v>
      </c>
      <c r="D747" t="s">
        <v>7387</v>
      </c>
      <c r="E747" t="s">
        <v>7284</v>
      </c>
      <c r="F747"/>
      <c r="G747"/>
      <c r="H747"/>
      <c r="I747"/>
      <c r="J747"/>
      <c r="K747"/>
      <c r="L747" s="10">
        <v>3652970</v>
      </c>
      <c r="M747" s="10">
        <v>657421</v>
      </c>
      <c r="N747" s="12">
        <v>15</v>
      </c>
      <c r="O747" s="12" t="s">
        <v>6992</v>
      </c>
      <c r="P747" t="s">
        <v>7388</v>
      </c>
      <c r="Q747"/>
      <c r="R747"/>
      <c r="S747" t="s">
        <v>7387</v>
      </c>
      <c r="T747" s="12" t="s">
        <v>4896</v>
      </c>
      <c r="U747" s="12" t="s">
        <v>4897</v>
      </c>
      <c r="V747" s="12" t="s">
        <v>4898</v>
      </c>
      <c r="W747" s="12">
        <v>0</v>
      </c>
      <c r="X747" s="12">
        <v>0</v>
      </c>
      <c r="Y747" s="12">
        <v>0</v>
      </c>
      <c r="Z747" s="12">
        <v>1</v>
      </c>
      <c r="AA747" s="12">
        <v>1</v>
      </c>
      <c r="AB747" s="12">
        <v>0</v>
      </c>
      <c r="AC747" s="12">
        <v>0</v>
      </c>
      <c r="AD747" s="12">
        <v>0</v>
      </c>
      <c r="AE747" s="12">
        <v>0</v>
      </c>
      <c r="AF747" s="12">
        <v>0</v>
      </c>
      <c r="AG747" s="12">
        <v>0</v>
      </c>
      <c r="AH747" s="12">
        <v>0</v>
      </c>
      <c r="AI747" s="12">
        <v>0</v>
      </c>
      <c r="AJ747" s="12">
        <v>0</v>
      </c>
      <c r="AK747" s="12">
        <v>0</v>
      </c>
      <c r="AL747" s="12">
        <v>0</v>
      </c>
      <c r="AM747" s="12"/>
      <c r="AN747" s="12">
        <v>0</v>
      </c>
      <c r="AO747" s="12">
        <v>0</v>
      </c>
      <c r="AP747" s="12">
        <v>0</v>
      </c>
      <c r="AQ747" s="12">
        <v>0</v>
      </c>
      <c r="AR747" s="12">
        <v>0</v>
      </c>
      <c r="AS747" s="12">
        <v>0</v>
      </c>
      <c r="AT747" s="12">
        <v>0</v>
      </c>
      <c r="AU747" s="12">
        <v>0</v>
      </c>
      <c r="AV747" s="12">
        <v>0</v>
      </c>
      <c r="AW747" s="12">
        <v>0</v>
      </c>
      <c r="AX747" s="12">
        <v>0</v>
      </c>
      <c r="AY747" s="12">
        <v>0</v>
      </c>
      <c r="BB747" s="12">
        <v>0</v>
      </c>
      <c r="BC747" s="12">
        <v>0</v>
      </c>
      <c r="BD747" s="12">
        <v>0</v>
      </c>
      <c r="BE747" s="12">
        <v>0</v>
      </c>
      <c r="BF747" s="12">
        <v>0</v>
      </c>
      <c r="BI747" s="12">
        <v>0</v>
      </c>
      <c r="BJ747" s="12">
        <v>0</v>
      </c>
    </row>
    <row r="748" spans="1:62" x14ac:dyDescent="0.15">
      <c r="A748" s="12" t="s">
        <v>3367</v>
      </c>
      <c r="B748" t="s">
        <v>3368</v>
      </c>
      <c r="C748" s="20" t="s">
        <v>3369</v>
      </c>
      <c r="D748" t="s">
        <v>7283</v>
      </c>
      <c r="E748" t="s">
        <v>3492</v>
      </c>
      <c r="F748"/>
      <c r="G748"/>
      <c r="H748"/>
      <c r="I748"/>
      <c r="J748"/>
      <c r="K748"/>
      <c r="L748" s="10">
        <v>3651808</v>
      </c>
      <c r="M748" s="10">
        <v>628032</v>
      </c>
      <c r="N748" s="12">
        <v>15</v>
      </c>
      <c r="O748" s="12" t="s">
        <v>6992</v>
      </c>
      <c r="P748" t="s">
        <v>3370</v>
      </c>
      <c r="Q748"/>
      <c r="R748"/>
      <c r="S748" t="s">
        <v>7283</v>
      </c>
      <c r="T748" s="12" t="s">
        <v>4896</v>
      </c>
      <c r="U748" s="12" t="s">
        <v>4897</v>
      </c>
      <c r="V748" s="12" t="s">
        <v>4898</v>
      </c>
      <c r="W748" s="12">
        <v>0</v>
      </c>
      <c r="X748" s="12">
        <v>0</v>
      </c>
      <c r="Y748" s="12">
        <v>0</v>
      </c>
      <c r="Z748" s="12">
        <v>1</v>
      </c>
      <c r="AA748" s="12">
        <v>1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2">
        <v>0</v>
      </c>
      <c r="AK748" s="12">
        <v>0</v>
      </c>
      <c r="AL748" s="12">
        <v>0</v>
      </c>
      <c r="AM748" s="12"/>
      <c r="AN748" s="12">
        <v>0</v>
      </c>
      <c r="AO748" s="12">
        <v>0</v>
      </c>
      <c r="AP748" s="12">
        <v>0</v>
      </c>
      <c r="AQ748" s="12">
        <v>0</v>
      </c>
      <c r="AR748" s="12">
        <v>0</v>
      </c>
      <c r="AS748" s="12">
        <v>0</v>
      </c>
      <c r="AT748" s="12">
        <v>0</v>
      </c>
      <c r="AU748" s="12">
        <v>0</v>
      </c>
      <c r="AV748" s="12">
        <v>0</v>
      </c>
      <c r="AW748" s="12">
        <v>0</v>
      </c>
      <c r="AX748" s="12">
        <v>0</v>
      </c>
      <c r="AY748" s="12">
        <v>0</v>
      </c>
      <c r="BB748" s="12">
        <v>0</v>
      </c>
      <c r="BC748" s="12">
        <v>0</v>
      </c>
      <c r="BD748" s="12">
        <v>0</v>
      </c>
      <c r="BE748" s="12">
        <v>0</v>
      </c>
      <c r="BF748" s="12">
        <v>0</v>
      </c>
      <c r="BI748" s="12">
        <v>0</v>
      </c>
      <c r="BJ748" s="12">
        <v>0</v>
      </c>
    </row>
    <row r="749" spans="1:62" x14ac:dyDescent="0.15">
      <c r="A749" s="12"/>
      <c r="B749"/>
      <c r="C749" s="20" t="s">
        <v>3371</v>
      </c>
      <c r="D749" t="s">
        <v>7387</v>
      </c>
      <c r="E749" t="s">
        <v>3492</v>
      </c>
      <c r="F749"/>
      <c r="G749"/>
      <c r="H749"/>
      <c r="I749"/>
      <c r="J749"/>
      <c r="K749"/>
      <c r="L749" s="10">
        <v>3603301</v>
      </c>
      <c r="M749" s="10">
        <v>620909</v>
      </c>
      <c r="N749" s="12">
        <v>15</v>
      </c>
      <c r="O749" s="12" t="s">
        <v>6992</v>
      </c>
      <c r="P749" t="s">
        <v>3549</v>
      </c>
      <c r="Q749"/>
      <c r="R749"/>
      <c r="S749" t="s">
        <v>7387</v>
      </c>
      <c r="T749" s="12" t="s">
        <v>4896</v>
      </c>
      <c r="U749" s="12" t="s">
        <v>4897</v>
      </c>
      <c r="V749" s="12" t="s">
        <v>4898</v>
      </c>
      <c r="W749" s="12">
        <v>0</v>
      </c>
      <c r="X749" s="12">
        <v>0</v>
      </c>
      <c r="Y749" s="12">
        <v>0</v>
      </c>
      <c r="Z749" s="12">
        <v>1</v>
      </c>
      <c r="AA749" s="12">
        <v>1</v>
      </c>
      <c r="AB749" s="12">
        <v>0</v>
      </c>
      <c r="AC749" s="12">
        <v>0</v>
      </c>
      <c r="AD749" s="12">
        <v>0</v>
      </c>
      <c r="AE749" s="12">
        <v>0</v>
      </c>
      <c r="AF749" s="12">
        <v>0</v>
      </c>
      <c r="AG749" s="12">
        <v>0</v>
      </c>
      <c r="AH749" s="12">
        <v>0</v>
      </c>
      <c r="AI749" s="12">
        <v>0</v>
      </c>
      <c r="AJ749" s="12">
        <v>0</v>
      </c>
      <c r="AK749" s="12">
        <v>0</v>
      </c>
      <c r="AL749" s="12">
        <v>0</v>
      </c>
      <c r="AM749" s="12"/>
      <c r="AN749" s="12">
        <v>0</v>
      </c>
      <c r="AO749" s="12">
        <v>0</v>
      </c>
      <c r="AP749" s="12">
        <v>0</v>
      </c>
      <c r="AQ749" s="12">
        <v>0</v>
      </c>
      <c r="AR749" s="12">
        <v>0</v>
      </c>
      <c r="AS749" s="12">
        <v>0</v>
      </c>
      <c r="AT749" s="12">
        <v>0</v>
      </c>
      <c r="AU749" s="12">
        <v>0</v>
      </c>
      <c r="AV749" s="12">
        <v>0</v>
      </c>
      <c r="AW749" s="12">
        <v>0</v>
      </c>
      <c r="AX749" s="12">
        <v>0</v>
      </c>
      <c r="AY749" s="12">
        <v>0</v>
      </c>
      <c r="BB749" s="12">
        <v>0</v>
      </c>
      <c r="BC749" s="12">
        <v>0</v>
      </c>
      <c r="BD749" s="12">
        <v>0</v>
      </c>
      <c r="BE749" s="12">
        <v>0</v>
      </c>
      <c r="BF749" s="12">
        <v>0</v>
      </c>
      <c r="BI749" s="12">
        <v>0</v>
      </c>
      <c r="BJ749" s="12">
        <v>0</v>
      </c>
    </row>
    <row r="750" spans="1:62" x14ac:dyDescent="0.15">
      <c r="A750" s="12" t="s">
        <v>3372</v>
      </c>
      <c r="B750" t="s">
        <v>3373</v>
      </c>
      <c r="C750" s="20" t="s">
        <v>3374</v>
      </c>
      <c r="D750" t="s">
        <v>7387</v>
      </c>
      <c r="E750" t="s">
        <v>3492</v>
      </c>
      <c r="F750"/>
      <c r="G750"/>
      <c r="H750"/>
      <c r="I750"/>
      <c r="J750"/>
      <c r="K750"/>
      <c r="L750" s="10">
        <v>3605503</v>
      </c>
      <c r="M750" s="10">
        <v>616581</v>
      </c>
      <c r="N750" s="12">
        <v>15</v>
      </c>
      <c r="O750" s="12" t="s">
        <v>6992</v>
      </c>
      <c r="P750" t="s">
        <v>7388</v>
      </c>
      <c r="Q750"/>
      <c r="R750"/>
      <c r="S750" t="s">
        <v>7387</v>
      </c>
      <c r="T750" s="12" t="s">
        <v>4896</v>
      </c>
      <c r="U750" s="12" t="s">
        <v>4897</v>
      </c>
      <c r="V750" s="12" t="s">
        <v>4898</v>
      </c>
      <c r="W750" s="12">
        <v>0</v>
      </c>
      <c r="X750" s="12">
        <v>0</v>
      </c>
      <c r="Y750" s="12">
        <v>0</v>
      </c>
      <c r="Z750" s="12">
        <v>1</v>
      </c>
      <c r="AA750" s="12">
        <v>1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2">
        <v>0</v>
      </c>
      <c r="AK750" s="12">
        <v>0</v>
      </c>
      <c r="AL750" s="12">
        <v>0</v>
      </c>
      <c r="AM750" s="12"/>
      <c r="AN750" s="12">
        <v>0</v>
      </c>
      <c r="AO750" s="12">
        <v>0</v>
      </c>
      <c r="AP750" s="12">
        <v>0</v>
      </c>
      <c r="AQ750" s="12">
        <v>0</v>
      </c>
      <c r="AR750" s="12">
        <v>0</v>
      </c>
      <c r="AS750" s="12">
        <v>0</v>
      </c>
      <c r="AT750" s="12">
        <v>0</v>
      </c>
      <c r="AU750" s="12">
        <v>0</v>
      </c>
      <c r="AV750" s="12">
        <v>0</v>
      </c>
      <c r="AW750" s="12">
        <v>0</v>
      </c>
      <c r="AX750" s="12">
        <v>0</v>
      </c>
      <c r="AY750" s="12">
        <v>0</v>
      </c>
      <c r="BB750" s="12">
        <v>0</v>
      </c>
      <c r="BC750" s="12">
        <v>0</v>
      </c>
      <c r="BD750" s="12">
        <v>0</v>
      </c>
      <c r="BE750" s="12">
        <v>0</v>
      </c>
      <c r="BF750" s="12">
        <v>0</v>
      </c>
      <c r="BI750" s="12">
        <v>0</v>
      </c>
      <c r="BJ750" s="12">
        <v>0</v>
      </c>
    </row>
    <row r="751" spans="1:62" x14ac:dyDescent="0.15">
      <c r="A751" s="12" t="s">
        <v>3375</v>
      </c>
      <c r="B751" t="s">
        <v>3376</v>
      </c>
      <c r="C751" s="20" t="s">
        <v>3377</v>
      </c>
      <c r="D751" t="s">
        <v>7283</v>
      </c>
      <c r="E751" t="s">
        <v>3492</v>
      </c>
      <c r="F751"/>
      <c r="G751"/>
      <c r="H751"/>
      <c r="I751"/>
      <c r="J751"/>
      <c r="K751"/>
      <c r="L751" s="10">
        <v>3606040</v>
      </c>
      <c r="M751" s="10">
        <v>617884</v>
      </c>
      <c r="N751" s="12">
        <v>15</v>
      </c>
      <c r="O751" s="12" t="s">
        <v>6992</v>
      </c>
      <c r="P751" t="s">
        <v>3523</v>
      </c>
      <c r="Q751"/>
      <c r="R751"/>
      <c r="S751" t="s">
        <v>7283</v>
      </c>
      <c r="T751" s="12" t="s">
        <v>4896</v>
      </c>
      <c r="U751" s="12" t="s">
        <v>4897</v>
      </c>
      <c r="V751" s="12" t="s">
        <v>4898</v>
      </c>
      <c r="W751" s="12">
        <v>0</v>
      </c>
      <c r="X751" s="12">
        <v>0</v>
      </c>
      <c r="Y751" s="12">
        <v>0</v>
      </c>
      <c r="Z751" s="12">
        <v>1</v>
      </c>
      <c r="AA751" s="12">
        <v>1</v>
      </c>
      <c r="AB751" s="12">
        <v>0</v>
      </c>
      <c r="AC751" s="12">
        <v>0</v>
      </c>
      <c r="AD751" s="12">
        <v>0</v>
      </c>
      <c r="AE751" s="12">
        <v>0</v>
      </c>
      <c r="AF751" s="12">
        <v>0</v>
      </c>
      <c r="AG751" s="12">
        <v>0</v>
      </c>
      <c r="AH751" s="12">
        <v>0</v>
      </c>
      <c r="AI751" s="12">
        <v>0</v>
      </c>
      <c r="AJ751" s="12">
        <v>0</v>
      </c>
      <c r="AK751" s="12">
        <v>0</v>
      </c>
      <c r="AL751" s="12">
        <v>0</v>
      </c>
      <c r="AM751" s="12"/>
      <c r="AN751" s="12">
        <v>0</v>
      </c>
      <c r="AO751" s="12">
        <v>0</v>
      </c>
      <c r="AP751" s="12">
        <v>0</v>
      </c>
      <c r="AQ751" s="12">
        <v>0</v>
      </c>
      <c r="AR751" s="12">
        <v>0</v>
      </c>
      <c r="AS751" s="12">
        <v>0</v>
      </c>
      <c r="AT751" s="12">
        <v>0</v>
      </c>
      <c r="AU751" s="12">
        <v>0</v>
      </c>
      <c r="AV751" s="12">
        <v>0</v>
      </c>
      <c r="AW751" s="12">
        <v>0</v>
      </c>
      <c r="AX751" s="12">
        <v>0</v>
      </c>
      <c r="AY751" s="12">
        <v>0</v>
      </c>
      <c r="BB751" s="12">
        <v>0</v>
      </c>
      <c r="BC751" s="12">
        <v>0</v>
      </c>
      <c r="BD751" s="12">
        <v>0</v>
      </c>
      <c r="BE751" s="12">
        <v>0</v>
      </c>
      <c r="BF751" s="12">
        <v>0</v>
      </c>
      <c r="BI751" s="12">
        <v>0</v>
      </c>
      <c r="BJ751" s="12">
        <v>0</v>
      </c>
    </row>
    <row r="752" spans="1:62" x14ac:dyDescent="0.15">
      <c r="A752" s="12" t="s">
        <v>3378</v>
      </c>
      <c r="B752" t="s">
        <v>3379</v>
      </c>
      <c r="C752" s="20" t="s">
        <v>3380</v>
      </c>
      <c r="D752" t="s">
        <v>7283</v>
      </c>
      <c r="E752" t="s">
        <v>3492</v>
      </c>
      <c r="F752"/>
      <c r="G752"/>
      <c r="H752"/>
      <c r="I752"/>
      <c r="J752"/>
      <c r="K752"/>
      <c r="L752" s="10">
        <v>3607125</v>
      </c>
      <c r="M752" s="10">
        <v>614524</v>
      </c>
      <c r="N752" s="12">
        <v>15</v>
      </c>
      <c r="O752" s="12" t="s">
        <v>6992</v>
      </c>
      <c r="P752" t="s">
        <v>3523</v>
      </c>
      <c r="Q752"/>
      <c r="R752"/>
      <c r="S752" t="s">
        <v>7298</v>
      </c>
      <c r="T752" s="12" t="s">
        <v>4896</v>
      </c>
      <c r="U752" s="12" t="s">
        <v>4897</v>
      </c>
      <c r="V752" s="12" t="s">
        <v>4898</v>
      </c>
      <c r="W752" s="12">
        <v>0</v>
      </c>
      <c r="X752" s="12">
        <v>0</v>
      </c>
      <c r="Y752" s="12">
        <v>0</v>
      </c>
      <c r="Z752" s="12">
        <v>1</v>
      </c>
      <c r="AA752" s="12">
        <v>1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2">
        <v>0</v>
      </c>
      <c r="AK752" s="12">
        <v>0</v>
      </c>
      <c r="AL752" s="12">
        <v>0</v>
      </c>
      <c r="AM752" s="12"/>
      <c r="AN752" s="12">
        <v>0</v>
      </c>
      <c r="AO752" s="12">
        <v>0</v>
      </c>
      <c r="AP752" s="12">
        <v>0</v>
      </c>
      <c r="AQ752" s="12">
        <v>0</v>
      </c>
      <c r="AR752" s="12">
        <v>0</v>
      </c>
      <c r="AS752" s="12">
        <v>0</v>
      </c>
      <c r="AT752" s="12">
        <v>0</v>
      </c>
      <c r="AU752" s="12">
        <v>0</v>
      </c>
      <c r="AV752" s="12">
        <v>0</v>
      </c>
      <c r="AW752" s="12">
        <v>0</v>
      </c>
      <c r="AX752" s="12">
        <v>0</v>
      </c>
      <c r="AY752" s="12">
        <v>0</v>
      </c>
      <c r="BB752" s="12">
        <v>0</v>
      </c>
      <c r="BC752" s="12">
        <v>0</v>
      </c>
      <c r="BD752" s="12">
        <v>0</v>
      </c>
      <c r="BE752" s="12">
        <v>0</v>
      </c>
      <c r="BF752" s="12">
        <v>0</v>
      </c>
      <c r="BI752" s="12">
        <v>0</v>
      </c>
      <c r="BJ752" s="12">
        <v>0</v>
      </c>
    </row>
    <row r="753" spans="1:62" x14ac:dyDescent="0.15">
      <c r="A753" s="12" t="s">
        <v>3381</v>
      </c>
      <c r="B753" t="s">
        <v>3382</v>
      </c>
      <c r="C753" s="20" t="s">
        <v>3383</v>
      </c>
      <c r="D753" t="s">
        <v>7283</v>
      </c>
      <c r="E753" t="s">
        <v>3492</v>
      </c>
      <c r="F753"/>
      <c r="G753"/>
      <c r="H753"/>
      <c r="I753"/>
      <c r="J753"/>
      <c r="K753"/>
      <c r="L753" s="10">
        <v>3611458</v>
      </c>
      <c r="M753" s="10">
        <v>621346</v>
      </c>
      <c r="N753" s="12">
        <v>15</v>
      </c>
      <c r="O753" s="12" t="s">
        <v>6992</v>
      </c>
      <c r="P753" t="s">
        <v>3523</v>
      </c>
      <c r="Q753"/>
      <c r="R753"/>
      <c r="S753" t="s">
        <v>7298</v>
      </c>
      <c r="T753" s="12" t="s">
        <v>4896</v>
      </c>
      <c r="U753" s="12" t="s">
        <v>4897</v>
      </c>
      <c r="V753" s="12" t="s">
        <v>4898</v>
      </c>
      <c r="W753" s="12">
        <v>0</v>
      </c>
      <c r="X753" s="12">
        <v>0</v>
      </c>
      <c r="Y753" s="12">
        <v>0</v>
      </c>
      <c r="Z753" s="12">
        <v>1</v>
      </c>
      <c r="AA753" s="12">
        <v>1</v>
      </c>
      <c r="AB753" s="12">
        <v>0</v>
      </c>
      <c r="AC753" s="12">
        <v>0</v>
      </c>
      <c r="AD753" s="12">
        <v>0</v>
      </c>
      <c r="AE753" s="12">
        <v>0</v>
      </c>
      <c r="AF753" s="12">
        <v>0</v>
      </c>
      <c r="AG753" s="12">
        <v>0</v>
      </c>
      <c r="AH753" s="12">
        <v>0</v>
      </c>
      <c r="AI753" s="12">
        <v>0</v>
      </c>
      <c r="AJ753" s="12">
        <v>0</v>
      </c>
      <c r="AK753" s="12">
        <v>0</v>
      </c>
      <c r="AL753" s="12">
        <v>0</v>
      </c>
      <c r="AM753" s="12"/>
      <c r="AN753" s="12">
        <v>0</v>
      </c>
      <c r="AO753" s="12">
        <v>0</v>
      </c>
      <c r="AP753" s="12">
        <v>0</v>
      </c>
      <c r="AQ753" s="12">
        <v>0</v>
      </c>
      <c r="AR753" s="12">
        <v>0</v>
      </c>
      <c r="AS753" s="12">
        <v>0</v>
      </c>
      <c r="AT753" s="12">
        <v>0</v>
      </c>
      <c r="AU753" s="12">
        <v>0</v>
      </c>
      <c r="AV753" s="12">
        <v>0</v>
      </c>
      <c r="AW753" s="12">
        <v>0</v>
      </c>
      <c r="AX753" s="12">
        <v>0</v>
      </c>
      <c r="AY753" s="12">
        <v>0</v>
      </c>
      <c r="BB753" s="12">
        <v>0</v>
      </c>
      <c r="BC753" s="12">
        <v>0</v>
      </c>
      <c r="BD753" s="12">
        <v>0</v>
      </c>
      <c r="BE753" s="12">
        <v>0</v>
      </c>
      <c r="BF753" s="12">
        <v>0</v>
      </c>
      <c r="BI753" s="12">
        <v>0</v>
      </c>
      <c r="BJ753" s="12">
        <v>0</v>
      </c>
    </row>
    <row r="754" spans="1:62" x14ac:dyDescent="0.15">
      <c r="A754" s="12" t="s">
        <v>3384</v>
      </c>
      <c r="B754" t="s">
        <v>3385</v>
      </c>
      <c r="C754" s="20" t="s">
        <v>3386</v>
      </c>
      <c r="D754" t="s">
        <v>7283</v>
      </c>
      <c r="E754" t="s">
        <v>3492</v>
      </c>
      <c r="F754"/>
      <c r="G754"/>
      <c r="H754"/>
      <c r="I754"/>
      <c r="J754"/>
      <c r="K754"/>
      <c r="L754" s="10">
        <v>3615228</v>
      </c>
      <c r="M754" s="10">
        <v>614327</v>
      </c>
      <c r="N754" s="12">
        <v>15</v>
      </c>
      <c r="O754" s="12" t="s">
        <v>6992</v>
      </c>
      <c r="P754" t="s">
        <v>3523</v>
      </c>
      <c r="Q754"/>
      <c r="R754"/>
      <c r="S754" t="s">
        <v>7283</v>
      </c>
      <c r="T754" s="12" t="s">
        <v>4896</v>
      </c>
      <c r="U754" s="12" t="s">
        <v>4897</v>
      </c>
      <c r="V754" s="12" t="s">
        <v>4898</v>
      </c>
      <c r="W754" s="12">
        <v>0</v>
      </c>
      <c r="X754" s="12">
        <v>0</v>
      </c>
      <c r="Y754" s="12">
        <v>0</v>
      </c>
      <c r="Z754" s="12">
        <v>1</v>
      </c>
      <c r="AA754" s="12">
        <v>1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2">
        <v>0</v>
      </c>
      <c r="AK754" s="12">
        <v>0</v>
      </c>
      <c r="AL754" s="12">
        <v>0</v>
      </c>
      <c r="AM754" s="12"/>
      <c r="AN754" s="12">
        <v>0</v>
      </c>
      <c r="AO754" s="12">
        <v>0</v>
      </c>
      <c r="AP754" s="12">
        <v>0</v>
      </c>
      <c r="AQ754" s="12">
        <v>0</v>
      </c>
      <c r="AR754" s="12">
        <v>0</v>
      </c>
      <c r="AS754" s="12">
        <v>0</v>
      </c>
      <c r="AT754" s="12">
        <v>0</v>
      </c>
      <c r="AU754" s="12">
        <v>0</v>
      </c>
      <c r="AV754" s="12">
        <v>0</v>
      </c>
      <c r="AW754" s="12">
        <v>0</v>
      </c>
      <c r="AX754" s="12">
        <v>0</v>
      </c>
      <c r="AY754" s="12">
        <v>0</v>
      </c>
      <c r="BB754" s="12">
        <v>0</v>
      </c>
      <c r="BC754" s="12">
        <v>0</v>
      </c>
      <c r="BD754" s="12">
        <v>0</v>
      </c>
      <c r="BE754" s="12">
        <v>0</v>
      </c>
      <c r="BF754" s="12">
        <v>0</v>
      </c>
      <c r="BI754" s="12">
        <v>0</v>
      </c>
      <c r="BJ754" s="12">
        <v>0</v>
      </c>
    </row>
    <row r="755" spans="1:62" x14ac:dyDescent="0.15">
      <c r="A755" s="12" t="s">
        <v>3387</v>
      </c>
      <c r="B755" t="s">
        <v>3388</v>
      </c>
      <c r="C755" s="20" t="s">
        <v>3389</v>
      </c>
      <c r="D755" t="s">
        <v>7283</v>
      </c>
      <c r="E755" t="s">
        <v>3492</v>
      </c>
      <c r="F755"/>
      <c r="G755"/>
      <c r="H755"/>
      <c r="I755"/>
      <c r="J755"/>
      <c r="K755"/>
      <c r="L755" s="10">
        <v>3611440</v>
      </c>
      <c r="M755" s="10">
        <v>604832</v>
      </c>
      <c r="N755" s="12">
        <v>15</v>
      </c>
      <c r="O755" s="12" t="s">
        <v>6992</v>
      </c>
      <c r="P755" t="s">
        <v>3523</v>
      </c>
      <c r="Q755"/>
      <c r="R755"/>
      <c r="S755" t="s">
        <v>7283</v>
      </c>
      <c r="T755" s="12" t="s">
        <v>4896</v>
      </c>
      <c r="U755" s="12" t="s">
        <v>4897</v>
      </c>
      <c r="V755" s="12" t="s">
        <v>4898</v>
      </c>
      <c r="W755" s="12">
        <v>0</v>
      </c>
      <c r="X755" s="12">
        <v>0</v>
      </c>
      <c r="Y755" s="12">
        <v>0</v>
      </c>
      <c r="Z755" s="12">
        <v>1</v>
      </c>
      <c r="AA755" s="12">
        <v>1</v>
      </c>
      <c r="AB755" s="12">
        <v>0</v>
      </c>
      <c r="AC755" s="12">
        <v>0</v>
      </c>
      <c r="AD755" s="12">
        <v>0</v>
      </c>
      <c r="AE755" s="12">
        <v>0</v>
      </c>
      <c r="AF755" s="12">
        <v>0</v>
      </c>
      <c r="AG755" s="12">
        <v>0</v>
      </c>
      <c r="AH755" s="12">
        <v>0</v>
      </c>
      <c r="AI755" s="12">
        <v>0</v>
      </c>
      <c r="AJ755" s="12">
        <v>0</v>
      </c>
      <c r="AK755" s="12">
        <v>0</v>
      </c>
      <c r="AL755" s="12">
        <v>0</v>
      </c>
      <c r="AM755" s="12"/>
      <c r="AN755" s="12">
        <v>0</v>
      </c>
      <c r="AO755" s="12">
        <v>0</v>
      </c>
      <c r="AP755" s="12">
        <v>0</v>
      </c>
      <c r="AQ755" s="12">
        <v>0</v>
      </c>
      <c r="AR755" s="12">
        <v>0</v>
      </c>
      <c r="AS755" s="12">
        <v>0</v>
      </c>
      <c r="AT755" s="12">
        <v>0</v>
      </c>
      <c r="AU755" s="12">
        <v>0</v>
      </c>
      <c r="AV755" s="12">
        <v>0</v>
      </c>
      <c r="AW755" s="12">
        <v>0</v>
      </c>
      <c r="AX755" s="12">
        <v>0</v>
      </c>
      <c r="AY755" s="12">
        <v>0</v>
      </c>
      <c r="BB755" s="12">
        <v>0</v>
      </c>
      <c r="BC755" s="12">
        <v>0</v>
      </c>
      <c r="BD755" s="12">
        <v>0</v>
      </c>
      <c r="BE755" s="12">
        <v>0</v>
      </c>
      <c r="BF755" s="12">
        <v>0</v>
      </c>
      <c r="BI755" s="12">
        <v>0</v>
      </c>
      <c r="BJ755" s="12">
        <v>0</v>
      </c>
    </row>
    <row r="756" spans="1:62" x14ac:dyDescent="0.15">
      <c r="A756" s="12"/>
      <c r="B756"/>
      <c r="C756" s="20" t="s">
        <v>3390</v>
      </c>
      <c r="D756" t="s">
        <v>7387</v>
      </c>
      <c r="E756" t="s">
        <v>3492</v>
      </c>
      <c r="F756"/>
      <c r="G756"/>
      <c r="H756"/>
      <c r="I756"/>
      <c r="J756"/>
      <c r="K756"/>
      <c r="L756" s="10">
        <v>3609738</v>
      </c>
      <c r="M756" s="10">
        <v>623106</v>
      </c>
      <c r="N756" s="12">
        <v>15</v>
      </c>
      <c r="O756" s="12" t="s">
        <v>6992</v>
      </c>
      <c r="P756" t="s">
        <v>7388</v>
      </c>
      <c r="Q756"/>
      <c r="R756"/>
      <c r="S756" t="s">
        <v>7387</v>
      </c>
      <c r="T756" s="12" t="s">
        <v>4896</v>
      </c>
      <c r="U756" s="12" t="s">
        <v>4897</v>
      </c>
      <c r="V756" s="12" t="s">
        <v>4898</v>
      </c>
      <c r="W756" s="12">
        <v>0</v>
      </c>
      <c r="X756" s="12">
        <v>0</v>
      </c>
      <c r="Y756" s="12">
        <v>0</v>
      </c>
      <c r="Z756" s="12">
        <v>1</v>
      </c>
      <c r="AA756" s="12">
        <v>1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2">
        <v>0</v>
      </c>
      <c r="AK756" s="12">
        <v>0</v>
      </c>
      <c r="AL756" s="12">
        <v>0</v>
      </c>
      <c r="AM756" s="12"/>
      <c r="AN756" s="12">
        <v>0</v>
      </c>
      <c r="AO756" s="12">
        <v>0</v>
      </c>
      <c r="AP756" s="12">
        <v>0</v>
      </c>
      <c r="AQ756" s="12">
        <v>0</v>
      </c>
      <c r="AR756" s="12">
        <v>0</v>
      </c>
      <c r="AS756" s="12">
        <v>0</v>
      </c>
      <c r="AT756" s="12">
        <v>0</v>
      </c>
      <c r="AU756" s="12">
        <v>0</v>
      </c>
      <c r="AV756" s="12">
        <v>0</v>
      </c>
      <c r="AW756" s="12">
        <v>0</v>
      </c>
      <c r="AX756" s="12">
        <v>0</v>
      </c>
      <c r="AY756" s="12">
        <v>0</v>
      </c>
      <c r="BB756" s="12">
        <v>0</v>
      </c>
      <c r="BC756" s="12">
        <v>0</v>
      </c>
      <c r="BD756" s="12">
        <v>0</v>
      </c>
      <c r="BE756" s="12">
        <v>0</v>
      </c>
      <c r="BF756" s="12">
        <v>0</v>
      </c>
      <c r="BI756" s="12">
        <v>0</v>
      </c>
      <c r="BJ756" s="12">
        <v>0</v>
      </c>
    </row>
    <row r="757" spans="1:62" x14ac:dyDescent="0.15">
      <c r="A757" s="12" t="s">
        <v>3391</v>
      </c>
      <c r="B757" t="s">
        <v>3392</v>
      </c>
      <c r="C757" s="20" t="s">
        <v>3393</v>
      </c>
      <c r="D757" t="s">
        <v>7283</v>
      </c>
      <c r="E757" t="s">
        <v>3492</v>
      </c>
      <c r="F757"/>
      <c r="G757"/>
      <c r="H757"/>
      <c r="I757"/>
      <c r="J757"/>
      <c r="K757"/>
      <c r="L757" s="10">
        <v>3619474</v>
      </c>
      <c r="M757" s="10">
        <v>605821</v>
      </c>
      <c r="N757" s="12">
        <v>15</v>
      </c>
      <c r="O757" s="12" t="s">
        <v>6992</v>
      </c>
      <c r="P757" t="s">
        <v>3523</v>
      </c>
      <c r="Q757"/>
      <c r="R757"/>
      <c r="S757" t="s">
        <v>7283</v>
      </c>
      <c r="T757" s="12" t="s">
        <v>4896</v>
      </c>
      <c r="U757" s="12" t="s">
        <v>4897</v>
      </c>
      <c r="V757" s="12" t="s">
        <v>4898</v>
      </c>
      <c r="W757" s="12">
        <v>0</v>
      </c>
      <c r="X757" s="12">
        <v>0</v>
      </c>
      <c r="Y757" s="12">
        <v>0</v>
      </c>
      <c r="Z757" s="12">
        <v>1</v>
      </c>
      <c r="AA757" s="12">
        <v>1</v>
      </c>
      <c r="AB757" s="12">
        <v>0</v>
      </c>
      <c r="AC757" s="12">
        <v>0</v>
      </c>
      <c r="AD757" s="12">
        <v>0</v>
      </c>
      <c r="AE757" s="12">
        <v>0</v>
      </c>
      <c r="AF757" s="12">
        <v>0</v>
      </c>
      <c r="AG757" s="12">
        <v>0</v>
      </c>
      <c r="AH757" s="12">
        <v>0</v>
      </c>
      <c r="AI757" s="12">
        <v>0</v>
      </c>
      <c r="AJ757" s="12">
        <v>0</v>
      </c>
      <c r="AK757" s="12">
        <v>0</v>
      </c>
      <c r="AL757" s="12">
        <v>0</v>
      </c>
      <c r="AM757" s="12"/>
      <c r="AN757" s="12">
        <v>0</v>
      </c>
      <c r="AO757" s="12">
        <v>0</v>
      </c>
      <c r="AP757" s="12">
        <v>0</v>
      </c>
      <c r="AQ757" s="12">
        <v>0</v>
      </c>
      <c r="AR757" s="12">
        <v>0</v>
      </c>
      <c r="AS757" s="12">
        <v>0</v>
      </c>
      <c r="AT757" s="12">
        <v>0</v>
      </c>
      <c r="AU757" s="12">
        <v>0</v>
      </c>
      <c r="AV757" s="12">
        <v>0</v>
      </c>
      <c r="AW757" s="12">
        <v>0</v>
      </c>
      <c r="AX757" s="12">
        <v>0</v>
      </c>
      <c r="AY757" s="12">
        <v>0</v>
      </c>
      <c r="BB757" s="12">
        <v>0</v>
      </c>
      <c r="BC757" s="12">
        <v>0</v>
      </c>
      <c r="BD757" s="12">
        <v>0</v>
      </c>
      <c r="BE757" s="12">
        <v>0</v>
      </c>
      <c r="BF757" s="12">
        <v>0</v>
      </c>
      <c r="BI757" s="12">
        <v>0</v>
      </c>
      <c r="BJ757" s="12">
        <v>0</v>
      </c>
    </row>
    <row r="758" spans="1:62" x14ac:dyDescent="0.15">
      <c r="A758" s="12" t="s">
        <v>3394</v>
      </c>
      <c r="B758" t="s">
        <v>3395</v>
      </c>
      <c r="C758" s="20" t="s">
        <v>3396</v>
      </c>
      <c r="D758" t="s">
        <v>7283</v>
      </c>
      <c r="E758" t="s">
        <v>3492</v>
      </c>
      <c r="F758"/>
      <c r="G758"/>
      <c r="H758"/>
      <c r="I758"/>
      <c r="J758"/>
      <c r="K758"/>
      <c r="L758" s="10">
        <v>3613787</v>
      </c>
      <c r="M758" s="10">
        <v>622927</v>
      </c>
      <c r="N758" s="12">
        <v>15</v>
      </c>
      <c r="O758" s="12" t="s">
        <v>6992</v>
      </c>
      <c r="P758" t="s">
        <v>3523</v>
      </c>
      <c r="Q758"/>
      <c r="R758"/>
      <c r="S758" t="s">
        <v>7283</v>
      </c>
      <c r="T758" s="12" t="s">
        <v>4896</v>
      </c>
      <c r="U758" s="12" t="s">
        <v>4897</v>
      </c>
      <c r="V758" s="12" t="s">
        <v>4898</v>
      </c>
      <c r="W758" s="12">
        <v>0</v>
      </c>
      <c r="X758" s="12">
        <v>0</v>
      </c>
      <c r="Y758" s="12">
        <v>0</v>
      </c>
      <c r="Z758" s="12">
        <v>1</v>
      </c>
      <c r="AA758" s="12">
        <v>1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2">
        <v>0</v>
      </c>
      <c r="AK758" s="12">
        <v>0</v>
      </c>
      <c r="AL758" s="12">
        <v>0</v>
      </c>
      <c r="AM758" s="12"/>
      <c r="AN758" s="12">
        <v>0</v>
      </c>
      <c r="AO758" s="12">
        <v>0</v>
      </c>
      <c r="AP758" s="12">
        <v>0</v>
      </c>
      <c r="AQ758" s="12">
        <v>0</v>
      </c>
      <c r="AR758" s="12">
        <v>0</v>
      </c>
      <c r="AS758" s="12">
        <v>0</v>
      </c>
      <c r="AT758" s="12">
        <v>0</v>
      </c>
      <c r="AU758" s="12">
        <v>0</v>
      </c>
      <c r="AV758" s="12">
        <v>0</v>
      </c>
      <c r="AW758" s="12">
        <v>0</v>
      </c>
      <c r="AX758" s="12">
        <v>0</v>
      </c>
      <c r="AY758" s="12">
        <v>0</v>
      </c>
      <c r="BB758" s="12">
        <v>0</v>
      </c>
      <c r="BC758" s="12">
        <v>0</v>
      </c>
      <c r="BD758" s="12">
        <v>0</v>
      </c>
      <c r="BE758" s="12">
        <v>0</v>
      </c>
      <c r="BF758" s="12">
        <v>0</v>
      </c>
      <c r="BI758" s="12">
        <v>0</v>
      </c>
      <c r="BJ758" s="12">
        <v>0</v>
      </c>
    </row>
    <row r="759" spans="1:62" x14ac:dyDescent="0.15">
      <c r="A759" s="12" t="s">
        <v>3397</v>
      </c>
      <c r="B759" t="s">
        <v>3398</v>
      </c>
      <c r="C759" s="20" t="s">
        <v>3399</v>
      </c>
      <c r="D759" t="s">
        <v>7283</v>
      </c>
      <c r="E759" t="s">
        <v>3492</v>
      </c>
      <c r="F759"/>
      <c r="G759"/>
      <c r="H759"/>
      <c r="I759"/>
      <c r="J759"/>
      <c r="K759"/>
      <c r="L759" s="10">
        <v>3616725</v>
      </c>
      <c r="M759" s="10">
        <v>623021</v>
      </c>
      <c r="N759" s="12">
        <v>15</v>
      </c>
      <c r="O759" s="12" t="s">
        <v>6992</v>
      </c>
      <c r="P759" t="s">
        <v>3400</v>
      </c>
      <c r="Q759"/>
      <c r="R759"/>
      <c r="S759" t="s">
        <v>7298</v>
      </c>
      <c r="T759" s="12" t="s">
        <v>4896</v>
      </c>
      <c r="U759" s="12" t="s">
        <v>4897</v>
      </c>
      <c r="V759" s="12" t="s">
        <v>4898</v>
      </c>
      <c r="W759" s="12">
        <v>0</v>
      </c>
      <c r="X759" s="12">
        <v>0</v>
      </c>
      <c r="Y759" s="12">
        <v>0</v>
      </c>
      <c r="Z759" s="12">
        <v>1</v>
      </c>
      <c r="AA759" s="12">
        <v>1</v>
      </c>
      <c r="AB759" s="12">
        <v>0</v>
      </c>
      <c r="AC759" s="12">
        <v>0</v>
      </c>
      <c r="AD759" s="12">
        <v>0</v>
      </c>
      <c r="AE759" s="12">
        <v>0</v>
      </c>
      <c r="AF759" s="12">
        <v>0</v>
      </c>
      <c r="AG759" s="12">
        <v>0</v>
      </c>
      <c r="AH759" s="12">
        <v>0</v>
      </c>
      <c r="AI759" s="12">
        <v>0</v>
      </c>
      <c r="AJ759" s="12">
        <v>0</v>
      </c>
      <c r="AK759" s="12">
        <v>0</v>
      </c>
      <c r="AL759" s="12">
        <v>0</v>
      </c>
      <c r="AM759" s="12"/>
      <c r="AN759" s="12">
        <v>0</v>
      </c>
      <c r="AO759" s="12">
        <v>0</v>
      </c>
      <c r="AP759" s="12">
        <v>0</v>
      </c>
      <c r="AQ759" s="12">
        <v>0</v>
      </c>
      <c r="AR759" s="12">
        <v>0</v>
      </c>
      <c r="AS759" s="12">
        <v>0</v>
      </c>
      <c r="AT759" s="12">
        <v>0</v>
      </c>
      <c r="AU759" s="12">
        <v>0</v>
      </c>
      <c r="AV759" s="12">
        <v>0</v>
      </c>
      <c r="AW759" s="12">
        <v>0</v>
      </c>
      <c r="AX759" s="12">
        <v>0</v>
      </c>
      <c r="AY759" s="12">
        <v>0</v>
      </c>
      <c r="BB759" s="12">
        <v>0</v>
      </c>
      <c r="BC759" s="12">
        <v>0</v>
      </c>
      <c r="BD759" s="12">
        <v>0</v>
      </c>
      <c r="BE759" s="12">
        <v>0</v>
      </c>
      <c r="BF759" s="12">
        <v>0</v>
      </c>
      <c r="BI759" s="12">
        <v>0</v>
      </c>
      <c r="BJ759" s="12">
        <v>0</v>
      </c>
    </row>
    <row r="760" spans="1:62" x14ac:dyDescent="0.15">
      <c r="A760" s="12" t="s">
        <v>3401</v>
      </c>
      <c r="B760" t="s">
        <v>3373</v>
      </c>
      <c r="C760" s="20" t="s">
        <v>3402</v>
      </c>
      <c r="D760" t="s">
        <v>7283</v>
      </c>
      <c r="E760" t="s">
        <v>3492</v>
      </c>
      <c r="F760"/>
      <c r="G760"/>
      <c r="H760"/>
      <c r="I760"/>
      <c r="J760"/>
      <c r="K760"/>
      <c r="L760" s="10">
        <v>3635358</v>
      </c>
      <c r="M760" s="10">
        <v>620444</v>
      </c>
      <c r="N760" s="12">
        <v>15</v>
      </c>
      <c r="O760" s="12" t="s">
        <v>6992</v>
      </c>
      <c r="P760" t="s">
        <v>3523</v>
      </c>
      <c r="Q760"/>
      <c r="R760"/>
      <c r="S760" t="s">
        <v>7283</v>
      </c>
      <c r="T760" s="12" t="s">
        <v>4896</v>
      </c>
      <c r="U760" s="12" t="s">
        <v>4897</v>
      </c>
      <c r="V760" s="12" t="s">
        <v>4898</v>
      </c>
      <c r="W760" s="12">
        <v>0</v>
      </c>
      <c r="X760" s="12">
        <v>0</v>
      </c>
      <c r="Y760" s="12">
        <v>0</v>
      </c>
      <c r="Z760" s="12">
        <v>1</v>
      </c>
      <c r="AA760" s="12">
        <v>1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2">
        <v>0</v>
      </c>
      <c r="AK760" s="12">
        <v>0</v>
      </c>
      <c r="AL760" s="12">
        <v>0</v>
      </c>
      <c r="AM760" s="12"/>
      <c r="AN760" s="12">
        <v>0</v>
      </c>
      <c r="AO760" s="12">
        <v>0</v>
      </c>
      <c r="AP760" s="12">
        <v>0</v>
      </c>
      <c r="AQ760" s="12">
        <v>0</v>
      </c>
      <c r="AR760" s="12">
        <v>0</v>
      </c>
      <c r="AS760" s="12">
        <v>0</v>
      </c>
      <c r="AT760" s="12">
        <v>0</v>
      </c>
      <c r="AU760" s="12">
        <v>0</v>
      </c>
      <c r="AV760" s="12">
        <v>0</v>
      </c>
      <c r="AW760" s="12">
        <v>0</v>
      </c>
      <c r="AX760" s="12">
        <v>0</v>
      </c>
      <c r="AY760" s="12">
        <v>0</v>
      </c>
      <c r="BB760" s="12">
        <v>0</v>
      </c>
      <c r="BC760" s="12">
        <v>0</v>
      </c>
      <c r="BD760" s="12">
        <v>0</v>
      </c>
      <c r="BE760" s="12">
        <v>0</v>
      </c>
      <c r="BF760" s="12">
        <v>0</v>
      </c>
      <c r="BI760" s="12">
        <v>0</v>
      </c>
      <c r="BJ760" s="12">
        <v>0</v>
      </c>
    </row>
    <row r="761" spans="1:62" x14ac:dyDescent="0.15">
      <c r="A761" s="12" t="s">
        <v>3403</v>
      </c>
      <c r="B761" t="s">
        <v>3404</v>
      </c>
      <c r="C761" s="20" t="s">
        <v>6984</v>
      </c>
      <c r="D761" t="s">
        <v>7283</v>
      </c>
      <c r="E761" t="s">
        <v>3492</v>
      </c>
      <c r="F761"/>
      <c r="G761"/>
      <c r="H761"/>
      <c r="I761"/>
      <c r="J761"/>
      <c r="K761"/>
      <c r="L761" s="10">
        <v>3638737</v>
      </c>
      <c r="M761" s="10">
        <v>621666</v>
      </c>
      <c r="N761" s="12">
        <v>15</v>
      </c>
      <c r="O761" s="12" t="s">
        <v>6992</v>
      </c>
      <c r="P761" t="s">
        <v>3523</v>
      </c>
      <c r="Q761"/>
      <c r="R761"/>
      <c r="S761" t="s">
        <v>7283</v>
      </c>
      <c r="T761" s="12" t="s">
        <v>4896</v>
      </c>
      <c r="U761" s="12" t="s">
        <v>4897</v>
      </c>
      <c r="V761" s="12" t="s">
        <v>4898</v>
      </c>
      <c r="W761" s="12">
        <v>0</v>
      </c>
      <c r="X761" s="12">
        <v>0</v>
      </c>
      <c r="Y761" s="12">
        <v>0</v>
      </c>
      <c r="Z761" s="12">
        <v>1</v>
      </c>
      <c r="AA761" s="12">
        <v>1</v>
      </c>
      <c r="AB761" s="12">
        <v>0</v>
      </c>
      <c r="AC761" s="12">
        <v>0</v>
      </c>
      <c r="AD761" s="12">
        <f>VLOOKUP(C761,'[1]Phillips 1970 - Baytown'!A$1:B$65536,2,FALSE)</f>
        <v>1</v>
      </c>
      <c r="AE761" s="12">
        <f>VLOOKUP(C761,'[1]Phillips 1970 - coles creek'!A$1:B$65536,2,FALSE)</f>
        <v>1</v>
      </c>
      <c r="AF761" s="12">
        <v>0</v>
      </c>
      <c r="AG761" s="12">
        <v>0</v>
      </c>
      <c r="AH761" s="12">
        <v>0</v>
      </c>
      <c r="AI761" s="12">
        <v>0</v>
      </c>
      <c r="AJ761" s="12">
        <v>0</v>
      </c>
      <c r="AK761" s="12">
        <v>0</v>
      </c>
      <c r="AL761" s="12">
        <v>0</v>
      </c>
      <c r="AM761" s="12"/>
      <c r="AN761" s="12">
        <v>0</v>
      </c>
      <c r="AO761" s="12">
        <v>0</v>
      </c>
      <c r="AP761" s="12">
        <v>0</v>
      </c>
      <c r="AQ761" s="12">
        <v>0</v>
      </c>
      <c r="AR761" s="12">
        <v>0</v>
      </c>
      <c r="AS761" s="12">
        <v>0</v>
      </c>
      <c r="AT761" s="12">
        <v>0</v>
      </c>
      <c r="AU761" s="12">
        <v>0</v>
      </c>
      <c r="AV761" s="12">
        <v>0</v>
      </c>
      <c r="AW761" s="12">
        <v>0</v>
      </c>
      <c r="AX761" s="12">
        <v>0</v>
      </c>
      <c r="AY761" s="12">
        <v>0</v>
      </c>
      <c r="BB761" s="12">
        <v>0</v>
      </c>
      <c r="BC761" s="12">
        <v>0</v>
      </c>
      <c r="BD761" s="12">
        <v>0</v>
      </c>
      <c r="BE761" s="12">
        <v>0</v>
      </c>
      <c r="BF761" s="12">
        <v>0</v>
      </c>
      <c r="BI761" s="12">
        <v>0</v>
      </c>
      <c r="BJ761" s="12">
        <v>0</v>
      </c>
    </row>
    <row r="762" spans="1:62" x14ac:dyDescent="0.15">
      <c r="A762" s="12" t="s">
        <v>3405</v>
      </c>
      <c r="B762" t="s">
        <v>3406</v>
      </c>
      <c r="C762" s="20" t="s">
        <v>3407</v>
      </c>
      <c r="D762" t="s">
        <v>7283</v>
      </c>
      <c r="E762" t="s">
        <v>3492</v>
      </c>
      <c r="F762"/>
      <c r="G762"/>
      <c r="H762"/>
      <c r="I762"/>
      <c r="J762"/>
      <c r="K762"/>
      <c r="L762" s="10">
        <v>3635711</v>
      </c>
      <c r="M762" s="10">
        <v>612844</v>
      </c>
      <c r="N762" s="12">
        <v>15</v>
      </c>
      <c r="O762" s="12" t="s">
        <v>6992</v>
      </c>
      <c r="P762" t="s">
        <v>3523</v>
      </c>
      <c r="Q762"/>
      <c r="R762"/>
      <c r="S762" t="s">
        <v>7283</v>
      </c>
      <c r="T762" s="12" t="s">
        <v>4896</v>
      </c>
      <c r="U762" s="12" t="s">
        <v>4897</v>
      </c>
      <c r="V762" s="12" t="s">
        <v>4898</v>
      </c>
      <c r="W762" s="12">
        <v>0</v>
      </c>
      <c r="X762" s="12">
        <v>0</v>
      </c>
      <c r="Y762" s="12">
        <v>0</v>
      </c>
      <c r="Z762" s="12">
        <v>1</v>
      </c>
      <c r="AA762" s="12">
        <v>1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2">
        <v>0</v>
      </c>
      <c r="AK762" s="12">
        <v>0</v>
      </c>
      <c r="AL762" s="12">
        <v>0</v>
      </c>
      <c r="AM762" s="12"/>
      <c r="AN762" s="12">
        <v>0</v>
      </c>
      <c r="AO762" s="12">
        <v>0</v>
      </c>
      <c r="AP762" s="12">
        <v>0</v>
      </c>
      <c r="AQ762" s="12">
        <v>0</v>
      </c>
      <c r="AR762" s="12">
        <v>0</v>
      </c>
      <c r="AS762" s="12">
        <v>0</v>
      </c>
      <c r="AT762" s="12">
        <v>0</v>
      </c>
      <c r="AU762" s="12">
        <v>0</v>
      </c>
      <c r="AV762" s="12">
        <v>0</v>
      </c>
      <c r="AW762" s="12">
        <v>0</v>
      </c>
      <c r="AX762" s="12">
        <v>0</v>
      </c>
      <c r="AY762" s="12">
        <v>0</v>
      </c>
      <c r="BB762" s="12">
        <v>0</v>
      </c>
      <c r="BC762" s="12">
        <v>0</v>
      </c>
      <c r="BD762" s="12">
        <v>0</v>
      </c>
      <c r="BE762" s="12">
        <v>0</v>
      </c>
      <c r="BF762" s="12">
        <v>0</v>
      </c>
      <c r="BI762" s="12">
        <v>0</v>
      </c>
      <c r="BJ762" s="12">
        <v>0</v>
      </c>
    </row>
    <row r="763" spans="1:62" x14ac:dyDescent="0.15">
      <c r="A763" s="12" t="s">
        <v>3408</v>
      </c>
      <c r="B763" t="s">
        <v>3409</v>
      </c>
      <c r="C763" s="20" t="s">
        <v>3410</v>
      </c>
      <c r="D763" t="s">
        <v>7283</v>
      </c>
      <c r="E763" t="s">
        <v>3492</v>
      </c>
      <c r="F763"/>
      <c r="G763"/>
      <c r="H763"/>
      <c r="I763"/>
      <c r="J763"/>
      <c r="K763"/>
      <c r="L763" s="10">
        <v>3640760</v>
      </c>
      <c r="M763" s="10">
        <v>616127</v>
      </c>
      <c r="N763" s="12">
        <v>15</v>
      </c>
      <c r="O763" s="12" t="s">
        <v>6992</v>
      </c>
      <c r="P763" t="s">
        <v>3523</v>
      </c>
      <c r="Q763"/>
      <c r="R763"/>
      <c r="S763" t="s">
        <v>7283</v>
      </c>
      <c r="T763" s="12" t="s">
        <v>4896</v>
      </c>
      <c r="U763" s="12" t="s">
        <v>4897</v>
      </c>
      <c r="V763" s="12" t="s">
        <v>4898</v>
      </c>
      <c r="W763" s="12">
        <v>0</v>
      </c>
      <c r="X763" s="12">
        <v>0</v>
      </c>
      <c r="Y763" s="12">
        <v>0</v>
      </c>
      <c r="Z763" s="12">
        <v>1</v>
      </c>
      <c r="AA763" s="12">
        <v>1</v>
      </c>
      <c r="AB763" s="12">
        <v>0</v>
      </c>
      <c r="AC763" s="12">
        <v>0</v>
      </c>
      <c r="AD763" s="12">
        <v>0</v>
      </c>
      <c r="AE763" s="12">
        <v>0</v>
      </c>
      <c r="AF763" s="12">
        <v>0</v>
      </c>
      <c r="AG763" s="12">
        <v>0</v>
      </c>
      <c r="AH763" s="12">
        <v>0</v>
      </c>
      <c r="AI763" s="12">
        <v>0</v>
      </c>
      <c r="AJ763" s="12">
        <v>0</v>
      </c>
      <c r="AK763" s="12">
        <v>0</v>
      </c>
      <c r="AL763" s="12">
        <v>0</v>
      </c>
      <c r="AM763" s="12"/>
      <c r="AN763" s="12">
        <v>0</v>
      </c>
      <c r="AO763" s="12">
        <v>0</v>
      </c>
      <c r="AP763" s="12">
        <v>0</v>
      </c>
      <c r="AQ763" s="12">
        <v>0</v>
      </c>
      <c r="AR763" s="12">
        <v>0</v>
      </c>
      <c r="AS763" s="12">
        <v>0</v>
      </c>
      <c r="AT763" s="12">
        <v>0</v>
      </c>
      <c r="AU763" s="12">
        <v>0</v>
      </c>
      <c r="AV763" s="12">
        <v>0</v>
      </c>
      <c r="AW763" s="12">
        <v>0</v>
      </c>
      <c r="AX763" s="12">
        <v>0</v>
      </c>
      <c r="AY763" s="12">
        <v>0</v>
      </c>
      <c r="BB763" s="12">
        <v>0</v>
      </c>
      <c r="BC763" s="12">
        <v>0</v>
      </c>
      <c r="BD763" s="12">
        <v>0</v>
      </c>
      <c r="BE763" s="12">
        <v>0</v>
      </c>
      <c r="BF763" s="12">
        <v>0</v>
      </c>
      <c r="BI763" s="12">
        <v>0</v>
      </c>
      <c r="BJ763" s="12">
        <v>0</v>
      </c>
    </row>
    <row r="764" spans="1:62" x14ac:dyDescent="0.15">
      <c r="A764" s="12" t="s">
        <v>3411</v>
      </c>
      <c r="B764" t="s">
        <v>3412</v>
      </c>
      <c r="C764" s="20" t="s">
        <v>3413</v>
      </c>
      <c r="D764" t="s">
        <v>7283</v>
      </c>
      <c r="E764" t="s">
        <v>3492</v>
      </c>
      <c r="F764"/>
      <c r="G764"/>
      <c r="H764"/>
      <c r="I764"/>
      <c r="J764"/>
      <c r="K764"/>
      <c r="L764" s="10">
        <v>3636691</v>
      </c>
      <c r="M764" s="10">
        <v>612744</v>
      </c>
      <c r="N764" s="12">
        <v>15</v>
      </c>
      <c r="O764" s="12" t="s">
        <v>6992</v>
      </c>
      <c r="P764" t="s">
        <v>3523</v>
      </c>
      <c r="Q764"/>
      <c r="R764"/>
      <c r="S764" t="s">
        <v>7283</v>
      </c>
      <c r="T764" s="12" t="s">
        <v>4896</v>
      </c>
      <c r="U764" s="12" t="s">
        <v>4897</v>
      </c>
      <c r="V764" s="12" t="s">
        <v>4898</v>
      </c>
      <c r="W764" s="12">
        <v>0</v>
      </c>
      <c r="X764" s="12">
        <v>0</v>
      </c>
      <c r="Y764" s="12">
        <v>0</v>
      </c>
      <c r="Z764" s="12">
        <v>1</v>
      </c>
      <c r="AA764" s="12">
        <v>1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2">
        <v>0</v>
      </c>
      <c r="AK764" s="12">
        <v>0</v>
      </c>
      <c r="AL764" s="12">
        <v>0</v>
      </c>
      <c r="AM764" s="12"/>
      <c r="AN764" s="12">
        <v>0</v>
      </c>
      <c r="AO764" s="12">
        <v>0</v>
      </c>
      <c r="AP764" s="12">
        <v>0</v>
      </c>
      <c r="AQ764" s="12">
        <v>0</v>
      </c>
      <c r="AR764" s="12">
        <v>0</v>
      </c>
      <c r="AS764" s="12">
        <v>0</v>
      </c>
      <c r="AT764" s="12">
        <v>0</v>
      </c>
      <c r="AU764" s="12">
        <v>0</v>
      </c>
      <c r="AV764" s="12">
        <v>0</v>
      </c>
      <c r="AW764" s="12">
        <v>0</v>
      </c>
      <c r="AX764" s="12">
        <v>0</v>
      </c>
      <c r="AY764" s="12">
        <v>0</v>
      </c>
      <c r="BB764" s="12">
        <v>0</v>
      </c>
      <c r="BC764" s="12">
        <v>0</v>
      </c>
      <c r="BD764" s="12">
        <v>0</v>
      </c>
      <c r="BE764" s="12">
        <v>0</v>
      </c>
      <c r="BF764" s="12">
        <v>0</v>
      </c>
      <c r="BI764" s="12">
        <v>0</v>
      </c>
      <c r="BJ764" s="12">
        <v>0</v>
      </c>
    </row>
    <row r="765" spans="1:62" x14ac:dyDescent="0.15">
      <c r="A765" s="12" t="s">
        <v>3414</v>
      </c>
      <c r="B765" t="s">
        <v>3415</v>
      </c>
      <c r="C765" s="20" t="s">
        <v>3416</v>
      </c>
      <c r="D765" t="s">
        <v>7283</v>
      </c>
      <c r="E765" t="s">
        <v>3492</v>
      </c>
      <c r="F765"/>
      <c r="G765"/>
      <c r="H765"/>
      <c r="I765"/>
      <c r="J765"/>
      <c r="K765"/>
      <c r="L765" s="10">
        <v>3639927</v>
      </c>
      <c r="M765" s="10">
        <v>613101</v>
      </c>
      <c r="N765" s="12">
        <v>15</v>
      </c>
      <c r="O765" s="12" t="s">
        <v>6992</v>
      </c>
      <c r="P765" t="s">
        <v>3523</v>
      </c>
      <c r="Q765"/>
      <c r="R765"/>
      <c r="S765" t="s">
        <v>7283</v>
      </c>
      <c r="T765" s="12" t="s">
        <v>4896</v>
      </c>
      <c r="U765" s="12" t="s">
        <v>4897</v>
      </c>
      <c r="V765" s="12" t="s">
        <v>4898</v>
      </c>
      <c r="W765" s="12">
        <v>0</v>
      </c>
      <c r="X765" s="12">
        <v>0</v>
      </c>
      <c r="Y765" s="12">
        <v>0</v>
      </c>
      <c r="Z765" s="12">
        <v>1</v>
      </c>
      <c r="AA765" s="12">
        <v>1</v>
      </c>
      <c r="AB765" s="12">
        <v>0</v>
      </c>
      <c r="AC765" s="12">
        <v>0</v>
      </c>
      <c r="AD765" s="12">
        <v>0</v>
      </c>
      <c r="AE765" s="12">
        <v>0</v>
      </c>
      <c r="AF765" s="12">
        <f>VLOOKUP(C765,'[1]Phillips 1970 - Miss.'!A$1:B$65536,2,FALSE)</f>
        <v>1</v>
      </c>
      <c r="AG765" s="12">
        <v>1</v>
      </c>
      <c r="AH765" s="12">
        <v>0</v>
      </c>
      <c r="AI765" s="12">
        <v>0</v>
      </c>
      <c r="AJ765" s="12">
        <v>0</v>
      </c>
      <c r="AK765" s="12">
        <v>0</v>
      </c>
      <c r="AL765" s="12">
        <v>0</v>
      </c>
      <c r="AM765" s="12"/>
      <c r="AN765" s="12">
        <v>0</v>
      </c>
      <c r="AO765" s="12">
        <v>0</v>
      </c>
      <c r="AP765" s="12">
        <v>0</v>
      </c>
      <c r="AQ765" s="12">
        <v>0</v>
      </c>
      <c r="AR765" s="12">
        <v>0</v>
      </c>
      <c r="AS765" s="12">
        <v>0</v>
      </c>
      <c r="AT765" s="12">
        <v>0</v>
      </c>
      <c r="AU765" s="12">
        <v>0</v>
      </c>
      <c r="AV765" s="12">
        <v>0</v>
      </c>
      <c r="AW765" s="12">
        <v>0</v>
      </c>
      <c r="AX765" s="12">
        <v>0</v>
      </c>
      <c r="AY765" s="12">
        <v>0</v>
      </c>
      <c r="BB765" s="12">
        <v>0</v>
      </c>
      <c r="BC765" s="12">
        <v>0</v>
      </c>
      <c r="BD765" s="12">
        <v>0</v>
      </c>
      <c r="BE765" s="12">
        <v>0</v>
      </c>
      <c r="BF765" s="12">
        <v>0</v>
      </c>
      <c r="BI765" s="12">
        <v>0</v>
      </c>
      <c r="BJ765" s="12">
        <v>0</v>
      </c>
    </row>
    <row r="766" spans="1:62" x14ac:dyDescent="0.15">
      <c r="A766" s="12" t="s">
        <v>3417</v>
      </c>
      <c r="B766" t="s">
        <v>3418</v>
      </c>
      <c r="C766" s="20" t="s">
        <v>3419</v>
      </c>
      <c r="D766" t="s">
        <v>7283</v>
      </c>
      <c r="E766" t="s">
        <v>3492</v>
      </c>
      <c r="F766"/>
      <c r="G766"/>
      <c r="H766"/>
      <c r="I766"/>
      <c r="J766"/>
      <c r="K766"/>
      <c r="L766" s="10">
        <v>3640383</v>
      </c>
      <c r="M766" s="10">
        <v>613102</v>
      </c>
      <c r="N766" s="12">
        <v>15</v>
      </c>
      <c r="O766" s="12" t="s">
        <v>6992</v>
      </c>
      <c r="P766" t="s">
        <v>3523</v>
      </c>
      <c r="Q766"/>
      <c r="R766"/>
      <c r="S766" t="s">
        <v>7283</v>
      </c>
      <c r="T766" s="12" t="s">
        <v>4896</v>
      </c>
      <c r="U766" s="12" t="s">
        <v>4897</v>
      </c>
      <c r="V766" s="12" t="s">
        <v>4898</v>
      </c>
      <c r="W766" s="12">
        <v>0</v>
      </c>
      <c r="X766" s="12">
        <v>0</v>
      </c>
      <c r="Y766" s="12">
        <v>0</v>
      </c>
      <c r="Z766" s="12">
        <v>1</v>
      </c>
      <c r="AA766" s="12">
        <v>1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2">
        <v>0</v>
      </c>
      <c r="AK766" s="12">
        <v>0</v>
      </c>
      <c r="AL766" s="12">
        <v>0</v>
      </c>
      <c r="AM766" s="12"/>
      <c r="AN766" s="12">
        <v>0</v>
      </c>
      <c r="AO766" s="12">
        <v>0</v>
      </c>
      <c r="AP766" s="12">
        <v>0</v>
      </c>
      <c r="AQ766" s="12">
        <v>0</v>
      </c>
      <c r="AR766" s="12">
        <v>0</v>
      </c>
      <c r="AS766" s="12">
        <v>0</v>
      </c>
      <c r="AT766" s="12">
        <v>0</v>
      </c>
      <c r="AU766" s="12">
        <v>0</v>
      </c>
      <c r="AV766" s="12">
        <v>0</v>
      </c>
      <c r="AW766" s="12">
        <v>0</v>
      </c>
      <c r="AX766" s="12">
        <v>0</v>
      </c>
      <c r="AY766" s="12">
        <v>0</v>
      </c>
      <c r="BB766" s="12">
        <v>0</v>
      </c>
      <c r="BC766" s="12">
        <v>0</v>
      </c>
      <c r="BD766" s="12">
        <v>0</v>
      </c>
      <c r="BE766" s="12">
        <v>0</v>
      </c>
      <c r="BF766" s="12">
        <v>0</v>
      </c>
      <c r="BI766" s="12">
        <v>0</v>
      </c>
      <c r="BJ766" s="12">
        <v>0</v>
      </c>
    </row>
    <row r="767" spans="1:62" x14ac:dyDescent="0.15">
      <c r="A767" s="12" t="s">
        <v>3420</v>
      </c>
      <c r="B767" t="s">
        <v>3421</v>
      </c>
      <c r="C767" s="20" t="s">
        <v>3422</v>
      </c>
      <c r="D767" t="s">
        <v>7283</v>
      </c>
      <c r="E767" t="s">
        <v>3492</v>
      </c>
      <c r="F767"/>
      <c r="G767"/>
      <c r="H767"/>
      <c r="I767"/>
      <c r="J767"/>
      <c r="K767"/>
      <c r="L767" s="10">
        <v>3639792</v>
      </c>
      <c r="M767" s="10">
        <v>609540</v>
      </c>
      <c r="N767" s="12">
        <v>15</v>
      </c>
      <c r="O767" s="12" t="s">
        <v>6992</v>
      </c>
      <c r="P767" t="s">
        <v>3523</v>
      </c>
      <c r="Q767"/>
      <c r="R767"/>
      <c r="S767" t="s">
        <v>7283</v>
      </c>
      <c r="T767" s="12" t="s">
        <v>4896</v>
      </c>
      <c r="U767" s="12" t="s">
        <v>4897</v>
      </c>
      <c r="V767" s="12" t="s">
        <v>4898</v>
      </c>
      <c r="W767" s="12">
        <v>0</v>
      </c>
      <c r="X767" s="12">
        <v>0</v>
      </c>
      <c r="Y767" s="12">
        <v>0</v>
      </c>
      <c r="Z767" s="12">
        <v>1</v>
      </c>
      <c r="AA767" s="12">
        <v>1</v>
      </c>
      <c r="AB767" s="12">
        <v>0</v>
      </c>
      <c r="AC767" s="12">
        <v>0</v>
      </c>
      <c r="AD767" s="12">
        <v>0</v>
      </c>
      <c r="AE767" s="12">
        <v>0</v>
      </c>
      <c r="AF767" s="12">
        <v>0</v>
      </c>
      <c r="AG767" s="12">
        <v>0</v>
      </c>
      <c r="AH767" s="12">
        <v>0</v>
      </c>
      <c r="AI767" s="12">
        <v>0</v>
      </c>
      <c r="AJ767" s="12">
        <v>0</v>
      </c>
      <c r="AK767" s="12">
        <v>0</v>
      </c>
      <c r="AL767" s="12">
        <v>0</v>
      </c>
      <c r="AM767" s="12"/>
      <c r="AN767" s="12">
        <v>0</v>
      </c>
      <c r="AO767" s="12">
        <v>0</v>
      </c>
      <c r="AP767" s="12">
        <v>0</v>
      </c>
      <c r="AQ767" s="12">
        <v>0</v>
      </c>
      <c r="AR767" s="12">
        <v>0</v>
      </c>
      <c r="AS767" s="12">
        <v>0</v>
      </c>
      <c r="AT767" s="12">
        <v>0</v>
      </c>
      <c r="AU767" s="12">
        <v>0</v>
      </c>
      <c r="AV767" s="12">
        <v>0</v>
      </c>
      <c r="AW767" s="12">
        <v>0</v>
      </c>
      <c r="AX767" s="12">
        <v>0</v>
      </c>
      <c r="AY767" s="12">
        <v>0</v>
      </c>
      <c r="BB767" s="12">
        <v>0</v>
      </c>
      <c r="BC767" s="12">
        <v>0</v>
      </c>
      <c r="BD767" s="12">
        <v>0</v>
      </c>
      <c r="BE767" s="12">
        <v>0</v>
      </c>
      <c r="BF767" s="12">
        <v>0</v>
      </c>
      <c r="BI767" s="12">
        <v>0</v>
      </c>
      <c r="BJ767" s="12">
        <v>0</v>
      </c>
    </row>
    <row r="768" spans="1:62" x14ac:dyDescent="0.15">
      <c r="A768" s="12" t="s">
        <v>3423</v>
      </c>
      <c r="B768" t="s">
        <v>3424</v>
      </c>
      <c r="C768" s="20" t="s">
        <v>860</v>
      </c>
      <c r="D768" t="s">
        <v>7283</v>
      </c>
      <c r="E768" t="s">
        <v>3492</v>
      </c>
      <c r="F768"/>
      <c r="G768"/>
      <c r="H768"/>
      <c r="I768"/>
      <c r="J768"/>
      <c r="K768"/>
      <c r="L768" s="10">
        <v>3642012</v>
      </c>
      <c r="M768" s="10">
        <v>612180</v>
      </c>
      <c r="N768" s="12">
        <v>15</v>
      </c>
      <c r="O768" s="12" t="s">
        <v>6992</v>
      </c>
      <c r="P768" t="s">
        <v>3425</v>
      </c>
      <c r="Q768"/>
      <c r="R768"/>
      <c r="S768" t="s">
        <v>7283</v>
      </c>
      <c r="T768" s="12" t="s">
        <v>4896</v>
      </c>
      <c r="U768" s="12" t="s">
        <v>4897</v>
      </c>
      <c r="V768" s="12" t="s">
        <v>4898</v>
      </c>
      <c r="W768" s="12">
        <v>0</v>
      </c>
      <c r="X768" s="12">
        <v>0</v>
      </c>
      <c r="Y768" s="12">
        <v>0</v>
      </c>
      <c r="Z768" s="12">
        <v>1</v>
      </c>
      <c r="AA768" s="12">
        <v>1</v>
      </c>
      <c r="AB768" s="12">
        <v>0</v>
      </c>
      <c r="AC768" s="12">
        <v>0</v>
      </c>
      <c r="AD768" s="12">
        <v>0</v>
      </c>
      <c r="AE768" s="12">
        <f>VLOOKUP(C768,'[1]Phillips 1970 - coles creek'!A$1:B$65536,2,FALSE)</f>
        <v>1</v>
      </c>
      <c r="AF768" s="12">
        <v>0</v>
      </c>
      <c r="AG768" s="12">
        <v>0</v>
      </c>
      <c r="AH768" s="12">
        <v>0</v>
      </c>
      <c r="AI768" s="12">
        <v>0</v>
      </c>
      <c r="AJ768" s="12">
        <v>0</v>
      </c>
      <c r="AK768" s="12">
        <v>0</v>
      </c>
      <c r="AL768" s="12">
        <v>0</v>
      </c>
      <c r="AM768" s="12"/>
      <c r="AN768" s="12">
        <v>0</v>
      </c>
      <c r="AO768" s="12">
        <v>0</v>
      </c>
      <c r="AP768" s="12">
        <v>0</v>
      </c>
      <c r="AQ768" s="12">
        <v>0</v>
      </c>
      <c r="AR768" s="12">
        <v>0</v>
      </c>
      <c r="AS768" s="12">
        <v>0</v>
      </c>
      <c r="AT768" s="12">
        <v>0</v>
      </c>
      <c r="AU768" s="12">
        <v>0</v>
      </c>
      <c r="AV768" s="12">
        <v>0</v>
      </c>
      <c r="AW768" s="12">
        <v>0</v>
      </c>
      <c r="AX768" s="12">
        <v>0</v>
      </c>
      <c r="AY768" s="12">
        <v>0</v>
      </c>
      <c r="BB768" s="12">
        <v>0</v>
      </c>
      <c r="BC768" s="12">
        <v>0</v>
      </c>
      <c r="BD768" s="12">
        <v>0</v>
      </c>
      <c r="BE768" s="12">
        <v>0</v>
      </c>
      <c r="BF768" s="12">
        <v>0</v>
      </c>
      <c r="BI768" s="12">
        <v>0</v>
      </c>
      <c r="BJ768" s="12">
        <v>0</v>
      </c>
    </row>
    <row r="769" spans="1:62" x14ac:dyDescent="0.15">
      <c r="A769" s="12" t="s">
        <v>3426</v>
      </c>
      <c r="B769" t="s">
        <v>3427</v>
      </c>
      <c r="C769" s="20" t="s">
        <v>3428</v>
      </c>
      <c r="D769" t="s">
        <v>7283</v>
      </c>
      <c r="E769" t="s">
        <v>3492</v>
      </c>
      <c r="F769"/>
      <c r="G769"/>
      <c r="H769"/>
      <c r="I769"/>
      <c r="J769"/>
      <c r="K769"/>
      <c r="L769" s="10">
        <v>3643164</v>
      </c>
      <c r="M769" s="10">
        <v>615396</v>
      </c>
      <c r="N769" s="12">
        <v>15</v>
      </c>
      <c r="O769" s="12" t="s">
        <v>6992</v>
      </c>
      <c r="P769" t="s">
        <v>3425</v>
      </c>
      <c r="Q769"/>
      <c r="R769"/>
      <c r="S769" t="s">
        <v>7283</v>
      </c>
      <c r="T769" s="12" t="s">
        <v>4896</v>
      </c>
      <c r="U769" s="12" t="s">
        <v>4897</v>
      </c>
      <c r="V769" s="12" t="s">
        <v>4898</v>
      </c>
      <c r="W769" s="12">
        <v>0</v>
      </c>
      <c r="X769" s="12">
        <v>0</v>
      </c>
      <c r="Y769" s="12">
        <v>0</v>
      </c>
      <c r="Z769" s="12">
        <v>1</v>
      </c>
      <c r="AA769" s="12">
        <v>1</v>
      </c>
      <c r="AB769" s="12">
        <v>0</v>
      </c>
      <c r="AC769" s="12">
        <v>0</v>
      </c>
      <c r="AD769" s="12">
        <v>0</v>
      </c>
      <c r="AE769" s="12">
        <f>VLOOKUP(C769,'[1]Phillips 1970 - coles creek'!A$1:B$65536,2,FALSE)</f>
        <v>1</v>
      </c>
      <c r="AF769" s="12">
        <v>0</v>
      </c>
      <c r="AG769" s="12">
        <v>0</v>
      </c>
      <c r="AH769" s="12">
        <v>0</v>
      </c>
      <c r="AI769" s="12">
        <v>0</v>
      </c>
      <c r="AJ769" s="12">
        <v>0</v>
      </c>
      <c r="AK769" s="12">
        <v>0</v>
      </c>
      <c r="AL769" s="12">
        <v>0</v>
      </c>
      <c r="AM769" s="12"/>
      <c r="AN769" s="12">
        <v>0</v>
      </c>
      <c r="AO769" s="12">
        <v>0</v>
      </c>
      <c r="AP769" s="12">
        <v>0</v>
      </c>
      <c r="AQ769" s="12">
        <v>0</v>
      </c>
      <c r="AR769" s="12">
        <v>0</v>
      </c>
      <c r="AS769" s="12">
        <v>0</v>
      </c>
      <c r="AT769" s="12">
        <v>0</v>
      </c>
      <c r="AU769" s="12">
        <v>0</v>
      </c>
      <c r="AV769" s="12">
        <v>0</v>
      </c>
      <c r="AW769" s="12">
        <v>0</v>
      </c>
      <c r="AX769" s="12">
        <v>0</v>
      </c>
      <c r="AY769" s="12">
        <v>0</v>
      </c>
      <c r="BB769" s="12">
        <v>0</v>
      </c>
      <c r="BC769" s="12">
        <v>0</v>
      </c>
      <c r="BD769" s="12">
        <v>0</v>
      </c>
      <c r="BE769" s="12">
        <v>0</v>
      </c>
      <c r="BF769" s="12">
        <v>0</v>
      </c>
      <c r="BI769" s="12">
        <v>0</v>
      </c>
      <c r="BJ769" s="12">
        <v>0</v>
      </c>
    </row>
    <row r="770" spans="1:62" x14ac:dyDescent="0.15">
      <c r="A770" s="12" t="s">
        <v>3429</v>
      </c>
      <c r="B770" t="s">
        <v>3430</v>
      </c>
      <c r="C770" s="20" t="s">
        <v>3431</v>
      </c>
      <c r="D770" t="s">
        <v>7283</v>
      </c>
      <c r="E770" t="s">
        <v>3492</v>
      </c>
      <c r="F770"/>
      <c r="G770"/>
      <c r="H770"/>
      <c r="I770"/>
      <c r="J770"/>
      <c r="K770"/>
      <c r="L770" s="10">
        <v>3644008</v>
      </c>
      <c r="M770" s="10">
        <v>615296</v>
      </c>
      <c r="N770" s="12">
        <v>15</v>
      </c>
      <c r="O770" s="12" t="s">
        <v>6992</v>
      </c>
      <c r="P770" t="s">
        <v>3523</v>
      </c>
      <c r="Q770"/>
      <c r="R770"/>
      <c r="S770" t="s">
        <v>7283</v>
      </c>
      <c r="T770" s="12" t="s">
        <v>4896</v>
      </c>
      <c r="U770" s="12" t="s">
        <v>4897</v>
      </c>
      <c r="V770" s="12" t="s">
        <v>4898</v>
      </c>
      <c r="W770" s="12">
        <v>0</v>
      </c>
      <c r="X770" s="12">
        <v>0</v>
      </c>
      <c r="Y770" s="12">
        <v>0</v>
      </c>
      <c r="Z770" s="12">
        <v>1</v>
      </c>
      <c r="AA770" s="12">
        <v>1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2">
        <v>0</v>
      </c>
      <c r="AK770" s="12">
        <v>0</v>
      </c>
      <c r="AL770" s="12">
        <v>0</v>
      </c>
      <c r="AM770" s="12"/>
      <c r="AN770" s="12">
        <v>0</v>
      </c>
      <c r="AO770" s="12">
        <v>0</v>
      </c>
      <c r="AP770" s="12">
        <v>0</v>
      </c>
      <c r="AQ770" s="12">
        <v>0</v>
      </c>
      <c r="AR770" s="12">
        <v>0</v>
      </c>
      <c r="AS770" s="12">
        <v>0</v>
      </c>
      <c r="AT770" s="12">
        <v>0</v>
      </c>
      <c r="AU770" s="12">
        <v>0</v>
      </c>
      <c r="AV770" s="12">
        <v>0</v>
      </c>
      <c r="AW770" s="12">
        <v>0</v>
      </c>
      <c r="AX770" s="12">
        <v>0</v>
      </c>
      <c r="AY770" s="12">
        <v>0</v>
      </c>
      <c r="BB770" s="12">
        <v>0</v>
      </c>
      <c r="BC770" s="12">
        <v>0</v>
      </c>
      <c r="BD770" s="12">
        <v>0</v>
      </c>
      <c r="BE770" s="12">
        <v>0</v>
      </c>
      <c r="BF770" s="12">
        <v>0</v>
      </c>
      <c r="BI770" s="12">
        <v>0</v>
      </c>
      <c r="BJ770" s="12">
        <v>0</v>
      </c>
    </row>
    <row r="771" spans="1:62" x14ac:dyDescent="0.15">
      <c r="A771" s="12"/>
      <c r="B771"/>
      <c r="C771" s="20" t="s">
        <v>3432</v>
      </c>
      <c r="D771" t="s">
        <v>7387</v>
      </c>
      <c r="E771" t="s">
        <v>3433</v>
      </c>
      <c r="F771"/>
      <c r="G771"/>
      <c r="H771"/>
      <c r="I771"/>
      <c r="J771"/>
      <c r="K771"/>
      <c r="L771" s="10">
        <v>3640872</v>
      </c>
      <c r="M771" s="10">
        <v>600048</v>
      </c>
      <c r="N771" s="12">
        <v>15</v>
      </c>
      <c r="O771" s="12" t="s">
        <v>6992</v>
      </c>
      <c r="P771" t="s">
        <v>3434</v>
      </c>
      <c r="Q771"/>
      <c r="R771"/>
      <c r="S771" t="s">
        <v>7387</v>
      </c>
      <c r="T771" s="12" t="s">
        <v>5283</v>
      </c>
      <c r="U771" s="12" t="s">
        <v>4897</v>
      </c>
      <c r="V771" s="12" t="s">
        <v>5016</v>
      </c>
      <c r="W771" s="12">
        <v>0</v>
      </c>
      <c r="X771" s="12">
        <v>0</v>
      </c>
      <c r="Y771" s="12">
        <v>0</v>
      </c>
      <c r="Z771" s="12">
        <v>1</v>
      </c>
      <c r="AA771" s="12">
        <v>1</v>
      </c>
      <c r="AB771" s="12">
        <v>1</v>
      </c>
      <c r="AC771" s="12">
        <v>0</v>
      </c>
      <c r="AD771" s="12">
        <v>0</v>
      </c>
      <c r="AE771" s="12">
        <v>0</v>
      </c>
      <c r="AF771" s="12">
        <v>0</v>
      </c>
      <c r="AG771" s="12">
        <v>0</v>
      </c>
      <c r="AH771" s="12">
        <v>0</v>
      </c>
      <c r="AI771" s="12">
        <v>0</v>
      </c>
      <c r="AJ771" s="12">
        <v>0</v>
      </c>
      <c r="AK771" s="12">
        <v>0</v>
      </c>
      <c r="AL771" s="12">
        <v>0</v>
      </c>
      <c r="AM771" s="12"/>
      <c r="AN771" s="12">
        <v>0</v>
      </c>
      <c r="AO771" s="12">
        <v>0</v>
      </c>
      <c r="AP771" s="12">
        <v>0</v>
      </c>
      <c r="AQ771" s="12">
        <v>0</v>
      </c>
      <c r="AR771" s="12">
        <v>0</v>
      </c>
      <c r="AS771" s="12">
        <v>0</v>
      </c>
      <c r="AT771" s="12">
        <v>0</v>
      </c>
      <c r="AU771" s="12">
        <v>0</v>
      </c>
      <c r="AV771" s="12">
        <v>0</v>
      </c>
      <c r="AW771" s="12">
        <v>0</v>
      </c>
      <c r="AX771" s="12">
        <v>0</v>
      </c>
      <c r="AY771" s="12">
        <v>0</v>
      </c>
      <c r="AZ771" s="12" t="s">
        <v>4916</v>
      </c>
      <c r="BA771" s="12" t="s">
        <v>4911</v>
      </c>
      <c r="BB771" s="12">
        <v>0</v>
      </c>
      <c r="BC771" s="12">
        <v>0</v>
      </c>
      <c r="BD771" s="12">
        <v>0</v>
      </c>
      <c r="BE771" s="12">
        <v>0</v>
      </c>
      <c r="BF771" s="12">
        <v>0</v>
      </c>
      <c r="BI771" s="12">
        <v>0</v>
      </c>
      <c r="BJ771" s="12">
        <v>0</v>
      </c>
    </row>
    <row r="772" spans="1:62" x14ac:dyDescent="0.15">
      <c r="A772" s="12"/>
      <c r="B772"/>
      <c r="C772" s="20" t="s">
        <v>3435</v>
      </c>
      <c r="D772" t="s">
        <v>7387</v>
      </c>
      <c r="E772" t="s">
        <v>3433</v>
      </c>
      <c r="F772"/>
      <c r="G772"/>
      <c r="H772"/>
      <c r="I772"/>
      <c r="J772"/>
      <c r="K772"/>
      <c r="L772" s="10">
        <v>3637452</v>
      </c>
      <c r="M772" s="10">
        <v>585600</v>
      </c>
      <c r="N772" s="12">
        <v>15</v>
      </c>
      <c r="O772" s="12" t="s">
        <v>6992</v>
      </c>
      <c r="P772" t="s">
        <v>3549</v>
      </c>
      <c r="Q772"/>
      <c r="R772"/>
      <c r="S772" t="s">
        <v>7387</v>
      </c>
      <c r="T772" s="12" t="s">
        <v>4896</v>
      </c>
      <c r="U772" s="12" t="s">
        <v>4897</v>
      </c>
      <c r="V772" s="12" t="s">
        <v>4898</v>
      </c>
      <c r="W772" s="12">
        <v>0</v>
      </c>
      <c r="X772" s="12">
        <v>0</v>
      </c>
      <c r="Y772" s="12">
        <v>0</v>
      </c>
      <c r="Z772" s="12">
        <v>1</v>
      </c>
      <c r="AA772" s="12">
        <v>1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2">
        <v>0</v>
      </c>
      <c r="AK772" s="12">
        <v>0</v>
      </c>
      <c r="AL772" s="12">
        <v>0</v>
      </c>
      <c r="AM772" s="12"/>
      <c r="AN772" s="12">
        <v>0</v>
      </c>
      <c r="AO772" s="12">
        <v>0</v>
      </c>
      <c r="AP772" s="12">
        <v>0</v>
      </c>
      <c r="AQ772" s="12">
        <v>0</v>
      </c>
      <c r="AR772" s="12">
        <v>0</v>
      </c>
      <c r="AS772" s="12">
        <v>0</v>
      </c>
      <c r="AT772" s="12">
        <v>0</v>
      </c>
      <c r="AU772" s="12">
        <v>0</v>
      </c>
      <c r="AV772" s="12">
        <v>0</v>
      </c>
      <c r="AW772" s="12">
        <v>0</v>
      </c>
      <c r="AX772" s="12">
        <v>0</v>
      </c>
      <c r="AY772" s="12">
        <v>0</v>
      </c>
      <c r="BB772" s="12">
        <v>0</v>
      </c>
      <c r="BC772" s="12">
        <v>0</v>
      </c>
      <c r="BD772" s="12">
        <v>0</v>
      </c>
      <c r="BE772" s="12">
        <v>0</v>
      </c>
      <c r="BF772" s="12">
        <v>0</v>
      </c>
      <c r="BI772" s="12">
        <v>0</v>
      </c>
      <c r="BJ772" s="12">
        <v>0</v>
      </c>
    </row>
    <row r="773" spans="1:62" x14ac:dyDescent="0.15">
      <c r="A773" s="12"/>
      <c r="B773"/>
      <c r="C773" s="20" t="s">
        <v>3436</v>
      </c>
      <c r="D773" t="s">
        <v>7387</v>
      </c>
      <c r="E773" t="s">
        <v>3433</v>
      </c>
      <c r="F773"/>
      <c r="G773"/>
      <c r="H773"/>
      <c r="I773"/>
      <c r="J773"/>
      <c r="K773"/>
      <c r="L773" s="10">
        <v>3603432</v>
      </c>
      <c r="M773" s="10">
        <v>579216</v>
      </c>
      <c r="N773" s="12">
        <v>15</v>
      </c>
      <c r="O773" s="12" t="s">
        <v>6992</v>
      </c>
      <c r="P773" t="s">
        <v>3549</v>
      </c>
      <c r="Q773"/>
      <c r="R773"/>
      <c r="S773" t="s">
        <v>7387</v>
      </c>
      <c r="T773" s="12" t="s">
        <v>4896</v>
      </c>
      <c r="U773" s="12" t="s">
        <v>4897</v>
      </c>
      <c r="V773" s="12" t="s">
        <v>4898</v>
      </c>
      <c r="W773" s="12">
        <v>0</v>
      </c>
      <c r="X773" s="12">
        <v>0</v>
      </c>
      <c r="Y773" s="12">
        <v>0</v>
      </c>
      <c r="Z773" s="12">
        <v>1</v>
      </c>
      <c r="AA773" s="12">
        <v>1</v>
      </c>
      <c r="AB773" s="12">
        <v>0</v>
      </c>
      <c r="AC773" s="12">
        <v>0</v>
      </c>
      <c r="AD773" s="12">
        <v>0</v>
      </c>
      <c r="AE773" s="12">
        <v>0</v>
      </c>
      <c r="AF773" s="12">
        <v>0</v>
      </c>
      <c r="AG773" s="12">
        <v>0</v>
      </c>
      <c r="AH773" s="12">
        <v>0</v>
      </c>
      <c r="AI773" s="12">
        <v>0</v>
      </c>
      <c r="AJ773" s="12">
        <v>0</v>
      </c>
      <c r="AK773" s="12">
        <v>0</v>
      </c>
      <c r="AL773" s="12">
        <v>0</v>
      </c>
      <c r="AM773" s="12"/>
      <c r="AN773" s="12">
        <v>0</v>
      </c>
      <c r="AO773" s="12">
        <v>0</v>
      </c>
      <c r="AP773" s="12">
        <v>0</v>
      </c>
      <c r="AQ773" s="12">
        <v>0</v>
      </c>
      <c r="AR773" s="12">
        <v>0</v>
      </c>
      <c r="AS773" s="12">
        <v>0</v>
      </c>
      <c r="AT773" s="12">
        <v>0</v>
      </c>
      <c r="AU773" s="12">
        <v>0</v>
      </c>
      <c r="AV773" s="12">
        <v>0</v>
      </c>
      <c r="AW773" s="12">
        <v>0</v>
      </c>
      <c r="AX773" s="12">
        <v>0</v>
      </c>
      <c r="AY773" s="12">
        <v>0</v>
      </c>
      <c r="BB773" s="12">
        <v>0</v>
      </c>
      <c r="BC773" s="12">
        <v>0</v>
      </c>
      <c r="BD773" s="12">
        <v>0</v>
      </c>
      <c r="BE773" s="12">
        <v>0</v>
      </c>
      <c r="BF773" s="12">
        <v>0</v>
      </c>
      <c r="BI773" s="12">
        <v>0</v>
      </c>
      <c r="BJ773" s="12">
        <v>0</v>
      </c>
    </row>
    <row r="774" spans="1:62" x14ac:dyDescent="0.15">
      <c r="A774" s="12" t="str">
        <f>VLOOKUP(C774,'[1]LMV SiteNameNums'!B$1:C$65536,2,FALSE)</f>
        <v>17-M-22</v>
      </c>
      <c r="B774"/>
      <c r="C774" s="20" t="s">
        <v>3437</v>
      </c>
      <c r="D774" t="s">
        <v>7387</v>
      </c>
      <c r="E774" t="s">
        <v>3433</v>
      </c>
      <c r="F774"/>
      <c r="G774"/>
      <c r="H774"/>
      <c r="I774"/>
      <c r="J774"/>
      <c r="K774"/>
      <c r="L774" s="10">
        <v>3603144</v>
      </c>
      <c r="M774" s="10">
        <v>582368</v>
      </c>
      <c r="N774" s="12">
        <v>15</v>
      </c>
      <c r="O774" s="12" t="s">
        <v>6992</v>
      </c>
      <c r="P774" t="s">
        <v>3549</v>
      </c>
      <c r="Q774"/>
      <c r="R774"/>
      <c r="S774" t="s">
        <v>7387</v>
      </c>
      <c r="T774" s="12" t="s">
        <v>4896</v>
      </c>
      <c r="U774" s="12" t="s">
        <v>4897</v>
      </c>
      <c r="V774" s="12" t="s">
        <v>4898</v>
      </c>
      <c r="W774" s="12">
        <v>0</v>
      </c>
      <c r="X774" s="12">
        <v>0</v>
      </c>
      <c r="Y774" s="12">
        <v>0</v>
      </c>
      <c r="Z774" s="12">
        <v>1</v>
      </c>
      <c r="AA774" s="12">
        <v>1</v>
      </c>
      <c r="AB774" s="12">
        <v>0</v>
      </c>
      <c r="AC774" s="12">
        <v>0</v>
      </c>
      <c r="AD774" s="12">
        <f>VLOOKUP(C774,'[1]Phillips 1970 - Baytown'!A$1:B$65536,2,FALSE)</f>
        <v>1</v>
      </c>
      <c r="AE774" s="12">
        <f>VLOOKUP(C774,'[1]Phillips 1970 - coles creek'!A$1:B$65536,2,FALSE)</f>
        <v>1</v>
      </c>
      <c r="AF774" s="12">
        <v>0</v>
      </c>
      <c r="AG774" s="12">
        <v>0</v>
      </c>
      <c r="AH774" s="12">
        <v>0</v>
      </c>
      <c r="AI774" s="12">
        <v>0</v>
      </c>
      <c r="AJ774" s="12">
        <v>0</v>
      </c>
      <c r="AK774" s="12">
        <v>0</v>
      </c>
      <c r="AL774" s="12">
        <v>0</v>
      </c>
      <c r="AM774" s="12"/>
      <c r="AN774" s="12">
        <v>0</v>
      </c>
      <c r="AO774" s="12">
        <v>0</v>
      </c>
      <c r="AP774" s="12">
        <v>0</v>
      </c>
      <c r="AQ774" s="12">
        <v>0</v>
      </c>
      <c r="AR774" s="12">
        <v>0</v>
      </c>
      <c r="AS774" s="12">
        <v>0</v>
      </c>
      <c r="AT774" s="12">
        <v>0</v>
      </c>
      <c r="AU774" s="12">
        <v>0</v>
      </c>
      <c r="AV774" s="12">
        <v>0</v>
      </c>
      <c r="AW774" s="12">
        <v>0</v>
      </c>
      <c r="AX774" s="12">
        <v>0</v>
      </c>
      <c r="AY774" s="12">
        <v>0</v>
      </c>
      <c r="BB774" s="12">
        <v>0</v>
      </c>
      <c r="BC774" s="12">
        <v>0</v>
      </c>
      <c r="BD774" s="12">
        <v>0</v>
      </c>
      <c r="BE774" s="12">
        <v>0</v>
      </c>
      <c r="BF774" s="12">
        <v>0</v>
      </c>
      <c r="BI774" s="12">
        <v>0</v>
      </c>
      <c r="BJ774" s="12">
        <v>0</v>
      </c>
    </row>
    <row r="775" spans="1:62" x14ac:dyDescent="0.15">
      <c r="A775" s="12"/>
      <c r="B775"/>
      <c r="C775" s="20" t="s">
        <v>3438</v>
      </c>
      <c r="D775" t="s">
        <v>7387</v>
      </c>
      <c r="E775" t="s">
        <v>3433</v>
      </c>
      <c r="F775"/>
      <c r="G775"/>
      <c r="H775"/>
      <c r="I775"/>
      <c r="J775"/>
      <c r="K775"/>
      <c r="L775" s="10">
        <v>3577864</v>
      </c>
      <c r="M775" s="10">
        <v>583664</v>
      </c>
      <c r="N775" s="12">
        <v>15</v>
      </c>
      <c r="O775" s="12" t="s">
        <v>6992</v>
      </c>
      <c r="P775" t="s">
        <v>3549</v>
      </c>
      <c r="Q775"/>
      <c r="R775"/>
      <c r="S775" t="s">
        <v>7387</v>
      </c>
      <c r="T775" s="12" t="s">
        <v>4896</v>
      </c>
      <c r="U775" s="12" t="s">
        <v>4897</v>
      </c>
      <c r="V775" s="12" t="s">
        <v>4898</v>
      </c>
      <c r="W775" s="12">
        <v>0</v>
      </c>
      <c r="X775" s="12">
        <v>0</v>
      </c>
      <c r="Y775" s="12">
        <v>0</v>
      </c>
      <c r="Z775" s="12">
        <v>1</v>
      </c>
      <c r="AA775" s="12">
        <v>1</v>
      </c>
      <c r="AB775" s="12">
        <v>0</v>
      </c>
      <c r="AC775" s="12">
        <v>0</v>
      </c>
      <c r="AD775" s="12">
        <v>0</v>
      </c>
      <c r="AE775" s="12">
        <v>0</v>
      </c>
      <c r="AF775" s="12">
        <v>0</v>
      </c>
      <c r="AG775" s="12">
        <v>0</v>
      </c>
      <c r="AH775" s="12">
        <v>0</v>
      </c>
      <c r="AI775" s="12">
        <v>0</v>
      </c>
      <c r="AJ775" s="12">
        <v>0</v>
      </c>
      <c r="AK775" s="12">
        <v>0</v>
      </c>
      <c r="AL775" s="12">
        <v>0</v>
      </c>
      <c r="AM775" s="12"/>
      <c r="AN775" s="12">
        <v>0</v>
      </c>
      <c r="AO775" s="12">
        <v>0</v>
      </c>
      <c r="AP775" s="12">
        <v>0</v>
      </c>
      <c r="AQ775" s="12">
        <v>0</v>
      </c>
      <c r="AR775" s="12">
        <v>0</v>
      </c>
      <c r="AS775" s="12">
        <v>0</v>
      </c>
      <c r="AT775" s="12">
        <v>0</v>
      </c>
      <c r="AU775" s="12">
        <v>0</v>
      </c>
      <c r="AV775" s="12">
        <v>0</v>
      </c>
      <c r="AW775" s="12">
        <v>0</v>
      </c>
      <c r="AX775" s="12">
        <v>0</v>
      </c>
      <c r="AY775" s="12">
        <v>0</v>
      </c>
      <c r="BB775" s="12">
        <v>0</v>
      </c>
      <c r="BC775" s="12">
        <v>0</v>
      </c>
      <c r="BD775" s="12">
        <v>0</v>
      </c>
      <c r="BE775" s="12">
        <v>0</v>
      </c>
      <c r="BF775" s="12">
        <v>0</v>
      </c>
      <c r="BI775" s="12">
        <v>0</v>
      </c>
      <c r="BJ775" s="12">
        <v>0</v>
      </c>
    </row>
    <row r="776" spans="1:62" x14ac:dyDescent="0.15">
      <c r="A776" s="12"/>
      <c r="B776"/>
      <c r="C776" s="20" t="s">
        <v>3439</v>
      </c>
      <c r="D776" t="s">
        <v>7387</v>
      </c>
      <c r="E776" t="s">
        <v>3433</v>
      </c>
      <c r="F776"/>
      <c r="G776"/>
      <c r="H776"/>
      <c r="I776"/>
      <c r="J776"/>
      <c r="K776"/>
      <c r="L776" s="10">
        <v>3562976</v>
      </c>
      <c r="M776" s="10">
        <v>611040</v>
      </c>
      <c r="N776" s="12">
        <v>15</v>
      </c>
      <c r="O776" s="12" t="s">
        <v>7412</v>
      </c>
      <c r="P776" t="s">
        <v>3549</v>
      </c>
      <c r="Q776"/>
      <c r="R776"/>
      <c r="S776" t="s">
        <v>7387</v>
      </c>
      <c r="T776" s="12" t="s">
        <v>4896</v>
      </c>
      <c r="U776" s="12" t="s">
        <v>4897</v>
      </c>
      <c r="V776" s="12" t="s">
        <v>4898</v>
      </c>
      <c r="W776" s="12">
        <v>0</v>
      </c>
      <c r="X776" s="12">
        <v>0</v>
      </c>
      <c r="Y776" s="12">
        <v>0</v>
      </c>
      <c r="Z776" s="12">
        <v>1</v>
      </c>
      <c r="AA776" s="12">
        <v>1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2">
        <v>0</v>
      </c>
      <c r="AK776" s="12">
        <v>0</v>
      </c>
      <c r="AL776" s="12">
        <v>0</v>
      </c>
      <c r="AM776" s="12"/>
      <c r="AN776" s="12">
        <v>0</v>
      </c>
      <c r="AO776" s="12">
        <v>0</v>
      </c>
      <c r="AP776" s="12">
        <v>0</v>
      </c>
      <c r="AQ776" s="12">
        <v>0</v>
      </c>
      <c r="AR776" s="12">
        <v>0</v>
      </c>
      <c r="AS776" s="12">
        <v>0</v>
      </c>
      <c r="AT776" s="12">
        <v>0</v>
      </c>
      <c r="AU776" s="12">
        <v>0</v>
      </c>
      <c r="AV776" s="12">
        <v>0</v>
      </c>
      <c r="AW776" s="12">
        <v>0</v>
      </c>
      <c r="AX776" s="12">
        <v>0</v>
      </c>
      <c r="AY776" s="12">
        <v>0</v>
      </c>
      <c r="BB776" s="12">
        <v>0</v>
      </c>
      <c r="BC776" s="12">
        <v>0</v>
      </c>
      <c r="BD776" s="12">
        <v>0</v>
      </c>
      <c r="BE776" s="12">
        <v>0</v>
      </c>
      <c r="BF776" s="12">
        <v>0</v>
      </c>
      <c r="BI776" s="12">
        <v>0</v>
      </c>
      <c r="BJ776" s="12">
        <v>0</v>
      </c>
    </row>
    <row r="777" spans="1:62" x14ac:dyDescent="0.15">
      <c r="A777" s="12"/>
      <c r="B777"/>
      <c r="C777" s="20" t="s">
        <v>3440</v>
      </c>
      <c r="D777" t="s">
        <v>7387</v>
      </c>
      <c r="E777" t="s">
        <v>3433</v>
      </c>
      <c r="F777"/>
      <c r="G777"/>
      <c r="H777"/>
      <c r="I777"/>
      <c r="J777"/>
      <c r="K777"/>
      <c r="L777" s="10">
        <v>3563664</v>
      </c>
      <c r="M777" s="10">
        <v>597356</v>
      </c>
      <c r="N777" s="12">
        <v>15</v>
      </c>
      <c r="O777" s="12" t="s">
        <v>6992</v>
      </c>
      <c r="P777" t="s">
        <v>3549</v>
      </c>
      <c r="Q777"/>
      <c r="R777"/>
      <c r="S777" t="s">
        <v>7387</v>
      </c>
      <c r="T777" s="12" t="s">
        <v>4896</v>
      </c>
      <c r="U777" s="12" t="s">
        <v>4897</v>
      </c>
      <c r="V777" s="12" t="s">
        <v>4898</v>
      </c>
      <c r="W777" s="12">
        <v>0</v>
      </c>
      <c r="X777" s="12">
        <v>0</v>
      </c>
      <c r="Y777" s="12">
        <v>0</v>
      </c>
      <c r="Z777" s="12">
        <v>1</v>
      </c>
      <c r="AA777" s="12">
        <v>1</v>
      </c>
      <c r="AB777" s="12">
        <v>0</v>
      </c>
      <c r="AC777" s="12">
        <v>0</v>
      </c>
      <c r="AD777" s="12">
        <v>0</v>
      </c>
      <c r="AE777" s="12">
        <v>0</v>
      </c>
      <c r="AF777" s="12">
        <v>0</v>
      </c>
      <c r="AG777" s="12">
        <v>0</v>
      </c>
      <c r="AH777" s="12">
        <v>0</v>
      </c>
      <c r="AI777" s="12">
        <v>0</v>
      </c>
      <c r="AJ777" s="12">
        <v>0</v>
      </c>
      <c r="AK777" s="12">
        <v>0</v>
      </c>
      <c r="AL777" s="12">
        <v>0</v>
      </c>
      <c r="AM777" s="12"/>
      <c r="AN777" s="12">
        <v>0</v>
      </c>
      <c r="AO777" s="12">
        <v>0</v>
      </c>
      <c r="AP777" s="12">
        <v>0</v>
      </c>
      <c r="AQ777" s="12">
        <v>0</v>
      </c>
      <c r="AR777" s="12">
        <v>0</v>
      </c>
      <c r="AS777" s="12">
        <v>0</v>
      </c>
      <c r="AT777" s="12">
        <v>0</v>
      </c>
      <c r="AU777" s="12">
        <v>0</v>
      </c>
      <c r="AV777" s="12">
        <v>0</v>
      </c>
      <c r="AW777" s="12">
        <v>0</v>
      </c>
      <c r="AX777" s="12">
        <v>0</v>
      </c>
      <c r="AY777" s="12">
        <v>0</v>
      </c>
      <c r="BB777" s="12">
        <v>0</v>
      </c>
      <c r="BC777" s="12">
        <v>0</v>
      </c>
      <c r="BD777" s="12">
        <v>0</v>
      </c>
      <c r="BE777" s="12">
        <v>0</v>
      </c>
      <c r="BF777" s="12">
        <v>0</v>
      </c>
      <c r="BI777" s="12">
        <v>0</v>
      </c>
      <c r="BJ777" s="12">
        <v>0</v>
      </c>
    </row>
    <row r="778" spans="1:62" x14ac:dyDescent="0.15">
      <c r="A778" s="12"/>
      <c r="B778"/>
      <c r="C778" s="20" t="s">
        <v>3441</v>
      </c>
      <c r="D778" t="s">
        <v>7387</v>
      </c>
      <c r="E778" t="s">
        <v>3433</v>
      </c>
      <c r="F778"/>
      <c r="G778"/>
      <c r="H778"/>
      <c r="I778"/>
      <c r="J778"/>
      <c r="K778"/>
      <c r="L778" s="10">
        <v>3559288</v>
      </c>
      <c r="M778" s="10">
        <v>609248</v>
      </c>
      <c r="N778" s="12">
        <v>15</v>
      </c>
      <c r="O778" s="12" t="s">
        <v>7412</v>
      </c>
      <c r="P778" t="s">
        <v>3549</v>
      </c>
      <c r="Q778"/>
      <c r="R778"/>
      <c r="S778" t="s">
        <v>7387</v>
      </c>
      <c r="T778" s="12" t="s">
        <v>4896</v>
      </c>
      <c r="U778" s="12" t="s">
        <v>4897</v>
      </c>
      <c r="V778" s="12" t="s">
        <v>4898</v>
      </c>
      <c r="W778" s="12">
        <v>0</v>
      </c>
      <c r="X778" s="12">
        <v>0</v>
      </c>
      <c r="Y778" s="12">
        <v>0</v>
      </c>
      <c r="Z778" s="12">
        <v>1</v>
      </c>
      <c r="AA778" s="12">
        <v>1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2">
        <v>0</v>
      </c>
      <c r="AK778" s="12">
        <v>0</v>
      </c>
      <c r="AL778" s="12">
        <v>0</v>
      </c>
      <c r="AM778" s="12"/>
      <c r="AN778" s="12">
        <v>0</v>
      </c>
      <c r="AO778" s="12">
        <v>0</v>
      </c>
      <c r="AP778" s="12">
        <v>0</v>
      </c>
      <c r="AQ778" s="12">
        <v>0</v>
      </c>
      <c r="AR778" s="12">
        <v>0</v>
      </c>
      <c r="AS778" s="12">
        <v>0</v>
      </c>
      <c r="AT778" s="12">
        <v>0</v>
      </c>
      <c r="AU778" s="12">
        <v>0</v>
      </c>
      <c r="AV778" s="12">
        <v>0</v>
      </c>
      <c r="AW778" s="12">
        <v>0</v>
      </c>
      <c r="AX778" s="12">
        <v>0</v>
      </c>
      <c r="AY778" s="12">
        <v>0</v>
      </c>
      <c r="BB778" s="12">
        <v>0</v>
      </c>
      <c r="BC778" s="12">
        <v>0</v>
      </c>
      <c r="BD778" s="12">
        <v>0</v>
      </c>
      <c r="BE778" s="12">
        <v>0</v>
      </c>
      <c r="BF778" s="12">
        <v>0</v>
      </c>
      <c r="BI778" s="12">
        <v>0</v>
      </c>
      <c r="BJ778" s="12">
        <v>0</v>
      </c>
    </row>
    <row r="779" spans="1:62" x14ac:dyDescent="0.15">
      <c r="A779" s="12"/>
      <c r="B779"/>
      <c r="C779" s="20" t="s">
        <v>3442</v>
      </c>
      <c r="D779" t="s">
        <v>7387</v>
      </c>
      <c r="E779" t="s">
        <v>3433</v>
      </c>
      <c r="F779"/>
      <c r="G779"/>
      <c r="H779"/>
      <c r="I779"/>
      <c r="J779"/>
      <c r="K779"/>
      <c r="L779" s="10">
        <v>3543346</v>
      </c>
      <c r="M779" s="10">
        <v>605747</v>
      </c>
      <c r="N779" s="12">
        <v>15</v>
      </c>
      <c r="O779" s="12" t="s">
        <v>7412</v>
      </c>
      <c r="P779" t="s">
        <v>3549</v>
      </c>
      <c r="Q779"/>
      <c r="R779"/>
      <c r="S779" t="s">
        <v>7387</v>
      </c>
      <c r="T779" s="12" t="s">
        <v>4896</v>
      </c>
      <c r="U779" s="12" t="s">
        <v>4897</v>
      </c>
      <c r="V779" s="12" t="s">
        <v>4898</v>
      </c>
      <c r="W779" s="12">
        <v>0</v>
      </c>
      <c r="X779" s="12">
        <v>0</v>
      </c>
      <c r="Y779" s="12">
        <v>0</v>
      </c>
      <c r="Z779" s="12">
        <v>1</v>
      </c>
      <c r="AA779" s="12">
        <v>1</v>
      </c>
      <c r="AB779" s="12">
        <v>0</v>
      </c>
      <c r="AC779" s="12">
        <v>0</v>
      </c>
      <c r="AD779" s="12">
        <v>0</v>
      </c>
      <c r="AE779" s="12">
        <v>0</v>
      </c>
      <c r="AF779" s="12">
        <v>0</v>
      </c>
      <c r="AG779" s="12">
        <v>0</v>
      </c>
      <c r="AH779" s="12">
        <v>0</v>
      </c>
      <c r="AI779" s="12">
        <v>0</v>
      </c>
      <c r="AJ779" s="12">
        <v>0</v>
      </c>
      <c r="AK779" s="12">
        <v>0</v>
      </c>
      <c r="AL779" s="12">
        <v>0</v>
      </c>
      <c r="AM779" s="12"/>
      <c r="AN779" s="12">
        <v>0</v>
      </c>
      <c r="AO779" s="12">
        <v>0</v>
      </c>
      <c r="AP779" s="12">
        <v>0</v>
      </c>
      <c r="AQ779" s="12">
        <v>0</v>
      </c>
      <c r="AR779" s="12">
        <v>0</v>
      </c>
      <c r="AS779" s="12">
        <v>0</v>
      </c>
      <c r="AT779" s="12">
        <v>0</v>
      </c>
      <c r="AU779" s="12">
        <v>0</v>
      </c>
      <c r="AV779" s="12">
        <v>0</v>
      </c>
      <c r="AW779" s="12">
        <v>0</v>
      </c>
      <c r="AX779" s="12">
        <v>0</v>
      </c>
      <c r="AY779" s="12">
        <v>0</v>
      </c>
      <c r="AZ779" s="12" t="s">
        <v>4916</v>
      </c>
      <c r="BA779" s="12" t="s">
        <v>4911</v>
      </c>
      <c r="BB779" s="12">
        <v>0</v>
      </c>
      <c r="BC779" s="12">
        <v>0</v>
      </c>
      <c r="BD779" s="12">
        <v>0</v>
      </c>
      <c r="BE779" s="12">
        <v>0</v>
      </c>
      <c r="BF779" s="12">
        <v>0</v>
      </c>
      <c r="BI779" s="12">
        <v>0</v>
      </c>
      <c r="BJ779" s="12">
        <v>0</v>
      </c>
    </row>
    <row r="780" spans="1:62" x14ac:dyDescent="0.15">
      <c r="A780" s="12"/>
      <c r="B780"/>
      <c r="C780" s="20" t="s">
        <v>3443</v>
      </c>
      <c r="D780" t="s">
        <v>7387</v>
      </c>
      <c r="E780" t="s">
        <v>3433</v>
      </c>
      <c r="F780"/>
      <c r="G780"/>
      <c r="H780"/>
      <c r="I780"/>
      <c r="J780"/>
      <c r="K780"/>
      <c r="L780" s="10">
        <v>3560368</v>
      </c>
      <c r="M780" s="10">
        <v>599368</v>
      </c>
      <c r="N780" s="12">
        <v>15</v>
      </c>
      <c r="O780" s="12" t="s">
        <v>6992</v>
      </c>
      <c r="P780" t="s">
        <v>3549</v>
      </c>
      <c r="Q780"/>
      <c r="R780"/>
      <c r="S780" t="s">
        <v>7387</v>
      </c>
      <c r="T780" s="12" t="s">
        <v>4896</v>
      </c>
      <c r="U780" s="12" t="s">
        <v>4897</v>
      </c>
      <c r="V780" s="12" t="s">
        <v>4898</v>
      </c>
      <c r="W780" s="12">
        <v>0</v>
      </c>
      <c r="X780" s="12">
        <v>0</v>
      </c>
      <c r="Y780" s="12">
        <v>0</v>
      </c>
      <c r="Z780" s="12">
        <v>1</v>
      </c>
      <c r="AA780" s="12">
        <v>1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2">
        <v>0</v>
      </c>
      <c r="AK780" s="12">
        <v>0</v>
      </c>
      <c r="AL780" s="12">
        <v>0</v>
      </c>
      <c r="AM780" s="12"/>
      <c r="AN780" s="12">
        <v>0</v>
      </c>
      <c r="AO780" s="12">
        <v>0</v>
      </c>
      <c r="AP780" s="12">
        <v>0</v>
      </c>
      <c r="AQ780" s="12">
        <v>0</v>
      </c>
      <c r="AR780" s="12">
        <v>0</v>
      </c>
      <c r="AS780" s="12">
        <v>0</v>
      </c>
      <c r="AT780" s="12">
        <v>0</v>
      </c>
      <c r="AU780" s="12">
        <v>0</v>
      </c>
      <c r="AV780" s="12">
        <v>0</v>
      </c>
      <c r="AW780" s="12">
        <v>0</v>
      </c>
      <c r="AX780" s="12">
        <v>0</v>
      </c>
      <c r="AY780" s="12">
        <v>0</v>
      </c>
      <c r="BB780" s="12">
        <v>0</v>
      </c>
      <c r="BC780" s="12">
        <v>0</v>
      </c>
      <c r="BD780" s="12">
        <v>0</v>
      </c>
      <c r="BE780" s="12">
        <v>0</v>
      </c>
      <c r="BF780" s="12">
        <v>0</v>
      </c>
      <c r="BI780" s="12">
        <v>0</v>
      </c>
      <c r="BJ780" s="12">
        <v>0</v>
      </c>
    </row>
    <row r="781" spans="1:62" x14ac:dyDescent="0.15">
      <c r="A781" s="12"/>
      <c r="B781"/>
      <c r="C781" s="20" t="s">
        <v>3444</v>
      </c>
      <c r="D781" t="s">
        <v>7387</v>
      </c>
      <c r="E781" t="s">
        <v>3433</v>
      </c>
      <c r="F781"/>
      <c r="G781"/>
      <c r="H781"/>
      <c r="I781"/>
      <c r="J781"/>
      <c r="K781"/>
      <c r="L781" s="10">
        <v>3558448</v>
      </c>
      <c r="M781" s="10">
        <v>598608</v>
      </c>
      <c r="N781" s="12">
        <v>15</v>
      </c>
      <c r="O781" s="12" t="s">
        <v>7412</v>
      </c>
      <c r="P781" t="s">
        <v>3549</v>
      </c>
      <c r="Q781"/>
      <c r="R781"/>
      <c r="S781" t="s">
        <v>7387</v>
      </c>
      <c r="T781" s="12" t="s">
        <v>4896</v>
      </c>
      <c r="U781" s="12" t="s">
        <v>4897</v>
      </c>
      <c r="V781" s="12" t="s">
        <v>4898</v>
      </c>
      <c r="W781" s="12">
        <v>0</v>
      </c>
      <c r="X781" s="12">
        <v>0</v>
      </c>
      <c r="Y781" s="12">
        <v>0</v>
      </c>
      <c r="Z781" s="12">
        <v>1</v>
      </c>
      <c r="AA781" s="12">
        <v>1</v>
      </c>
      <c r="AB781" s="12">
        <v>0</v>
      </c>
      <c r="AC781" s="12">
        <v>0</v>
      </c>
      <c r="AD781" s="12">
        <v>0</v>
      </c>
      <c r="AE781" s="12">
        <v>0</v>
      </c>
      <c r="AF781" s="12">
        <v>0</v>
      </c>
      <c r="AG781" s="12">
        <v>0</v>
      </c>
      <c r="AH781" s="12">
        <v>0</v>
      </c>
      <c r="AI781" s="12">
        <v>0</v>
      </c>
      <c r="AJ781" s="12">
        <v>0</v>
      </c>
      <c r="AK781" s="12">
        <v>0</v>
      </c>
      <c r="AL781" s="12">
        <v>0</v>
      </c>
      <c r="AM781" s="12"/>
      <c r="AN781" s="12">
        <v>0</v>
      </c>
      <c r="AO781" s="12">
        <v>0</v>
      </c>
      <c r="AP781" s="12">
        <v>0</v>
      </c>
      <c r="AQ781" s="12">
        <v>0</v>
      </c>
      <c r="AR781" s="12">
        <v>0</v>
      </c>
      <c r="AS781" s="12">
        <v>0</v>
      </c>
      <c r="AT781" s="12">
        <v>0</v>
      </c>
      <c r="AU781" s="12">
        <v>0</v>
      </c>
      <c r="AV781" s="12">
        <v>0</v>
      </c>
      <c r="AW781" s="12">
        <v>0</v>
      </c>
      <c r="AX781" s="12">
        <v>0</v>
      </c>
      <c r="AY781" s="12">
        <v>0</v>
      </c>
      <c r="BB781" s="12">
        <v>0</v>
      </c>
      <c r="BC781" s="12">
        <v>0</v>
      </c>
      <c r="BD781" s="12">
        <v>0</v>
      </c>
      <c r="BE781" s="12">
        <v>0</v>
      </c>
      <c r="BF781" s="12">
        <v>0</v>
      </c>
      <c r="BI781" s="12">
        <v>0</v>
      </c>
      <c r="BJ781" s="12">
        <v>0</v>
      </c>
    </row>
    <row r="782" spans="1:62" x14ac:dyDescent="0.15">
      <c r="A782" s="12" t="s">
        <v>3445</v>
      </c>
      <c r="B782"/>
      <c r="C782" s="20" t="s">
        <v>3446</v>
      </c>
      <c r="D782" t="s">
        <v>7387</v>
      </c>
      <c r="E782" t="s">
        <v>3548</v>
      </c>
      <c r="F782"/>
      <c r="G782"/>
      <c r="H782"/>
      <c r="I782"/>
      <c r="J782"/>
      <c r="K782"/>
      <c r="L782" s="10">
        <v>3496426</v>
      </c>
      <c r="M782" s="10">
        <v>591295</v>
      </c>
      <c r="N782" s="12">
        <v>15</v>
      </c>
      <c r="O782" s="12" t="s">
        <v>6992</v>
      </c>
      <c r="P782" t="s">
        <v>3549</v>
      </c>
      <c r="Q782"/>
      <c r="R782"/>
      <c r="S782" t="s">
        <v>7387</v>
      </c>
      <c r="T782" s="12" t="s">
        <v>5283</v>
      </c>
      <c r="U782" s="12" t="s">
        <v>4897</v>
      </c>
      <c r="V782" s="12" t="s">
        <v>5016</v>
      </c>
      <c r="W782" s="12">
        <v>0</v>
      </c>
      <c r="X782" s="12">
        <v>0</v>
      </c>
      <c r="Y782" s="12">
        <v>0</v>
      </c>
      <c r="Z782" s="12">
        <v>1</v>
      </c>
      <c r="AA782" s="12">
        <v>1</v>
      </c>
      <c r="AB782" s="12">
        <v>1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2">
        <v>0</v>
      </c>
      <c r="AK782" s="12">
        <v>0</v>
      </c>
      <c r="AL782" s="12">
        <v>0</v>
      </c>
      <c r="AM782" s="12"/>
      <c r="AN782" s="12">
        <v>0</v>
      </c>
      <c r="AO782" s="12">
        <v>0</v>
      </c>
      <c r="AP782" s="12">
        <v>0</v>
      </c>
      <c r="AQ782" s="12">
        <v>0</v>
      </c>
      <c r="AR782" s="12">
        <v>0</v>
      </c>
      <c r="AS782" s="12">
        <v>0</v>
      </c>
      <c r="AT782" s="12">
        <v>0</v>
      </c>
      <c r="AU782" s="12">
        <v>0</v>
      </c>
      <c r="AV782" s="12">
        <v>0</v>
      </c>
      <c r="AW782" s="12">
        <v>0</v>
      </c>
      <c r="AX782" s="12">
        <v>0</v>
      </c>
      <c r="AY782" s="12">
        <v>0</v>
      </c>
      <c r="BB782" s="12">
        <v>0</v>
      </c>
      <c r="BC782" s="12">
        <v>0</v>
      </c>
      <c r="BD782" s="12">
        <v>0</v>
      </c>
      <c r="BE782" s="12">
        <v>0</v>
      </c>
      <c r="BF782" s="12">
        <v>0</v>
      </c>
      <c r="BI782" s="12">
        <v>0</v>
      </c>
      <c r="BJ782" s="12">
        <v>0</v>
      </c>
    </row>
    <row r="783" spans="1:62" ht="14" x14ac:dyDescent="0.15">
      <c r="A783" s="12"/>
      <c r="B783" s="25" t="s">
        <v>3447</v>
      </c>
      <c r="C783" s="20" t="s">
        <v>3448</v>
      </c>
      <c r="D783" t="s">
        <v>7387</v>
      </c>
      <c r="E783" t="s">
        <v>3548</v>
      </c>
      <c r="F783"/>
      <c r="G783"/>
      <c r="H783"/>
      <c r="I783"/>
      <c r="J783"/>
      <c r="K783"/>
      <c r="L783" s="10">
        <v>3483470</v>
      </c>
      <c r="M783" s="10">
        <v>594893</v>
      </c>
      <c r="N783" s="12">
        <v>15</v>
      </c>
      <c r="O783" s="12" t="s">
        <v>4871</v>
      </c>
      <c r="P783" t="s">
        <v>3549</v>
      </c>
      <c r="Q783"/>
      <c r="R783"/>
      <c r="S783" t="s">
        <v>7387</v>
      </c>
      <c r="T783" s="12" t="s">
        <v>4896</v>
      </c>
      <c r="U783" s="12" t="s">
        <v>4897</v>
      </c>
      <c r="V783" s="12" t="s">
        <v>4898</v>
      </c>
      <c r="W783" s="12">
        <v>0</v>
      </c>
      <c r="X783" s="12">
        <v>0</v>
      </c>
      <c r="Y783" s="12">
        <v>0</v>
      </c>
      <c r="Z783" s="12">
        <v>1</v>
      </c>
      <c r="AA783" s="12">
        <v>1</v>
      </c>
      <c r="AB783" s="12">
        <v>0</v>
      </c>
      <c r="AC783" s="12">
        <v>0</v>
      </c>
      <c r="AD783" s="12">
        <v>0</v>
      </c>
      <c r="AE783" s="12">
        <v>0</v>
      </c>
      <c r="AF783" s="12">
        <v>0</v>
      </c>
      <c r="AG783" s="12">
        <v>0</v>
      </c>
      <c r="AH783" s="12">
        <v>6</v>
      </c>
      <c r="AI783" s="12">
        <v>6</v>
      </c>
      <c r="AJ783" s="12">
        <v>1</v>
      </c>
      <c r="AK783" s="12">
        <v>1</v>
      </c>
      <c r="AL783" s="12">
        <v>0</v>
      </c>
      <c r="AM783" s="12"/>
      <c r="AN783" s="12">
        <v>0</v>
      </c>
      <c r="AO783" s="12">
        <v>0</v>
      </c>
      <c r="AP783" s="12">
        <v>0</v>
      </c>
      <c r="AQ783" s="12">
        <v>0</v>
      </c>
      <c r="AR783" s="12">
        <v>1</v>
      </c>
      <c r="AS783" s="12">
        <v>0</v>
      </c>
      <c r="AT783" s="12">
        <v>0</v>
      </c>
      <c r="AU783" s="12">
        <v>0</v>
      </c>
      <c r="AV783" s="12">
        <v>0</v>
      </c>
      <c r="AW783" s="12">
        <v>0</v>
      </c>
      <c r="AX783" s="12">
        <v>0</v>
      </c>
      <c r="AY783" s="12">
        <v>0</v>
      </c>
      <c r="AZ783" s="12" t="s">
        <v>4172</v>
      </c>
      <c r="BA783" s="12" t="s">
        <v>4911</v>
      </c>
      <c r="BB783" s="12">
        <v>1</v>
      </c>
      <c r="BC783" s="12">
        <v>0</v>
      </c>
      <c r="BD783" s="12">
        <v>0</v>
      </c>
      <c r="BE783" s="12">
        <v>0</v>
      </c>
      <c r="BF783" s="12">
        <v>0</v>
      </c>
      <c r="BI783" s="12">
        <v>0</v>
      </c>
      <c r="BJ783" s="12">
        <v>0</v>
      </c>
    </row>
    <row r="784" spans="1:62" x14ac:dyDescent="0.15">
      <c r="A784" s="12"/>
      <c r="B784"/>
      <c r="C784" s="20" t="s">
        <v>3449</v>
      </c>
      <c r="D784" t="s">
        <v>7387</v>
      </c>
      <c r="E784" t="s">
        <v>3548</v>
      </c>
      <c r="F784"/>
      <c r="G784"/>
      <c r="H784"/>
      <c r="I784"/>
      <c r="J784"/>
      <c r="K784"/>
      <c r="L784" s="10">
        <v>3482720</v>
      </c>
      <c r="M784" s="10">
        <v>595112</v>
      </c>
      <c r="N784" s="12">
        <v>15</v>
      </c>
      <c r="O784" s="12" t="s">
        <v>7412</v>
      </c>
      <c r="P784" t="s">
        <v>3549</v>
      </c>
      <c r="Q784"/>
      <c r="R784"/>
      <c r="S784" t="s">
        <v>7387</v>
      </c>
      <c r="T784" s="12" t="s">
        <v>4896</v>
      </c>
      <c r="U784" s="12" t="s">
        <v>4897</v>
      </c>
      <c r="V784" s="12" t="s">
        <v>4898</v>
      </c>
      <c r="W784" s="12">
        <v>0</v>
      </c>
      <c r="X784" s="12">
        <v>0</v>
      </c>
      <c r="Y784" s="12">
        <v>0</v>
      </c>
      <c r="Z784" s="12">
        <v>1</v>
      </c>
      <c r="AA784" s="12">
        <v>1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2">
        <v>0</v>
      </c>
      <c r="AK784" s="12">
        <v>0</v>
      </c>
      <c r="AL784" s="12">
        <v>0</v>
      </c>
      <c r="AM784" s="12"/>
      <c r="AN784" s="12">
        <v>0</v>
      </c>
      <c r="AO784" s="12">
        <v>0</v>
      </c>
      <c r="AP784" s="12">
        <v>0</v>
      </c>
      <c r="AQ784" s="12">
        <v>0</v>
      </c>
      <c r="AR784" s="12">
        <v>0</v>
      </c>
      <c r="AS784" s="12">
        <v>0</v>
      </c>
      <c r="AT784" s="12">
        <v>0</v>
      </c>
      <c r="AU784" s="12">
        <v>0</v>
      </c>
      <c r="AV784" s="12">
        <v>0</v>
      </c>
      <c r="AW784" s="12">
        <v>0</v>
      </c>
      <c r="AX784" s="12">
        <v>0</v>
      </c>
      <c r="AY784" s="12">
        <v>0</v>
      </c>
      <c r="BB784" s="12">
        <v>0</v>
      </c>
      <c r="BC784" s="12">
        <v>0</v>
      </c>
      <c r="BD784" s="12">
        <v>0</v>
      </c>
      <c r="BE784" s="12">
        <v>0</v>
      </c>
      <c r="BF784" s="12">
        <v>0</v>
      </c>
      <c r="BI784" s="12">
        <v>0</v>
      </c>
      <c r="BJ784" s="12">
        <v>0</v>
      </c>
    </row>
    <row r="785" spans="1:62" x14ac:dyDescent="0.15">
      <c r="A785" s="12"/>
      <c r="B785"/>
      <c r="C785" s="20" t="s">
        <v>3450</v>
      </c>
      <c r="D785" t="s">
        <v>7387</v>
      </c>
      <c r="E785" t="s">
        <v>3548</v>
      </c>
      <c r="F785"/>
      <c r="G785"/>
      <c r="H785"/>
      <c r="I785"/>
      <c r="J785"/>
      <c r="K785"/>
      <c r="L785" s="10">
        <v>3480336</v>
      </c>
      <c r="M785" s="10">
        <v>594993</v>
      </c>
      <c r="N785" s="12">
        <v>15</v>
      </c>
      <c r="O785" s="12" t="s">
        <v>6992</v>
      </c>
      <c r="P785" t="s">
        <v>3549</v>
      </c>
      <c r="Q785"/>
      <c r="R785"/>
      <c r="S785" t="s">
        <v>7387</v>
      </c>
      <c r="T785" s="12" t="s">
        <v>4896</v>
      </c>
      <c r="U785" s="12" t="s">
        <v>4897</v>
      </c>
      <c r="V785" s="12" t="s">
        <v>4898</v>
      </c>
      <c r="W785" s="12">
        <v>0</v>
      </c>
      <c r="X785" s="12">
        <v>0</v>
      </c>
      <c r="Y785" s="12">
        <v>0</v>
      </c>
      <c r="Z785" s="12">
        <v>1</v>
      </c>
      <c r="AA785" s="12">
        <v>1</v>
      </c>
      <c r="AB785" s="12">
        <v>0</v>
      </c>
      <c r="AC785" s="12">
        <v>0</v>
      </c>
      <c r="AD785" s="12">
        <v>0</v>
      </c>
      <c r="AE785" s="12">
        <v>0</v>
      </c>
      <c r="AF785" s="12">
        <v>0</v>
      </c>
      <c r="AG785" s="12">
        <v>0</v>
      </c>
      <c r="AH785" s="12">
        <v>0</v>
      </c>
      <c r="AI785" s="12">
        <v>0</v>
      </c>
      <c r="AJ785" s="12">
        <v>0</v>
      </c>
      <c r="AK785" s="12">
        <v>0</v>
      </c>
      <c r="AL785" s="12">
        <v>0</v>
      </c>
      <c r="AM785" s="12"/>
      <c r="AN785" s="12">
        <v>0</v>
      </c>
      <c r="AO785" s="12">
        <v>0</v>
      </c>
      <c r="AP785" s="12">
        <v>0</v>
      </c>
      <c r="AQ785" s="12">
        <v>0</v>
      </c>
      <c r="AR785" s="12">
        <v>0</v>
      </c>
      <c r="AS785" s="12">
        <v>0</v>
      </c>
      <c r="AT785" s="12">
        <v>0</v>
      </c>
      <c r="AU785" s="12">
        <v>0</v>
      </c>
      <c r="AV785" s="12">
        <v>0</v>
      </c>
      <c r="AW785" s="12">
        <v>0</v>
      </c>
      <c r="AX785" s="12">
        <v>0</v>
      </c>
      <c r="AY785" s="12">
        <v>0</v>
      </c>
      <c r="BB785" s="12">
        <v>0</v>
      </c>
      <c r="BC785" s="12">
        <v>0</v>
      </c>
      <c r="BD785" s="12">
        <v>0</v>
      </c>
      <c r="BE785" s="12">
        <v>0</v>
      </c>
      <c r="BF785" s="12">
        <v>0</v>
      </c>
      <c r="BI785" s="12">
        <v>0</v>
      </c>
      <c r="BJ785" s="12">
        <v>0</v>
      </c>
    </row>
    <row r="786" spans="1:62" x14ac:dyDescent="0.15">
      <c r="A786" s="12"/>
      <c r="B786"/>
      <c r="C786" s="20" t="s">
        <v>3451</v>
      </c>
      <c r="D786" t="s">
        <v>7387</v>
      </c>
      <c r="E786" t="s">
        <v>3548</v>
      </c>
      <c r="F786"/>
      <c r="G786"/>
      <c r="H786"/>
      <c r="I786"/>
      <c r="J786"/>
      <c r="K786"/>
      <c r="L786" s="10">
        <v>3478792</v>
      </c>
      <c r="M786" s="10">
        <v>603358</v>
      </c>
      <c r="N786" s="12">
        <v>15</v>
      </c>
      <c r="O786" s="12" t="s">
        <v>6992</v>
      </c>
      <c r="P786" t="s">
        <v>3549</v>
      </c>
      <c r="Q786"/>
      <c r="R786"/>
      <c r="S786" t="s">
        <v>7387</v>
      </c>
      <c r="T786" s="12" t="s">
        <v>4896</v>
      </c>
      <c r="U786" s="12" t="s">
        <v>4897</v>
      </c>
      <c r="V786" s="12" t="s">
        <v>4898</v>
      </c>
      <c r="W786" s="12">
        <v>0</v>
      </c>
      <c r="X786" s="12">
        <v>0</v>
      </c>
      <c r="Y786" s="12">
        <v>0</v>
      </c>
      <c r="Z786" s="12">
        <v>1</v>
      </c>
      <c r="AA786" s="12">
        <v>1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2">
        <v>0</v>
      </c>
      <c r="AK786" s="12">
        <v>0</v>
      </c>
      <c r="AL786" s="12">
        <v>0</v>
      </c>
      <c r="AM786" s="12"/>
      <c r="AN786" s="12">
        <v>0</v>
      </c>
      <c r="AO786" s="12">
        <v>0</v>
      </c>
      <c r="AP786" s="12">
        <v>0</v>
      </c>
      <c r="AQ786" s="12">
        <v>0</v>
      </c>
      <c r="AR786" s="12">
        <v>0</v>
      </c>
      <c r="AS786" s="12">
        <v>0</v>
      </c>
      <c r="AT786" s="12">
        <v>0</v>
      </c>
      <c r="AU786" s="12">
        <v>0</v>
      </c>
      <c r="AV786" s="12">
        <v>0</v>
      </c>
      <c r="AW786" s="12">
        <v>0</v>
      </c>
      <c r="AX786" s="12">
        <v>0</v>
      </c>
      <c r="AY786" s="12">
        <v>0</v>
      </c>
      <c r="BB786" s="12">
        <v>0</v>
      </c>
      <c r="BC786" s="12">
        <v>0</v>
      </c>
      <c r="BD786" s="12">
        <v>0</v>
      </c>
      <c r="BE786" s="12">
        <v>0</v>
      </c>
      <c r="BF786" s="12">
        <v>0</v>
      </c>
      <c r="BI786" s="12">
        <v>0</v>
      </c>
      <c r="BJ786" s="12">
        <v>0</v>
      </c>
    </row>
    <row r="787" spans="1:62" x14ac:dyDescent="0.15">
      <c r="A787" s="12"/>
      <c r="B787"/>
      <c r="C787" s="20" t="s">
        <v>3452</v>
      </c>
      <c r="D787" t="s">
        <v>7387</v>
      </c>
      <c r="E787" t="s">
        <v>3548</v>
      </c>
      <c r="F787"/>
      <c r="G787"/>
      <c r="H787"/>
      <c r="I787"/>
      <c r="J787"/>
      <c r="K787"/>
      <c r="L787" s="10">
        <v>3483624</v>
      </c>
      <c r="M787" s="10">
        <v>608072</v>
      </c>
      <c r="N787" s="12">
        <v>15</v>
      </c>
      <c r="O787" s="12" t="s">
        <v>6992</v>
      </c>
      <c r="P787" t="s">
        <v>3549</v>
      </c>
      <c r="Q787"/>
      <c r="R787"/>
      <c r="S787" t="s">
        <v>7387</v>
      </c>
      <c r="T787" s="12" t="s">
        <v>4896</v>
      </c>
      <c r="U787" s="12" t="s">
        <v>4897</v>
      </c>
      <c r="V787" s="12" t="s">
        <v>4898</v>
      </c>
      <c r="W787" s="12">
        <v>0</v>
      </c>
      <c r="X787" s="12">
        <v>0</v>
      </c>
      <c r="Y787" s="12">
        <v>0</v>
      </c>
      <c r="Z787" s="12">
        <v>1</v>
      </c>
      <c r="AA787" s="12">
        <v>1</v>
      </c>
      <c r="AB787" s="12">
        <v>0</v>
      </c>
      <c r="AC787" s="12">
        <v>0</v>
      </c>
      <c r="AD787" s="12">
        <v>0</v>
      </c>
      <c r="AE787" s="12">
        <v>0</v>
      </c>
      <c r="AF787" s="12">
        <v>0</v>
      </c>
      <c r="AG787" s="12">
        <v>0</v>
      </c>
      <c r="AH787" s="12">
        <v>0</v>
      </c>
      <c r="AI787" s="12">
        <v>0</v>
      </c>
      <c r="AJ787" s="12">
        <v>0</v>
      </c>
      <c r="AK787" s="12">
        <v>0</v>
      </c>
      <c r="AL787" s="12">
        <v>0</v>
      </c>
      <c r="AM787" s="12"/>
      <c r="AN787" s="12">
        <v>0</v>
      </c>
      <c r="AO787" s="12">
        <v>0</v>
      </c>
      <c r="AP787" s="12">
        <v>0</v>
      </c>
      <c r="AQ787" s="12">
        <v>0</v>
      </c>
      <c r="AR787" s="12">
        <v>0</v>
      </c>
      <c r="AS787" s="12">
        <v>0</v>
      </c>
      <c r="AT787" s="12">
        <v>0</v>
      </c>
      <c r="AU787" s="12">
        <v>0</v>
      </c>
      <c r="AV787" s="12">
        <v>0</v>
      </c>
      <c r="AW787" s="12">
        <v>0</v>
      </c>
      <c r="AX787" s="12">
        <v>0</v>
      </c>
      <c r="AY787" s="12">
        <v>0</v>
      </c>
      <c r="BB787" s="12">
        <v>0</v>
      </c>
      <c r="BC787" s="12">
        <v>0</v>
      </c>
      <c r="BD787" s="12">
        <v>0</v>
      </c>
      <c r="BE787" s="12">
        <v>0</v>
      </c>
      <c r="BF787" s="12">
        <v>0</v>
      </c>
      <c r="BI787" s="12">
        <v>0</v>
      </c>
      <c r="BJ787" s="12">
        <v>0</v>
      </c>
    </row>
    <row r="788" spans="1:62" x14ac:dyDescent="0.15">
      <c r="A788" s="12"/>
      <c r="B788"/>
      <c r="C788" s="20" t="s">
        <v>3453</v>
      </c>
      <c r="D788" t="s">
        <v>7387</v>
      </c>
      <c r="E788" t="s">
        <v>3548</v>
      </c>
      <c r="F788"/>
      <c r="G788"/>
      <c r="H788"/>
      <c r="I788"/>
      <c r="J788"/>
      <c r="K788"/>
      <c r="L788" s="10">
        <v>3472612</v>
      </c>
      <c r="M788" s="10">
        <v>590136</v>
      </c>
      <c r="N788" s="12">
        <v>15</v>
      </c>
      <c r="O788" s="12" t="s">
        <v>6992</v>
      </c>
      <c r="P788" t="s">
        <v>3549</v>
      </c>
      <c r="Q788"/>
      <c r="R788"/>
      <c r="S788" t="s">
        <v>7387</v>
      </c>
      <c r="T788" s="12" t="s">
        <v>4896</v>
      </c>
      <c r="U788" s="12" t="s">
        <v>4897</v>
      </c>
      <c r="V788" s="12" t="s">
        <v>4898</v>
      </c>
      <c r="W788" s="12">
        <v>0</v>
      </c>
      <c r="X788" s="12">
        <v>0</v>
      </c>
      <c r="Y788" s="12">
        <v>0</v>
      </c>
      <c r="Z788" s="12">
        <v>1</v>
      </c>
      <c r="AA788" s="12">
        <v>1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2">
        <v>0</v>
      </c>
      <c r="AK788" s="12">
        <v>0</v>
      </c>
      <c r="AL788" s="12">
        <v>0</v>
      </c>
      <c r="AM788" s="12"/>
      <c r="AN788" s="12">
        <v>0</v>
      </c>
      <c r="AO788" s="12">
        <v>0</v>
      </c>
      <c r="AP788" s="12">
        <v>0</v>
      </c>
      <c r="AQ788" s="12">
        <v>0</v>
      </c>
      <c r="AR788" s="12">
        <v>0</v>
      </c>
      <c r="AS788" s="12">
        <v>0</v>
      </c>
      <c r="AT788" s="12">
        <v>0</v>
      </c>
      <c r="AU788" s="12">
        <v>0</v>
      </c>
      <c r="AV788" s="12">
        <v>0</v>
      </c>
      <c r="AW788" s="12">
        <v>0</v>
      </c>
      <c r="AX788" s="12">
        <v>0</v>
      </c>
      <c r="AY788" s="12">
        <v>0</v>
      </c>
      <c r="BB788" s="12">
        <v>0</v>
      </c>
      <c r="BC788" s="12">
        <v>0</v>
      </c>
      <c r="BD788" s="12">
        <v>0</v>
      </c>
      <c r="BE788" s="12">
        <v>0</v>
      </c>
      <c r="BF788" s="12">
        <v>0</v>
      </c>
      <c r="BI788" s="12">
        <v>0</v>
      </c>
      <c r="BJ788" s="12">
        <v>0</v>
      </c>
    </row>
    <row r="789" spans="1:62" x14ac:dyDescent="0.15">
      <c r="A789" s="12" t="str">
        <f>VLOOKUP(C789,'[1]LMV SiteNameNums'!B$1:C$65536,2,FALSE)</f>
        <v>29-J-3</v>
      </c>
      <c r="B789"/>
      <c r="C789" s="20" t="s">
        <v>3454</v>
      </c>
      <c r="D789" t="s">
        <v>7387</v>
      </c>
      <c r="E789" t="s">
        <v>5320</v>
      </c>
      <c r="F789"/>
      <c r="G789"/>
      <c r="H789"/>
      <c r="I789"/>
      <c r="J789"/>
      <c r="K789"/>
      <c r="L789" s="10">
        <v>3423488</v>
      </c>
      <c r="M789" s="10">
        <v>636368</v>
      </c>
      <c r="N789" s="12">
        <v>15</v>
      </c>
      <c r="O789" s="12" t="s">
        <v>6992</v>
      </c>
      <c r="P789" t="s">
        <v>3549</v>
      </c>
      <c r="Q789"/>
      <c r="R789"/>
      <c r="S789" t="s">
        <v>7387</v>
      </c>
      <c r="T789" s="12" t="s">
        <v>4896</v>
      </c>
      <c r="U789" s="12" t="s">
        <v>4897</v>
      </c>
      <c r="V789" s="12" t="s">
        <v>4898</v>
      </c>
      <c r="W789" s="12">
        <v>0</v>
      </c>
      <c r="X789" s="12">
        <v>0</v>
      </c>
      <c r="Y789" s="12">
        <v>0</v>
      </c>
      <c r="Z789" s="12">
        <v>1</v>
      </c>
      <c r="AA789" s="12">
        <v>1</v>
      </c>
      <c r="AB789" s="12">
        <v>0</v>
      </c>
      <c r="AC789" s="12">
        <v>0</v>
      </c>
      <c r="AD789" s="12">
        <v>0</v>
      </c>
      <c r="AE789" s="12">
        <v>0</v>
      </c>
      <c r="AF789" s="12">
        <v>0</v>
      </c>
      <c r="AG789" s="12">
        <v>0</v>
      </c>
      <c r="AH789" s="12">
        <v>0</v>
      </c>
      <c r="AI789" s="12">
        <v>0</v>
      </c>
      <c r="AJ789" s="12">
        <v>0</v>
      </c>
      <c r="AK789" s="12">
        <v>0</v>
      </c>
      <c r="AL789" s="12">
        <v>0</v>
      </c>
      <c r="AM789" s="12"/>
      <c r="AN789" s="12">
        <v>0</v>
      </c>
      <c r="AO789" s="12">
        <v>0</v>
      </c>
      <c r="AP789" s="12">
        <v>0</v>
      </c>
      <c r="AQ789" s="12">
        <v>0</v>
      </c>
      <c r="AR789" s="12">
        <v>0</v>
      </c>
      <c r="AS789" s="12">
        <v>0</v>
      </c>
      <c r="AT789" s="12">
        <v>0</v>
      </c>
      <c r="AU789" s="12">
        <v>0</v>
      </c>
      <c r="AV789" s="12">
        <v>0</v>
      </c>
      <c r="AW789" s="12">
        <v>0</v>
      </c>
      <c r="AX789" s="12">
        <v>0</v>
      </c>
      <c r="AY789" s="12">
        <v>0</v>
      </c>
      <c r="BB789" s="12">
        <v>0</v>
      </c>
      <c r="BC789" s="12">
        <v>0</v>
      </c>
      <c r="BD789" s="12">
        <v>0</v>
      </c>
      <c r="BE789" s="12">
        <v>0</v>
      </c>
      <c r="BF789" s="12">
        <v>0</v>
      </c>
      <c r="BI789" s="12">
        <v>0</v>
      </c>
      <c r="BJ789" s="12">
        <v>0</v>
      </c>
    </row>
    <row r="790" spans="1:62" x14ac:dyDescent="0.15">
      <c r="A790" s="12"/>
      <c r="B790"/>
      <c r="C790" s="20" t="s">
        <v>3455</v>
      </c>
      <c r="D790" t="s">
        <v>7387</v>
      </c>
      <c r="E790" t="s">
        <v>3548</v>
      </c>
      <c r="F790"/>
      <c r="G790"/>
      <c r="H790"/>
      <c r="I790"/>
      <c r="J790"/>
      <c r="K790"/>
      <c r="L790" s="10">
        <v>3483563</v>
      </c>
      <c r="M790" s="10">
        <v>576033</v>
      </c>
      <c r="N790" s="12">
        <v>15</v>
      </c>
      <c r="O790" s="12" t="s">
        <v>6992</v>
      </c>
      <c r="P790" t="s">
        <v>3549</v>
      </c>
      <c r="Q790"/>
      <c r="R790"/>
      <c r="S790" t="s">
        <v>7387</v>
      </c>
      <c r="T790" s="12" t="s">
        <v>5283</v>
      </c>
      <c r="U790" s="12" t="s">
        <v>4897</v>
      </c>
      <c r="V790" s="12" t="s">
        <v>5016</v>
      </c>
      <c r="W790" s="12">
        <v>0</v>
      </c>
      <c r="X790" s="12">
        <v>0</v>
      </c>
      <c r="Y790" s="12">
        <v>0</v>
      </c>
      <c r="Z790" s="12">
        <v>1</v>
      </c>
      <c r="AA790" s="12">
        <v>1</v>
      </c>
      <c r="AB790" s="12">
        <v>1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2">
        <v>0</v>
      </c>
      <c r="AK790" s="12">
        <v>0</v>
      </c>
      <c r="AL790" s="12">
        <v>0</v>
      </c>
      <c r="AM790" s="12"/>
      <c r="AN790" s="12">
        <v>0</v>
      </c>
      <c r="AO790" s="12">
        <v>0</v>
      </c>
      <c r="AP790" s="12">
        <v>0</v>
      </c>
      <c r="AQ790" s="12">
        <v>0</v>
      </c>
      <c r="AR790" s="12">
        <v>0</v>
      </c>
      <c r="AS790" s="12">
        <v>0</v>
      </c>
      <c r="AT790" s="12">
        <v>0</v>
      </c>
      <c r="AU790" s="12">
        <v>0</v>
      </c>
      <c r="AV790" s="12">
        <v>0</v>
      </c>
      <c r="AW790" s="12">
        <v>0</v>
      </c>
      <c r="AX790" s="12">
        <v>0</v>
      </c>
      <c r="AY790" s="12">
        <v>0</v>
      </c>
      <c r="BB790" s="12">
        <v>0</v>
      </c>
      <c r="BC790" s="12">
        <v>0</v>
      </c>
      <c r="BD790" s="12">
        <v>0</v>
      </c>
      <c r="BE790" s="12">
        <v>0</v>
      </c>
      <c r="BF790" s="12">
        <v>0</v>
      </c>
      <c r="BI790" s="12">
        <v>0</v>
      </c>
      <c r="BJ790" s="12">
        <v>0</v>
      </c>
    </row>
    <row r="791" spans="1:62" x14ac:dyDescent="0.15">
      <c r="A791" s="12"/>
      <c r="B791"/>
      <c r="C791" s="20" t="s">
        <v>3456</v>
      </c>
      <c r="D791" t="s">
        <v>7387</v>
      </c>
      <c r="E791" t="s">
        <v>3548</v>
      </c>
      <c r="F791"/>
      <c r="G791"/>
      <c r="H791"/>
      <c r="I791"/>
      <c r="J791"/>
      <c r="K791"/>
      <c r="L791" s="10">
        <v>3493712</v>
      </c>
      <c r="M791" s="10">
        <v>586344</v>
      </c>
      <c r="N791" s="12">
        <v>15</v>
      </c>
      <c r="O791" s="12" t="s">
        <v>7412</v>
      </c>
      <c r="P791" t="s">
        <v>3549</v>
      </c>
      <c r="Q791"/>
      <c r="R791"/>
      <c r="S791" t="s">
        <v>3552</v>
      </c>
      <c r="T791" s="12" t="s">
        <v>4896</v>
      </c>
      <c r="U791" s="12" t="s">
        <v>4897</v>
      </c>
      <c r="V791" s="12" t="s">
        <v>4898</v>
      </c>
      <c r="W791" s="12">
        <v>0</v>
      </c>
      <c r="X791" s="12">
        <v>0</v>
      </c>
      <c r="Y791" s="12">
        <v>0</v>
      </c>
      <c r="Z791" s="12">
        <v>1</v>
      </c>
      <c r="AA791" s="12">
        <v>1</v>
      </c>
      <c r="AB791" s="12">
        <v>0</v>
      </c>
      <c r="AC791" s="12">
        <v>0</v>
      </c>
      <c r="AD791" s="12">
        <v>0</v>
      </c>
      <c r="AE791" s="12">
        <v>0</v>
      </c>
      <c r="AF791" s="12">
        <v>0</v>
      </c>
      <c r="AG791" s="12">
        <v>0</v>
      </c>
      <c r="AH791" s="12">
        <v>0</v>
      </c>
      <c r="AI791" s="12">
        <v>0</v>
      </c>
      <c r="AJ791" s="12">
        <v>0</v>
      </c>
      <c r="AK791" s="12">
        <v>0</v>
      </c>
      <c r="AL791" s="12">
        <v>0</v>
      </c>
      <c r="AM791" s="12"/>
      <c r="AN791" s="12">
        <v>0</v>
      </c>
      <c r="AO791" s="12">
        <v>0</v>
      </c>
      <c r="AP791" s="12">
        <v>0</v>
      </c>
      <c r="AQ791" s="12">
        <v>0</v>
      </c>
      <c r="AR791" s="12">
        <v>0</v>
      </c>
      <c r="AS791" s="12">
        <v>0</v>
      </c>
      <c r="AT791" s="12">
        <v>0</v>
      </c>
      <c r="AU791" s="12">
        <v>0</v>
      </c>
      <c r="AV791" s="12">
        <v>0</v>
      </c>
      <c r="AW791" s="12">
        <v>0</v>
      </c>
      <c r="AX791" s="12">
        <v>0</v>
      </c>
      <c r="AY791" s="12">
        <v>0</v>
      </c>
      <c r="BB791" s="12">
        <v>0</v>
      </c>
      <c r="BC791" s="12">
        <v>0</v>
      </c>
      <c r="BD791" s="12">
        <v>0</v>
      </c>
      <c r="BE791" s="12">
        <v>0</v>
      </c>
      <c r="BF791" s="12">
        <v>0</v>
      </c>
      <c r="BI791" s="12">
        <v>0</v>
      </c>
      <c r="BJ791" s="12">
        <v>0</v>
      </c>
    </row>
    <row r="792" spans="1:62" x14ac:dyDescent="0.15">
      <c r="A792" s="12"/>
      <c r="B792"/>
      <c r="C792" s="20" t="s">
        <v>3457</v>
      </c>
      <c r="D792" t="s">
        <v>3547</v>
      </c>
      <c r="E792" t="s">
        <v>3548</v>
      </c>
      <c r="F792"/>
      <c r="G792"/>
      <c r="H792"/>
      <c r="I792"/>
      <c r="J792"/>
      <c r="K792"/>
      <c r="L792" s="10">
        <v>3478640</v>
      </c>
      <c r="M792" s="10">
        <v>576256</v>
      </c>
      <c r="N792" s="12">
        <v>15</v>
      </c>
      <c r="O792" s="12" t="s">
        <v>7412</v>
      </c>
      <c r="P792" t="s">
        <v>3549</v>
      </c>
      <c r="Q792"/>
      <c r="R792"/>
      <c r="S792" t="s">
        <v>3547</v>
      </c>
      <c r="T792" s="12" t="s">
        <v>4896</v>
      </c>
      <c r="U792" s="12" t="s">
        <v>4897</v>
      </c>
      <c r="V792" s="12" t="s">
        <v>4898</v>
      </c>
      <c r="W792" s="12">
        <v>0</v>
      </c>
      <c r="X792" s="12">
        <v>0</v>
      </c>
      <c r="Y792" s="12">
        <v>0</v>
      </c>
      <c r="Z792" s="12">
        <v>1</v>
      </c>
      <c r="AA792" s="12">
        <v>1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2">
        <v>0</v>
      </c>
      <c r="AK792" s="12">
        <v>0</v>
      </c>
      <c r="AL792" s="12">
        <v>0</v>
      </c>
      <c r="AM792" s="12"/>
      <c r="AN792" s="12">
        <v>0</v>
      </c>
      <c r="AO792" s="12">
        <v>0</v>
      </c>
      <c r="AP792" s="12">
        <v>0</v>
      </c>
      <c r="AQ792" s="12">
        <v>0</v>
      </c>
      <c r="AR792" s="12">
        <v>0</v>
      </c>
      <c r="AS792" s="12">
        <v>0</v>
      </c>
      <c r="AT792" s="12">
        <v>0</v>
      </c>
      <c r="AU792" s="12">
        <v>0</v>
      </c>
      <c r="AV792" s="12">
        <v>0</v>
      </c>
      <c r="AW792" s="12">
        <v>0</v>
      </c>
      <c r="AX792" s="12">
        <v>0</v>
      </c>
      <c r="AY792" s="12">
        <v>0</v>
      </c>
      <c r="BB792" s="12">
        <v>0</v>
      </c>
      <c r="BC792" s="12">
        <v>0</v>
      </c>
      <c r="BD792" s="12">
        <v>0</v>
      </c>
      <c r="BE792" s="12">
        <v>0</v>
      </c>
      <c r="BF792" s="12">
        <v>0</v>
      </c>
      <c r="BI792" s="12">
        <v>0</v>
      </c>
      <c r="BJ792" s="12">
        <v>0</v>
      </c>
    </row>
    <row r="793" spans="1:62" x14ac:dyDescent="0.15">
      <c r="A793" s="12"/>
      <c r="B793" t="s">
        <v>2180</v>
      </c>
      <c r="C793" s="27" t="s">
        <v>2181</v>
      </c>
      <c r="D793" t="s">
        <v>6596</v>
      </c>
      <c r="E793" t="s">
        <v>2182</v>
      </c>
      <c r="F793"/>
      <c r="G793"/>
      <c r="H793"/>
      <c r="I793"/>
      <c r="J793"/>
      <c r="K793"/>
      <c r="L793" s="10">
        <v>3956640</v>
      </c>
      <c r="M793" s="10">
        <v>716780</v>
      </c>
      <c r="N793" s="12">
        <v>15</v>
      </c>
      <c r="O793" s="12" t="s">
        <v>6992</v>
      </c>
      <c r="P793" t="s">
        <v>2183</v>
      </c>
      <c r="R793"/>
      <c r="S793" t="s">
        <v>2184</v>
      </c>
      <c r="T793" s="12" t="s">
        <v>2185</v>
      </c>
      <c r="U793" s="12" t="s">
        <v>2186</v>
      </c>
      <c r="V793" s="12" t="s">
        <v>2187</v>
      </c>
      <c r="W793" s="12">
        <v>0</v>
      </c>
      <c r="X793" s="12">
        <v>1</v>
      </c>
      <c r="Y793" s="12">
        <v>0</v>
      </c>
      <c r="Z793" s="12">
        <v>0</v>
      </c>
      <c r="AA793" s="12">
        <v>0</v>
      </c>
      <c r="AB793" s="12">
        <v>0</v>
      </c>
      <c r="AC793" s="12">
        <v>0</v>
      </c>
      <c r="AD793" s="12">
        <v>0</v>
      </c>
      <c r="AE793" s="12">
        <v>0</v>
      </c>
      <c r="AF793" s="12">
        <v>0</v>
      </c>
      <c r="AG793" s="12">
        <v>0</v>
      </c>
      <c r="AH793" s="12">
        <v>0</v>
      </c>
      <c r="AI793" s="12">
        <v>0</v>
      </c>
      <c r="AJ793" s="12">
        <v>0</v>
      </c>
      <c r="AK793" s="12">
        <v>0</v>
      </c>
      <c r="AL793" s="12">
        <v>0</v>
      </c>
      <c r="AM793" s="12"/>
      <c r="AN793" s="12">
        <v>0</v>
      </c>
      <c r="AO793" s="12">
        <v>0</v>
      </c>
      <c r="AP793" s="12">
        <v>0</v>
      </c>
      <c r="AQ793" s="12">
        <v>0</v>
      </c>
      <c r="AR793" s="12">
        <v>0</v>
      </c>
      <c r="AS793" s="12">
        <v>0</v>
      </c>
      <c r="AT793" s="12">
        <v>0</v>
      </c>
      <c r="AU793" s="12">
        <v>0</v>
      </c>
      <c r="AV793" s="12">
        <v>0</v>
      </c>
      <c r="AW793" s="12">
        <v>0</v>
      </c>
      <c r="AX793" s="12">
        <v>0</v>
      </c>
      <c r="AY793" s="12">
        <v>0</v>
      </c>
      <c r="AZ793"/>
      <c r="BA793"/>
      <c r="BB793" s="12">
        <v>0</v>
      </c>
      <c r="BC793" s="12">
        <v>0</v>
      </c>
      <c r="BD793" s="12">
        <v>0</v>
      </c>
      <c r="BE793" s="12">
        <v>0</v>
      </c>
      <c r="BF793" s="12">
        <v>0</v>
      </c>
      <c r="BI793" s="12">
        <v>0</v>
      </c>
      <c r="BJ793" s="12">
        <v>0</v>
      </c>
    </row>
    <row r="794" spans="1:62" x14ac:dyDescent="0.15">
      <c r="A794" s="12"/>
      <c r="B794" t="s">
        <v>2188</v>
      </c>
      <c r="C794" s="27" t="s">
        <v>2189</v>
      </c>
      <c r="D794" t="s">
        <v>6596</v>
      </c>
      <c r="E794" t="s">
        <v>2182</v>
      </c>
      <c r="F794"/>
      <c r="G794"/>
      <c r="H794"/>
      <c r="I794"/>
      <c r="J794"/>
      <c r="K794"/>
      <c r="L794" s="10">
        <v>3920320</v>
      </c>
      <c r="M794" s="10">
        <v>697240</v>
      </c>
      <c r="N794" s="12">
        <v>15</v>
      </c>
      <c r="O794" s="12" t="s">
        <v>6992</v>
      </c>
      <c r="P794" t="s">
        <v>2183</v>
      </c>
      <c r="R794"/>
      <c r="S794" t="s">
        <v>2184</v>
      </c>
      <c r="T794" s="12" t="s">
        <v>2185</v>
      </c>
      <c r="U794" s="12" t="s">
        <v>2186</v>
      </c>
      <c r="V794" s="12" t="s">
        <v>2187</v>
      </c>
      <c r="W794" s="12">
        <v>0</v>
      </c>
      <c r="X794" s="12">
        <v>1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2">
        <v>0</v>
      </c>
      <c r="AK794" s="12">
        <v>0</v>
      </c>
      <c r="AL794" s="12">
        <v>0</v>
      </c>
      <c r="AM794" s="12"/>
      <c r="AN794" s="12">
        <v>0</v>
      </c>
      <c r="AO794" s="12">
        <v>0</v>
      </c>
      <c r="AP794" s="12">
        <v>0</v>
      </c>
      <c r="AQ794" s="12">
        <v>0</v>
      </c>
      <c r="AR794" s="12">
        <v>0</v>
      </c>
      <c r="AS794" s="12">
        <v>0</v>
      </c>
      <c r="AT794" s="12">
        <v>0</v>
      </c>
      <c r="AU794" s="12">
        <v>0</v>
      </c>
      <c r="AV794" s="12">
        <v>0</v>
      </c>
      <c r="AW794" s="12">
        <v>0</v>
      </c>
      <c r="AX794" s="12">
        <v>0</v>
      </c>
      <c r="AY794" s="12">
        <v>0</v>
      </c>
      <c r="AZ794"/>
      <c r="BA794"/>
      <c r="BB794" s="12">
        <v>0</v>
      </c>
      <c r="BC794" s="12">
        <v>0</v>
      </c>
      <c r="BD794" s="12">
        <v>0</v>
      </c>
      <c r="BE794" s="12">
        <v>0</v>
      </c>
      <c r="BF794" s="12">
        <v>0</v>
      </c>
      <c r="BI794" s="12">
        <v>0</v>
      </c>
      <c r="BJ794" s="12">
        <v>0</v>
      </c>
    </row>
    <row r="795" spans="1:62" x14ac:dyDescent="0.15">
      <c r="A795" s="12"/>
      <c r="B795" t="s">
        <v>2190</v>
      </c>
      <c r="C795" s="27" t="s">
        <v>2191</v>
      </c>
      <c r="D795" t="s">
        <v>6596</v>
      </c>
      <c r="E795" t="s">
        <v>2182</v>
      </c>
      <c r="F795"/>
      <c r="G795"/>
      <c r="H795"/>
      <c r="I795"/>
      <c r="J795"/>
      <c r="K795"/>
      <c r="L795" s="10">
        <v>3897300</v>
      </c>
      <c r="M795" s="10">
        <v>691450</v>
      </c>
      <c r="N795" s="12">
        <v>15</v>
      </c>
      <c r="O795" s="12" t="s">
        <v>6992</v>
      </c>
      <c r="P795" t="s">
        <v>2183</v>
      </c>
      <c r="R795"/>
      <c r="S795" t="s">
        <v>2184</v>
      </c>
      <c r="T795" s="12" t="s">
        <v>2185</v>
      </c>
      <c r="U795" s="12" t="s">
        <v>2186</v>
      </c>
      <c r="V795" s="12" t="s">
        <v>2187</v>
      </c>
      <c r="W795" s="12">
        <v>0</v>
      </c>
      <c r="X795" s="12">
        <v>1</v>
      </c>
      <c r="Y795" s="12">
        <v>0</v>
      </c>
      <c r="Z795" s="12">
        <v>0</v>
      </c>
      <c r="AA795" s="12">
        <v>0</v>
      </c>
      <c r="AB795" s="12">
        <v>0</v>
      </c>
      <c r="AC795" s="12">
        <v>0</v>
      </c>
      <c r="AD795" s="12">
        <v>0</v>
      </c>
      <c r="AE795" s="12">
        <v>0</v>
      </c>
      <c r="AF795" s="12">
        <v>0</v>
      </c>
      <c r="AG795" s="12">
        <v>0</v>
      </c>
      <c r="AH795" s="12">
        <v>0</v>
      </c>
      <c r="AI795" s="12">
        <v>0</v>
      </c>
      <c r="AJ795" s="12">
        <v>0</v>
      </c>
      <c r="AK795" s="12">
        <v>0</v>
      </c>
      <c r="AL795" s="12">
        <v>0</v>
      </c>
      <c r="AM795" s="12"/>
      <c r="AN795" s="12">
        <v>0</v>
      </c>
      <c r="AO795" s="12">
        <v>0</v>
      </c>
      <c r="AP795" s="12">
        <v>0</v>
      </c>
      <c r="AQ795" s="12">
        <v>0</v>
      </c>
      <c r="AR795" s="12">
        <v>0</v>
      </c>
      <c r="AS795" s="12">
        <v>0</v>
      </c>
      <c r="AT795" s="12">
        <v>0</v>
      </c>
      <c r="AU795" s="12">
        <v>0</v>
      </c>
      <c r="AV795" s="12">
        <v>0</v>
      </c>
      <c r="AW795" s="12">
        <v>0</v>
      </c>
      <c r="AX795" s="12">
        <v>0</v>
      </c>
      <c r="AY795" s="12">
        <v>0</v>
      </c>
      <c r="AZ795"/>
      <c r="BA795"/>
      <c r="BB795" s="12">
        <v>0</v>
      </c>
      <c r="BC795" s="12">
        <v>0</v>
      </c>
      <c r="BD795" s="12">
        <v>0</v>
      </c>
      <c r="BE795" s="12">
        <v>0</v>
      </c>
      <c r="BF795" s="12">
        <v>0</v>
      </c>
      <c r="BI795" s="12">
        <v>0</v>
      </c>
      <c r="BJ795" s="12">
        <v>0</v>
      </c>
    </row>
    <row r="796" spans="1:62" x14ac:dyDescent="0.15">
      <c r="A796" s="12"/>
      <c r="B796" t="s">
        <v>2192</v>
      </c>
      <c r="C796" s="27" t="s">
        <v>2193</v>
      </c>
      <c r="D796" t="s">
        <v>6596</v>
      </c>
      <c r="E796" t="s">
        <v>2182</v>
      </c>
      <c r="F796"/>
      <c r="G796"/>
      <c r="H796"/>
      <c r="I796"/>
      <c r="J796"/>
      <c r="K796"/>
      <c r="L796" s="10">
        <v>3908170</v>
      </c>
      <c r="M796" s="10">
        <v>692650</v>
      </c>
      <c r="N796" s="12">
        <v>15</v>
      </c>
      <c r="O796" s="12" t="s">
        <v>6992</v>
      </c>
      <c r="P796" t="s">
        <v>2183</v>
      </c>
      <c r="R796"/>
      <c r="S796" t="s">
        <v>2184</v>
      </c>
      <c r="T796" s="12" t="s">
        <v>2185</v>
      </c>
      <c r="U796" s="12" t="s">
        <v>2186</v>
      </c>
      <c r="V796" s="12" t="s">
        <v>2187</v>
      </c>
      <c r="W796" s="12">
        <v>0</v>
      </c>
      <c r="X796" s="12">
        <v>1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2">
        <v>0</v>
      </c>
      <c r="AK796" s="12">
        <v>0</v>
      </c>
      <c r="AL796" s="12">
        <v>0</v>
      </c>
      <c r="AM796" s="12"/>
      <c r="AN796" s="12">
        <v>0</v>
      </c>
      <c r="AO796" s="12">
        <v>0</v>
      </c>
      <c r="AP796" s="12">
        <v>0</v>
      </c>
      <c r="AQ796" s="12">
        <v>0</v>
      </c>
      <c r="AR796" s="12">
        <v>0</v>
      </c>
      <c r="AS796" s="12">
        <v>0</v>
      </c>
      <c r="AT796" s="12">
        <v>0</v>
      </c>
      <c r="AU796" s="12">
        <v>0</v>
      </c>
      <c r="AV796" s="12">
        <v>0</v>
      </c>
      <c r="AW796" s="12">
        <v>0</v>
      </c>
      <c r="AX796" s="12">
        <v>0</v>
      </c>
      <c r="AY796" s="12">
        <v>0</v>
      </c>
      <c r="AZ796"/>
      <c r="BA796"/>
      <c r="BB796" s="12">
        <v>0</v>
      </c>
      <c r="BC796" s="12">
        <v>0</v>
      </c>
      <c r="BD796" s="12">
        <v>0</v>
      </c>
      <c r="BE796" s="12">
        <v>0</v>
      </c>
      <c r="BF796" s="12">
        <v>0</v>
      </c>
      <c r="BI796" s="12">
        <v>0</v>
      </c>
      <c r="BJ796" s="12">
        <v>0</v>
      </c>
    </row>
    <row r="797" spans="1:62" x14ac:dyDescent="0.15">
      <c r="A797" s="12"/>
      <c r="B797" t="s">
        <v>2194</v>
      </c>
      <c r="C797" s="27" t="s">
        <v>2195</v>
      </c>
      <c r="D797" t="s">
        <v>6596</v>
      </c>
      <c r="E797" t="s">
        <v>2182</v>
      </c>
      <c r="F797"/>
      <c r="G797"/>
      <c r="H797"/>
      <c r="I797"/>
      <c r="J797"/>
      <c r="K797"/>
      <c r="L797" s="10">
        <v>3902800</v>
      </c>
      <c r="M797" s="10">
        <v>688380</v>
      </c>
      <c r="N797" s="12">
        <v>15</v>
      </c>
      <c r="O797" s="12" t="s">
        <v>6992</v>
      </c>
      <c r="P797" t="s">
        <v>2183</v>
      </c>
      <c r="R797"/>
      <c r="S797" t="s">
        <v>2184</v>
      </c>
      <c r="T797" s="12" t="s">
        <v>2185</v>
      </c>
      <c r="U797" s="12" t="s">
        <v>2186</v>
      </c>
      <c r="V797" s="12" t="s">
        <v>2187</v>
      </c>
      <c r="W797" s="12">
        <v>0</v>
      </c>
      <c r="X797" s="12">
        <v>1</v>
      </c>
      <c r="Y797" s="12">
        <v>0</v>
      </c>
      <c r="Z797" s="12">
        <v>0</v>
      </c>
      <c r="AA797" s="12">
        <v>0</v>
      </c>
      <c r="AB797" s="12">
        <v>0</v>
      </c>
      <c r="AC797" s="12">
        <v>0</v>
      </c>
      <c r="AD797" s="12">
        <v>0</v>
      </c>
      <c r="AE797" s="12">
        <v>0</v>
      </c>
      <c r="AF797" s="12">
        <v>0</v>
      </c>
      <c r="AG797" s="12">
        <v>0</v>
      </c>
      <c r="AH797" s="12">
        <v>0</v>
      </c>
      <c r="AI797" s="12">
        <v>0</v>
      </c>
      <c r="AJ797" s="12">
        <v>0</v>
      </c>
      <c r="AK797" s="12">
        <v>0</v>
      </c>
      <c r="AL797" s="12">
        <v>0</v>
      </c>
      <c r="AM797" s="12"/>
      <c r="AN797" s="12">
        <v>0</v>
      </c>
      <c r="AO797" s="12">
        <v>0</v>
      </c>
      <c r="AP797" s="12">
        <v>0</v>
      </c>
      <c r="AQ797" s="12">
        <v>0</v>
      </c>
      <c r="AR797" s="12">
        <v>0</v>
      </c>
      <c r="AS797" s="12">
        <v>0</v>
      </c>
      <c r="AT797" s="12">
        <v>0</v>
      </c>
      <c r="AU797" s="12">
        <v>0</v>
      </c>
      <c r="AV797" s="12">
        <v>0</v>
      </c>
      <c r="AW797" s="12">
        <v>0</v>
      </c>
      <c r="AX797" s="12">
        <v>0</v>
      </c>
      <c r="AY797" s="12">
        <v>0</v>
      </c>
      <c r="AZ797"/>
      <c r="BA797"/>
      <c r="BB797" s="12">
        <v>0</v>
      </c>
      <c r="BC797" s="12">
        <v>0</v>
      </c>
      <c r="BD797" s="12">
        <v>0</v>
      </c>
      <c r="BE797" s="12">
        <v>0</v>
      </c>
      <c r="BF797" s="12">
        <v>0</v>
      </c>
      <c r="BI797" s="12">
        <v>0</v>
      </c>
      <c r="BJ797" s="12">
        <v>0</v>
      </c>
    </row>
    <row r="798" spans="1:62" x14ac:dyDescent="0.15">
      <c r="A798" s="12"/>
      <c r="B798" t="s">
        <v>2196</v>
      </c>
      <c r="C798" s="27" t="s">
        <v>2197</v>
      </c>
      <c r="D798" t="s">
        <v>6596</v>
      </c>
      <c r="E798" t="s">
        <v>2182</v>
      </c>
      <c r="F798"/>
      <c r="G798"/>
      <c r="H798"/>
      <c r="I798"/>
      <c r="J798"/>
      <c r="K798"/>
      <c r="L798" s="10">
        <v>3928700</v>
      </c>
      <c r="M798" s="10">
        <v>695350</v>
      </c>
      <c r="N798" s="12">
        <v>15</v>
      </c>
      <c r="O798" s="12" t="s">
        <v>6992</v>
      </c>
      <c r="P798" t="s">
        <v>2183</v>
      </c>
      <c r="R798"/>
      <c r="S798" t="s">
        <v>2184</v>
      </c>
      <c r="T798" s="12" t="s">
        <v>2185</v>
      </c>
      <c r="U798" s="12" t="s">
        <v>2186</v>
      </c>
      <c r="V798" s="12" t="s">
        <v>2187</v>
      </c>
      <c r="W798" s="12">
        <v>0</v>
      </c>
      <c r="X798" s="12">
        <v>1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2">
        <v>0</v>
      </c>
      <c r="AK798" s="12">
        <v>0</v>
      </c>
      <c r="AL798" s="12">
        <v>0</v>
      </c>
      <c r="AM798" s="12"/>
      <c r="AN798" s="12">
        <v>0</v>
      </c>
      <c r="AO798" s="12">
        <v>0</v>
      </c>
      <c r="AP798" s="12">
        <v>0</v>
      </c>
      <c r="AQ798" s="12">
        <v>0</v>
      </c>
      <c r="AR798" s="12">
        <v>0</v>
      </c>
      <c r="AS798" s="12">
        <v>0</v>
      </c>
      <c r="AT798" s="12">
        <v>0</v>
      </c>
      <c r="AU798" s="12">
        <v>0</v>
      </c>
      <c r="AV798" s="12">
        <v>0</v>
      </c>
      <c r="AW798" s="12">
        <v>0</v>
      </c>
      <c r="AX798" s="12">
        <v>0</v>
      </c>
      <c r="AY798" s="12">
        <v>0</v>
      </c>
      <c r="AZ798"/>
      <c r="BA798"/>
      <c r="BB798" s="12">
        <v>0</v>
      </c>
      <c r="BC798" s="12">
        <v>0</v>
      </c>
      <c r="BD798" s="12">
        <v>0</v>
      </c>
      <c r="BE798" s="12">
        <v>0</v>
      </c>
      <c r="BF798" s="12">
        <v>0</v>
      </c>
      <c r="BI798" s="12">
        <v>0</v>
      </c>
      <c r="BJ798" s="12">
        <v>0</v>
      </c>
    </row>
    <row r="799" spans="1:62" x14ac:dyDescent="0.15">
      <c r="A799" s="12"/>
      <c r="B799" t="s">
        <v>2198</v>
      </c>
      <c r="C799" s="27" t="s">
        <v>2199</v>
      </c>
      <c r="D799" t="s">
        <v>6596</v>
      </c>
      <c r="E799" t="s">
        <v>2182</v>
      </c>
      <c r="F799"/>
      <c r="G799"/>
      <c r="H799"/>
      <c r="I799"/>
      <c r="J799"/>
      <c r="K799"/>
      <c r="L799" s="10">
        <v>3930640</v>
      </c>
      <c r="M799" s="10">
        <v>698450</v>
      </c>
      <c r="N799" s="12">
        <v>15</v>
      </c>
      <c r="O799" s="12" t="s">
        <v>6992</v>
      </c>
      <c r="P799" t="s">
        <v>2183</v>
      </c>
      <c r="R799"/>
      <c r="S799" t="s">
        <v>2184</v>
      </c>
      <c r="T799" s="12" t="s">
        <v>2185</v>
      </c>
      <c r="U799" s="12" t="s">
        <v>2186</v>
      </c>
      <c r="V799" s="12" t="s">
        <v>2187</v>
      </c>
      <c r="W799" s="12">
        <v>0</v>
      </c>
      <c r="X799" s="12">
        <v>1</v>
      </c>
      <c r="Y799" s="12">
        <v>0</v>
      </c>
      <c r="Z799" s="12">
        <v>0</v>
      </c>
      <c r="AA799" s="12">
        <v>0</v>
      </c>
      <c r="AB799" s="12">
        <v>0</v>
      </c>
      <c r="AC799" s="12">
        <v>0</v>
      </c>
      <c r="AD799" s="12">
        <v>0</v>
      </c>
      <c r="AE799" s="12">
        <v>0</v>
      </c>
      <c r="AF799" s="12">
        <v>0</v>
      </c>
      <c r="AG799" s="12">
        <v>0</v>
      </c>
      <c r="AH799" s="12">
        <v>0</v>
      </c>
      <c r="AI799" s="12">
        <v>0</v>
      </c>
      <c r="AJ799" s="12">
        <v>0</v>
      </c>
      <c r="AK799" s="12">
        <v>0</v>
      </c>
      <c r="AL799" s="12">
        <v>0</v>
      </c>
      <c r="AM799" s="12"/>
      <c r="AN799" s="12">
        <v>0</v>
      </c>
      <c r="AO799" s="12">
        <v>0</v>
      </c>
      <c r="AP799" s="12">
        <v>0</v>
      </c>
      <c r="AQ799" s="12">
        <v>0</v>
      </c>
      <c r="AR799" s="12">
        <v>0</v>
      </c>
      <c r="AS799" s="12">
        <v>0</v>
      </c>
      <c r="AT799" s="12">
        <v>0</v>
      </c>
      <c r="AU799" s="12">
        <v>0</v>
      </c>
      <c r="AV799" s="12">
        <v>0</v>
      </c>
      <c r="AW799" s="12">
        <v>0</v>
      </c>
      <c r="AX799" s="12">
        <v>0</v>
      </c>
      <c r="AY799" s="12">
        <v>0</v>
      </c>
      <c r="AZ799"/>
      <c r="BA799"/>
      <c r="BB799" s="12">
        <v>0</v>
      </c>
      <c r="BC799" s="12">
        <v>0</v>
      </c>
      <c r="BD799" s="12">
        <v>0</v>
      </c>
      <c r="BE799" s="12">
        <v>0</v>
      </c>
      <c r="BF799" s="12">
        <v>0</v>
      </c>
      <c r="BI799" s="12">
        <v>0</v>
      </c>
      <c r="BJ799" s="12">
        <v>0</v>
      </c>
    </row>
    <row r="800" spans="1:62" x14ac:dyDescent="0.15">
      <c r="A800" s="12"/>
      <c r="B800" t="s">
        <v>2200</v>
      </c>
      <c r="C800" s="27" t="s">
        <v>2201</v>
      </c>
      <c r="D800" t="s">
        <v>6596</v>
      </c>
      <c r="E800" t="s">
        <v>2182</v>
      </c>
      <c r="F800"/>
      <c r="G800"/>
      <c r="H800"/>
      <c r="I800"/>
      <c r="J800"/>
      <c r="K800"/>
      <c r="L800" s="10">
        <v>3946800</v>
      </c>
      <c r="M800" s="10">
        <v>705960</v>
      </c>
      <c r="N800" s="12">
        <v>15</v>
      </c>
      <c r="O800" s="12" t="s">
        <v>6992</v>
      </c>
      <c r="P800" t="s">
        <v>2183</v>
      </c>
      <c r="R800"/>
      <c r="S800" t="s">
        <v>2184</v>
      </c>
      <c r="T800" s="12" t="s">
        <v>2185</v>
      </c>
      <c r="U800" s="12" t="s">
        <v>2186</v>
      </c>
      <c r="V800" s="12" t="s">
        <v>2187</v>
      </c>
      <c r="W800" s="12">
        <v>0</v>
      </c>
      <c r="X800" s="12">
        <v>1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2">
        <v>0</v>
      </c>
      <c r="AK800" s="12">
        <v>0</v>
      </c>
      <c r="AL800" s="12">
        <v>0</v>
      </c>
      <c r="AM800" s="12"/>
      <c r="AN800" s="12">
        <v>0</v>
      </c>
      <c r="AO800" s="12">
        <v>0</v>
      </c>
      <c r="AP800" s="12">
        <v>0</v>
      </c>
      <c r="AQ800" s="12">
        <v>0</v>
      </c>
      <c r="AR800" s="12">
        <v>0</v>
      </c>
      <c r="AS800" s="12">
        <v>0</v>
      </c>
      <c r="AT800" s="12">
        <v>0</v>
      </c>
      <c r="AU800" s="12">
        <v>0</v>
      </c>
      <c r="AV800" s="12">
        <v>0</v>
      </c>
      <c r="AW800" s="12">
        <v>0</v>
      </c>
      <c r="AX800" s="12">
        <v>0</v>
      </c>
      <c r="AY800" s="12">
        <v>0</v>
      </c>
      <c r="AZ800"/>
      <c r="BA800"/>
      <c r="BB800" s="12">
        <v>0</v>
      </c>
      <c r="BC800" s="12">
        <v>0</v>
      </c>
      <c r="BD800" s="12">
        <v>0</v>
      </c>
      <c r="BE800" s="12">
        <v>0</v>
      </c>
      <c r="BF800" s="12">
        <v>0</v>
      </c>
      <c r="BI800" s="12">
        <v>0</v>
      </c>
      <c r="BJ800" s="12">
        <v>0</v>
      </c>
    </row>
    <row r="801" spans="1:62" x14ac:dyDescent="0.15">
      <c r="A801" s="12"/>
      <c r="B801" t="s">
        <v>2202</v>
      </c>
      <c r="C801" t="s">
        <v>2202</v>
      </c>
      <c r="D801" t="s">
        <v>6596</v>
      </c>
      <c r="E801" t="s">
        <v>2182</v>
      </c>
      <c r="F801"/>
      <c r="G801"/>
      <c r="H801"/>
      <c r="I801"/>
      <c r="J801"/>
      <c r="K801"/>
      <c r="L801" s="10">
        <v>3935270</v>
      </c>
      <c r="M801" s="10">
        <v>699280</v>
      </c>
      <c r="N801" s="12">
        <v>15</v>
      </c>
      <c r="O801" s="12" t="s">
        <v>6992</v>
      </c>
      <c r="P801" t="s">
        <v>2183</v>
      </c>
      <c r="R801"/>
      <c r="S801" t="s">
        <v>2184</v>
      </c>
      <c r="T801" s="12" t="s">
        <v>2185</v>
      </c>
      <c r="U801" s="12" t="s">
        <v>2186</v>
      </c>
      <c r="V801" s="12" t="s">
        <v>2187</v>
      </c>
      <c r="W801" s="12">
        <v>0</v>
      </c>
      <c r="X801" s="12">
        <v>1</v>
      </c>
      <c r="Y801" s="12">
        <v>0</v>
      </c>
      <c r="Z801" s="12">
        <v>0</v>
      </c>
      <c r="AA801" s="12">
        <v>0</v>
      </c>
      <c r="AB801" s="12">
        <v>0</v>
      </c>
      <c r="AC801" s="12">
        <v>0</v>
      </c>
      <c r="AD801" s="12">
        <v>0</v>
      </c>
      <c r="AE801" s="12">
        <v>0</v>
      </c>
      <c r="AF801" s="12">
        <v>0</v>
      </c>
      <c r="AG801" s="12">
        <v>0</v>
      </c>
      <c r="AH801" s="12">
        <v>0</v>
      </c>
      <c r="AI801" s="12">
        <v>0</v>
      </c>
      <c r="AJ801" s="12">
        <v>0</v>
      </c>
      <c r="AK801" s="12">
        <v>0</v>
      </c>
      <c r="AL801" s="12">
        <v>0</v>
      </c>
      <c r="AM801" s="12"/>
      <c r="AN801" s="12">
        <v>0</v>
      </c>
      <c r="AO801" s="12">
        <v>0</v>
      </c>
      <c r="AP801" s="12">
        <v>0</v>
      </c>
      <c r="AQ801" s="12">
        <v>0</v>
      </c>
      <c r="AR801" s="12">
        <v>0</v>
      </c>
      <c r="AS801" s="12">
        <v>0</v>
      </c>
      <c r="AT801" s="12">
        <v>0</v>
      </c>
      <c r="AU801" s="12">
        <v>0</v>
      </c>
      <c r="AV801" s="12">
        <v>0</v>
      </c>
      <c r="AW801" s="12">
        <v>0</v>
      </c>
      <c r="AX801" s="12">
        <v>0</v>
      </c>
      <c r="AY801" s="12">
        <v>0</v>
      </c>
      <c r="AZ801"/>
      <c r="BA801"/>
      <c r="BB801" s="12">
        <v>0</v>
      </c>
      <c r="BC801" s="12">
        <v>0</v>
      </c>
      <c r="BD801" s="12">
        <v>0</v>
      </c>
      <c r="BE801" s="12">
        <v>0</v>
      </c>
      <c r="BF801" s="12">
        <v>0</v>
      </c>
      <c r="BI801" s="12">
        <v>0</v>
      </c>
      <c r="BJ801" s="12">
        <v>0</v>
      </c>
    </row>
    <row r="802" spans="1:62" x14ac:dyDescent="0.15">
      <c r="A802" s="12"/>
      <c r="B802" t="s">
        <v>2203</v>
      </c>
      <c r="C802" s="27" t="s">
        <v>2204</v>
      </c>
      <c r="D802" t="s">
        <v>6596</v>
      </c>
      <c r="E802" t="s">
        <v>2182</v>
      </c>
      <c r="F802"/>
      <c r="G802"/>
      <c r="H802"/>
      <c r="I802"/>
      <c r="J802"/>
      <c r="K802"/>
      <c r="L802" s="10">
        <v>3888820</v>
      </c>
      <c r="M802" s="10">
        <v>694050</v>
      </c>
      <c r="N802" s="12">
        <v>15</v>
      </c>
      <c r="O802" s="12" t="s">
        <v>6992</v>
      </c>
      <c r="P802" t="s">
        <v>2183</v>
      </c>
      <c r="R802"/>
      <c r="S802" t="s">
        <v>2184</v>
      </c>
      <c r="T802" s="12" t="s">
        <v>2185</v>
      </c>
      <c r="U802" s="12" t="s">
        <v>2186</v>
      </c>
      <c r="V802" s="12" t="s">
        <v>2187</v>
      </c>
      <c r="W802" s="12">
        <v>0</v>
      </c>
      <c r="X802" s="12">
        <v>1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2">
        <v>0</v>
      </c>
      <c r="AK802" s="12">
        <v>0</v>
      </c>
      <c r="AL802" s="12">
        <v>0</v>
      </c>
      <c r="AM802" s="12"/>
      <c r="AN802" s="12">
        <v>0</v>
      </c>
      <c r="AO802" s="12">
        <v>0</v>
      </c>
      <c r="AP802" s="12">
        <v>0</v>
      </c>
      <c r="AQ802" s="12">
        <v>0</v>
      </c>
      <c r="AR802" s="12">
        <v>0</v>
      </c>
      <c r="AS802" s="12">
        <v>0</v>
      </c>
      <c r="AT802" s="12">
        <v>0</v>
      </c>
      <c r="AU802" s="12">
        <v>0</v>
      </c>
      <c r="AV802" s="12">
        <v>0</v>
      </c>
      <c r="AW802" s="12">
        <v>0</v>
      </c>
      <c r="AX802" s="12">
        <v>0</v>
      </c>
      <c r="AY802" s="12">
        <v>0</v>
      </c>
      <c r="AZ802"/>
      <c r="BA802"/>
      <c r="BB802" s="12">
        <v>0</v>
      </c>
      <c r="BC802" s="12">
        <v>0</v>
      </c>
      <c r="BD802" s="12">
        <v>0</v>
      </c>
      <c r="BE802" s="12">
        <v>0</v>
      </c>
      <c r="BF802" s="12">
        <v>0</v>
      </c>
      <c r="BI802" s="12">
        <v>0</v>
      </c>
      <c r="BJ802" s="12">
        <v>0</v>
      </c>
    </row>
    <row r="803" spans="1:62" x14ac:dyDescent="0.15">
      <c r="A803" s="12"/>
      <c r="B803" t="s">
        <v>2205</v>
      </c>
      <c r="C803" s="27" t="s">
        <v>2206</v>
      </c>
      <c r="D803" t="s">
        <v>6596</v>
      </c>
      <c r="E803" t="s">
        <v>2182</v>
      </c>
      <c r="F803"/>
      <c r="G803"/>
      <c r="H803"/>
      <c r="I803"/>
      <c r="J803"/>
      <c r="K803"/>
      <c r="L803" s="10">
        <v>3961600</v>
      </c>
      <c r="M803" s="10">
        <v>726850</v>
      </c>
      <c r="N803" s="12">
        <v>15</v>
      </c>
      <c r="O803" s="12" t="s">
        <v>6992</v>
      </c>
      <c r="P803" t="s">
        <v>2183</v>
      </c>
      <c r="R803"/>
      <c r="S803" t="s">
        <v>2184</v>
      </c>
      <c r="T803" s="12" t="s">
        <v>2185</v>
      </c>
      <c r="U803" s="12" t="s">
        <v>2186</v>
      </c>
      <c r="V803" s="12" t="s">
        <v>2187</v>
      </c>
      <c r="W803" s="12">
        <v>0</v>
      </c>
      <c r="X803" s="12">
        <v>1</v>
      </c>
      <c r="Y803" s="12">
        <v>0</v>
      </c>
      <c r="Z803" s="12">
        <v>0</v>
      </c>
      <c r="AA803" s="12">
        <v>0</v>
      </c>
      <c r="AB803" s="12">
        <v>0</v>
      </c>
      <c r="AC803" s="12">
        <v>0</v>
      </c>
      <c r="AD803" s="12">
        <v>0</v>
      </c>
      <c r="AE803" s="12">
        <v>0</v>
      </c>
      <c r="AF803" s="12">
        <v>0</v>
      </c>
      <c r="AG803" s="12">
        <v>0</v>
      </c>
      <c r="AH803" s="12">
        <v>0</v>
      </c>
      <c r="AI803" s="12">
        <v>0</v>
      </c>
      <c r="AJ803" s="12">
        <v>0</v>
      </c>
      <c r="AK803" s="12">
        <v>0</v>
      </c>
      <c r="AL803" s="12">
        <v>0</v>
      </c>
      <c r="AM803" s="12"/>
      <c r="AN803" s="12">
        <v>0</v>
      </c>
      <c r="AO803" s="12">
        <v>0</v>
      </c>
      <c r="AP803" s="12">
        <v>0</v>
      </c>
      <c r="AQ803" s="12">
        <v>0</v>
      </c>
      <c r="AR803" s="12">
        <v>0</v>
      </c>
      <c r="AS803" s="12">
        <v>0</v>
      </c>
      <c r="AT803" s="12">
        <v>0</v>
      </c>
      <c r="AU803" s="12">
        <v>0</v>
      </c>
      <c r="AV803" s="12">
        <v>0</v>
      </c>
      <c r="AW803" s="12">
        <v>0</v>
      </c>
      <c r="AX803" s="12">
        <v>0</v>
      </c>
      <c r="AY803" s="12">
        <v>0</v>
      </c>
      <c r="AZ803"/>
      <c r="BA803"/>
      <c r="BB803" s="12">
        <v>0</v>
      </c>
      <c r="BC803" s="12">
        <v>0</v>
      </c>
      <c r="BD803" s="12">
        <v>0</v>
      </c>
      <c r="BE803" s="12">
        <v>0</v>
      </c>
      <c r="BF803" s="12">
        <v>0</v>
      </c>
      <c r="BI803" s="12">
        <v>0</v>
      </c>
      <c r="BJ803" s="12">
        <v>0</v>
      </c>
    </row>
    <row r="804" spans="1:62" x14ac:dyDescent="0.15">
      <c r="A804" s="12"/>
      <c r="B804" t="s">
        <v>2207</v>
      </c>
      <c r="C804" s="27" t="s">
        <v>2208</v>
      </c>
      <c r="D804" t="s">
        <v>6596</v>
      </c>
      <c r="E804" t="s">
        <v>2182</v>
      </c>
      <c r="F804"/>
      <c r="G804"/>
      <c r="H804"/>
      <c r="I804"/>
      <c r="J804"/>
      <c r="K804"/>
      <c r="L804" s="10">
        <v>3964780</v>
      </c>
      <c r="M804" s="10">
        <v>713600</v>
      </c>
      <c r="N804" s="12">
        <v>15</v>
      </c>
      <c r="O804" s="12" t="s">
        <v>6992</v>
      </c>
      <c r="P804" t="s">
        <v>2183</v>
      </c>
      <c r="R804"/>
      <c r="S804" t="s">
        <v>2184</v>
      </c>
      <c r="T804" s="12" t="s">
        <v>2185</v>
      </c>
      <c r="U804" s="12" t="s">
        <v>2186</v>
      </c>
      <c r="V804" s="12" t="s">
        <v>2187</v>
      </c>
      <c r="W804" s="12">
        <v>0</v>
      </c>
      <c r="X804" s="12">
        <v>1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2">
        <v>0</v>
      </c>
      <c r="AK804" s="12">
        <v>0</v>
      </c>
      <c r="AL804" s="12">
        <v>0</v>
      </c>
      <c r="AM804" s="12"/>
      <c r="AN804" s="12">
        <v>0</v>
      </c>
      <c r="AO804" s="12">
        <v>0</v>
      </c>
      <c r="AP804" s="12">
        <v>0</v>
      </c>
      <c r="AQ804" s="12">
        <v>0</v>
      </c>
      <c r="AR804" s="12">
        <v>0</v>
      </c>
      <c r="AS804" s="12">
        <v>0</v>
      </c>
      <c r="AT804" s="12">
        <v>0</v>
      </c>
      <c r="AU804" s="12">
        <v>0</v>
      </c>
      <c r="AV804" s="12">
        <v>0</v>
      </c>
      <c r="AW804" s="12">
        <v>0</v>
      </c>
      <c r="AX804" s="12">
        <v>0</v>
      </c>
      <c r="AY804" s="12">
        <v>0</v>
      </c>
      <c r="AZ804"/>
      <c r="BA804"/>
      <c r="BB804" s="12">
        <v>0</v>
      </c>
      <c r="BC804" s="12">
        <v>0</v>
      </c>
      <c r="BD804" s="12">
        <v>0</v>
      </c>
      <c r="BE804" s="12">
        <v>0</v>
      </c>
      <c r="BF804" s="12">
        <v>0</v>
      </c>
      <c r="BI804" s="12">
        <v>0</v>
      </c>
      <c r="BJ804" s="12">
        <v>0</v>
      </c>
    </row>
    <row r="805" spans="1:62" x14ac:dyDescent="0.15">
      <c r="A805" s="12"/>
      <c r="B805" t="s">
        <v>2209</v>
      </c>
      <c r="C805" t="s">
        <v>2209</v>
      </c>
      <c r="D805" t="s">
        <v>6596</v>
      </c>
      <c r="E805" t="s">
        <v>2182</v>
      </c>
      <c r="F805"/>
      <c r="G805"/>
      <c r="H805"/>
      <c r="I805"/>
      <c r="J805"/>
      <c r="K805"/>
      <c r="L805" s="10">
        <v>3962230</v>
      </c>
      <c r="M805" s="10">
        <v>717350</v>
      </c>
      <c r="N805" s="12">
        <v>15</v>
      </c>
      <c r="O805" s="12" t="s">
        <v>6992</v>
      </c>
      <c r="P805" t="s">
        <v>2183</v>
      </c>
      <c r="R805"/>
      <c r="S805" t="s">
        <v>2184</v>
      </c>
      <c r="T805" s="12" t="s">
        <v>2185</v>
      </c>
      <c r="U805" s="12" t="s">
        <v>2186</v>
      </c>
      <c r="V805" s="12" t="s">
        <v>2187</v>
      </c>
      <c r="W805" s="12">
        <v>0</v>
      </c>
      <c r="X805" s="12">
        <v>1</v>
      </c>
      <c r="Y805" s="12">
        <v>0</v>
      </c>
      <c r="Z805" s="12">
        <v>0</v>
      </c>
      <c r="AA805" s="12">
        <v>0</v>
      </c>
      <c r="AB805" s="12">
        <v>0</v>
      </c>
      <c r="AC805" s="12">
        <v>0</v>
      </c>
      <c r="AD805" s="12">
        <v>0</v>
      </c>
      <c r="AE805" s="12">
        <v>0</v>
      </c>
      <c r="AF805" s="12">
        <v>0</v>
      </c>
      <c r="AG805" s="12">
        <v>0</v>
      </c>
      <c r="AH805" s="12">
        <v>0</v>
      </c>
      <c r="AI805" s="12">
        <v>0</v>
      </c>
      <c r="AJ805" s="12">
        <v>0</v>
      </c>
      <c r="AK805" s="12">
        <v>0</v>
      </c>
      <c r="AL805" s="12">
        <v>0</v>
      </c>
      <c r="AM805" s="12"/>
      <c r="AN805" s="12">
        <v>0</v>
      </c>
      <c r="AO805" s="12">
        <v>0</v>
      </c>
      <c r="AP805" s="12">
        <v>0</v>
      </c>
      <c r="AQ805" s="12">
        <v>0</v>
      </c>
      <c r="AR805" s="12">
        <v>0</v>
      </c>
      <c r="AS805" s="12">
        <v>0</v>
      </c>
      <c r="AT805" s="12">
        <v>0</v>
      </c>
      <c r="AU805" s="12">
        <v>0</v>
      </c>
      <c r="AV805" s="12">
        <v>0</v>
      </c>
      <c r="AW805" s="12">
        <v>0</v>
      </c>
      <c r="AX805" s="12">
        <v>0</v>
      </c>
      <c r="AY805" s="12">
        <v>0</v>
      </c>
      <c r="AZ805"/>
      <c r="BA805"/>
      <c r="BB805" s="12">
        <v>0</v>
      </c>
      <c r="BC805" s="12">
        <v>0</v>
      </c>
      <c r="BD805" s="12">
        <v>0</v>
      </c>
      <c r="BE805" s="12">
        <v>0</v>
      </c>
      <c r="BF805" s="12">
        <v>0</v>
      </c>
      <c r="BI805" s="12">
        <v>0</v>
      </c>
      <c r="BJ805" s="12">
        <v>0</v>
      </c>
    </row>
    <row r="806" spans="1:62" x14ac:dyDescent="0.15">
      <c r="A806" s="12"/>
      <c r="B806" t="s">
        <v>2210</v>
      </c>
      <c r="C806" s="27" t="s">
        <v>2211</v>
      </c>
      <c r="D806" t="s">
        <v>6596</v>
      </c>
      <c r="E806" t="s">
        <v>2182</v>
      </c>
      <c r="F806"/>
      <c r="G806"/>
      <c r="H806"/>
      <c r="I806"/>
      <c r="J806"/>
      <c r="K806"/>
      <c r="L806" s="10">
        <v>3955080</v>
      </c>
      <c r="M806" s="10">
        <v>717400</v>
      </c>
      <c r="N806" s="12">
        <v>15</v>
      </c>
      <c r="O806" s="12" t="s">
        <v>6992</v>
      </c>
      <c r="P806" t="s">
        <v>2183</v>
      </c>
      <c r="R806"/>
      <c r="S806" t="s">
        <v>2184</v>
      </c>
      <c r="T806" s="12" t="s">
        <v>2185</v>
      </c>
      <c r="U806" s="12" t="s">
        <v>2186</v>
      </c>
      <c r="V806" s="12" t="s">
        <v>2187</v>
      </c>
      <c r="W806" s="12">
        <v>0</v>
      </c>
      <c r="X806" s="12">
        <v>1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2">
        <v>0</v>
      </c>
      <c r="AK806" s="12">
        <v>0</v>
      </c>
      <c r="AL806" s="12">
        <v>0</v>
      </c>
      <c r="AM806" s="12"/>
      <c r="AN806" s="12">
        <v>0</v>
      </c>
      <c r="AO806" s="12">
        <v>0</v>
      </c>
      <c r="AP806" s="12">
        <v>0</v>
      </c>
      <c r="AQ806" s="12">
        <v>0</v>
      </c>
      <c r="AR806" s="12">
        <v>0</v>
      </c>
      <c r="AS806" s="12">
        <v>0</v>
      </c>
      <c r="AT806" s="12">
        <v>0</v>
      </c>
      <c r="AU806" s="12">
        <v>0</v>
      </c>
      <c r="AV806" s="12">
        <v>0</v>
      </c>
      <c r="AW806" s="12">
        <v>0</v>
      </c>
      <c r="AX806" s="12">
        <v>0</v>
      </c>
      <c r="AY806" s="12">
        <v>0</v>
      </c>
      <c r="AZ806"/>
      <c r="BA806"/>
      <c r="BB806" s="12">
        <v>0</v>
      </c>
      <c r="BC806" s="12">
        <v>0</v>
      </c>
      <c r="BD806" s="12">
        <v>0</v>
      </c>
      <c r="BE806" s="12">
        <v>0</v>
      </c>
      <c r="BF806" s="12">
        <v>0</v>
      </c>
      <c r="BI806" s="12">
        <v>0</v>
      </c>
      <c r="BJ806" s="12">
        <v>0</v>
      </c>
    </row>
    <row r="807" spans="1:62" x14ac:dyDescent="0.15">
      <c r="A807" s="12"/>
      <c r="B807" t="s">
        <v>2212</v>
      </c>
      <c r="C807" s="27" t="s">
        <v>2213</v>
      </c>
      <c r="D807" t="s">
        <v>6596</v>
      </c>
      <c r="E807" t="s">
        <v>2182</v>
      </c>
      <c r="F807"/>
      <c r="G807"/>
      <c r="H807"/>
      <c r="I807"/>
      <c r="J807"/>
      <c r="K807"/>
      <c r="L807" s="10">
        <v>3668330</v>
      </c>
      <c r="M807" s="10">
        <v>664500</v>
      </c>
      <c r="N807" s="12">
        <v>15</v>
      </c>
      <c r="O807" s="12" t="s">
        <v>6992</v>
      </c>
      <c r="P807" t="s">
        <v>2183</v>
      </c>
      <c r="R807"/>
      <c r="S807" t="s">
        <v>2184</v>
      </c>
      <c r="T807" s="12" t="s">
        <v>2185</v>
      </c>
      <c r="U807" s="12" t="s">
        <v>2186</v>
      </c>
      <c r="V807" s="12" t="s">
        <v>2187</v>
      </c>
      <c r="W807" s="12">
        <v>0</v>
      </c>
      <c r="X807" s="12">
        <v>1</v>
      </c>
      <c r="Y807" s="12">
        <v>0</v>
      </c>
      <c r="Z807" s="12">
        <v>0</v>
      </c>
      <c r="AA807" s="12">
        <v>0</v>
      </c>
      <c r="AB807" s="12">
        <v>0</v>
      </c>
      <c r="AC807" s="12">
        <v>0</v>
      </c>
      <c r="AD807" s="12">
        <v>0</v>
      </c>
      <c r="AE807" s="12">
        <v>0</v>
      </c>
      <c r="AF807" s="12">
        <v>0</v>
      </c>
      <c r="AG807" s="12">
        <v>0</v>
      </c>
      <c r="AH807" s="12">
        <v>0</v>
      </c>
      <c r="AI807" s="12">
        <v>0</v>
      </c>
      <c r="AJ807" s="12">
        <v>0</v>
      </c>
      <c r="AK807" s="12">
        <v>0</v>
      </c>
      <c r="AL807" s="12">
        <v>0</v>
      </c>
      <c r="AM807" s="12"/>
      <c r="AN807" s="12">
        <v>0</v>
      </c>
      <c r="AO807" s="12">
        <v>0</v>
      </c>
      <c r="AP807" s="12">
        <v>0</v>
      </c>
      <c r="AQ807" s="12">
        <v>0</v>
      </c>
      <c r="AR807" s="12">
        <v>0</v>
      </c>
      <c r="AS807" s="12">
        <v>0</v>
      </c>
      <c r="AT807" s="12">
        <v>0</v>
      </c>
      <c r="AU807" s="12">
        <v>0</v>
      </c>
      <c r="AV807" s="12">
        <v>0</v>
      </c>
      <c r="AW807" s="12">
        <v>0</v>
      </c>
      <c r="AX807" s="12">
        <v>0</v>
      </c>
      <c r="AY807" s="12">
        <v>0</v>
      </c>
      <c r="AZ807"/>
      <c r="BA807"/>
      <c r="BB807" s="12">
        <v>0</v>
      </c>
      <c r="BC807" s="12">
        <v>0</v>
      </c>
      <c r="BD807" s="12">
        <v>0</v>
      </c>
      <c r="BE807" s="12">
        <v>0</v>
      </c>
      <c r="BF807" s="12">
        <v>0</v>
      </c>
      <c r="BI807" s="12">
        <v>0</v>
      </c>
      <c r="BJ807" s="12">
        <v>0</v>
      </c>
    </row>
    <row r="808" spans="1:62" x14ac:dyDescent="0.15">
      <c r="A808" s="12"/>
      <c r="B808" t="s">
        <v>2214</v>
      </c>
      <c r="C808" s="27" t="s">
        <v>2215</v>
      </c>
      <c r="D808" t="s">
        <v>6596</v>
      </c>
      <c r="E808" t="s">
        <v>2182</v>
      </c>
      <c r="F808"/>
      <c r="G808"/>
      <c r="H808"/>
      <c r="I808"/>
      <c r="J808"/>
      <c r="K808"/>
      <c r="L808" s="10">
        <v>3666670</v>
      </c>
      <c r="M808" s="10">
        <v>654170</v>
      </c>
      <c r="N808" s="12">
        <v>15</v>
      </c>
      <c r="O808" s="12" t="s">
        <v>6992</v>
      </c>
      <c r="P808" t="s">
        <v>2183</v>
      </c>
      <c r="R808"/>
      <c r="S808" t="s">
        <v>2184</v>
      </c>
      <c r="T808" s="12" t="s">
        <v>2185</v>
      </c>
      <c r="U808" s="12" t="s">
        <v>2186</v>
      </c>
      <c r="V808" s="12" t="s">
        <v>2187</v>
      </c>
      <c r="W808" s="12">
        <v>0</v>
      </c>
      <c r="X808" s="12">
        <v>1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2">
        <v>0</v>
      </c>
      <c r="AK808" s="12">
        <v>0</v>
      </c>
      <c r="AL808" s="12">
        <v>0</v>
      </c>
      <c r="AM808" s="12"/>
      <c r="AN808" s="12">
        <v>0</v>
      </c>
      <c r="AO808" s="12">
        <v>0</v>
      </c>
      <c r="AP808" s="12">
        <v>0</v>
      </c>
      <c r="AQ808" s="12">
        <v>0</v>
      </c>
      <c r="AR808" s="12">
        <v>0</v>
      </c>
      <c r="AS808" s="12">
        <v>0</v>
      </c>
      <c r="AT808" s="12">
        <v>0</v>
      </c>
      <c r="AU808" s="12">
        <v>0</v>
      </c>
      <c r="AV808" s="12">
        <v>0</v>
      </c>
      <c r="AW808" s="12">
        <v>0</v>
      </c>
      <c r="AX808" s="12">
        <v>0</v>
      </c>
      <c r="AY808" s="12">
        <v>0</v>
      </c>
      <c r="AZ808"/>
      <c r="BA808"/>
      <c r="BB808" s="12">
        <v>0</v>
      </c>
      <c r="BC808" s="12">
        <v>0</v>
      </c>
      <c r="BD808" s="12">
        <v>0</v>
      </c>
      <c r="BE808" s="12">
        <v>0</v>
      </c>
      <c r="BF808" s="12">
        <v>0</v>
      </c>
      <c r="BI808" s="12">
        <v>0</v>
      </c>
      <c r="BJ808" s="12">
        <v>0</v>
      </c>
    </row>
    <row r="809" spans="1:62" x14ac:dyDescent="0.15">
      <c r="A809" s="12"/>
      <c r="B809" t="s">
        <v>2216</v>
      </c>
      <c r="C809" s="27" t="s">
        <v>2217</v>
      </c>
      <c r="D809" t="s">
        <v>6596</v>
      </c>
      <c r="E809" t="s">
        <v>2182</v>
      </c>
      <c r="F809"/>
      <c r="G809"/>
      <c r="H809"/>
      <c r="I809"/>
      <c r="J809"/>
      <c r="K809"/>
      <c r="L809" s="10">
        <v>3921430</v>
      </c>
      <c r="M809" s="10">
        <v>697680</v>
      </c>
      <c r="N809" s="12">
        <v>15</v>
      </c>
      <c r="O809" s="12" t="s">
        <v>6992</v>
      </c>
      <c r="P809" t="s">
        <v>2183</v>
      </c>
      <c r="R809"/>
      <c r="S809" t="s">
        <v>2184</v>
      </c>
      <c r="T809" s="12" t="s">
        <v>2185</v>
      </c>
      <c r="U809" s="12" t="s">
        <v>2186</v>
      </c>
      <c r="V809" s="12" t="s">
        <v>2187</v>
      </c>
      <c r="W809" s="12">
        <v>0</v>
      </c>
      <c r="X809" s="12">
        <v>1</v>
      </c>
      <c r="Y809" s="12">
        <v>0</v>
      </c>
      <c r="Z809" s="12">
        <v>0</v>
      </c>
      <c r="AA809" s="12">
        <v>0</v>
      </c>
      <c r="AB809" s="12">
        <v>0</v>
      </c>
      <c r="AC809" s="12">
        <v>0</v>
      </c>
      <c r="AD809" s="12">
        <v>0</v>
      </c>
      <c r="AE809" s="12">
        <v>0</v>
      </c>
      <c r="AF809" s="12">
        <v>0</v>
      </c>
      <c r="AG809" s="12">
        <v>0</v>
      </c>
      <c r="AH809" s="12">
        <v>0</v>
      </c>
      <c r="AI809" s="12">
        <v>0</v>
      </c>
      <c r="AJ809" s="12">
        <v>0</v>
      </c>
      <c r="AK809" s="12">
        <v>0</v>
      </c>
      <c r="AL809" s="12">
        <v>0</v>
      </c>
      <c r="AM809" s="12"/>
      <c r="AN809" s="12">
        <v>0</v>
      </c>
      <c r="AO809" s="12">
        <v>0</v>
      </c>
      <c r="AP809" s="12">
        <v>0</v>
      </c>
      <c r="AQ809" s="12">
        <v>0</v>
      </c>
      <c r="AR809" s="12">
        <v>0</v>
      </c>
      <c r="AS809" s="12">
        <v>0</v>
      </c>
      <c r="AT809" s="12">
        <v>0</v>
      </c>
      <c r="AU809" s="12">
        <v>0</v>
      </c>
      <c r="AV809" s="12">
        <v>0</v>
      </c>
      <c r="AW809" s="12">
        <v>0</v>
      </c>
      <c r="AX809" s="12">
        <v>0</v>
      </c>
      <c r="AY809" s="12">
        <v>0</v>
      </c>
      <c r="AZ809"/>
      <c r="BA809"/>
      <c r="BB809" s="12">
        <v>0</v>
      </c>
      <c r="BC809" s="12">
        <v>0</v>
      </c>
      <c r="BD809" s="12">
        <v>0</v>
      </c>
      <c r="BE809" s="12">
        <v>0</v>
      </c>
      <c r="BF809" s="12">
        <v>0</v>
      </c>
      <c r="BI809" s="12">
        <v>0</v>
      </c>
      <c r="BJ809" s="12">
        <v>0</v>
      </c>
    </row>
    <row r="810" spans="1:62" x14ac:dyDescent="0.15">
      <c r="A810" s="12"/>
      <c r="B810" t="s">
        <v>2218</v>
      </c>
      <c r="C810" s="27" t="s">
        <v>2219</v>
      </c>
      <c r="D810" t="s">
        <v>6596</v>
      </c>
      <c r="E810" t="s">
        <v>2182</v>
      </c>
      <c r="F810"/>
      <c r="G810"/>
      <c r="H810"/>
      <c r="I810"/>
      <c r="J810"/>
      <c r="K810"/>
      <c r="L810" s="10">
        <v>3907600</v>
      </c>
      <c r="M810" s="10">
        <v>691160</v>
      </c>
      <c r="N810" s="12">
        <v>15</v>
      </c>
      <c r="O810" s="12" t="s">
        <v>6992</v>
      </c>
      <c r="P810" t="s">
        <v>2183</v>
      </c>
      <c r="R810"/>
      <c r="S810" t="s">
        <v>2184</v>
      </c>
      <c r="T810" s="12" t="s">
        <v>2185</v>
      </c>
      <c r="U810" s="12" t="s">
        <v>2186</v>
      </c>
      <c r="V810" s="12" t="s">
        <v>2187</v>
      </c>
      <c r="W810" s="12">
        <v>0</v>
      </c>
      <c r="X810" s="12">
        <v>1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2">
        <v>0</v>
      </c>
      <c r="AK810" s="12">
        <v>0</v>
      </c>
      <c r="AL810" s="12">
        <v>0</v>
      </c>
      <c r="AM810" s="12"/>
      <c r="AN810" s="12">
        <v>0</v>
      </c>
      <c r="AO810" s="12">
        <v>0</v>
      </c>
      <c r="AP810" s="12">
        <v>0</v>
      </c>
      <c r="AQ810" s="12">
        <v>0</v>
      </c>
      <c r="AR810" s="12">
        <v>0</v>
      </c>
      <c r="AS810" s="12">
        <v>0</v>
      </c>
      <c r="AT810" s="12">
        <v>0</v>
      </c>
      <c r="AU810" s="12">
        <v>0</v>
      </c>
      <c r="AV810" s="12">
        <v>0</v>
      </c>
      <c r="AW810" s="12">
        <v>0</v>
      </c>
      <c r="AX810" s="12">
        <v>0</v>
      </c>
      <c r="AY810" s="12">
        <v>0</v>
      </c>
      <c r="AZ810"/>
      <c r="BA810"/>
      <c r="BB810" s="12">
        <v>0</v>
      </c>
      <c r="BC810" s="12">
        <v>0</v>
      </c>
      <c r="BD810" s="12">
        <v>0</v>
      </c>
      <c r="BE810" s="12">
        <v>0</v>
      </c>
      <c r="BF810" s="12">
        <v>0</v>
      </c>
      <c r="BI810" s="12">
        <v>0</v>
      </c>
      <c r="BJ810" s="12">
        <v>0</v>
      </c>
    </row>
    <row r="811" spans="1:62" x14ac:dyDescent="0.15">
      <c r="A811" s="12"/>
      <c r="B811" t="s">
        <v>2220</v>
      </c>
      <c r="C811" s="27" t="s">
        <v>2221</v>
      </c>
      <c r="D811" t="s">
        <v>6596</v>
      </c>
      <c r="E811" t="s">
        <v>2182</v>
      </c>
      <c r="F811"/>
      <c r="G811"/>
      <c r="H811"/>
      <c r="I811"/>
      <c r="J811"/>
      <c r="K811"/>
      <c r="L811" s="10">
        <v>3829220</v>
      </c>
      <c r="M811" s="10">
        <v>715090</v>
      </c>
      <c r="N811" s="12">
        <v>15</v>
      </c>
      <c r="O811" s="12" t="s">
        <v>6992</v>
      </c>
      <c r="P811" t="s">
        <v>2183</v>
      </c>
      <c r="R811"/>
      <c r="S811" t="s">
        <v>2184</v>
      </c>
      <c r="T811" s="12" t="s">
        <v>2185</v>
      </c>
      <c r="U811" s="12" t="s">
        <v>2186</v>
      </c>
      <c r="V811" s="12" t="s">
        <v>2187</v>
      </c>
      <c r="W811" s="12">
        <v>0</v>
      </c>
      <c r="X811" s="12">
        <v>1</v>
      </c>
      <c r="Y811" s="12">
        <v>0</v>
      </c>
      <c r="Z811" s="12">
        <v>0</v>
      </c>
      <c r="AA811" s="12">
        <v>0</v>
      </c>
      <c r="AB811" s="12">
        <v>0</v>
      </c>
      <c r="AC811" s="12">
        <v>0</v>
      </c>
      <c r="AD811" s="12">
        <v>0</v>
      </c>
      <c r="AE811" s="12">
        <v>0</v>
      </c>
      <c r="AF811" s="12">
        <v>0</v>
      </c>
      <c r="AG811" s="12">
        <v>0</v>
      </c>
      <c r="AH811" s="12">
        <v>0</v>
      </c>
      <c r="AI811" s="12">
        <v>0</v>
      </c>
      <c r="AJ811" s="12">
        <v>0</v>
      </c>
      <c r="AK811" s="12">
        <v>0</v>
      </c>
      <c r="AL811" s="12">
        <v>0</v>
      </c>
      <c r="AM811" s="12"/>
      <c r="AN811" s="12">
        <v>0</v>
      </c>
      <c r="AO811" s="12">
        <v>0</v>
      </c>
      <c r="AP811" s="12">
        <v>0</v>
      </c>
      <c r="AQ811" s="12">
        <v>0</v>
      </c>
      <c r="AR811" s="12">
        <v>0</v>
      </c>
      <c r="AS811" s="12">
        <v>0</v>
      </c>
      <c r="AT811" s="12">
        <v>0</v>
      </c>
      <c r="AU811" s="12">
        <v>0</v>
      </c>
      <c r="AV811" s="12">
        <v>0</v>
      </c>
      <c r="AW811" s="12">
        <v>0</v>
      </c>
      <c r="AX811" s="12">
        <v>0</v>
      </c>
      <c r="AY811" s="12">
        <v>0</v>
      </c>
      <c r="AZ811"/>
      <c r="BA811"/>
      <c r="BB811" s="12">
        <v>0</v>
      </c>
      <c r="BC811" s="12">
        <v>0</v>
      </c>
      <c r="BD811" s="12">
        <v>0</v>
      </c>
      <c r="BE811" s="12">
        <v>0</v>
      </c>
      <c r="BF811" s="12">
        <v>0</v>
      </c>
      <c r="BI811" s="12">
        <v>0</v>
      </c>
      <c r="BJ811" s="12">
        <v>0</v>
      </c>
    </row>
    <row r="812" spans="1:62" x14ac:dyDescent="0.15">
      <c r="A812" s="12"/>
      <c r="B812" t="s">
        <v>2222</v>
      </c>
      <c r="C812" s="27" t="s">
        <v>2223</v>
      </c>
      <c r="D812" t="s">
        <v>6596</v>
      </c>
      <c r="E812" t="s">
        <v>2182</v>
      </c>
      <c r="F812"/>
      <c r="G812"/>
      <c r="H812"/>
      <c r="I812"/>
      <c r="J812"/>
      <c r="K812"/>
      <c r="L812" s="10">
        <v>3935260</v>
      </c>
      <c r="M812" s="10">
        <v>690600</v>
      </c>
      <c r="N812" s="12">
        <v>15</v>
      </c>
      <c r="O812" s="12" t="s">
        <v>6992</v>
      </c>
      <c r="P812" t="s">
        <v>2183</v>
      </c>
      <c r="R812"/>
      <c r="S812" t="s">
        <v>2184</v>
      </c>
      <c r="T812" s="12" t="s">
        <v>2185</v>
      </c>
      <c r="U812" s="12" t="s">
        <v>2186</v>
      </c>
      <c r="V812" s="12" t="s">
        <v>2187</v>
      </c>
      <c r="W812" s="12">
        <v>0</v>
      </c>
      <c r="X812" s="12">
        <v>1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2">
        <v>0</v>
      </c>
      <c r="AK812" s="12">
        <v>0</v>
      </c>
      <c r="AL812" s="12">
        <v>0</v>
      </c>
      <c r="AM812" s="12"/>
      <c r="AN812" s="12">
        <v>0</v>
      </c>
      <c r="AO812" s="12">
        <v>0</v>
      </c>
      <c r="AP812" s="12">
        <v>0</v>
      </c>
      <c r="AQ812" s="12">
        <v>0</v>
      </c>
      <c r="AR812" s="12">
        <v>0</v>
      </c>
      <c r="AS812" s="12">
        <v>0</v>
      </c>
      <c r="AT812" s="12">
        <v>0</v>
      </c>
      <c r="AU812" s="12">
        <v>0</v>
      </c>
      <c r="AV812" s="12">
        <v>0</v>
      </c>
      <c r="AW812" s="12">
        <v>0</v>
      </c>
      <c r="AX812" s="12">
        <v>0</v>
      </c>
      <c r="AY812" s="12">
        <v>0</v>
      </c>
      <c r="AZ812"/>
      <c r="BA812"/>
      <c r="BB812" s="12">
        <v>0</v>
      </c>
      <c r="BC812" s="12">
        <v>0</v>
      </c>
      <c r="BD812" s="12">
        <v>0</v>
      </c>
      <c r="BE812" s="12">
        <v>0</v>
      </c>
      <c r="BF812" s="12">
        <v>0</v>
      </c>
      <c r="BI812" s="12">
        <v>0</v>
      </c>
      <c r="BJ812" s="12">
        <v>0</v>
      </c>
    </row>
    <row r="813" spans="1:62" x14ac:dyDescent="0.15">
      <c r="A813" s="12"/>
      <c r="B813" t="s">
        <v>2224</v>
      </c>
      <c r="C813" s="27" t="s">
        <v>2225</v>
      </c>
      <c r="D813" t="s">
        <v>6596</v>
      </c>
      <c r="E813" t="s">
        <v>2182</v>
      </c>
      <c r="F813"/>
      <c r="G813"/>
      <c r="H813"/>
      <c r="I813"/>
      <c r="J813"/>
      <c r="K813"/>
      <c r="L813" s="10">
        <v>3932400</v>
      </c>
      <c r="M813" s="10">
        <v>699680</v>
      </c>
      <c r="N813" s="12">
        <v>15</v>
      </c>
      <c r="O813" s="12" t="s">
        <v>6992</v>
      </c>
      <c r="P813" t="s">
        <v>2183</v>
      </c>
      <c r="R813"/>
      <c r="S813" t="s">
        <v>2184</v>
      </c>
      <c r="T813" s="12" t="s">
        <v>2185</v>
      </c>
      <c r="U813" s="12" t="s">
        <v>2186</v>
      </c>
      <c r="V813" s="12" t="s">
        <v>2187</v>
      </c>
      <c r="W813" s="12">
        <v>0</v>
      </c>
      <c r="X813" s="12">
        <v>1</v>
      </c>
      <c r="Y813" s="12">
        <v>0</v>
      </c>
      <c r="Z813" s="12">
        <v>0</v>
      </c>
      <c r="AA813" s="12">
        <v>0</v>
      </c>
      <c r="AB813" s="12">
        <v>0</v>
      </c>
      <c r="AC813" s="12">
        <v>0</v>
      </c>
      <c r="AD813" s="12">
        <v>0</v>
      </c>
      <c r="AE813" s="12">
        <v>0</v>
      </c>
      <c r="AF813" s="12">
        <v>0</v>
      </c>
      <c r="AG813" s="12">
        <v>0</v>
      </c>
      <c r="AH813" s="12">
        <v>0</v>
      </c>
      <c r="AI813" s="12">
        <v>0</v>
      </c>
      <c r="AJ813" s="12">
        <v>0</v>
      </c>
      <c r="AK813" s="12">
        <v>0</v>
      </c>
      <c r="AL813" s="12">
        <v>0</v>
      </c>
      <c r="AM813" s="12"/>
      <c r="AN813" s="12">
        <v>0</v>
      </c>
      <c r="AO813" s="12">
        <v>0</v>
      </c>
      <c r="AP813" s="12">
        <v>0</v>
      </c>
      <c r="AQ813" s="12">
        <v>0</v>
      </c>
      <c r="AR813" s="12">
        <v>0</v>
      </c>
      <c r="AS813" s="12">
        <v>0</v>
      </c>
      <c r="AT813" s="12">
        <v>0</v>
      </c>
      <c r="AU813" s="12">
        <v>0</v>
      </c>
      <c r="AV813" s="12">
        <v>0</v>
      </c>
      <c r="AW813" s="12">
        <v>0</v>
      </c>
      <c r="AX813" s="12">
        <v>0</v>
      </c>
      <c r="AY813" s="12">
        <v>0</v>
      </c>
      <c r="AZ813"/>
      <c r="BA813"/>
      <c r="BB813" s="12">
        <v>0</v>
      </c>
      <c r="BC813" s="12">
        <v>0</v>
      </c>
      <c r="BD813" s="12">
        <v>0</v>
      </c>
      <c r="BE813" s="12">
        <v>0</v>
      </c>
      <c r="BF813" s="12">
        <v>0</v>
      </c>
      <c r="BI813" s="12">
        <v>0</v>
      </c>
      <c r="BJ813" s="12">
        <v>0</v>
      </c>
    </row>
    <row r="814" spans="1:62" x14ac:dyDescent="0.15">
      <c r="A814" s="12"/>
      <c r="B814" t="s">
        <v>2226</v>
      </c>
      <c r="C814" s="27" t="s">
        <v>2227</v>
      </c>
      <c r="D814" t="s">
        <v>6596</v>
      </c>
      <c r="E814" t="s">
        <v>2182</v>
      </c>
      <c r="F814"/>
      <c r="G814"/>
      <c r="H814"/>
      <c r="I814"/>
      <c r="J814"/>
      <c r="K814"/>
      <c r="L814" s="10">
        <v>3944020</v>
      </c>
      <c r="M814" s="10">
        <v>699820</v>
      </c>
      <c r="N814" s="12">
        <v>15</v>
      </c>
      <c r="O814" s="12" t="s">
        <v>6992</v>
      </c>
      <c r="P814" t="s">
        <v>2183</v>
      </c>
      <c r="R814"/>
      <c r="S814" t="s">
        <v>2184</v>
      </c>
      <c r="T814" s="12" t="s">
        <v>2185</v>
      </c>
      <c r="U814" s="12" t="s">
        <v>2186</v>
      </c>
      <c r="V814" s="12" t="s">
        <v>2187</v>
      </c>
      <c r="W814" s="12">
        <v>0</v>
      </c>
      <c r="X814" s="12">
        <v>1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2">
        <v>0</v>
      </c>
      <c r="AK814" s="12">
        <v>0</v>
      </c>
      <c r="AL814" s="12">
        <v>0</v>
      </c>
      <c r="AM814" s="12"/>
      <c r="AN814" s="12">
        <v>0</v>
      </c>
      <c r="AO814" s="12">
        <v>0</v>
      </c>
      <c r="AP814" s="12">
        <v>0</v>
      </c>
      <c r="AQ814" s="12">
        <v>0</v>
      </c>
      <c r="AR814" s="12">
        <v>0</v>
      </c>
      <c r="AS814" s="12">
        <v>0</v>
      </c>
      <c r="AT814" s="12">
        <v>0</v>
      </c>
      <c r="AU814" s="12">
        <v>0</v>
      </c>
      <c r="AV814" s="12">
        <v>0</v>
      </c>
      <c r="AW814" s="12">
        <v>0</v>
      </c>
      <c r="AX814" s="12">
        <v>0</v>
      </c>
      <c r="AY814" s="12">
        <v>0</v>
      </c>
      <c r="AZ814"/>
      <c r="BA814"/>
      <c r="BB814" s="12">
        <v>0</v>
      </c>
      <c r="BC814" s="12">
        <v>0</v>
      </c>
      <c r="BD814" s="12">
        <v>0</v>
      </c>
      <c r="BE814" s="12">
        <v>0</v>
      </c>
      <c r="BF814" s="12">
        <v>0</v>
      </c>
      <c r="BI814" s="12">
        <v>0</v>
      </c>
      <c r="BJ814" s="12">
        <v>0</v>
      </c>
    </row>
    <row r="815" spans="1:62" x14ac:dyDescent="0.15">
      <c r="A815" s="12"/>
      <c r="B815" t="s">
        <v>2228</v>
      </c>
      <c r="C815" t="s">
        <v>2228</v>
      </c>
      <c r="D815" t="s">
        <v>6596</v>
      </c>
      <c r="E815" t="s">
        <v>2182</v>
      </c>
      <c r="F815"/>
      <c r="G815"/>
      <c r="H815"/>
      <c r="I815"/>
      <c r="J815"/>
      <c r="K815"/>
      <c r="L815" s="10">
        <v>3952600</v>
      </c>
      <c r="M815" s="10">
        <v>679100</v>
      </c>
      <c r="N815" s="12">
        <v>15</v>
      </c>
      <c r="O815" s="12" t="s">
        <v>6992</v>
      </c>
      <c r="P815" t="s">
        <v>2183</v>
      </c>
      <c r="R815"/>
      <c r="S815" t="s">
        <v>2184</v>
      </c>
      <c r="T815" s="12" t="s">
        <v>2185</v>
      </c>
      <c r="U815" s="12" t="s">
        <v>2186</v>
      </c>
      <c r="V815" s="12" t="s">
        <v>2187</v>
      </c>
      <c r="W815" s="12">
        <v>0</v>
      </c>
      <c r="X815" s="12">
        <v>1</v>
      </c>
      <c r="Y815" s="12">
        <v>0</v>
      </c>
      <c r="Z815" s="12">
        <v>0</v>
      </c>
      <c r="AA815" s="12">
        <v>0</v>
      </c>
      <c r="AB815" s="12">
        <v>0</v>
      </c>
      <c r="AC815" s="12">
        <v>0</v>
      </c>
      <c r="AD815" s="12">
        <v>0</v>
      </c>
      <c r="AE815" s="12">
        <v>0</v>
      </c>
      <c r="AF815" s="12">
        <v>0</v>
      </c>
      <c r="AG815" s="12">
        <v>0</v>
      </c>
      <c r="AH815" s="12">
        <v>0</v>
      </c>
      <c r="AI815" s="12">
        <v>0</v>
      </c>
      <c r="AJ815" s="12">
        <v>0</v>
      </c>
      <c r="AK815" s="12">
        <v>0</v>
      </c>
      <c r="AL815" s="12">
        <v>0</v>
      </c>
      <c r="AM815" s="12"/>
      <c r="AN815" s="12">
        <v>0</v>
      </c>
      <c r="AO815" s="12">
        <v>0</v>
      </c>
      <c r="AP815" s="12">
        <v>0</v>
      </c>
      <c r="AQ815" s="12">
        <v>0</v>
      </c>
      <c r="AR815" s="12">
        <v>0</v>
      </c>
      <c r="AS815" s="12">
        <v>0</v>
      </c>
      <c r="AT815" s="12">
        <v>0</v>
      </c>
      <c r="AU815" s="12">
        <v>0</v>
      </c>
      <c r="AV815" s="12">
        <v>0</v>
      </c>
      <c r="AW815" s="12">
        <v>0</v>
      </c>
      <c r="AX815" s="12">
        <v>0</v>
      </c>
      <c r="AY815" s="12">
        <v>0</v>
      </c>
      <c r="AZ815"/>
      <c r="BA815"/>
      <c r="BB815" s="12">
        <v>0</v>
      </c>
      <c r="BC815" s="12">
        <v>0</v>
      </c>
      <c r="BD815" s="12">
        <v>0</v>
      </c>
      <c r="BE815" s="12">
        <v>0</v>
      </c>
      <c r="BF815" s="12">
        <v>0</v>
      </c>
      <c r="BI815" s="12">
        <v>0</v>
      </c>
      <c r="BJ815" s="12">
        <v>0</v>
      </c>
    </row>
    <row r="816" spans="1:62" x14ac:dyDescent="0.15">
      <c r="A816" s="12"/>
      <c r="B816" t="s">
        <v>2229</v>
      </c>
      <c r="C816" s="27" t="s">
        <v>2230</v>
      </c>
      <c r="D816" t="s">
        <v>6596</v>
      </c>
      <c r="E816" t="s">
        <v>2182</v>
      </c>
      <c r="F816"/>
      <c r="G816"/>
      <c r="H816"/>
      <c r="I816"/>
      <c r="J816"/>
      <c r="K816"/>
      <c r="L816" s="10">
        <v>3924830</v>
      </c>
      <c r="M816" s="10">
        <v>696670</v>
      </c>
      <c r="N816" s="12">
        <v>15</v>
      </c>
      <c r="O816" s="12" t="s">
        <v>6992</v>
      </c>
      <c r="P816" t="s">
        <v>2183</v>
      </c>
      <c r="R816"/>
      <c r="S816" t="s">
        <v>2184</v>
      </c>
      <c r="T816" s="12" t="s">
        <v>2185</v>
      </c>
      <c r="U816" s="12" t="s">
        <v>2186</v>
      </c>
      <c r="V816" s="12" t="s">
        <v>2187</v>
      </c>
      <c r="W816" s="12">
        <v>0</v>
      </c>
      <c r="X816" s="12">
        <v>1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2">
        <v>0</v>
      </c>
      <c r="AK816" s="12">
        <v>0</v>
      </c>
      <c r="AL816" s="12">
        <v>0</v>
      </c>
      <c r="AM816" s="12"/>
      <c r="AN816" s="12">
        <v>0</v>
      </c>
      <c r="AO816" s="12">
        <v>0</v>
      </c>
      <c r="AP816" s="12">
        <v>0</v>
      </c>
      <c r="AQ816" s="12">
        <v>0</v>
      </c>
      <c r="AR816" s="12">
        <v>0</v>
      </c>
      <c r="AS816" s="12">
        <v>0</v>
      </c>
      <c r="AT816" s="12">
        <v>0</v>
      </c>
      <c r="AU816" s="12">
        <v>0</v>
      </c>
      <c r="AV816" s="12">
        <v>0</v>
      </c>
      <c r="AW816" s="12">
        <v>0</v>
      </c>
      <c r="AX816" s="12">
        <v>0</v>
      </c>
      <c r="AY816" s="12">
        <v>0</v>
      </c>
      <c r="AZ816"/>
      <c r="BA816"/>
      <c r="BB816" s="12">
        <v>0</v>
      </c>
      <c r="BC816" s="12">
        <v>0</v>
      </c>
      <c r="BD816" s="12">
        <v>0</v>
      </c>
      <c r="BE816" s="12">
        <v>0</v>
      </c>
      <c r="BF816" s="12">
        <v>0</v>
      </c>
      <c r="BI816" s="12">
        <v>0</v>
      </c>
      <c r="BJ816" s="12">
        <v>0</v>
      </c>
    </row>
    <row r="817" spans="1:62" x14ac:dyDescent="0.15">
      <c r="A817" s="12"/>
      <c r="B817" t="s">
        <v>2231</v>
      </c>
      <c r="C817" t="s">
        <v>2231</v>
      </c>
      <c r="D817" t="s">
        <v>6596</v>
      </c>
      <c r="E817" t="s">
        <v>2182</v>
      </c>
      <c r="F817"/>
      <c r="G817"/>
      <c r="H817"/>
      <c r="I817"/>
      <c r="J817"/>
      <c r="K817"/>
      <c r="L817" s="10">
        <v>3938320</v>
      </c>
      <c r="M817" s="10">
        <v>699960</v>
      </c>
      <c r="N817" s="12">
        <v>15</v>
      </c>
      <c r="O817" s="12" t="s">
        <v>6992</v>
      </c>
      <c r="P817" t="s">
        <v>2183</v>
      </c>
      <c r="R817"/>
      <c r="S817" t="s">
        <v>2184</v>
      </c>
      <c r="T817" s="12" t="s">
        <v>2185</v>
      </c>
      <c r="U817" s="12" t="s">
        <v>2186</v>
      </c>
      <c r="V817" s="12" t="s">
        <v>2187</v>
      </c>
      <c r="W817" s="12">
        <v>0</v>
      </c>
      <c r="X817" s="12">
        <v>1</v>
      </c>
      <c r="Y817" s="12">
        <v>0</v>
      </c>
      <c r="Z817" s="12">
        <v>0</v>
      </c>
      <c r="AA817" s="12">
        <v>0</v>
      </c>
      <c r="AB817" s="12">
        <v>0</v>
      </c>
      <c r="AC817" s="12">
        <v>0</v>
      </c>
      <c r="AD817" s="12">
        <v>0</v>
      </c>
      <c r="AE817" s="12">
        <v>0</v>
      </c>
      <c r="AF817" s="12">
        <v>0</v>
      </c>
      <c r="AG817" s="12">
        <v>0</v>
      </c>
      <c r="AH817" s="12">
        <v>0</v>
      </c>
      <c r="AI817" s="12">
        <v>0</v>
      </c>
      <c r="AJ817" s="12">
        <v>0</v>
      </c>
      <c r="AK817" s="12">
        <v>0</v>
      </c>
      <c r="AL817" s="12">
        <v>0</v>
      </c>
      <c r="AM817" s="12"/>
      <c r="AN817" s="12">
        <v>0</v>
      </c>
      <c r="AO817" s="12">
        <v>0</v>
      </c>
      <c r="AP817" s="12">
        <v>0</v>
      </c>
      <c r="AQ817" s="12">
        <v>0</v>
      </c>
      <c r="AR817" s="12">
        <v>0</v>
      </c>
      <c r="AS817" s="12">
        <v>0</v>
      </c>
      <c r="AT817" s="12">
        <v>0</v>
      </c>
      <c r="AU817" s="12">
        <v>0</v>
      </c>
      <c r="AV817" s="12">
        <v>0</v>
      </c>
      <c r="AW817" s="12">
        <v>0</v>
      </c>
      <c r="AX817" s="12">
        <v>0</v>
      </c>
      <c r="AY817" s="12">
        <v>0</v>
      </c>
      <c r="AZ817"/>
      <c r="BA817"/>
      <c r="BB817" s="12">
        <v>0</v>
      </c>
      <c r="BC817" s="12">
        <v>0</v>
      </c>
      <c r="BD817" s="12">
        <v>0</v>
      </c>
      <c r="BE817" s="12">
        <v>0</v>
      </c>
      <c r="BF817" s="12">
        <v>0</v>
      </c>
      <c r="BI817" s="12">
        <v>0</v>
      </c>
      <c r="BJ817" s="12">
        <v>0</v>
      </c>
    </row>
    <row r="818" spans="1:62" x14ac:dyDescent="0.15">
      <c r="A818" s="12"/>
      <c r="B818" t="s">
        <v>2232</v>
      </c>
      <c r="C818" s="27" t="s">
        <v>2233</v>
      </c>
      <c r="D818" t="s">
        <v>6596</v>
      </c>
      <c r="E818" t="s">
        <v>2182</v>
      </c>
      <c r="F818"/>
      <c r="G818"/>
      <c r="H818"/>
      <c r="I818"/>
      <c r="J818"/>
      <c r="K818"/>
      <c r="L818" s="10">
        <v>3961680</v>
      </c>
      <c r="M818" s="10">
        <v>707100</v>
      </c>
      <c r="N818" s="12">
        <v>15</v>
      </c>
      <c r="O818" s="12" t="s">
        <v>6992</v>
      </c>
      <c r="P818" t="s">
        <v>2183</v>
      </c>
      <c r="R818"/>
      <c r="S818" t="s">
        <v>2184</v>
      </c>
      <c r="T818" s="12" t="s">
        <v>2185</v>
      </c>
      <c r="U818" s="12" t="s">
        <v>2186</v>
      </c>
      <c r="V818" s="12" t="s">
        <v>2187</v>
      </c>
      <c r="W818" s="12">
        <v>0</v>
      </c>
      <c r="X818" s="12">
        <v>1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2">
        <v>0</v>
      </c>
      <c r="AK818" s="12">
        <v>0</v>
      </c>
      <c r="AL818" s="12">
        <v>0</v>
      </c>
      <c r="AM818" s="12"/>
      <c r="AN818" s="12">
        <v>0</v>
      </c>
      <c r="AO818" s="12">
        <v>0</v>
      </c>
      <c r="AP818" s="12">
        <v>0</v>
      </c>
      <c r="AQ818" s="12">
        <v>0</v>
      </c>
      <c r="AR818" s="12">
        <v>0</v>
      </c>
      <c r="AS818" s="12">
        <v>0</v>
      </c>
      <c r="AT818" s="12">
        <v>0</v>
      </c>
      <c r="AU818" s="12">
        <v>0</v>
      </c>
      <c r="AV818" s="12">
        <v>0</v>
      </c>
      <c r="AW818" s="12">
        <v>0</v>
      </c>
      <c r="AX818" s="12">
        <v>0</v>
      </c>
      <c r="AY818" s="12">
        <v>0</v>
      </c>
      <c r="AZ818"/>
      <c r="BA818"/>
      <c r="BB818" s="12">
        <v>0</v>
      </c>
      <c r="BC818" s="12">
        <v>0</v>
      </c>
      <c r="BD818" s="12">
        <v>0</v>
      </c>
      <c r="BE818" s="12">
        <v>0</v>
      </c>
      <c r="BF818" s="12">
        <v>0</v>
      </c>
      <c r="BI818" s="12">
        <v>0</v>
      </c>
      <c r="BJ818" s="12">
        <v>0</v>
      </c>
    </row>
    <row r="819" spans="1:62" x14ac:dyDescent="0.15">
      <c r="A819" s="12"/>
      <c r="B819" t="s">
        <v>2234</v>
      </c>
      <c r="C819" s="27" t="s">
        <v>2235</v>
      </c>
      <c r="D819" t="s">
        <v>6596</v>
      </c>
      <c r="E819" t="s">
        <v>2182</v>
      </c>
      <c r="F819"/>
      <c r="G819"/>
      <c r="H819"/>
      <c r="I819"/>
      <c r="J819"/>
      <c r="K819"/>
      <c r="L819" s="10">
        <v>3982000</v>
      </c>
      <c r="M819" s="10">
        <v>696850</v>
      </c>
      <c r="N819" s="12">
        <v>15</v>
      </c>
      <c r="O819" s="12" t="s">
        <v>6992</v>
      </c>
      <c r="P819" t="s">
        <v>2183</v>
      </c>
      <c r="R819"/>
      <c r="S819" t="s">
        <v>2184</v>
      </c>
      <c r="T819" s="12" t="s">
        <v>2185</v>
      </c>
      <c r="U819" s="12" t="s">
        <v>2186</v>
      </c>
      <c r="V819" s="12" t="s">
        <v>2187</v>
      </c>
      <c r="W819" s="12">
        <v>0</v>
      </c>
      <c r="X819" s="12">
        <v>1</v>
      </c>
      <c r="Y819" s="12">
        <v>0</v>
      </c>
      <c r="Z819" s="12">
        <v>0</v>
      </c>
      <c r="AA819" s="12">
        <v>0</v>
      </c>
      <c r="AB819" s="12">
        <v>0</v>
      </c>
      <c r="AC819" s="12">
        <v>0</v>
      </c>
      <c r="AD819" s="12">
        <v>0</v>
      </c>
      <c r="AE819" s="12">
        <v>0</v>
      </c>
      <c r="AF819" s="12">
        <v>0</v>
      </c>
      <c r="AG819" s="12">
        <v>0</v>
      </c>
      <c r="AH819" s="12">
        <v>0</v>
      </c>
      <c r="AI819" s="12">
        <v>0</v>
      </c>
      <c r="AJ819" s="12">
        <v>0</v>
      </c>
      <c r="AK819" s="12">
        <v>0</v>
      </c>
      <c r="AL819" s="12">
        <v>0</v>
      </c>
      <c r="AM819" s="12"/>
      <c r="AN819" s="12">
        <v>0</v>
      </c>
      <c r="AO819" s="12">
        <v>0</v>
      </c>
      <c r="AP819" s="12">
        <v>0</v>
      </c>
      <c r="AQ819" s="12">
        <v>0</v>
      </c>
      <c r="AR819" s="12">
        <v>0</v>
      </c>
      <c r="AS819" s="12">
        <v>0</v>
      </c>
      <c r="AT819" s="12">
        <v>0</v>
      </c>
      <c r="AU819" s="12">
        <v>0</v>
      </c>
      <c r="AV819" s="12">
        <v>0</v>
      </c>
      <c r="AW819" s="12">
        <v>0</v>
      </c>
      <c r="AX819" s="12">
        <v>0</v>
      </c>
      <c r="AY819" s="12">
        <v>0</v>
      </c>
      <c r="AZ819"/>
      <c r="BA819"/>
      <c r="BB819" s="12">
        <v>0</v>
      </c>
      <c r="BC819" s="12">
        <v>0</v>
      </c>
      <c r="BD819" s="12">
        <v>0</v>
      </c>
      <c r="BE819" s="12">
        <v>0</v>
      </c>
      <c r="BF819" s="12">
        <v>0</v>
      </c>
      <c r="BI819" s="12">
        <v>0</v>
      </c>
      <c r="BJ819" s="12">
        <v>0</v>
      </c>
    </row>
    <row r="820" spans="1:62" x14ac:dyDescent="0.15">
      <c r="A820" s="12"/>
      <c r="B820" t="s">
        <v>2236</v>
      </c>
      <c r="C820" s="27" t="s">
        <v>2237</v>
      </c>
      <c r="D820" t="s">
        <v>6596</v>
      </c>
      <c r="E820" t="s">
        <v>2182</v>
      </c>
      <c r="F820"/>
      <c r="G820"/>
      <c r="H820"/>
      <c r="I820"/>
      <c r="J820"/>
      <c r="K820"/>
      <c r="L820" s="10">
        <v>3794900</v>
      </c>
      <c r="M820" s="10">
        <v>654030</v>
      </c>
      <c r="N820" s="12">
        <v>15</v>
      </c>
      <c r="O820" s="12" t="s">
        <v>6992</v>
      </c>
      <c r="P820" t="s">
        <v>2183</v>
      </c>
      <c r="R820"/>
      <c r="S820" t="s">
        <v>2184</v>
      </c>
      <c r="T820" s="12" t="s">
        <v>2185</v>
      </c>
      <c r="U820" s="12" t="s">
        <v>2186</v>
      </c>
      <c r="V820" s="12" t="s">
        <v>2187</v>
      </c>
      <c r="W820" s="12">
        <v>0</v>
      </c>
      <c r="X820" s="12">
        <v>1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2">
        <v>0</v>
      </c>
      <c r="AK820" s="12">
        <v>0</v>
      </c>
      <c r="AL820" s="12">
        <v>0</v>
      </c>
      <c r="AM820" s="12"/>
      <c r="AN820" s="12">
        <v>0</v>
      </c>
      <c r="AO820" s="12">
        <v>0</v>
      </c>
      <c r="AP820" s="12">
        <v>0</v>
      </c>
      <c r="AQ820" s="12">
        <v>0</v>
      </c>
      <c r="AR820" s="12">
        <v>0</v>
      </c>
      <c r="AS820" s="12">
        <v>0</v>
      </c>
      <c r="AT820" s="12">
        <v>0</v>
      </c>
      <c r="AU820" s="12">
        <v>0</v>
      </c>
      <c r="AV820" s="12">
        <v>0</v>
      </c>
      <c r="AW820" s="12">
        <v>0</v>
      </c>
      <c r="AX820" s="12">
        <v>0</v>
      </c>
      <c r="AY820" s="12">
        <v>0</v>
      </c>
      <c r="AZ820"/>
      <c r="BA820"/>
      <c r="BB820" s="12">
        <v>0</v>
      </c>
      <c r="BC820" s="12">
        <v>0</v>
      </c>
      <c r="BD820" s="12">
        <v>0</v>
      </c>
      <c r="BE820" s="12">
        <v>0</v>
      </c>
      <c r="BF820" s="12">
        <v>0</v>
      </c>
      <c r="BI820" s="12">
        <v>0</v>
      </c>
      <c r="BJ820" s="12">
        <v>0</v>
      </c>
    </row>
    <row r="821" spans="1:62" x14ac:dyDescent="0.15">
      <c r="A821" s="12"/>
      <c r="B821" t="s">
        <v>2238</v>
      </c>
      <c r="C821" s="27" t="s">
        <v>2239</v>
      </c>
      <c r="D821" t="s">
        <v>6596</v>
      </c>
      <c r="E821" t="s">
        <v>2182</v>
      </c>
      <c r="F821"/>
      <c r="G821"/>
      <c r="H821"/>
      <c r="I821"/>
      <c r="J821"/>
      <c r="K821"/>
      <c r="L821" s="10">
        <v>3798210</v>
      </c>
      <c r="M821" s="10">
        <v>657110</v>
      </c>
      <c r="N821" s="12">
        <v>15</v>
      </c>
      <c r="O821" s="12" t="s">
        <v>6992</v>
      </c>
      <c r="P821" t="s">
        <v>2183</v>
      </c>
      <c r="R821"/>
      <c r="S821" t="s">
        <v>2184</v>
      </c>
      <c r="T821" s="12" t="s">
        <v>2185</v>
      </c>
      <c r="U821" s="12" t="s">
        <v>2186</v>
      </c>
      <c r="V821" s="12" t="s">
        <v>2187</v>
      </c>
      <c r="W821" s="12">
        <v>0</v>
      </c>
      <c r="X821" s="12">
        <v>1</v>
      </c>
      <c r="Y821" s="12">
        <v>0</v>
      </c>
      <c r="Z821" s="12">
        <v>0</v>
      </c>
      <c r="AA821" s="12">
        <v>0</v>
      </c>
      <c r="AB821" s="12">
        <v>0</v>
      </c>
      <c r="AC821" s="12">
        <v>0</v>
      </c>
      <c r="AD821" s="12">
        <v>0</v>
      </c>
      <c r="AE821" s="12">
        <v>0</v>
      </c>
      <c r="AF821" s="12">
        <v>0</v>
      </c>
      <c r="AG821" s="12">
        <v>0</v>
      </c>
      <c r="AH821" s="12">
        <v>0</v>
      </c>
      <c r="AI821" s="12">
        <v>0</v>
      </c>
      <c r="AJ821" s="12">
        <v>0</v>
      </c>
      <c r="AK821" s="12">
        <v>0</v>
      </c>
      <c r="AL821" s="12">
        <v>0</v>
      </c>
      <c r="AM821" s="12"/>
      <c r="AN821" s="12">
        <v>0</v>
      </c>
      <c r="AO821" s="12">
        <v>0</v>
      </c>
      <c r="AP821" s="12">
        <v>0</v>
      </c>
      <c r="AQ821" s="12">
        <v>0</v>
      </c>
      <c r="AR821" s="12">
        <v>0</v>
      </c>
      <c r="AS821" s="12">
        <v>0</v>
      </c>
      <c r="AT821" s="12">
        <v>0</v>
      </c>
      <c r="AU821" s="12">
        <v>0</v>
      </c>
      <c r="AV821" s="12">
        <v>0</v>
      </c>
      <c r="AW821" s="12">
        <v>0</v>
      </c>
      <c r="AX821" s="12">
        <v>0</v>
      </c>
      <c r="AY821" s="12">
        <v>0</v>
      </c>
      <c r="AZ821"/>
      <c r="BA821"/>
      <c r="BB821" s="12">
        <v>0</v>
      </c>
      <c r="BC821" s="12">
        <v>0</v>
      </c>
      <c r="BD821" s="12">
        <v>0</v>
      </c>
      <c r="BE821" s="12">
        <v>0</v>
      </c>
      <c r="BF821" s="12">
        <v>0</v>
      </c>
      <c r="BI821" s="12">
        <v>0</v>
      </c>
      <c r="BJ821" s="12">
        <v>0</v>
      </c>
    </row>
    <row r="822" spans="1:62" x14ac:dyDescent="0.15">
      <c r="A822" s="12"/>
      <c r="B822" t="s">
        <v>2240</v>
      </c>
      <c r="C822" s="27" t="s">
        <v>2241</v>
      </c>
      <c r="D822" t="s">
        <v>6596</v>
      </c>
      <c r="E822" t="s">
        <v>2182</v>
      </c>
      <c r="F822"/>
      <c r="G822"/>
      <c r="H822"/>
      <c r="I822"/>
      <c r="J822"/>
      <c r="K822"/>
      <c r="L822" s="10">
        <v>3849620</v>
      </c>
      <c r="M822" s="10">
        <v>665450</v>
      </c>
      <c r="N822" s="12">
        <v>15</v>
      </c>
      <c r="O822" s="12" t="s">
        <v>6992</v>
      </c>
      <c r="P822" t="s">
        <v>2183</v>
      </c>
      <c r="R822"/>
      <c r="S822" t="s">
        <v>2184</v>
      </c>
      <c r="T822" s="12" t="s">
        <v>2185</v>
      </c>
      <c r="U822" s="12" t="s">
        <v>2186</v>
      </c>
      <c r="V822" s="12" t="s">
        <v>2187</v>
      </c>
      <c r="W822" s="12">
        <v>0</v>
      </c>
      <c r="X822" s="12">
        <v>1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2">
        <v>0</v>
      </c>
      <c r="AK822" s="12">
        <v>0</v>
      </c>
      <c r="AL822" s="12">
        <v>0</v>
      </c>
      <c r="AM822" s="12"/>
      <c r="AN822" s="12">
        <v>0</v>
      </c>
      <c r="AO822" s="12">
        <v>0</v>
      </c>
      <c r="AP822" s="12">
        <v>0</v>
      </c>
      <c r="AQ822" s="12">
        <v>0</v>
      </c>
      <c r="AR822" s="12">
        <v>0</v>
      </c>
      <c r="AS822" s="12">
        <v>0</v>
      </c>
      <c r="AT822" s="12">
        <v>0</v>
      </c>
      <c r="AU822" s="12">
        <v>0</v>
      </c>
      <c r="AV822" s="12">
        <v>0</v>
      </c>
      <c r="AW822" s="12">
        <v>0</v>
      </c>
      <c r="AX822" s="12">
        <v>0</v>
      </c>
      <c r="AY822" s="12">
        <v>0</v>
      </c>
      <c r="AZ822"/>
      <c r="BA822"/>
      <c r="BB822" s="12">
        <v>0</v>
      </c>
      <c r="BC822" s="12">
        <v>0</v>
      </c>
      <c r="BD822" s="12">
        <v>0</v>
      </c>
      <c r="BE822" s="12">
        <v>0</v>
      </c>
      <c r="BF822" s="12">
        <v>0</v>
      </c>
      <c r="BI822" s="12">
        <v>0</v>
      </c>
      <c r="BJ822" s="12">
        <v>0</v>
      </c>
    </row>
    <row r="823" spans="1:62" x14ac:dyDescent="0.15">
      <c r="A823" s="12"/>
      <c r="B823" t="s">
        <v>2242</v>
      </c>
      <c r="C823" s="27" t="s">
        <v>1998</v>
      </c>
      <c r="D823" t="s">
        <v>6596</v>
      </c>
      <c r="E823" t="s">
        <v>2182</v>
      </c>
      <c r="F823"/>
      <c r="G823"/>
      <c r="H823"/>
      <c r="I823"/>
      <c r="J823"/>
      <c r="K823"/>
      <c r="L823" s="10">
        <v>3828960</v>
      </c>
      <c r="M823" s="10">
        <v>699570</v>
      </c>
      <c r="N823" s="12">
        <v>15</v>
      </c>
      <c r="O823" s="12" t="s">
        <v>6992</v>
      </c>
      <c r="P823" t="s">
        <v>2183</v>
      </c>
      <c r="R823"/>
      <c r="S823" t="s">
        <v>2184</v>
      </c>
      <c r="T823" s="12" t="s">
        <v>2185</v>
      </c>
      <c r="U823" s="12" t="s">
        <v>2186</v>
      </c>
      <c r="V823" s="12" t="s">
        <v>2187</v>
      </c>
      <c r="W823" s="12">
        <v>0</v>
      </c>
      <c r="X823" s="12">
        <v>1</v>
      </c>
      <c r="Y823" s="12">
        <v>0</v>
      </c>
      <c r="Z823" s="12">
        <v>0</v>
      </c>
      <c r="AA823" s="12">
        <v>0</v>
      </c>
      <c r="AB823" s="12">
        <v>0</v>
      </c>
      <c r="AC823" s="12">
        <v>0</v>
      </c>
      <c r="AD823" s="12">
        <v>0</v>
      </c>
      <c r="AE823" s="12">
        <v>0</v>
      </c>
      <c r="AF823" s="12">
        <v>0</v>
      </c>
      <c r="AG823" s="12">
        <v>0</v>
      </c>
      <c r="AH823" s="12">
        <v>0</v>
      </c>
      <c r="AI823" s="12">
        <v>0</v>
      </c>
      <c r="AJ823" s="12">
        <v>0</v>
      </c>
      <c r="AK823" s="12">
        <v>0</v>
      </c>
      <c r="AL823" s="12">
        <v>0</v>
      </c>
      <c r="AM823" s="12"/>
      <c r="AN823" s="12">
        <v>0</v>
      </c>
      <c r="AO823" s="12">
        <v>0</v>
      </c>
      <c r="AP823" s="12">
        <v>0</v>
      </c>
      <c r="AQ823" s="12">
        <v>0</v>
      </c>
      <c r="AR823" s="12">
        <v>0</v>
      </c>
      <c r="AS823" s="12">
        <v>0</v>
      </c>
      <c r="AT823" s="12">
        <v>0</v>
      </c>
      <c r="AU823" s="12">
        <v>0</v>
      </c>
      <c r="AV823" s="12">
        <v>0</v>
      </c>
      <c r="AW823" s="12">
        <v>0</v>
      </c>
      <c r="AX823" s="12">
        <v>0</v>
      </c>
      <c r="AY823" s="12">
        <v>0</v>
      </c>
      <c r="AZ823"/>
      <c r="BA823"/>
      <c r="BB823" s="12">
        <v>0</v>
      </c>
      <c r="BC823" s="12">
        <v>0</v>
      </c>
      <c r="BD823" s="12">
        <v>0</v>
      </c>
      <c r="BE823" s="12">
        <v>0</v>
      </c>
      <c r="BF823" s="12">
        <v>0</v>
      </c>
      <c r="BI823" s="12">
        <v>0</v>
      </c>
      <c r="BJ823" s="12">
        <v>0</v>
      </c>
    </row>
    <row r="824" spans="1:62" x14ac:dyDescent="0.15">
      <c r="A824" s="12"/>
      <c r="B824" t="s">
        <v>1999</v>
      </c>
      <c r="C824" s="27" t="s">
        <v>2000</v>
      </c>
      <c r="D824" t="s">
        <v>6596</v>
      </c>
      <c r="E824" t="s">
        <v>2182</v>
      </c>
      <c r="F824"/>
      <c r="G824"/>
      <c r="H824"/>
      <c r="I824"/>
      <c r="J824"/>
      <c r="K824"/>
      <c r="L824" s="10">
        <v>3828620</v>
      </c>
      <c r="M824" s="10">
        <v>699530</v>
      </c>
      <c r="N824" s="12">
        <v>15</v>
      </c>
      <c r="O824" s="12" t="s">
        <v>6992</v>
      </c>
      <c r="P824" t="s">
        <v>2183</v>
      </c>
      <c r="R824"/>
      <c r="S824" t="s">
        <v>2184</v>
      </c>
      <c r="T824" s="12" t="s">
        <v>2185</v>
      </c>
      <c r="U824" s="12" t="s">
        <v>2186</v>
      </c>
      <c r="V824" s="12" t="s">
        <v>2187</v>
      </c>
      <c r="W824" s="12">
        <v>0</v>
      </c>
      <c r="X824" s="12">
        <v>1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2">
        <v>0</v>
      </c>
      <c r="AK824" s="12">
        <v>0</v>
      </c>
      <c r="AL824" s="12">
        <v>0</v>
      </c>
      <c r="AM824" s="12"/>
      <c r="AN824" s="12">
        <v>0</v>
      </c>
      <c r="AO824" s="12">
        <v>0</v>
      </c>
      <c r="AP824" s="12">
        <v>0</v>
      </c>
      <c r="AQ824" s="12">
        <v>0</v>
      </c>
      <c r="AR824" s="12">
        <v>0</v>
      </c>
      <c r="AS824" s="12">
        <v>0</v>
      </c>
      <c r="AT824" s="12">
        <v>0</v>
      </c>
      <c r="AU824" s="12">
        <v>0</v>
      </c>
      <c r="AV824" s="12">
        <v>0</v>
      </c>
      <c r="AW824" s="12">
        <v>0</v>
      </c>
      <c r="AX824" s="12">
        <v>0</v>
      </c>
      <c r="AY824" s="12">
        <v>0</v>
      </c>
      <c r="AZ824"/>
      <c r="BA824"/>
      <c r="BB824" s="12">
        <v>0</v>
      </c>
      <c r="BC824" s="12">
        <v>0</v>
      </c>
      <c r="BD824" s="12">
        <v>0</v>
      </c>
      <c r="BE824" s="12">
        <v>0</v>
      </c>
      <c r="BF824" s="12">
        <v>0</v>
      </c>
      <c r="BI824" s="12">
        <v>0</v>
      </c>
      <c r="BJ824" s="12">
        <v>0</v>
      </c>
    </row>
    <row r="825" spans="1:62" x14ac:dyDescent="0.15">
      <c r="A825" s="12"/>
      <c r="B825" t="s">
        <v>2001</v>
      </c>
      <c r="C825" s="27" t="s">
        <v>6427</v>
      </c>
      <c r="D825" t="s">
        <v>6596</v>
      </c>
      <c r="E825" t="s">
        <v>2182</v>
      </c>
      <c r="F825"/>
      <c r="G825"/>
      <c r="H825"/>
      <c r="I825"/>
      <c r="J825"/>
      <c r="K825"/>
      <c r="L825" s="10">
        <v>3832320</v>
      </c>
      <c r="M825" s="10">
        <v>701550</v>
      </c>
      <c r="N825" s="12">
        <v>15</v>
      </c>
      <c r="O825" s="12" t="s">
        <v>6992</v>
      </c>
      <c r="P825" t="s">
        <v>2183</v>
      </c>
      <c r="R825"/>
      <c r="S825" t="s">
        <v>2184</v>
      </c>
      <c r="T825" s="12" t="s">
        <v>2185</v>
      </c>
      <c r="U825" s="12" t="s">
        <v>2186</v>
      </c>
      <c r="V825" s="12" t="s">
        <v>2187</v>
      </c>
      <c r="W825" s="12">
        <v>0</v>
      </c>
      <c r="X825" s="12">
        <v>1</v>
      </c>
      <c r="Y825" s="12">
        <v>0</v>
      </c>
      <c r="Z825" s="12">
        <v>0</v>
      </c>
      <c r="AA825" s="12">
        <v>0</v>
      </c>
      <c r="AB825" s="12">
        <v>0</v>
      </c>
      <c r="AC825" s="12">
        <v>0</v>
      </c>
      <c r="AD825" s="12">
        <v>0</v>
      </c>
      <c r="AE825" s="12">
        <v>0</v>
      </c>
      <c r="AF825" s="12">
        <v>0</v>
      </c>
      <c r="AG825" s="12">
        <v>0</v>
      </c>
      <c r="AH825" s="12">
        <v>0</v>
      </c>
      <c r="AI825" s="12">
        <v>0</v>
      </c>
      <c r="AJ825" s="12">
        <v>0</v>
      </c>
      <c r="AK825" s="12">
        <v>0</v>
      </c>
      <c r="AL825" s="12">
        <v>0</v>
      </c>
      <c r="AM825" s="12"/>
      <c r="AN825" s="12">
        <v>0</v>
      </c>
      <c r="AO825" s="12">
        <v>0</v>
      </c>
      <c r="AP825" s="12">
        <v>0</v>
      </c>
      <c r="AQ825" s="12">
        <v>0</v>
      </c>
      <c r="AR825" s="12">
        <v>0</v>
      </c>
      <c r="AS825" s="12">
        <v>0</v>
      </c>
      <c r="AT825" s="12">
        <v>0</v>
      </c>
      <c r="AU825" s="12">
        <v>0</v>
      </c>
      <c r="AV825" s="12">
        <v>0</v>
      </c>
      <c r="AW825" s="12">
        <v>0</v>
      </c>
      <c r="AX825" s="12">
        <v>0</v>
      </c>
      <c r="AY825" s="12">
        <v>0</v>
      </c>
      <c r="AZ825"/>
      <c r="BA825"/>
      <c r="BB825" s="12">
        <v>0</v>
      </c>
      <c r="BC825" s="12">
        <v>0</v>
      </c>
      <c r="BD825" s="12">
        <v>0</v>
      </c>
      <c r="BE825" s="12">
        <v>0</v>
      </c>
      <c r="BF825" s="12">
        <v>0</v>
      </c>
      <c r="BI825" s="12">
        <v>0</v>
      </c>
      <c r="BJ825" s="12">
        <v>0</v>
      </c>
    </row>
    <row r="826" spans="1:62" x14ac:dyDescent="0.15">
      <c r="A826" s="12"/>
      <c r="B826" t="s">
        <v>2002</v>
      </c>
      <c r="C826" s="27" t="s">
        <v>2003</v>
      </c>
      <c r="D826" t="s">
        <v>6596</v>
      </c>
      <c r="E826" t="s">
        <v>2182</v>
      </c>
      <c r="F826"/>
      <c r="G826"/>
      <c r="H826"/>
      <c r="I826"/>
      <c r="J826"/>
      <c r="K826"/>
      <c r="L826" s="10">
        <v>3826160</v>
      </c>
      <c r="M826" s="10">
        <v>715520</v>
      </c>
      <c r="N826" s="12">
        <v>15</v>
      </c>
      <c r="O826" s="12" t="s">
        <v>6992</v>
      </c>
      <c r="P826" t="s">
        <v>2183</v>
      </c>
      <c r="R826"/>
      <c r="S826" t="s">
        <v>2184</v>
      </c>
      <c r="T826" s="12" t="s">
        <v>2185</v>
      </c>
      <c r="U826" s="12" t="s">
        <v>2186</v>
      </c>
      <c r="V826" s="12" t="s">
        <v>2187</v>
      </c>
      <c r="W826" s="12">
        <v>0</v>
      </c>
      <c r="X826" s="12">
        <v>1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2">
        <v>0</v>
      </c>
      <c r="AK826" s="12">
        <v>0</v>
      </c>
      <c r="AL826" s="12">
        <v>0</v>
      </c>
      <c r="AM826" s="12"/>
      <c r="AN826" s="12">
        <v>0</v>
      </c>
      <c r="AO826" s="12">
        <v>0</v>
      </c>
      <c r="AP826" s="12">
        <v>0</v>
      </c>
      <c r="AQ826" s="12">
        <v>0</v>
      </c>
      <c r="AR826" s="12">
        <v>0</v>
      </c>
      <c r="AS826" s="12">
        <v>0</v>
      </c>
      <c r="AT826" s="12">
        <v>0</v>
      </c>
      <c r="AU826" s="12">
        <v>0</v>
      </c>
      <c r="AV826" s="12">
        <v>0</v>
      </c>
      <c r="AW826" s="12">
        <v>0</v>
      </c>
      <c r="AX826" s="12">
        <v>0</v>
      </c>
      <c r="AY826" s="12">
        <v>0</v>
      </c>
      <c r="AZ826"/>
      <c r="BA826"/>
      <c r="BB826" s="12">
        <v>0</v>
      </c>
      <c r="BC826" s="12">
        <v>0</v>
      </c>
      <c r="BD826" s="12">
        <v>0</v>
      </c>
      <c r="BE826" s="12">
        <v>0</v>
      </c>
      <c r="BF826" s="12">
        <v>0</v>
      </c>
      <c r="BI826" s="12">
        <v>0</v>
      </c>
      <c r="BJ826" s="12">
        <v>0</v>
      </c>
    </row>
    <row r="827" spans="1:62" x14ac:dyDescent="0.15">
      <c r="A827" s="12"/>
      <c r="B827" t="s">
        <v>2004</v>
      </c>
      <c r="C827" s="27" t="s">
        <v>2005</v>
      </c>
      <c r="D827" t="s">
        <v>6596</v>
      </c>
      <c r="E827" t="s">
        <v>2182</v>
      </c>
      <c r="F827"/>
      <c r="G827"/>
      <c r="H827"/>
      <c r="I827"/>
      <c r="J827"/>
      <c r="K827"/>
      <c r="L827" s="10">
        <v>3828340</v>
      </c>
      <c r="M827" s="10">
        <v>690620</v>
      </c>
      <c r="N827" s="12">
        <v>15</v>
      </c>
      <c r="O827" s="12" t="s">
        <v>6992</v>
      </c>
      <c r="P827" t="s">
        <v>2183</v>
      </c>
      <c r="R827"/>
      <c r="S827" t="s">
        <v>2184</v>
      </c>
      <c r="T827" s="12" t="s">
        <v>2185</v>
      </c>
      <c r="U827" s="12" t="s">
        <v>2186</v>
      </c>
      <c r="V827" s="12" t="s">
        <v>2187</v>
      </c>
      <c r="W827" s="12">
        <v>0</v>
      </c>
      <c r="X827" s="12">
        <v>1</v>
      </c>
      <c r="Y827" s="12">
        <v>0</v>
      </c>
      <c r="Z827" s="12">
        <v>0</v>
      </c>
      <c r="AA827" s="12">
        <v>0</v>
      </c>
      <c r="AB827" s="12">
        <v>0</v>
      </c>
      <c r="AC827" s="12">
        <v>0</v>
      </c>
      <c r="AD827" s="12">
        <v>0</v>
      </c>
      <c r="AE827" s="12">
        <v>0</v>
      </c>
      <c r="AF827" s="12">
        <v>0</v>
      </c>
      <c r="AG827" s="12">
        <v>0</v>
      </c>
      <c r="AH827" s="12">
        <v>0</v>
      </c>
      <c r="AI827" s="12">
        <v>0</v>
      </c>
      <c r="AJ827" s="12">
        <v>0</v>
      </c>
      <c r="AK827" s="12">
        <v>0</v>
      </c>
      <c r="AL827" s="12">
        <v>0</v>
      </c>
      <c r="AM827" s="12"/>
      <c r="AN827" s="12">
        <v>0</v>
      </c>
      <c r="AO827" s="12">
        <v>0</v>
      </c>
      <c r="AP827" s="12">
        <v>0</v>
      </c>
      <c r="AQ827" s="12">
        <v>0</v>
      </c>
      <c r="AR827" s="12">
        <v>0</v>
      </c>
      <c r="AS827" s="12">
        <v>0</v>
      </c>
      <c r="AT827" s="12">
        <v>0</v>
      </c>
      <c r="AU827" s="12">
        <v>0</v>
      </c>
      <c r="AV827" s="12">
        <v>0</v>
      </c>
      <c r="AW827" s="12">
        <v>0</v>
      </c>
      <c r="AX827" s="12">
        <v>0</v>
      </c>
      <c r="AY827" s="12">
        <v>0</v>
      </c>
      <c r="AZ827"/>
      <c r="BA827"/>
      <c r="BB827" s="12">
        <v>0</v>
      </c>
      <c r="BC827" s="12">
        <v>0</v>
      </c>
      <c r="BD827" s="12">
        <v>0</v>
      </c>
      <c r="BE827" s="12">
        <v>0</v>
      </c>
      <c r="BF827" s="12">
        <v>0</v>
      </c>
      <c r="BI827" s="12">
        <v>0</v>
      </c>
      <c r="BJ827" s="12">
        <v>0</v>
      </c>
    </row>
    <row r="828" spans="1:62" x14ac:dyDescent="0.15">
      <c r="A828" s="12"/>
      <c r="B828" t="s">
        <v>2006</v>
      </c>
      <c r="C828" s="27" t="s">
        <v>2007</v>
      </c>
      <c r="D828" t="s">
        <v>6596</v>
      </c>
      <c r="E828" t="s">
        <v>2182</v>
      </c>
      <c r="F828"/>
      <c r="G828"/>
      <c r="H828"/>
      <c r="I828"/>
      <c r="J828"/>
      <c r="K828"/>
      <c r="L828" s="10">
        <v>3831960</v>
      </c>
      <c r="M828" s="10">
        <v>712830</v>
      </c>
      <c r="N828" s="12">
        <v>15</v>
      </c>
      <c r="O828" s="12" t="s">
        <v>6992</v>
      </c>
      <c r="P828" t="s">
        <v>2183</v>
      </c>
      <c r="R828"/>
      <c r="S828" t="s">
        <v>2184</v>
      </c>
      <c r="T828" s="12" t="s">
        <v>2185</v>
      </c>
      <c r="U828" s="12" t="s">
        <v>2186</v>
      </c>
      <c r="V828" s="12" t="s">
        <v>2187</v>
      </c>
      <c r="W828" s="12">
        <v>0</v>
      </c>
      <c r="X828" s="12">
        <v>1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2">
        <v>0</v>
      </c>
      <c r="AK828" s="12">
        <v>0</v>
      </c>
      <c r="AL828" s="12">
        <v>0</v>
      </c>
      <c r="AM828" s="12"/>
      <c r="AN828" s="12">
        <v>0</v>
      </c>
      <c r="AO828" s="12">
        <v>0</v>
      </c>
      <c r="AP828" s="12">
        <v>0</v>
      </c>
      <c r="AQ828" s="12">
        <v>0</v>
      </c>
      <c r="AR828" s="12">
        <v>0</v>
      </c>
      <c r="AS828" s="12">
        <v>0</v>
      </c>
      <c r="AT828" s="12">
        <v>0</v>
      </c>
      <c r="AU828" s="12">
        <v>0</v>
      </c>
      <c r="AV828" s="12">
        <v>0</v>
      </c>
      <c r="AW828" s="12">
        <v>0</v>
      </c>
      <c r="AX828" s="12">
        <v>0</v>
      </c>
      <c r="AY828" s="12">
        <v>0</v>
      </c>
      <c r="AZ828"/>
      <c r="BA828"/>
      <c r="BB828" s="12">
        <v>0</v>
      </c>
      <c r="BC828" s="12">
        <v>0</v>
      </c>
      <c r="BD828" s="12">
        <v>0</v>
      </c>
      <c r="BE828" s="12">
        <v>0</v>
      </c>
      <c r="BF828" s="12">
        <v>0</v>
      </c>
      <c r="BI828" s="12">
        <v>0</v>
      </c>
      <c r="BJ828" s="12">
        <v>0</v>
      </c>
    </row>
    <row r="829" spans="1:62" x14ac:dyDescent="0.15">
      <c r="A829" s="12"/>
      <c r="B829" t="s">
        <v>2008</v>
      </c>
      <c r="C829" t="s">
        <v>2008</v>
      </c>
      <c r="D829" t="s">
        <v>6596</v>
      </c>
      <c r="E829" t="s">
        <v>2182</v>
      </c>
      <c r="F829"/>
      <c r="G829"/>
      <c r="H829"/>
      <c r="I829"/>
      <c r="J829"/>
      <c r="K829"/>
      <c r="L829" s="10">
        <v>3941150</v>
      </c>
      <c r="M829" s="10">
        <v>715150</v>
      </c>
      <c r="N829" s="12">
        <v>15</v>
      </c>
      <c r="O829" s="12" t="s">
        <v>6992</v>
      </c>
      <c r="P829" t="s">
        <v>2183</v>
      </c>
      <c r="R829"/>
      <c r="S829" t="s">
        <v>2184</v>
      </c>
      <c r="T829" s="12" t="s">
        <v>2185</v>
      </c>
      <c r="U829" s="12" t="s">
        <v>2186</v>
      </c>
      <c r="V829" s="12" t="s">
        <v>2187</v>
      </c>
      <c r="W829" s="12">
        <v>0</v>
      </c>
      <c r="X829" s="12">
        <v>1</v>
      </c>
      <c r="Y829" s="12">
        <v>0</v>
      </c>
      <c r="Z829" s="12">
        <v>0</v>
      </c>
      <c r="AA829" s="12">
        <v>0</v>
      </c>
      <c r="AB829" s="12">
        <v>0</v>
      </c>
      <c r="AC829" s="12">
        <v>0</v>
      </c>
      <c r="AD829" s="12">
        <v>0</v>
      </c>
      <c r="AE829" s="12">
        <v>0</v>
      </c>
      <c r="AF829" s="12">
        <v>0</v>
      </c>
      <c r="AG829" s="12">
        <v>0</v>
      </c>
      <c r="AH829" s="12">
        <v>0</v>
      </c>
      <c r="AI829" s="12">
        <v>0</v>
      </c>
      <c r="AJ829" s="12">
        <v>0</v>
      </c>
      <c r="AK829" s="12">
        <v>0</v>
      </c>
      <c r="AL829" s="12">
        <v>0</v>
      </c>
      <c r="AM829" s="12"/>
      <c r="AN829" s="12">
        <v>0</v>
      </c>
      <c r="AO829" s="12">
        <v>0</v>
      </c>
      <c r="AP829" s="12">
        <v>0</v>
      </c>
      <c r="AQ829" s="12">
        <v>0</v>
      </c>
      <c r="AR829" s="12">
        <v>0</v>
      </c>
      <c r="AS829" s="12">
        <v>0</v>
      </c>
      <c r="AT829" s="12">
        <v>0</v>
      </c>
      <c r="AU829" s="12">
        <v>0</v>
      </c>
      <c r="AV829" s="12">
        <v>0</v>
      </c>
      <c r="AW829" s="12">
        <v>0</v>
      </c>
      <c r="AX829" s="12">
        <v>0</v>
      </c>
      <c r="AY829" s="12">
        <v>0</v>
      </c>
      <c r="AZ829"/>
      <c r="BA829"/>
      <c r="BB829" s="12">
        <v>0</v>
      </c>
      <c r="BC829" s="12">
        <v>0</v>
      </c>
      <c r="BD829" s="12">
        <v>0</v>
      </c>
      <c r="BE829" s="12">
        <v>0</v>
      </c>
      <c r="BF829" s="12">
        <v>0</v>
      </c>
      <c r="BI829" s="12">
        <v>0</v>
      </c>
      <c r="BJ829" s="12">
        <v>0</v>
      </c>
    </row>
    <row r="830" spans="1:62" x14ac:dyDescent="0.15">
      <c r="A830" s="12"/>
      <c r="B830" t="s">
        <v>2009</v>
      </c>
      <c r="C830" t="s">
        <v>2009</v>
      </c>
      <c r="D830" t="s">
        <v>6596</v>
      </c>
      <c r="E830" t="s">
        <v>2182</v>
      </c>
      <c r="F830"/>
      <c r="G830"/>
      <c r="H830"/>
      <c r="I830"/>
      <c r="J830"/>
      <c r="K830"/>
      <c r="L830" s="10">
        <v>3980920</v>
      </c>
      <c r="M830" s="10">
        <v>718430</v>
      </c>
      <c r="N830" s="12">
        <v>15</v>
      </c>
      <c r="O830" s="12" t="s">
        <v>6992</v>
      </c>
      <c r="P830" t="s">
        <v>2183</v>
      </c>
      <c r="R830"/>
      <c r="S830" t="s">
        <v>2184</v>
      </c>
      <c r="T830" s="12" t="s">
        <v>2185</v>
      </c>
      <c r="U830" s="12" t="s">
        <v>2186</v>
      </c>
      <c r="V830" s="12" t="s">
        <v>2187</v>
      </c>
      <c r="W830" s="12">
        <v>0</v>
      </c>
      <c r="X830" s="12">
        <v>1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2">
        <v>0</v>
      </c>
      <c r="AK830" s="12">
        <v>0</v>
      </c>
      <c r="AL830" s="12">
        <v>0</v>
      </c>
      <c r="AM830" s="12"/>
      <c r="AN830" s="12">
        <v>0</v>
      </c>
      <c r="AO830" s="12">
        <v>0</v>
      </c>
      <c r="AP830" s="12">
        <v>0</v>
      </c>
      <c r="AQ830" s="12">
        <v>0</v>
      </c>
      <c r="AR830" s="12">
        <v>0</v>
      </c>
      <c r="AS830" s="12">
        <v>0</v>
      </c>
      <c r="AT830" s="12">
        <v>0</v>
      </c>
      <c r="AU830" s="12">
        <v>0</v>
      </c>
      <c r="AV830" s="12">
        <v>0</v>
      </c>
      <c r="AW830" s="12">
        <v>0</v>
      </c>
      <c r="AX830" s="12">
        <v>0</v>
      </c>
      <c r="AY830" s="12">
        <v>0</v>
      </c>
      <c r="AZ830"/>
      <c r="BA830"/>
      <c r="BB830" s="12">
        <v>0</v>
      </c>
      <c r="BC830" s="12">
        <v>0</v>
      </c>
      <c r="BD830" s="12">
        <v>0</v>
      </c>
      <c r="BE830" s="12">
        <v>0</v>
      </c>
      <c r="BF830" s="12">
        <v>0</v>
      </c>
      <c r="BI830" s="12">
        <v>0</v>
      </c>
      <c r="BJ830" s="12">
        <v>0</v>
      </c>
    </row>
    <row r="831" spans="1:62" x14ac:dyDescent="0.15">
      <c r="A831" s="12"/>
      <c r="B831" t="s">
        <v>2010</v>
      </c>
      <c r="C831" s="27" t="s">
        <v>2011</v>
      </c>
      <c r="D831" t="s">
        <v>6596</v>
      </c>
      <c r="E831" t="s">
        <v>2182</v>
      </c>
      <c r="F831"/>
      <c r="G831"/>
      <c r="H831"/>
      <c r="I831"/>
      <c r="J831"/>
      <c r="K831"/>
      <c r="L831" s="10">
        <v>3973680</v>
      </c>
      <c r="M831" s="10">
        <v>722410</v>
      </c>
      <c r="N831" s="12">
        <v>15</v>
      </c>
      <c r="O831" s="12" t="s">
        <v>6992</v>
      </c>
      <c r="P831" t="s">
        <v>2183</v>
      </c>
      <c r="R831"/>
      <c r="S831" t="s">
        <v>2184</v>
      </c>
      <c r="T831" s="12" t="s">
        <v>2185</v>
      </c>
      <c r="U831" s="12" t="s">
        <v>2186</v>
      </c>
      <c r="V831" s="12" t="s">
        <v>2187</v>
      </c>
      <c r="W831" s="12">
        <v>0</v>
      </c>
      <c r="X831" s="12">
        <v>1</v>
      </c>
      <c r="Y831" s="12">
        <v>0</v>
      </c>
      <c r="Z831" s="12">
        <v>0</v>
      </c>
      <c r="AA831" s="12">
        <v>0</v>
      </c>
      <c r="AB831" s="12">
        <v>0</v>
      </c>
      <c r="AC831" s="12">
        <v>0</v>
      </c>
      <c r="AD831" s="12">
        <v>0</v>
      </c>
      <c r="AE831" s="12">
        <v>0</v>
      </c>
      <c r="AF831" s="12">
        <v>0</v>
      </c>
      <c r="AG831" s="12">
        <v>0</v>
      </c>
      <c r="AH831" s="12">
        <v>0</v>
      </c>
      <c r="AI831" s="12">
        <v>0</v>
      </c>
      <c r="AJ831" s="12">
        <v>0</v>
      </c>
      <c r="AK831" s="12">
        <v>0</v>
      </c>
      <c r="AL831" s="12">
        <v>0</v>
      </c>
      <c r="AM831" s="12"/>
      <c r="AN831" s="12">
        <v>0</v>
      </c>
      <c r="AO831" s="12">
        <v>0</v>
      </c>
      <c r="AP831" s="12">
        <v>0</v>
      </c>
      <c r="AQ831" s="12">
        <v>0</v>
      </c>
      <c r="AR831" s="12">
        <v>0</v>
      </c>
      <c r="AS831" s="12">
        <v>0</v>
      </c>
      <c r="AT831" s="12">
        <v>0</v>
      </c>
      <c r="AU831" s="12">
        <v>0</v>
      </c>
      <c r="AV831" s="12">
        <v>0</v>
      </c>
      <c r="AW831" s="12">
        <v>0</v>
      </c>
      <c r="AX831" s="12">
        <v>0</v>
      </c>
      <c r="AY831" s="12">
        <v>0</v>
      </c>
      <c r="AZ831"/>
      <c r="BA831"/>
      <c r="BB831" s="12">
        <v>0</v>
      </c>
      <c r="BC831" s="12">
        <v>0</v>
      </c>
      <c r="BD831" s="12">
        <v>0</v>
      </c>
      <c r="BE831" s="12">
        <v>0</v>
      </c>
      <c r="BF831" s="12">
        <v>0</v>
      </c>
      <c r="BI831" s="12">
        <v>0</v>
      </c>
      <c r="BJ831" s="12">
        <v>0</v>
      </c>
    </row>
    <row r="832" spans="1:62" x14ac:dyDescent="0.15">
      <c r="A832" s="12"/>
      <c r="B832" t="s">
        <v>2012</v>
      </c>
      <c r="C832" s="27" t="s">
        <v>2013</v>
      </c>
      <c r="D832" t="s">
        <v>6596</v>
      </c>
      <c r="E832" t="s">
        <v>2182</v>
      </c>
      <c r="F832"/>
      <c r="G832"/>
      <c r="H832"/>
      <c r="I832"/>
      <c r="J832"/>
      <c r="K832"/>
      <c r="L832" s="10">
        <v>3978100</v>
      </c>
      <c r="M832" s="10">
        <v>723260</v>
      </c>
      <c r="N832" s="12">
        <v>15</v>
      </c>
      <c r="O832" s="12" t="s">
        <v>6992</v>
      </c>
      <c r="P832" t="s">
        <v>2183</v>
      </c>
      <c r="R832"/>
      <c r="S832" t="s">
        <v>2184</v>
      </c>
      <c r="T832" s="12" t="s">
        <v>2185</v>
      </c>
      <c r="U832" s="12" t="s">
        <v>2186</v>
      </c>
      <c r="V832" s="12" t="s">
        <v>2187</v>
      </c>
      <c r="W832" s="12">
        <v>0</v>
      </c>
      <c r="X832" s="12">
        <v>1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2">
        <v>0</v>
      </c>
      <c r="AK832" s="12">
        <v>0</v>
      </c>
      <c r="AL832" s="12">
        <v>0</v>
      </c>
      <c r="AM832" s="12"/>
      <c r="AN832" s="12">
        <v>0</v>
      </c>
      <c r="AO832" s="12">
        <v>0</v>
      </c>
      <c r="AP832" s="12">
        <v>0</v>
      </c>
      <c r="AQ832" s="12">
        <v>0</v>
      </c>
      <c r="AR832" s="12">
        <v>0</v>
      </c>
      <c r="AS832" s="12">
        <v>0</v>
      </c>
      <c r="AT832" s="12">
        <v>0</v>
      </c>
      <c r="AU832" s="12">
        <v>0</v>
      </c>
      <c r="AV832" s="12">
        <v>0</v>
      </c>
      <c r="AW832" s="12">
        <v>0</v>
      </c>
      <c r="AX832" s="12">
        <v>0</v>
      </c>
      <c r="AY832" s="12">
        <v>0</v>
      </c>
      <c r="AZ832"/>
      <c r="BA832"/>
      <c r="BB832" s="12">
        <v>0</v>
      </c>
      <c r="BC832" s="12">
        <v>0</v>
      </c>
      <c r="BD832" s="12">
        <v>0</v>
      </c>
      <c r="BE832" s="12">
        <v>0</v>
      </c>
      <c r="BF832" s="12">
        <v>0</v>
      </c>
      <c r="BI832" s="12">
        <v>0</v>
      </c>
      <c r="BJ832" s="12">
        <v>0</v>
      </c>
    </row>
    <row r="833" spans="1:62" x14ac:dyDescent="0.15">
      <c r="A833" s="12"/>
      <c r="B833" t="s">
        <v>2014</v>
      </c>
      <c r="C833" s="27" t="s">
        <v>2015</v>
      </c>
      <c r="D833" t="s">
        <v>6596</v>
      </c>
      <c r="E833" t="s">
        <v>2182</v>
      </c>
      <c r="F833"/>
      <c r="G833"/>
      <c r="H833"/>
      <c r="I833"/>
      <c r="J833"/>
      <c r="K833"/>
      <c r="L833" s="10">
        <v>3973340</v>
      </c>
      <c r="M833" s="10">
        <v>725340</v>
      </c>
      <c r="N833" s="12">
        <v>15</v>
      </c>
      <c r="O833" s="12" t="s">
        <v>6992</v>
      </c>
      <c r="P833" t="s">
        <v>2183</v>
      </c>
      <c r="R833"/>
      <c r="S833" t="s">
        <v>2184</v>
      </c>
      <c r="T833" s="12" t="s">
        <v>2185</v>
      </c>
      <c r="U833" s="12" t="s">
        <v>2186</v>
      </c>
      <c r="V833" s="12" t="s">
        <v>2187</v>
      </c>
      <c r="W833" s="12">
        <v>0</v>
      </c>
      <c r="X833" s="12">
        <v>1</v>
      </c>
      <c r="Y833" s="12">
        <v>0</v>
      </c>
      <c r="Z833" s="12">
        <v>0</v>
      </c>
      <c r="AA833" s="12">
        <v>0</v>
      </c>
      <c r="AB833" s="12">
        <v>0</v>
      </c>
      <c r="AC833" s="12">
        <v>0</v>
      </c>
      <c r="AD833" s="12">
        <v>0</v>
      </c>
      <c r="AE833" s="12">
        <v>0</v>
      </c>
      <c r="AF833" s="12">
        <v>0</v>
      </c>
      <c r="AG833" s="12">
        <v>0</v>
      </c>
      <c r="AH833" s="12">
        <v>0</v>
      </c>
      <c r="AI833" s="12">
        <v>0</v>
      </c>
      <c r="AJ833" s="12">
        <v>0</v>
      </c>
      <c r="AK833" s="12">
        <v>0</v>
      </c>
      <c r="AL833" s="12">
        <v>0</v>
      </c>
      <c r="AM833" s="12"/>
      <c r="AN833" s="12">
        <v>0</v>
      </c>
      <c r="AO833" s="12">
        <v>0</v>
      </c>
      <c r="AP833" s="12">
        <v>0</v>
      </c>
      <c r="AQ833" s="12">
        <v>0</v>
      </c>
      <c r="AR833" s="12">
        <v>0</v>
      </c>
      <c r="AS833" s="12">
        <v>0</v>
      </c>
      <c r="AT833" s="12">
        <v>0</v>
      </c>
      <c r="AU833" s="12">
        <v>0</v>
      </c>
      <c r="AV833" s="12">
        <v>0</v>
      </c>
      <c r="AW833" s="12">
        <v>0</v>
      </c>
      <c r="AX833" s="12">
        <v>0</v>
      </c>
      <c r="AY833" s="12">
        <v>0</v>
      </c>
      <c r="AZ833"/>
      <c r="BA833"/>
      <c r="BB833" s="12">
        <v>0</v>
      </c>
      <c r="BC833" s="12">
        <v>0</v>
      </c>
      <c r="BD833" s="12">
        <v>0</v>
      </c>
      <c r="BE833" s="12">
        <v>0</v>
      </c>
      <c r="BF833" s="12">
        <v>0</v>
      </c>
      <c r="BI833" s="12">
        <v>0</v>
      </c>
      <c r="BJ833" s="12">
        <v>0</v>
      </c>
    </row>
    <row r="834" spans="1:62" x14ac:dyDescent="0.15">
      <c r="A834" s="12"/>
      <c r="B834" t="s">
        <v>2016</v>
      </c>
      <c r="C834" s="27" t="s">
        <v>2017</v>
      </c>
      <c r="D834" t="s">
        <v>6596</v>
      </c>
      <c r="E834" t="s">
        <v>2182</v>
      </c>
      <c r="F834"/>
      <c r="G834"/>
      <c r="H834"/>
      <c r="I834"/>
      <c r="J834"/>
      <c r="K834"/>
      <c r="L834" s="10">
        <v>3978830</v>
      </c>
      <c r="M834" s="10">
        <v>724130</v>
      </c>
      <c r="N834" s="12">
        <v>15</v>
      </c>
      <c r="O834" s="12" t="s">
        <v>6992</v>
      </c>
      <c r="P834" t="s">
        <v>2183</v>
      </c>
      <c r="R834"/>
      <c r="S834" t="s">
        <v>2184</v>
      </c>
      <c r="T834" s="12" t="s">
        <v>2185</v>
      </c>
      <c r="U834" s="12" t="s">
        <v>2186</v>
      </c>
      <c r="V834" s="12" t="s">
        <v>2187</v>
      </c>
      <c r="W834" s="12">
        <v>0</v>
      </c>
      <c r="X834" s="12">
        <v>1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2">
        <v>0</v>
      </c>
      <c r="AK834" s="12">
        <v>0</v>
      </c>
      <c r="AL834" s="12">
        <v>0</v>
      </c>
      <c r="AM834" s="12"/>
      <c r="AN834" s="12">
        <v>0</v>
      </c>
      <c r="AO834" s="12">
        <v>0</v>
      </c>
      <c r="AP834" s="12">
        <v>0</v>
      </c>
      <c r="AQ834" s="12">
        <v>0</v>
      </c>
      <c r="AR834" s="12">
        <v>0</v>
      </c>
      <c r="AS834" s="12">
        <v>0</v>
      </c>
      <c r="AT834" s="12">
        <v>0</v>
      </c>
      <c r="AU834" s="12">
        <v>0</v>
      </c>
      <c r="AV834" s="12">
        <v>0</v>
      </c>
      <c r="AW834" s="12">
        <v>0</v>
      </c>
      <c r="AX834" s="12">
        <v>0</v>
      </c>
      <c r="AY834" s="12">
        <v>0</v>
      </c>
      <c r="AZ834"/>
      <c r="BA834"/>
      <c r="BB834" s="12">
        <v>0</v>
      </c>
      <c r="BC834" s="12">
        <v>0</v>
      </c>
      <c r="BD834" s="12">
        <v>0</v>
      </c>
      <c r="BE834" s="12">
        <v>0</v>
      </c>
      <c r="BF834" s="12">
        <v>0</v>
      </c>
      <c r="BI834" s="12">
        <v>0</v>
      </c>
      <c r="BJ834" s="12">
        <v>0</v>
      </c>
    </row>
    <row r="835" spans="1:62" x14ac:dyDescent="0.15">
      <c r="A835" s="12"/>
      <c r="B835" t="s">
        <v>2018</v>
      </c>
      <c r="C835" s="27" t="s">
        <v>2019</v>
      </c>
      <c r="D835" t="s">
        <v>6596</v>
      </c>
      <c r="E835" t="s">
        <v>2182</v>
      </c>
      <c r="F835"/>
      <c r="G835"/>
      <c r="H835"/>
      <c r="I835"/>
      <c r="J835"/>
      <c r="K835"/>
      <c r="L835" s="10">
        <v>3973460</v>
      </c>
      <c r="M835" s="10">
        <v>726300</v>
      </c>
      <c r="N835" s="12">
        <v>15</v>
      </c>
      <c r="O835" s="12" t="s">
        <v>6992</v>
      </c>
      <c r="P835" t="s">
        <v>2183</v>
      </c>
      <c r="R835"/>
      <c r="S835" t="s">
        <v>2184</v>
      </c>
      <c r="T835" s="12" t="s">
        <v>2185</v>
      </c>
      <c r="U835" s="12" t="s">
        <v>2186</v>
      </c>
      <c r="V835" s="12" t="s">
        <v>2187</v>
      </c>
      <c r="W835" s="12">
        <v>0</v>
      </c>
      <c r="X835" s="12">
        <v>1</v>
      </c>
      <c r="Y835" s="12">
        <v>0</v>
      </c>
      <c r="Z835" s="12">
        <v>0</v>
      </c>
      <c r="AA835" s="12">
        <v>0</v>
      </c>
      <c r="AB835" s="12">
        <v>0</v>
      </c>
      <c r="AC835" s="12">
        <v>0</v>
      </c>
      <c r="AD835" s="12">
        <v>0</v>
      </c>
      <c r="AE835" s="12">
        <v>0</v>
      </c>
      <c r="AF835" s="12">
        <v>0</v>
      </c>
      <c r="AG835" s="12">
        <v>0</v>
      </c>
      <c r="AH835" s="12">
        <v>0</v>
      </c>
      <c r="AI835" s="12">
        <v>0</v>
      </c>
      <c r="AJ835" s="12">
        <v>0</v>
      </c>
      <c r="AK835" s="12">
        <v>0</v>
      </c>
      <c r="AL835" s="12">
        <v>0</v>
      </c>
      <c r="AM835" s="12"/>
      <c r="AN835" s="12">
        <v>0</v>
      </c>
      <c r="AO835" s="12">
        <v>0</v>
      </c>
      <c r="AP835" s="12">
        <v>0</v>
      </c>
      <c r="AQ835" s="12">
        <v>0</v>
      </c>
      <c r="AR835" s="12">
        <v>0</v>
      </c>
      <c r="AS835" s="12">
        <v>0</v>
      </c>
      <c r="AT835" s="12">
        <v>0</v>
      </c>
      <c r="AU835" s="12">
        <v>0</v>
      </c>
      <c r="AV835" s="12">
        <v>0</v>
      </c>
      <c r="AW835" s="12">
        <v>0</v>
      </c>
      <c r="AX835" s="12">
        <v>0</v>
      </c>
      <c r="AY835" s="12">
        <v>0</v>
      </c>
      <c r="AZ835"/>
      <c r="BA835"/>
      <c r="BB835" s="12">
        <v>0</v>
      </c>
      <c r="BC835" s="12">
        <v>0</v>
      </c>
      <c r="BD835" s="12">
        <v>0</v>
      </c>
      <c r="BE835" s="12">
        <v>0</v>
      </c>
      <c r="BF835" s="12">
        <v>0</v>
      </c>
      <c r="BI835" s="12">
        <v>0</v>
      </c>
      <c r="BJ835" s="12">
        <v>0</v>
      </c>
    </row>
    <row r="836" spans="1:62" x14ac:dyDescent="0.15">
      <c r="A836" s="12"/>
      <c r="B836" t="s">
        <v>6002</v>
      </c>
      <c r="C836" s="27" t="s">
        <v>6003</v>
      </c>
      <c r="D836" t="s">
        <v>6596</v>
      </c>
      <c r="E836" t="s">
        <v>2182</v>
      </c>
      <c r="F836"/>
      <c r="G836"/>
      <c r="H836"/>
      <c r="I836"/>
      <c r="J836"/>
      <c r="K836"/>
      <c r="L836" s="10">
        <v>3973860</v>
      </c>
      <c r="M836" s="10">
        <v>726820</v>
      </c>
      <c r="N836" s="12">
        <v>15</v>
      </c>
      <c r="O836" s="12" t="s">
        <v>6992</v>
      </c>
      <c r="P836" t="s">
        <v>2183</v>
      </c>
      <c r="R836"/>
      <c r="S836" t="s">
        <v>2184</v>
      </c>
      <c r="T836" s="12" t="s">
        <v>2185</v>
      </c>
      <c r="U836" s="12" t="s">
        <v>2186</v>
      </c>
      <c r="V836" s="12" t="s">
        <v>2187</v>
      </c>
      <c r="W836" s="12">
        <v>0</v>
      </c>
      <c r="X836" s="12">
        <v>1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2">
        <v>0</v>
      </c>
      <c r="AK836" s="12">
        <v>0</v>
      </c>
      <c r="AL836" s="12">
        <v>0</v>
      </c>
      <c r="AM836" s="12"/>
      <c r="AN836" s="12">
        <v>0</v>
      </c>
      <c r="AO836" s="12">
        <v>0</v>
      </c>
      <c r="AP836" s="12">
        <v>0</v>
      </c>
      <c r="AQ836" s="12">
        <v>0</v>
      </c>
      <c r="AR836" s="12">
        <v>0</v>
      </c>
      <c r="AS836" s="12">
        <v>0</v>
      </c>
      <c r="AT836" s="12">
        <v>0</v>
      </c>
      <c r="AU836" s="12">
        <v>0</v>
      </c>
      <c r="AV836" s="12">
        <v>0</v>
      </c>
      <c r="AW836" s="12">
        <v>0</v>
      </c>
      <c r="AX836" s="12">
        <v>0</v>
      </c>
      <c r="AY836" s="12">
        <v>0</v>
      </c>
      <c r="AZ836"/>
      <c r="BA836"/>
      <c r="BB836" s="12">
        <v>0</v>
      </c>
      <c r="BC836" s="12">
        <v>0</v>
      </c>
      <c r="BD836" s="12">
        <v>0</v>
      </c>
      <c r="BE836" s="12">
        <v>0</v>
      </c>
      <c r="BF836" s="12">
        <v>0</v>
      </c>
      <c r="BI836" s="12">
        <v>0</v>
      </c>
      <c r="BJ836" s="12">
        <v>0</v>
      </c>
    </row>
    <row r="837" spans="1:62" x14ac:dyDescent="0.15">
      <c r="A837" s="12"/>
      <c r="B837" t="s">
        <v>6004</v>
      </c>
      <c r="C837" s="27" t="s">
        <v>6005</v>
      </c>
      <c r="D837" t="s">
        <v>6596</v>
      </c>
      <c r="E837" t="s">
        <v>2182</v>
      </c>
      <c r="F837"/>
      <c r="G837"/>
      <c r="H837"/>
      <c r="I837"/>
      <c r="J837"/>
      <c r="K837"/>
      <c r="L837" s="10">
        <v>3980450</v>
      </c>
      <c r="M837" s="10">
        <v>743990</v>
      </c>
      <c r="N837" s="12">
        <v>15</v>
      </c>
      <c r="O837" s="12" t="s">
        <v>6992</v>
      </c>
      <c r="P837" t="s">
        <v>2183</v>
      </c>
      <c r="R837"/>
      <c r="S837" t="s">
        <v>2184</v>
      </c>
      <c r="T837" s="12" t="s">
        <v>2185</v>
      </c>
      <c r="U837" s="12" t="s">
        <v>2186</v>
      </c>
      <c r="V837" s="12" t="s">
        <v>2187</v>
      </c>
      <c r="W837" s="12">
        <v>0</v>
      </c>
      <c r="X837" s="12">
        <v>1</v>
      </c>
      <c r="Y837" s="12">
        <v>0</v>
      </c>
      <c r="Z837" s="12">
        <v>0</v>
      </c>
      <c r="AA837" s="12">
        <v>0</v>
      </c>
      <c r="AB837" s="12">
        <v>0</v>
      </c>
      <c r="AC837" s="12">
        <v>0</v>
      </c>
      <c r="AD837" s="12">
        <v>0</v>
      </c>
      <c r="AE837" s="12">
        <v>0</v>
      </c>
      <c r="AF837" s="12">
        <v>0</v>
      </c>
      <c r="AG837" s="12">
        <v>0</v>
      </c>
      <c r="AH837" s="12">
        <v>0</v>
      </c>
      <c r="AI837" s="12">
        <v>0</v>
      </c>
      <c r="AJ837" s="12">
        <v>0</v>
      </c>
      <c r="AK837" s="12">
        <v>0</v>
      </c>
      <c r="AL837" s="12">
        <v>0</v>
      </c>
      <c r="AM837" s="12"/>
      <c r="AN837" s="12">
        <v>0</v>
      </c>
      <c r="AO837" s="12">
        <v>0</v>
      </c>
      <c r="AP837" s="12">
        <v>0</v>
      </c>
      <c r="AQ837" s="12">
        <v>0</v>
      </c>
      <c r="AR837" s="12">
        <v>0</v>
      </c>
      <c r="AS837" s="12">
        <v>0</v>
      </c>
      <c r="AT837" s="12">
        <v>0</v>
      </c>
      <c r="AU837" s="12">
        <v>0</v>
      </c>
      <c r="AV837" s="12">
        <v>0</v>
      </c>
      <c r="AW837" s="12">
        <v>0</v>
      </c>
      <c r="AX837" s="12">
        <v>0</v>
      </c>
      <c r="AY837" s="12">
        <v>0</v>
      </c>
      <c r="AZ837"/>
      <c r="BA837"/>
      <c r="BB837" s="12">
        <v>0</v>
      </c>
      <c r="BC837" s="12">
        <v>0</v>
      </c>
      <c r="BD837" s="12">
        <v>0</v>
      </c>
      <c r="BE837" s="12">
        <v>0</v>
      </c>
      <c r="BF837" s="12">
        <v>0</v>
      </c>
      <c r="BI837" s="12">
        <v>0</v>
      </c>
      <c r="BJ837" s="12">
        <v>0</v>
      </c>
    </row>
    <row r="838" spans="1:62" x14ac:dyDescent="0.15">
      <c r="A838" s="12"/>
      <c r="B838" t="s">
        <v>6006</v>
      </c>
      <c r="C838" t="s">
        <v>6006</v>
      </c>
      <c r="D838" t="s">
        <v>6596</v>
      </c>
      <c r="E838" t="s">
        <v>2182</v>
      </c>
      <c r="F838"/>
      <c r="G838"/>
      <c r="H838"/>
      <c r="I838"/>
      <c r="J838"/>
      <c r="K838"/>
      <c r="L838" s="10">
        <v>3975490</v>
      </c>
      <c r="M838" s="10">
        <v>694600</v>
      </c>
      <c r="N838" s="12">
        <v>15</v>
      </c>
      <c r="O838" s="12" t="s">
        <v>6992</v>
      </c>
      <c r="P838" t="s">
        <v>2183</v>
      </c>
      <c r="R838"/>
      <c r="S838" t="s">
        <v>2184</v>
      </c>
      <c r="T838" s="12" t="s">
        <v>2185</v>
      </c>
      <c r="U838" s="12" t="s">
        <v>2186</v>
      </c>
      <c r="V838" s="12" t="s">
        <v>2187</v>
      </c>
      <c r="W838" s="12">
        <v>0</v>
      </c>
      <c r="X838" s="12">
        <v>1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2">
        <v>0</v>
      </c>
      <c r="AK838" s="12">
        <v>0</v>
      </c>
      <c r="AL838" s="12">
        <v>0</v>
      </c>
      <c r="AM838" s="12"/>
      <c r="AN838" s="12">
        <v>0</v>
      </c>
      <c r="AO838" s="12">
        <v>0</v>
      </c>
      <c r="AP838" s="12">
        <v>0</v>
      </c>
      <c r="AQ838" s="12">
        <v>0</v>
      </c>
      <c r="AR838" s="12">
        <v>0</v>
      </c>
      <c r="AS838" s="12">
        <v>0</v>
      </c>
      <c r="AT838" s="12">
        <v>0</v>
      </c>
      <c r="AU838" s="12">
        <v>0</v>
      </c>
      <c r="AV838" s="12">
        <v>0</v>
      </c>
      <c r="AW838" s="12">
        <v>0</v>
      </c>
      <c r="AX838" s="12">
        <v>0</v>
      </c>
      <c r="AY838" s="12">
        <v>0</v>
      </c>
      <c r="AZ838"/>
      <c r="BA838"/>
      <c r="BB838" s="12">
        <v>0</v>
      </c>
      <c r="BC838" s="12">
        <v>0</v>
      </c>
      <c r="BD838" s="12">
        <v>0</v>
      </c>
      <c r="BE838" s="12">
        <v>0</v>
      </c>
      <c r="BF838" s="12">
        <v>0</v>
      </c>
      <c r="BI838" s="12">
        <v>0</v>
      </c>
      <c r="BJ838" s="12">
        <v>0</v>
      </c>
    </row>
    <row r="839" spans="1:62" x14ac:dyDescent="0.15">
      <c r="A839" s="12"/>
      <c r="B839" t="s">
        <v>6007</v>
      </c>
      <c r="C839" s="27" t="s">
        <v>6008</v>
      </c>
      <c r="D839" t="s">
        <v>6596</v>
      </c>
      <c r="E839" t="s">
        <v>2182</v>
      </c>
      <c r="F839"/>
      <c r="G839"/>
      <c r="H839"/>
      <c r="I839"/>
      <c r="J839"/>
      <c r="K839"/>
      <c r="L839" s="10">
        <v>3977290</v>
      </c>
      <c r="M839" s="10">
        <v>705670</v>
      </c>
      <c r="N839" s="12">
        <v>15</v>
      </c>
      <c r="O839" s="12" t="s">
        <v>6992</v>
      </c>
      <c r="P839" t="s">
        <v>2183</v>
      </c>
      <c r="R839"/>
      <c r="S839" t="s">
        <v>2184</v>
      </c>
      <c r="T839" s="12" t="s">
        <v>2185</v>
      </c>
      <c r="U839" s="12" t="s">
        <v>2186</v>
      </c>
      <c r="V839" s="12" t="s">
        <v>2187</v>
      </c>
      <c r="W839" s="12">
        <v>0</v>
      </c>
      <c r="X839" s="12">
        <v>1</v>
      </c>
      <c r="Y839" s="12">
        <v>0</v>
      </c>
      <c r="Z839" s="12">
        <v>0</v>
      </c>
      <c r="AA839" s="12">
        <v>0</v>
      </c>
      <c r="AB839" s="12">
        <v>0</v>
      </c>
      <c r="AC839" s="12">
        <v>0</v>
      </c>
      <c r="AD839" s="12">
        <v>0</v>
      </c>
      <c r="AE839" s="12">
        <v>0</v>
      </c>
      <c r="AF839" s="12">
        <v>0</v>
      </c>
      <c r="AG839" s="12">
        <v>0</v>
      </c>
      <c r="AH839" s="12">
        <v>0</v>
      </c>
      <c r="AI839" s="12">
        <v>0</v>
      </c>
      <c r="AJ839" s="12">
        <v>0</v>
      </c>
      <c r="AK839" s="12">
        <v>0</v>
      </c>
      <c r="AL839" s="12">
        <v>0</v>
      </c>
      <c r="AM839" s="12"/>
      <c r="AN839" s="12">
        <v>0</v>
      </c>
      <c r="AO839" s="12">
        <v>0</v>
      </c>
      <c r="AP839" s="12">
        <v>0</v>
      </c>
      <c r="AQ839" s="12">
        <v>0</v>
      </c>
      <c r="AR839" s="12">
        <v>0</v>
      </c>
      <c r="AS839" s="12">
        <v>0</v>
      </c>
      <c r="AT839" s="12">
        <v>0</v>
      </c>
      <c r="AU839" s="12">
        <v>0</v>
      </c>
      <c r="AV839" s="12">
        <v>0</v>
      </c>
      <c r="AW839" s="12">
        <v>0</v>
      </c>
      <c r="AX839" s="12">
        <v>0</v>
      </c>
      <c r="AY839" s="12">
        <v>0</v>
      </c>
      <c r="AZ839"/>
      <c r="BA839"/>
      <c r="BB839" s="12">
        <v>0</v>
      </c>
      <c r="BC839" s="12">
        <v>0</v>
      </c>
      <c r="BD839" s="12">
        <v>0</v>
      </c>
      <c r="BE839" s="12">
        <v>0</v>
      </c>
      <c r="BF839" s="12">
        <v>0</v>
      </c>
      <c r="BI839" s="12">
        <v>0</v>
      </c>
      <c r="BJ839" s="12">
        <v>0</v>
      </c>
    </row>
    <row r="840" spans="1:62" x14ac:dyDescent="0.15">
      <c r="A840" s="12"/>
      <c r="B840" t="s">
        <v>6009</v>
      </c>
      <c r="C840" s="27" t="s">
        <v>6010</v>
      </c>
      <c r="D840" t="s">
        <v>6596</v>
      </c>
      <c r="E840" t="s">
        <v>2182</v>
      </c>
      <c r="F840"/>
      <c r="G840"/>
      <c r="H840"/>
      <c r="I840"/>
      <c r="J840"/>
      <c r="K840"/>
      <c r="L840" s="10">
        <v>3981680</v>
      </c>
      <c r="M840" s="10">
        <v>694600</v>
      </c>
      <c r="N840" s="12">
        <v>15</v>
      </c>
      <c r="O840" s="12" t="s">
        <v>6992</v>
      </c>
      <c r="P840" t="s">
        <v>2183</v>
      </c>
      <c r="R840"/>
      <c r="S840" t="s">
        <v>2184</v>
      </c>
      <c r="T840" s="12" t="s">
        <v>2185</v>
      </c>
      <c r="U840" s="12" t="s">
        <v>2186</v>
      </c>
      <c r="V840" s="12" t="s">
        <v>2187</v>
      </c>
      <c r="W840" s="12">
        <v>0</v>
      </c>
      <c r="X840" s="12">
        <v>1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2">
        <v>0</v>
      </c>
      <c r="AK840" s="12">
        <v>0</v>
      </c>
      <c r="AL840" s="12">
        <v>0</v>
      </c>
      <c r="AM840" s="12"/>
      <c r="AN840" s="12">
        <v>0</v>
      </c>
      <c r="AO840" s="12">
        <v>0</v>
      </c>
      <c r="AP840" s="12">
        <v>0</v>
      </c>
      <c r="AQ840" s="12">
        <v>0</v>
      </c>
      <c r="AR840" s="12">
        <v>0</v>
      </c>
      <c r="AS840" s="12">
        <v>0</v>
      </c>
      <c r="AT840" s="12">
        <v>0</v>
      </c>
      <c r="AU840" s="12">
        <v>0</v>
      </c>
      <c r="AV840" s="12">
        <v>0</v>
      </c>
      <c r="AW840" s="12">
        <v>0</v>
      </c>
      <c r="AX840" s="12">
        <v>0</v>
      </c>
      <c r="AY840" s="12">
        <v>0</v>
      </c>
      <c r="AZ840"/>
      <c r="BA840"/>
      <c r="BB840" s="12">
        <v>0</v>
      </c>
      <c r="BC840" s="12">
        <v>0</v>
      </c>
      <c r="BD840" s="12">
        <v>0</v>
      </c>
      <c r="BE840" s="12">
        <v>0</v>
      </c>
      <c r="BF840" s="12">
        <v>0</v>
      </c>
      <c r="BI840" s="12">
        <v>0</v>
      </c>
      <c r="BJ840" s="12">
        <v>0</v>
      </c>
    </row>
    <row r="841" spans="1:62" x14ac:dyDescent="0.15">
      <c r="A841" s="12"/>
      <c r="B841" t="s">
        <v>6011</v>
      </c>
      <c r="C841" t="s">
        <v>6011</v>
      </c>
      <c r="D841" t="s">
        <v>6596</v>
      </c>
      <c r="E841" t="s">
        <v>2182</v>
      </c>
      <c r="F841"/>
      <c r="G841"/>
      <c r="H841"/>
      <c r="I841"/>
      <c r="J841"/>
      <c r="K841"/>
      <c r="L841" s="10">
        <v>3982020</v>
      </c>
      <c r="M841" s="10">
        <v>725060</v>
      </c>
      <c r="N841" s="12">
        <v>15</v>
      </c>
      <c r="O841" s="12" t="s">
        <v>6992</v>
      </c>
      <c r="P841" t="s">
        <v>2183</v>
      </c>
      <c r="R841"/>
      <c r="S841" t="s">
        <v>2184</v>
      </c>
      <c r="T841" s="12" t="s">
        <v>2185</v>
      </c>
      <c r="U841" s="12" t="s">
        <v>2186</v>
      </c>
      <c r="V841" s="12" t="s">
        <v>2187</v>
      </c>
      <c r="W841" s="12">
        <v>0</v>
      </c>
      <c r="X841" s="12">
        <v>1</v>
      </c>
      <c r="Y841" s="12">
        <v>0</v>
      </c>
      <c r="Z841" s="12">
        <v>0</v>
      </c>
      <c r="AA841" s="12">
        <v>0</v>
      </c>
      <c r="AB841" s="12">
        <v>0</v>
      </c>
      <c r="AC841" s="12">
        <v>0</v>
      </c>
      <c r="AD841" s="12">
        <v>0</v>
      </c>
      <c r="AE841" s="12">
        <v>0</v>
      </c>
      <c r="AF841" s="12">
        <v>0</v>
      </c>
      <c r="AG841" s="12">
        <v>0</v>
      </c>
      <c r="AH841" s="12">
        <v>0</v>
      </c>
      <c r="AI841" s="12">
        <v>0</v>
      </c>
      <c r="AJ841" s="12">
        <v>0</v>
      </c>
      <c r="AK841" s="12">
        <v>0</v>
      </c>
      <c r="AL841" s="12">
        <v>0</v>
      </c>
      <c r="AM841" s="12"/>
      <c r="AN841" s="12">
        <v>0</v>
      </c>
      <c r="AO841" s="12">
        <v>0</v>
      </c>
      <c r="AP841" s="12">
        <v>0</v>
      </c>
      <c r="AQ841" s="12">
        <v>0</v>
      </c>
      <c r="AR841" s="12">
        <v>0</v>
      </c>
      <c r="AS841" s="12">
        <v>0</v>
      </c>
      <c r="AT841" s="12">
        <v>0</v>
      </c>
      <c r="AU841" s="12">
        <v>0</v>
      </c>
      <c r="AV841" s="12">
        <v>0</v>
      </c>
      <c r="AW841" s="12">
        <v>0</v>
      </c>
      <c r="AX841" s="12">
        <v>0</v>
      </c>
      <c r="AY841" s="12">
        <v>0</v>
      </c>
      <c r="AZ841"/>
      <c r="BA841"/>
      <c r="BB841" s="12">
        <v>0</v>
      </c>
      <c r="BC841" s="12">
        <v>0</v>
      </c>
      <c r="BD841" s="12">
        <v>0</v>
      </c>
      <c r="BE841" s="12">
        <v>0</v>
      </c>
      <c r="BF841" s="12">
        <v>0</v>
      </c>
      <c r="BI841" s="12">
        <v>0</v>
      </c>
      <c r="BJ841" s="12">
        <v>0</v>
      </c>
    </row>
    <row r="842" spans="1:62" x14ac:dyDescent="0.15">
      <c r="A842" s="12"/>
      <c r="B842" t="s">
        <v>6012</v>
      </c>
      <c r="C842" t="s">
        <v>6012</v>
      </c>
      <c r="D842" t="s">
        <v>6596</v>
      </c>
      <c r="E842" t="s">
        <v>2182</v>
      </c>
      <c r="F842"/>
      <c r="G842"/>
      <c r="H842"/>
      <c r="I842"/>
      <c r="J842"/>
      <c r="K842"/>
      <c r="L842" s="10">
        <v>3975420</v>
      </c>
      <c r="M842" s="10">
        <v>727620</v>
      </c>
      <c r="N842" s="12">
        <v>15</v>
      </c>
      <c r="O842" s="12" t="s">
        <v>6992</v>
      </c>
      <c r="P842" t="s">
        <v>2183</v>
      </c>
      <c r="R842"/>
      <c r="S842" t="s">
        <v>2184</v>
      </c>
      <c r="T842" s="12" t="s">
        <v>2185</v>
      </c>
      <c r="U842" s="12" t="s">
        <v>2186</v>
      </c>
      <c r="V842" s="12" t="s">
        <v>2187</v>
      </c>
      <c r="W842" s="12">
        <v>0</v>
      </c>
      <c r="X842" s="12">
        <v>1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2">
        <v>0</v>
      </c>
      <c r="AK842" s="12">
        <v>0</v>
      </c>
      <c r="AL842" s="12">
        <v>0</v>
      </c>
      <c r="AM842" s="12"/>
      <c r="AN842" s="12">
        <v>0</v>
      </c>
      <c r="AO842" s="12">
        <v>0</v>
      </c>
      <c r="AP842" s="12">
        <v>0</v>
      </c>
      <c r="AQ842" s="12">
        <v>0</v>
      </c>
      <c r="AR842" s="12">
        <v>0</v>
      </c>
      <c r="AS842" s="12">
        <v>0</v>
      </c>
      <c r="AT842" s="12">
        <v>0</v>
      </c>
      <c r="AU842" s="12">
        <v>0</v>
      </c>
      <c r="AV842" s="12">
        <v>0</v>
      </c>
      <c r="AW842" s="12">
        <v>0</v>
      </c>
      <c r="AX842" s="12">
        <v>0</v>
      </c>
      <c r="AY842" s="12">
        <v>0</v>
      </c>
      <c r="AZ842"/>
      <c r="BA842"/>
      <c r="BB842" s="12">
        <v>0</v>
      </c>
      <c r="BC842" s="12">
        <v>0</v>
      </c>
      <c r="BD842" s="12">
        <v>0</v>
      </c>
      <c r="BE842" s="12">
        <v>0</v>
      </c>
      <c r="BF842" s="12">
        <v>0</v>
      </c>
      <c r="BI842" s="12">
        <v>0</v>
      </c>
      <c r="BJ842" s="12">
        <v>0</v>
      </c>
    </row>
    <row r="843" spans="1:62" x14ac:dyDescent="0.15">
      <c r="A843" s="12"/>
      <c r="B843" t="s">
        <v>6013</v>
      </c>
      <c r="C843" s="27" t="s">
        <v>6014</v>
      </c>
      <c r="D843" t="s">
        <v>6596</v>
      </c>
      <c r="E843" t="s">
        <v>2182</v>
      </c>
      <c r="F843"/>
      <c r="G843"/>
      <c r="H843"/>
      <c r="I843"/>
      <c r="J843"/>
      <c r="K843"/>
      <c r="L843" s="10">
        <v>3979160</v>
      </c>
      <c r="M843" s="10">
        <v>696820</v>
      </c>
      <c r="N843" s="12">
        <v>15</v>
      </c>
      <c r="O843" s="12" t="s">
        <v>6992</v>
      </c>
      <c r="P843" t="s">
        <v>2183</v>
      </c>
      <c r="R843"/>
      <c r="S843" t="s">
        <v>2184</v>
      </c>
      <c r="T843" s="12" t="s">
        <v>2185</v>
      </c>
      <c r="U843" s="12" t="s">
        <v>2186</v>
      </c>
      <c r="V843" s="12" t="s">
        <v>2187</v>
      </c>
      <c r="W843" s="12">
        <v>0</v>
      </c>
      <c r="X843" s="12">
        <v>1</v>
      </c>
      <c r="Y843" s="12">
        <v>0</v>
      </c>
      <c r="Z843" s="12">
        <v>0</v>
      </c>
      <c r="AA843" s="12">
        <v>0</v>
      </c>
      <c r="AB843" s="12">
        <v>0</v>
      </c>
      <c r="AC843" s="12">
        <v>0</v>
      </c>
      <c r="AD843" s="12">
        <v>0</v>
      </c>
      <c r="AE843" s="12">
        <v>0</v>
      </c>
      <c r="AF843" s="12">
        <v>0</v>
      </c>
      <c r="AG843" s="12">
        <v>0</v>
      </c>
      <c r="AH843" s="12">
        <v>0</v>
      </c>
      <c r="AI843" s="12">
        <v>0</v>
      </c>
      <c r="AJ843" s="12">
        <v>0</v>
      </c>
      <c r="AK843" s="12">
        <v>0</v>
      </c>
      <c r="AL843" s="12">
        <v>0</v>
      </c>
      <c r="AM843" s="12"/>
      <c r="AN843" s="12">
        <v>0</v>
      </c>
      <c r="AO843" s="12">
        <v>0</v>
      </c>
      <c r="AP843" s="12">
        <v>0</v>
      </c>
      <c r="AQ843" s="12">
        <v>0</v>
      </c>
      <c r="AR843" s="12">
        <v>0</v>
      </c>
      <c r="AS843" s="12">
        <v>0</v>
      </c>
      <c r="AT843" s="12">
        <v>0</v>
      </c>
      <c r="AU843" s="12">
        <v>0</v>
      </c>
      <c r="AV843" s="12">
        <v>0</v>
      </c>
      <c r="AW843" s="12">
        <v>0</v>
      </c>
      <c r="AX843" s="12">
        <v>0</v>
      </c>
      <c r="AY843" s="12">
        <v>0</v>
      </c>
      <c r="AZ843"/>
      <c r="BA843"/>
      <c r="BB843" s="12">
        <v>0</v>
      </c>
      <c r="BC843" s="12">
        <v>0</v>
      </c>
      <c r="BD843" s="12">
        <v>0</v>
      </c>
      <c r="BE843" s="12">
        <v>0</v>
      </c>
      <c r="BF843" s="12">
        <v>0</v>
      </c>
      <c r="BI843" s="12">
        <v>0</v>
      </c>
      <c r="BJ843" s="12">
        <v>0</v>
      </c>
    </row>
    <row r="844" spans="1:62" x14ac:dyDescent="0.15">
      <c r="A844" s="12"/>
      <c r="B844" t="s">
        <v>6015</v>
      </c>
      <c r="C844" s="27" t="s">
        <v>6016</v>
      </c>
      <c r="D844" t="s">
        <v>6596</v>
      </c>
      <c r="E844" t="s">
        <v>2182</v>
      </c>
      <c r="F844"/>
      <c r="G844"/>
      <c r="H844"/>
      <c r="I844"/>
      <c r="J844"/>
      <c r="K844"/>
      <c r="L844" s="10">
        <v>3980570</v>
      </c>
      <c r="M844" s="10">
        <v>696940</v>
      </c>
      <c r="N844" s="12">
        <v>15</v>
      </c>
      <c r="O844" s="12" t="s">
        <v>6992</v>
      </c>
      <c r="P844" t="s">
        <v>2183</v>
      </c>
      <c r="R844"/>
      <c r="S844" t="s">
        <v>2184</v>
      </c>
      <c r="T844" s="12" t="s">
        <v>2185</v>
      </c>
      <c r="U844" s="12" t="s">
        <v>2186</v>
      </c>
      <c r="V844" s="12" t="s">
        <v>2187</v>
      </c>
      <c r="W844" s="12">
        <v>0</v>
      </c>
      <c r="X844" s="12">
        <v>1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2">
        <v>0</v>
      </c>
      <c r="AK844" s="12">
        <v>0</v>
      </c>
      <c r="AL844" s="12">
        <v>0</v>
      </c>
      <c r="AM844" s="12"/>
      <c r="AN844" s="12">
        <v>0</v>
      </c>
      <c r="AO844" s="12">
        <v>0</v>
      </c>
      <c r="AP844" s="12">
        <v>0</v>
      </c>
      <c r="AQ844" s="12">
        <v>0</v>
      </c>
      <c r="AR844" s="12">
        <v>0</v>
      </c>
      <c r="AS844" s="12">
        <v>0</v>
      </c>
      <c r="AT844" s="12">
        <v>0</v>
      </c>
      <c r="AU844" s="12">
        <v>0</v>
      </c>
      <c r="AV844" s="12">
        <v>0</v>
      </c>
      <c r="AW844" s="12">
        <v>0</v>
      </c>
      <c r="AX844" s="12">
        <v>0</v>
      </c>
      <c r="AY844" s="12">
        <v>0</v>
      </c>
      <c r="AZ844"/>
      <c r="BA844"/>
      <c r="BB844" s="12">
        <v>0</v>
      </c>
      <c r="BC844" s="12">
        <v>0</v>
      </c>
      <c r="BD844" s="12">
        <v>0</v>
      </c>
      <c r="BE844" s="12">
        <v>0</v>
      </c>
      <c r="BF844" s="12">
        <v>0</v>
      </c>
      <c r="BI844" s="12">
        <v>0</v>
      </c>
      <c r="BJ844" s="12">
        <v>0</v>
      </c>
    </row>
    <row r="845" spans="1:62" x14ac:dyDescent="0.15">
      <c r="A845" s="12"/>
      <c r="B845" t="s">
        <v>6017</v>
      </c>
      <c r="C845" t="s">
        <v>6017</v>
      </c>
      <c r="D845" t="s">
        <v>6596</v>
      </c>
      <c r="E845" t="s">
        <v>2182</v>
      </c>
      <c r="F845"/>
      <c r="G845"/>
      <c r="H845"/>
      <c r="I845"/>
      <c r="J845"/>
      <c r="K845"/>
      <c r="L845" s="10">
        <v>3976020</v>
      </c>
      <c r="M845" s="10">
        <v>720620</v>
      </c>
      <c r="N845" s="12">
        <v>15</v>
      </c>
      <c r="O845" s="12" t="s">
        <v>6992</v>
      </c>
      <c r="P845" t="s">
        <v>2183</v>
      </c>
      <c r="R845"/>
      <c r="S845" t="s">
        <v>2184</v>
      </c>
      <c r="T845" s="12" t="s">
        <v>2185</v>
      </c>
      <c r="U845" s="12" t="s">
        <v>2186</v>
      </c>
      <c r="V845" s="12" t="s">
        <v>2187</v>
      </c>
      <c r="W845" s="12">
        <v>0</v>
      </c>
      <c r="X845" s="12">
        <v>1</v>
      </c>
      <c r="Y845" s="12">
        <v>0</v>
      </c>
      <c r="Z845" s="12">
        <v>0</v>
      </c>
      <c r="AA845" s="12">
        <v>0</v>
      </c>
      <c r="AB845" s="12">
        <v>0</v>
      </c>
      <c r="AC845" s="12">
        <v>0</v>
      </c>
      <c r="AD845" s="12">
        <v>0</v>
      </c>
      <c r="AE845" s="12">
        <v>0</v>
      </c>
      <c r="AF845" s="12">
        <v>0</v>
      </c>
      <c r="AG845" s="12">
        <v>0</v>
      </c>
      <c r="AH845" s="12">
        <v>0</v>
      </c>
      <c r="AI845" s="12">
        <v>0</v>
      </c>
      <c r="AJ845" s="12">
        <v>0</v>
      </c>
      <c r="AK845" s="12">
        <v>0</v>
      </c>
      <c r="AL845" s="12">
        <v>0</v>
      </c>
      <c r="AM845" s="12"/>
      <c r="AN845" s="12">
        <v>0</v>
      </c>
      <c r="AO845" s="12">
        <v>0</v>
      </c>
      <c r="AP845" s="12">
        <v>0</v>
      </c>
      <c r="AQ845" s="12">
        <v>0</v>
      </c>
      <c r="AR845" s="12">
        <v>0</v>
      </c>
      <c r="AS845" s="12">
        <v>0</v>
      </c>
      <c r="AT845" s="12">
        <v>0</v>
      </c>
      <c r="AU845" s="12">
        <v>0</v>
      </c>
      <c r="AV845" s="12">
        <v>0</v>
      </c>
      <c r="AW845" s="12">
        <v>0</v>
      </c>
      <c r="AX845" s="12">
        <v>0</v>
      </c>
      <c r="AY845" s="12">
        <v>0</v>
      </c>
      <c r="AZ845"/>
      <c r="BA845"/>
      <c r="BB845" s="12">
        <v>0</v>
      </c>
      <c r="BC845" s="12">
        <v>0</v>
      </c>
      <c r="BD845" s="12">
        <v>0</v>
      </c>
      <c r="BE845" s="12">
        <v>0</v>
      </c>
      <c r="BF845" s="12">
        <v>0</v>
      </c>
      <c r="BI845" s="12">
        <v>0</v>
      </c>
      <c r="BJ845" s="12">
        <v>0</v>
      </c>
    </row>
    <row r="846" spans="1:62" x14ac:dyDescent="0.15">
      <c r="A846" s="12"/>
      <c r="B846" t="s">
        <v>6018</v>
      </c>
      <c r="C846" s="27" t="s">
        <v>6019</v>
      </c>
      <c r="D846" t="s">
        <v>6596</v>
      </c>
      <c r="E846" t="s">
        <v>2182</v>
      </c>
      <c r="F846"/>
      <c r="G846"/>
      <c r="H846"/>
      <c r="I846"/>
      <c r="J846"/>
      <c r="K846"/>
      <c r="L846" s="10">
        <v>3977600</v>
      </c>
      <c r="M846" s="10">
        <v>693180</v>
      </c>
      <c r="N846" s="12">
        <v>15</v>
      </c>
      <c r="O846" s="12" t="s">
        <v>6992</v>
      </c>
      <c r="P846" t="s">
        <v>2183</v>
      </c>
      <c r="R846"/>
      <c r="S846" t="s">
        <v>2184</v>
      </c>
      <c r="T846" s="12" t="s">
        <v>2185</v>
      </c>
      <c r="U846" s="12" t="s">
        <v>2186</v>
      </c>
      <c r="V846" s="12" t="s">
        <v>2187</v>
      </c>
      <c r="W846" s="12">
        <v>0</v>
      </c>
      <c r="X846" s="12">
        <v>1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2">
        <v>0</v>
      </c>
      <c r="AK846" s="12">
        <v>0</v>
      </c>
      <c r="AL846" s="12">
        <v>0</v>
      </c>
      <c r="AM846" s="12"/>
      <c r="AN846" s="12">
        <v>0</v>
      </c>
      <c r="AO846" s="12">
        <v>0</v>
      </c>
      <c r="AP846" s="12">
        <v>0</v>
      </c>
      <c r="AQ846" s="12">
        <v>0</v>
      </c>
      <c r="AR846" s="12">
        <v>0</v>
      </c>
      <c r="AS846" s="12">
        <v>0</v>
      </c>
      <c r="AT846" s="12">
        <v>0</v>
      </c>
      <c r="AU846" s="12">
        <v>0</v>
      </c>
      <c r="AV846" s="12">
        <v>0</v>
      </c>
      <c r="AW846" s="12">
        <v>0</v>
      </c>
      <c r="AX846" s="12">
        <v>0</v>
      </c>
      <c r="AY846" s="12">
        <v>0</v>
      </c>
      <c r="AZ846"/>
      <c r="BA846"/>
      <c r="BB846" s="12">
        <v>0</v>
      </c>
      <c r="BC846" s="12">
        <v>0</v>
      </c>
      <c r="BD846" s="12">
        <v>0</v>
      </c>
      <c r="BE846" s="12">
        <v>0</v>
      </c>
      <c r="BF846" s="12">
        <v>0</v>
      </c>
      <c r="BI846" s="12">
        <v>0</v>
      </c>
      <c r="BJ846" s="12">
        <v>0</v>
      </c>
    </row>
    <row r="847" spans="1:62" x14ac:dyDescent="0.15">
      <c r="A847" s="12"/>
      <c r="B847" t="s">
        <v>6020</v>
      </c>
      <c r="C847" s="27" t="s">
        <v>6021</v>
      </c>
      <c r="D847" t="s">
        <v>6596</v>
      </c>
      <c r="E847" t="s">
        <v>2182</v>
      </c>
      <c r="F847"/>
      <c r="G847"/>
      <c r="H847"/>
      <c r="I847"/>
      <c r="J847"/>
      <c r="K847"/>
      <c r="L847" s="10">
        <v>3973060</v>
      </c>
      <c r="M847" s="10">
        <v>693230</v>
      </c>
      <c r="N847" s="12">
        <v>15</v>
      </c>
      <c r="O847" s="12" t="s">
        <v>6992</v>
      </c>
      <c r="P847" t="s">
        <v>2183</v>
      </c>
      <c r="R847"/>
      <c r="S847" t="s">
        <v>2184</v>
      </c>
      <c r="T847" s="12" t="s">
        <v>2185</v>
      </c>
      <c r="U847" s="12" t="s">
        <v>2186</v>
      </c>
      <c r="V847" s="12" t="s">
        <v>2187</v>
      </c>
      <c r="W847" s="12">
        <v>0</v>
      </c>
      <c r="X847" s="12">
        <v>1</v>
      </c>
      <c r="Y847" s="12">
        <v>0</v>
      </c>
      <c r="Z847" s="12">
        <v>0</v>
      </c>
      <c r="AA847" s="12">
        <v>0</v>
      </c>
      <c r="AB847" s="12">
        <v>0</v>
      </c>
      <c r="AC847" s="12">
        <v>0</v>
      </c>
      <c r="AD847" s="12">
        <v>0</v>
      </c>
      <c r="AE847" s="12">
        <v>0</v>
      </c>
      <c r="AF847" s="12">
        <v>0</v>
      </c>
      <c r="AG847" s="12">
        <v>0</v>
      </c>
      <c r="AH847" s="12">
        <v>0</v>
      </c>
      <c r="AI847" s="12">
        <v>0</v>
      </c>
      <c r="AJ847" s="12">
        <v>0</v>
      </c>
      <c r="AK847" s="12">
        <v>0</v>
      </c>
      <c r="AL847" s="12">
        <v>0</v>
      </c>
      <c r="AM847" s="12"/>
      <c r="AN847" s="12">
        <v>0</v>
      </c>
      <c r="AO847" s="12">
        <v>0</v>
      </c>
      <c r="AP847" s="12">
        <v>0</v>
      </c>
      <c r="AQ847" s="12">
        <v>0</v>
      </c>
      <c r="AR847" s="12">
        <v>0</v>
      </c>
      <c r="AS847" s="12">
        <v>0</v>
      </c>
      <c r="AT847" s="12">
        <v>0</v>
      </c>
      <c r="AU847" s="12">
        <v>0</v>
      </c>
      <c r="AV847" s="12">
        <v>0</v>
      </c>
      <c r="AW847" s="12">
        <v>0</v>
      </c>
      <c r="AX847" s="12">
        <v>0</v>
      </c>
      <c r="AY847" s="12">
        <v>0</v>
      </c>
      <c r="AZ847"/>
      <c r="BA847"/>
      <c r="BB847" s="12">
        <v>0</v>
      </c>
      <c r="BC847" s="12">
        <v>0</v>
      </c>
      <c r="BD847" s="12">
        <v>0</v>
      </c>
      <c r="BE847" s="12">
        <v>0</v>
      </c>
      <c r="BF847" s="12">
        <v>0</v>
      </c>
      <c r="BI847" s="12">
        <v>0</v>
      </c>
      <c r="BJ847" s="12">
        <v>0</v>
      </c>
    </row>
    <row r="848" spans="1:62" x14ac:dyDescent="0.15">
      <c r="A848" s="12"/>
      <c r="B848" t="s">
        <v>6022</v>
      </c>
      <c r="C848" s="27" t="s">
        <v>6023</v>
      </c>
      <c r="D848" t="s">
        <v>6596</v>
      </c>
      <c r="E848" t="s">
        <v>2182</v>
      </c>
      <c r="F848"/>
      <c r="G848"/>
      <c r="H848"/>
      <c r="I848"/>
      <c r="J848"/>
      <c r="K848"/>
      <c r="L848" s="10">
        <v>3972520</v>
      </c>
      <c r="M848" s="10">
        <v>693010</v>
      </c>
      <c r="N848" s="12">
        <v>15</v>
      </c>
      <c r="O848" s="12" t="s">
        <v>6992</v>
      </c>
      <c r="P848" t="s">
        <v>2183</v>
      </c>
      <c r="R848"/>
      <c r="S848" t="s">
        <v>2184</v>
      </c>
      <c r="T848" s="12" t="s">
        <v>2185</v>
      </c>
      <c r="U848" s="12" t="s">
        <v>2186</v>
      </c>
      <c r="V848" s="12" t="s">
        <v>2187</v>
      </c>
      <c r="W848" s="12">
        <v>0</v>
      </c>
      <c r="X848" s="12">
        <v>1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2">
        <v>0</v>
      </c>
      <c r="AK848" s="12">
        <v>0</v>
      </c>
      <c r="AL848" s="12">
        <v>0</v>
      </c>
      <c r="AM848" s="12"/>
      <c r="AN848" s="12">
        <v>0</v>
      </c>
      <c r="AO848" s="12">
        <v>0</v>
      </c>
      <c r="AP848" s="12">
        <v>0</v>
      </c>
      <c r="AQ848" s="12">
        <v>0</v>
      </c>
      <c r="AR848" s="12">
        <v>0</v>
      </c>
      <c r="AS848" s="12">
        <v>0</v>
      </c>
      <c r="AT848" s="12">
        <v>0</v>
      </c>
      <c r="AU848" s="12">
        <v>0</v>
      </c>
      <c r="AV848" s="12">
        <v>0</v>
      </c>
      <c r="AW848" s="12">
        <v>0</v>
      </c>
      <c r="AX848" s="12">
        <v>0</v>
      </c>
      <c r="AY848" s="12">
        <v>0</v>
      </c>
      <c r="AZ848"/>
      <c r="BA848"/>
      <c r="BB848" s="12">
        <v>0</v>
      </c>
      <c r="BC848" s="12">
        <v>0</v>
      </c>
      <c r="BD848" s="12">
        <v>0</v>
      </c>
      <c r="BE848" s="12">
        <v>0</v>
      </c>
      <c r="BF848" s="12">
        <v>0</v>
      </c>
      <c r="BI848" s="12">
        <v>0</v>
      </c>
      <c r="BJ848" s="12">
        <v>0</v>
      </c>
    </row>
    <row r="849" spans="1:62" x14ac:dyDescent="0.15">
      <c r="A849" s="12"/>
      <c r="B849" t="s">
        <v>6024</v>
      </c>
      <c r="C849" s="27" t="s">
        <v>6025</v>
      </c>
      <c r="D849" t="s">
        <v>6596</v>
      </c>
      <c r="E849" t="s">
        <v>2182</v>
      </c>
      <c r="F849"/>
      <c r="G849"/>
      <c r="H849"/>
      <c r="I849"/>
      <c r="J849"/>
      <c r="K849"/>
      <c r="L849" s="10">
        <v>3975430</v>
      </c>
      <c r="M849" s="10">
        <v>695450</v>
      </c>
      <c r="N849" s="12">
        <v>15</v>
      </c>
      <c r="O849" s="12" t="s">
        <v>6992</v>
      </c>
      <c r="P849" t="s">
        <v>2183</v>
      </c>
      <c r="R849"/>
      <c r="S849" t="s">
        <v>2184</v>
      </c>
      <c r="T849" s="12" t="s">
        <v>2185</v>
      </c>
      <c r="U849" s="12" t="s">
        <v>2186</v>
      </c>
      <c r="V849" s="12" t="s">
        <v>2187</v>
      </c>
      <c r="W849" s="12">
        <v>0</v>
      </c>
      <c r="X849" s="12">
        <v>1</v>
      </c>
      <c r="Y849" s="12">
        <v>0</v>
      </c>
      <c r="Z849" s="12">
        <v>0</v>
      </c>
      <c r="AA849" s="12">
        <v>0</v>
      </c>
      <c r="AB849" s="12">
        <v>0</v>
      </c>
      <c r="AC849" s="12">
        <v>0</v>
      </c>
      <c r="AD849" s="12">
        <v>0</v>
      </c>
      <c r="AE849" s="12">
        <v>0</v>
      </c>
      <c r="AF849" s="12">
        <v>0</v>
      </c>
      <c r="AG849" s="12">
        <v>0</v>
      </c>
      <c r="AH849" s="12">
        <v>0</v>
      </c>
      <c r="AI849" s="12">
        <v>0</v>
      </c>
      <c r="AJ849" s="12">
        <v>0</v>
      </c>
      <c r="AK849" s="12">
        <v>0</v>
      </c>
      <c r="AL849" s="12">
        <v>0</v>
      </c>
      <c r="AM849" s="12"/>
      <c r="AN849" s="12">
        <v>0</v>
      </c>
      <c r="AO849" s="12">
        <v>0</v>
      </c>
      <c r="AP849" s="12">
        <v>0</v>
      </c>
      <c r="AQ849" s="12">
        <v>0</v>
      </c>
      <c r="AR849" s="12">
        <v>0</v>
      </c>
      <c r="AS849" s="12">
        <v>0</v>
      </c>
      <c r="AT849" s="12">
        <v>0</v>
      </c>
      <c r="AU849" s="12">
        <v>0</v>
      </c>
      <c r="AV849" s="12">
        <v>0</v>
      </c>
      <c r="AW849" s="12">
        <v>0</v>
      </c>
      <c r="AX849" s="12">
        <v>0</v>
      </c>
      <c r="AY849" s="12">
        <v>0</v>
      </c>
      <c r="AZ849"/>
      <c r="BA849"/>
      <c r="BB849" s="12">
        <v>0</v>
      </c>
      <c r="BC849" s="12">
        <v>0</v>
      </c>
      <c r="BD849" s="12">
        <v>0</v>
      </c>
      <c r="BE849" s="12">
        <v>0</v>
      </c>
      <c r="BF849" s="12">
        <v>0</v>
      </c>
      <c r="BI849" s="12">
        <v>0</v>
      </c>
      <c r="BJ849" s="12">
        <v>0</v>
      </c>
    </row>
    <row r="850" spans="1:62" x14ac:dyDescent="0.15">
      <c r="A850" s="12"/>
      <c r="B850" t="s">
        <v>6026</v>
      </c>
      <c r="C850" s="27" t="s">
        <v>6027</v>
      </c>
      <c r="D850" t="s">
        <v>6596</v>
      </c>
      <c r="E850" t="s">
        <v>2182</v>
      </c>
      <c r="F850"/>
      <c r="G850"/>
      <c r="H850"/>
      <c r="I850"/>
      <c r="J850"/>
      <c r="K850"/>
      <c r="L850" s="10">
        <v>3980680</v>
      </c>
      <c r="M850" s="10">
        <v>696440</v>
      </c>
      <c r="N850" s="12">
        <v>15</v>
      </c>
      <c r="O850" s="12" t="s">
        <v>6992</v>
      </c>
      <c r="P850" t="s">
        <v>2183</v>
      </c>
      <c r="R850"/>
      <c r="S850" t="s">
        <v>2184</v>
      </c>
      <c r="T850" s="12" t="s">
        <v>2185</v>
      </c>
      <c r="U850" s="12" t="s">
        <v>2186</v>
      </c>
      <c r="V850" s="12" t="s">
        <v>2187</v>
      </c>
      <c r="W850" s="12">
        <v>0</v>
      </c>
      <c r="X850" s="12">
        <v>1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2">
        <v>0</v>
      </c>
      <c r="AK850" s="12">
        <v>0</v>
      </c>
      <c r="AL850" s="12">
        <v>0</v>
      </c>
      <c r="AM850" s="12"/>
      <c r="AN850" s="12">
        <v>0</v>
      </c>
      <c r="AO850" s="12">
        <v>0</v>
      </c>
      <c r="AP850" s="12">
        <v>0</v>
      </c>
      <c r="AQ850" s="12">
        <v>0</v>
      </c>
      <c r="AR850" s="12">
        <v>0</v>
      </c>
      <c r="AS850" s="12">
        <v>0</v>
      </c>
      <c r="AT850" s="12">
        <v>0</v>
      </c>
      <c r="AU850" s="12">
        <v>0</v>
      </c>
      <c r="AV850" s="12">
        <v>0</v>
      </c>
      <c r="AW850" s="12">
        <v>0</v>
      </c>
      <c r="AX850" s="12">
        <v>0</v>
      </c>
      <c r="AY850" s="12">
        <v>0</v>
      </c>
      <c r="AZ850"/>
      <c r="BA850"/>
      <c r="BB850" s="12">
        <v>0</v>
      </c>
      <c r="BC850" s="12">
        <v>0</v>
      </c>
      <c r="BD850" s="12">
        <v>0</v>
      </c>
      <c r="BE850" s="12">
        <v>0</v>
      </c>
      <c r="BF850" s="12">
        <v>0</v>
      </c>
      <c r="BI850" s="12">
        <v>0</v>
      </c>
      <c r="BJ850" s="12">
        <v>0</v>
      </c>
    </row>
    <row r="851" spans="1:62" x14ac:dyDescent="0.15">
      <c r="A851" s="12"/>
      <c r="B851" t="s">
        <v>6028</v>
      </c>
      <c r="C851" t="s">
        <v>6028</v>
      </c>
      <c r="D851" t="s">
        <v>6596</v>
      </c>
      <c r="E851" t="s">
        <v>2182</v>
      </c>
      <c r="F851"/>
      <c r="G851"/>
      <c r="H851"/>
      <c r="I851"/>
      <c r="J851"/>
      <c r="K851"/>
      <c r="L851" s="10">
        <v>3975860</v>
      </c>
      <c r="M851" s="10">
        <v>719960</v>
      </c>
      <c r="N851" s="12">
        <v>15</v>
      </c>
      <c r="O851" s="12" t="s">
        <v>6992</v>
      </c>
      <c r="P851" t="s">
        <v>2183</v>
      </c>
      <c r="R851"/>
      <c r="S851" t="s">
        <v>2184</v>
      </c>
      <c r="T851" s="12" t="s">
        <v>2185</v>
      </c>
      <c r="U851" s="12" t="s">
        <v>2186</v>
      </c>
      <c r="V851" s="12" t="s">
        <v>2187</v>
      </c>
      <c r="W851" s="12">
        <v>0</v>
      </c>
      <c r="X851" s="12">
        <v>1</v>
      </c>
      <c r="Y851" s="12">
        <v>0</v>
      </c>
      <c r="Z851" s="12">
        <v>0</v>
      </c>
      <c r="AA851" s="12">
        <v>0</v>
      </c>
      <c r="AB851" s="12">
        <v>0</v>
      </c>
      <c r="AC851" s="12">
        <v>0</v>
      </c>
      <c r="AD851" s="12">
        <v>0</v>
      </c>
      <c r="AE851" s="12">
        <v>0</v>
      </c>
      <c r="AF851" s="12">
        <v>0</v>
      </c>
      <c r="AG851" s="12">
        <v>0</v>
      </c>
      <c r="AH851" s="12">
        <v>0</v>
      </c>
      <c r="AI851" s="12">
        <v>0</v>
      </c>
      <c r="AJ851" s="12">
        <v>0</v>
      </c>
      <c r="AK851" s="12">
        <v>0</v>
      </c>
      <c r="AL851" s="12">
        <v>0</v>
      </c>
      <c r="AM851" s="12"/>
      <c r="AN851" s="12">
        <v>0</v>
      </c>
      <c r="AO851" s="12">
        <v>0</v>
      </c>
      <c r="AP851" s="12">
        <v>0</v>
      </c>
      <c r="AQ851" s="12">
        <v>0</v>
      </c>
      <c r="AR851" s="12">
        <v>0</v>
      </c>
      <c r="AS851" s="12">
        <v>0</v>
      </c>
      <c r="AT851" s="12">
        <v>0</v>
      </c>
      <c r="AU851" s="12">
        <v>0</v>
      </c>
      <c r="AV851" s="12">
        <v>0</v>
      </c>
      <c r="AW851" s="12">
        <v>0</v>
      </c>
      <c r="AX851" s="12">
        <v>0</v>
      </c>
      <c r="AY851" s="12">
        <v>0</v>
      </c>
      <c r="AZ851"/>
      <c r="BA851"/>
      <c r="BB851" s="12">
        <v>0</v>
      </c>
      <c r="BC851" s="12">
        <v>0</v>
      </c>
      <c r="BD851" s="12">
        <v>0</v>
      </c>
      <c r="BE851" s="12">
        <v>0</v>
      </c>
      <c r="BF851" s="12">
        <v>0</v>
      </c>
      <c r="BI851" s="12">
        <v>0</v>
      </c>
      <c r="BJ851" s="12">
        <v>0</v>
      </c>
    </row>
    <row r="852" spans="1:62" x14ac:dyDescent="0.15">
      <c r="A852" s="12"/>
      <c r="B852" t="s">
        <v>6029</v>
      </c>
      <c r="C852" t="s">
        <v>6029</v>
      </c>
      <c r="D852" t="s">
        <v>6596</v>
      </c>
      <c r="E852" t="s">
        <v>2182</v>
      </c>
      <c r="F852"/>
      <c r="G852"/>
      <c r="H852"/>
      <c r="I852"/>
      <c r="J852"/>
      <c r="K852"/>
      <c r="L852" s="10">
        <v>3976190</v>
      </c>
      <c r="M852" s="10">
        <v>720760</v>
      </c>
      <c r="N852" s="12">
        <v>15</v>
      </c>
      <c r="O852" s="12" t="s">
        <v>6992</v>
      </c>
      <c r="P852" t="s">
        <v>2183</v>
      </c>
      <c r="R852"/>
      <c r="S852" t="s">
        <v>2184</v>
      </c>
      <c r="T852" s="12" t="s">
        <v>2185</v>
      </c>
      <c r="U852" s="12" t="s">
        <v>2186</v>
      </c>
      <c r="V852" s="12" t="s">
        <v>2187</v>
      </c>
      <c r="W852" s="12">
        <v>0</v>
      </c>
      <c r="X852" s="12">
        <v>1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2">
        <v>0</v>
      </c>
      <c r="AK852" s="12">
        <v>0</v>
      </c>
      <c r="AL852" s="12">
        <v>0</v>
      </c>
      <c r="AM852" s="12"/>
      <c r="AN852" s="12">
        <v>0</v>
      </c>
      <c r="AO852" s="12">
        <v>0</v>
      </c>
      <c r="AP852" s="12">
        <v>0</v>
      </c>
      <c r="AQ852" s="12">
        <v>0</v>
      </c>
      <c r="AR852" s="12">
        <v>0</v>
      </c>
      <c r="AS852" s="12">
        <v>0</v>
      </c>
      <c r="AT852" s="12">
        <v>0</v>
      </c>
      <c r="AU852" s="12">
        <v>0</v>
      </c>
      <c r="AV852" s="12">
        <v>0</v>
      </c>
      <c r="AW852" s="12">
        <v>0</v>
      </c>
      <c r="AX852" s="12">
        <v>0</v>
      </c>
      <c r="AY852" s="12">
        <v>0</v>
      </c>
      <c r="AZ852"/>
      <c r="BA852"/>
      <c r="BB852" s="12">
        <v>0</v>
      </c>
      <c r="BC852" s="12">
        <v>0</v>
      </c>
      <c r="BD852" s="12">
        <v>0</v>
      </c>
      <c r="BE852" s="12">
        <v>0</v>
      </c>
      <c r="BF852" s="12">
        <v>0</v>
      </c>
      <c r="BI852" s="12">
        <v>0</v>
      </c>
      <c r="BJ852" s="12">
        <v>0</v>
      </c>
    </row>
    <row r="853" spans="1:62" x14ac:dyDescent="0.15">
      <c r="A853" s="12"/>
      <c r="B853" t="s">
        <v>6030</v>
      </c>
      <c r="C853" t="s">
        <v>6030</v>
      </c>
      <c r="D853" t="s">
        <v>6596</v>
      </c>
      <c r="E853" t="s">
        <v>2182</v>
      </c>
      <c r="F853"/>
      <c r="G853"/>
      <c r="H853"/>
      <c r="I853"/>
      <c r="J853"/>
      <c r="K853"/>
      <c r="L853" s="10">
        <v>3973430</v>
      </c>
      <c r="M853" s="10">
        <v>717720</v>
      </c>
      <c r="N853" s="12">
        <v>15</v>
      </c>
      <c r="O853" s="12" t="s">
        <v>6992</v>
      </c>
      <c r="P853" t="s">
        <v>2183</v>
      </c>
      <c r="R853"/>
      <c r="S853" t="s">
        <v>2184</v>
      </c>
      <c r="T853" s="12" t="s">
        <v>2185</v>
      </c>
      <c r="U853" s="12" t="s">
        <v>2186</v>
      </c>
      <c r="V853" s="12" t="s">
        <v>2187</v>
      </c>
      <c r="W853" s="12">
        <v>0</v>
      </c>
      <c r="X853" s="12">
        <v>1</v>
      </c>
      <c r="Y853" s="12">
        <v>0</v>
      </c>
      <c r="Z853" s="12">
        <v>0</v>
      </c>
      <c r="AA853" s="12">
        <v>0</v>
      </c>
      <c r="AB853" s="12">
        <v>0</v>
      </c>
      <c r="AC853" s="12">
        <v>0</v>
      </c>
      <c r="AD853" s="12">
        <v>0</v>
      </c>
      <c r="AE853" s="12">
        <v>0</v>
      </c>
      <c r="AF853" s="12">
        <v>0</v>
      </c>
      <c r="AG853" s="12">
        <v>0</v>
      </c>
      <c r="AH853" s="12">
        <v>0</v>
      </c>
      <c r="AI853" s="12">
        <v>0</v>
      </c>
      <c r="AJ853" s="12">
        <v>0</v>
      </c>
      <c r="AK853" s="12">
        <v>0</v>
      </c>
      <c r="AL853" s="12">
        <v>0</v>
      </c>
      <c r="AM853" s="12"/>
      <c r="AN853" s="12">
        <v>0</v>
      </c>
      <c r="AO853" s="12">
        <v>0</v>
      </c>
      <c r="AP853" s="12">
        <v>0</v>
      </c>
      <c r="AQ853" s="12">
        <v>0</v>
      </c>
      <c r="AR853" s="12">
        <v>0</v>
      </c>
      <c r="AS853" s="12">
        <v>0</v>
      </c>
      <c r="AT853" s="12">
        <v>0</v>
      </c>
      <c r="AU853" s="12">
        <v>0</v>
      </c>
      <c r="AV853" s="12">
        <v>0</v>
      </c>
      <c r="AW853" s="12">
        <v>0</v>
      </c>
      <c r="AX853" s="12">
        <v>0</v>
      </c>
      <c r="AY853" s="12">
        <v>0</v>
      </c>
      <c r="AZ853"/>
      <c r="BA853"/>
      <c r="BB853" s="12">
        <v>0</v>
      </c>
      <c r="BC853" s="12">
        <v>0</v>
      </c>
      <c r="BD853" s="12">
        <v>0</v>
      </c>
      <c r="BE853" s="12">
        <v>0</v>
      </c>
      <c r="BF853" s="12">
        <v>0</v>
      </c>
      <c r="BI853" s="12">
        <v>0</v>
      </c>
      <c r="BJ853" s="12">
        <v>0</v>
      </c>
    </row>
    <row r="854" spans="1:62" x14ac:dyDescent="0.15">
      <c r="A854" s="12"/>
      <c r="B854" t="s">
        <v>6031</v>
      </c>
      <c r="C854" t="s">
        <v>6031</v>
      </c>
      <c r="D854" t="s">
        <v>6596</v>
      </c>
      <c r="E854" t="s">
        <v>2182</v>
      </c>
      <c r="F854"/>
      <c r="G854"/>
      <c r="H854"/>
      <c r="I854"/>
      <c r="J854"/>
      <c r="K854"/>
      <c r="L854" s="10">
        <v>3972760</v>
      </c>
      <c r="M854" s="10">
        <v>720270</v>
      </c>
      <c r="N854" s="12">
        <v>15</v>
      </c>
      <c r="O854" s="12" t="s">
        <v>6992</v>
      </c>
      <c r="P854" t="s">
        <v>2183</v>
      </c>
      <c r="R854"/>
      <c r="S854" t="s">
        <v>2184</v>
      </c>
      <c r="T854" s="12" t="s">
        <v>2185</v>
      </c>
      <c r="U854" s="12" t="s">
        <v>2186</v>
      </c>
      <c r="V854" s="12" t="s">
        <v>2187</v>
      </c>
      <c r="W854" s="12">
        <v>0</v>
      </c>
      <c r="X854" s="12">
        <v>1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2">
        <v>0</v>
      </c>
      <c r="AK854" s="12">
        <v>0</v>
      </c>
      <c r="AL854" s="12">
        <v>0</v>
      </c>
      <c r="AM854" s="12"/>
      <c r="AN854" s="12">
        <v>0</v>
      </c>
      <c r="AO854" s="12">
        <v>0</v>
      </c>
      <c r="AP854" s="12">
        <v>0</v>
      </c>
      <c r="AQ854" s="12">
        <v>0</v>
      </c>
      <c r="AR854" s="12">
        <v>0</v>
      </c>
      <c r="AS854" s="12">
        <v>0</v>
      </c>
      <c r="AT854" s="12">
        <v>0</v>
      </c>
      <c r="AU854" s="12">
        <v>0</v>
      </c>
      <c r="AV854" s="12">
        <v>0</v>
      </c>
      <c r="AW854" s="12">
        <v>0</v>
      </c>
      <c r="AX854" s="12">
        <v>0</v>
      </c>
      <c r="AY854" s="12">
        <v>0</v>
      </c>
      <c r="AZ854"/>
      <c r="BA854"/>
      <c r="BB854" s="12">
        <v>0</v>
      </c>
      <c r="BC854" s="12">
        <v>0</v>
      </c>
      <c r="BD854" s="12">
        <v>0</v>
      </c>
      <c r="BE854" s="12">
        <v>0</v>
      </c>
      <c r="BF854" s="12">
        <v>0</v>
      </c>
      <c r="BI854" s="12">
        <v>0</v>
      </c>
      <c r="BJ854" s="12">
        <v>0</v>
      </c>
    </row>
    <row r="855" spans="1:62" x14ac:dyDescent="0.15">
      <c r="A855" s="12"/>
      <c r="B855" t="s">
        <v>6032</v>
      </c>
      <c r="C855" s="27" t="s">
        <v>6033</v>
      </c>
      <c r="D855" t="s">
        <v>6596</v>
      </c>
      <c r="E855" t="s">
        <v>2182</v>
      </c>
      <c r="F855"/>
      <c r="G855"/>
      <c r="H855"/>
      <c r="I855"/>
      <c r="J855"/>
      <c r="K855"/>
      <c r="L855" s="10">
        <v>3979330</v>
      </c>
      <c r="M855" s="10">
        <v>693670</v>
      </c>
      <c r="N855" s="12">
        <v>15</v>
      </c>
      <c r="O855" s="12" t="s">
        <v>6992</v>
      </c>
      <c r="P855" t="s">
        <v>2183</v>
      </c>
      <c r="R855"/>
      <c r="S855" t="s">
        <v>2184</v>
      </c>
      <c r="T855" s="12" t="s">
        <v>2185</v>
      </c>
      <c r="U855" s="12" t="s">
        <v>2186</v>
      </c>
      <c r="V855" s="12" t="s">
        <v>2187</v>
      </c>
      <c r="W855" s="12">
        <v>0</v>
      </c>
      <c r="X855" s="12">
        <v>1</v>
      </c>
      <c r="Y855" s="12">
        <v>0</v>
      </c>
      <c r="Z855" s="12">
        <v>0</v>
      </c>
      <c r="AA855" s="12">
        <v>0</v>
      </c>
      <c r="AB855" s="12">
        <v>0</v>
      </c>
      <c r="AC855" s="12">
        <v>0</v>
      </c>
      <c r="AD855" s="12">
        <v>0</v>
      </c>
      <c r="AE855" s="12">
        <v>0</v>
      </c>
      <c r="AF855" s="12">
        <v>0</v>
      </c>
      <c r="AG855" s="12">
        <v>0</v>
      </c>
      <c r="AH855" s="12">
        <v>0</v>
      </c>
      <c r="AI855" s="12">
        <v>0</v>
      </c>
      <c r="AJ855" s="12">
        <v>0</v>
      </c>
      <c r="AK855" s="12">
        <v>0</v>
      </c>
      <c r="AL855" s="12">
        <v>0</v>
      </c>
      <c r="AM855" s="12"/>
      <c r="AN855" s="12">
        <v>0</v>
      </c>
      <c r="AO855" s="12">
        <v>0</v>
      </c>
      <c r="AP855" s="12">
        <v>0</v>
      </c>
      <c r="AQ855" s="12">
        <v>0</v>
      </c>
      <c r="AR855" s="12">
        <v>0</v>
      </c>
      <c r="AS855" s="12">
        <v>0</v>
      </c>
      <c r="AT855" s="12">
        <v>0</v>
      </c>
      <c r="AU855" s="12">
        <v>0</v>
      </c>
      <c r="AV855" s="12">
        <v>0</v>
      </c>
      <c r="AW855" s="12">
        <v>0</v>
      </c>
      <c r="AX855" s="12">
        <v>0</v>
      </c>
      <c r="AY855" s="12">
        <v>0</v>
      </c>
      <c r="AZ855"/>
      <c r="BA855"/>
      <c r="BB855" s="12">
        <v>0</v>
      </c>
      <c r="BC855" s="12">
        <v>0</v>
      </c>
      <c r="BD855" s="12">
        <v>0</v>
      </c>
      <c r="BE855" s="12">
        <v>0</v>
      </c>
      <c r="BF855" s="12">
        <v>0</v>
      </c>
      <c r="BI855" s="12">
        <v>0</v>
      </c>
      <c r="BJ855" s="12">
        <v>0</v>
      </c>
    </row>
    <row r="856" spans="1:62" x14ac:dyDescent="0.15">
      <c r="A856" s="12"/>
      <c r="B856" t="s">
        <v>6034</v>
      </c>
      <c r="C856" t="s">
        <v>6034</v>
      </c>
      <c r="D856" t="s">
        <v>6596</v>
      </c>
      <c r="E856" t="s">
        <v>2182</v>
      </c>
      <c r="F856"/>
      <c r="G856"/>
      <c r="H856"/>
      <c r="I856"/>
      <c r="J856"/>
      <c r="K856"/>
      <c r="L856" s="10">
        <v>3980200</v>
      </c>
      <c r="M856" s="10">
        <v>724320</v>
      </c>
      <c r="N856" s="12">
        <v>15</v>
      </c>
      <c r="O856" s="12" t="s">
        <v>6992</v>
      </c>
      <c r="P856" t="s">
        <v>2183</v>
      </c>
      <c r="R856"/>
      <c r="S856" t="s">
        <v>2184</v>
      </c>
      <c r="T856" s="12" t="s">
        <v>2185</v>
      </c>
      <c r="U856" s="12" t="s">
        <v>2186</v>
      </c>
      <c r="V856" s="12" t="s">
        <v>2187</v>
      </c>
      <c r="W856" s="12">
        <v>0</v>
      </c>
      <c r="X856" s="12">
        <v>1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2">
        <v>0</v>
      </c>
      <c r="AK856" s="12">
        <v>0</v>
      </c>
      <c r="AL856" s="12">
        <v>0</v>
      </c>
      <c r="AM856" s="12"/>
      <c r="AN856" s="12">
        <v>0</v>
      </c>
      <c r="AO856" s="12">
        <v>0</v>
      </c>
      <c r="AP856" s="12">
        <v>0</v>
      </c>
      <c r="AQ856" s="12">
        <v>0</v>
      </c>
      <c r="AR856" s="12">
        <v>0</v>
      </c>
      <c r="AS856" s="12">
        <v>0</v>
      </c>
      <c r="AT856" s="12">
        <v>0</v>
      </c>
      <c r="AU856" s="12">
        <v>0</v>
      </c>
      <c r="AV856" s="12">
        <v>0</v>
      </c>
      <c r="AW856" s="12">
        <v>0</v>
      </c>
      <c r="AX856" s="12">
        <v>0</v>
      </c>
      <c r="AY856" s="12">
        <v>0</v>
      </c>
      <c r="AZ856"/>
      <c r="BA856"/>
      <c r="BB856" s="12">
        <v>0</v>
      </c>
      <c r="BC856" s="12">
        <v>0</v>
      </c>
      <c r="BD856" s="12">
        <v>0</v>
      </c>
      <c r="BE856" s="12">
        <v>0</v>
      </c>
      <c r="BF856" s="12">
        <v>0</v>
      </c>
      <c r="BI856" s="12">
        <v>0</v>
      </c>
      <c r="BJ856" s="12">
        <v>0</v>
      </c>
    </row>
    <row r="857" spans="1:62" x14ac:dyDescent="0.15">
      <c r="A857" s="12"/>
      <c r="B857" t="s">
        <v>6035</v>
      </c>
      <c r="C857" s="27" t="s">
        <v>6036</v>
      </c>
      <c r="D857" t="s">
        <v>6596</v>
      </c>
      <c r="E857" t="s">
        <v>2182</v>
      </c>
      <c r="F857"/>
      <c r="G857"/>
      <c r="H857"/>
      <c r="I857"/>
      <c r="J857"/>
      <c r="K857"/>
      <c r="L857" s="10">
        <v>3973410</v>
      </c>
      <c r="M857" s="10">
        <v>692200</v>
      </c>
      <c r="N857" s="12">
        <v>15</v>
      </c>
      <c r="O857" s="12" t="s">
        <v>6992</v>
      </c>
      <c r="P857" t="s">
        <v>2183</v>
      </c>
      <c r="R857"/>
      <c r="S857" t="s">
        <v>2184</v>
      </c>
      <c r="T857" s="12" t="s">
        <v>2185</v>
      </c>
      <c r="U857" s="12" t="s">
        <v>2186</v>
      </c>
      <c r="V857" s="12" t="s">
        <v>2187</v>
      </c>
      <c r="W857" s="12">
        <v>0</v>
      </c>
      <c r="X857" s="12">
        <v>1</v>
      </c>
      <c r="Y857" s="12">
        <v>0</v>
      </c>
      <c r="Z857" s="12">
        <v>0</v>
      </c>
      <c r="AA857" s="12">
        <v>0</v>
      </c>
      <c r="AB857" s="12">
        <v>0</v>
      </c>
      <c r="AC857" s="12">
        <v>0</v>
      </c>
      <c r="AD857" s="12">
        <v>0</v>
      </c>
      <c r="AE857" s="12">
        <v>0</v>
      </c>
      <c r="AF857" s="12">
        <v>0</v>
      </c>
      <c r="AG857" s="12">
        <v>0</v>
      </c>
      <c r="AH857" s="12">
        <v>0</v>
      </c>
      <c r="AI857" s="12">
        <v>0</v>
      </c>
      <c r="AJ857" s="12">
        <v>0</v>
      </c>
      <c r="AK857" s="12">
        <v>0</v>
      </c>
      <c r="AL857" s="12">
        <v>0</v>
      </c>
      <c r="AM857" s="12"/>
      <c r="AN857" s="12">
        <v>0</v>
      </c>
      <c r="AO857" s="12">
        <v>0</v>
      </c>
      <c r="AP857" s="12">
        <v>0</v>
      </c>
      <c r="AQ857" s="12">
        <v>0</v>
      </c>
      <c r="AR857" s="12">
        <v>0</v>
      </c>
      <c r="AS857" s="12">
        <v>0</v>
      </c>
      <c r="AT857" s="12">
        <v>0</v>
      </c>
      <c r="AU857" s="12">
        <v>0</v>
      </c>
      <c r="AV857" s="12">
        <v>0</v>
      </c>
      <c r="AW857" s="12">
        <v>0</v>
      </c>
      <c r="AX857" s="12">
        <v>0</v>
      </c>
      <c r="AY857" s="12">
        <v>0</v>
      </c>
      <c r="AZ857"/>
      <c r="BA857"/>
      <c r="BB857" s="12">
        <v>0</v>
      </c>
      <c r="BC857" s="12">
        <v>0</v>
      </c>
      <c r="BD857" s="12">
        <v>0</v>
      </c>
      <c r="BE857" s="12">
        <v>0</v>
      </c>
      <c r="BF857" s="12">
        <v>0</v>
      </c>
      <c r="BI857" s="12">
        <v>0</v>
      </c>
      <c r="BJ857" s="12">
        <v>0</v>
      </c>
    </row>
    <row r="858" spans="1:62" x14ac:dyDescent="0.15">
      <c r="A858" s="12"/>
      <c r="B858" t="s">
        <v>6037</v>
      </c>
      <c r="C858" t="s">
        <v>6037</v>
      </c>
      <c r="D858" t="s">
        <v>6596</v>
      </c>
      <c r="E858" t="s">
        <v>2182</v>
      </c>
      <c r="F858"/>
      <c r="G858"/>
      <c r="H858"/>
      <c r="I858"/>
      <c r="J858"/>
      <c r="K858"/>
      <c r="L858" s="10">
        <v>3956850</v>
      </c>
      <c r="M858" s="10">
        <v>680540</v>
      </c>
      <c r="N858" s="12">
        <v>15</v>
      </c>
      <c r="O858" s="12" t="s">
        <v>6992</v>
      </c>
      <c r="P858" t="s">
        <v>2183</v>
      </c>
      <c r="R858"/>
      <c r="S858" t="s">
        <v>2184</v>
      </c>
      <c r="T858" s="12" t="s">
        <v>2185</v>
      </c>
      <c r="U858" s="12" t="s">
        <v>2186</v>
      </c>
      <c r="V858" s="12" t="s">
        <v>2187</v>
      </c>
      <c r="W858" s="12">
        <v>0</v>
      </c>
      <c r="X858" s="12">
        <v>1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2">
        <v>0</v>
      </c>
      <c r="AK858" s="12">
        <v>0</v>
      </c>
      <c r="AL858" s="12">
        <v>0</v>
      </c>
      <c r="AM858" s="12"/>
      <c r="AN858" s="12">
        <v>0</v>
      </c>
      <c r="AO858" s="12">
        <v>0</v>
      </c>
      <c r="AP858" s="12">
        <v>0</v>
      </c>
      <c r="AQ858" s="12">
        <v>0</v>
      </c>
      <c r="AR858" s="12">
        <v>0</v>
      </c>
      <c r="AS858" s="12">
        <v>0</v>
      </c>
      <c r="AT858" s="12">
        <v>0</v>
      </c>
      <c r="AU858" s="12">
        <v>0</v>
      </c>
      <c r="AV858" s="12">
        <v>0</v>
      </c>
      <c r="AW858" s="12">
        <v>0</v>
      </c>
      <c r="AX858" s="12">
        <v>0</v>
      </c>
      <c r="AY858" s="12">
        <v>0</v>
      </c>
      <c r="AZ858"/>
      <c r="BA858"/>
      <c r="BB858" s="12">
        <v>0</v>
      </c>
      <c r="BC858" s="12">
        <v>0</v>
      </c>
      <c r="BD858" s="12">
        <v>0</v>
      </c>
      <c r="BE858" s="12">
        <v>0</v>
      </c>
      <c r="BF858" s="12">
        <v>0</v>
      </c>
      <c r="BI858" s="12">
        <v>0</v>
      </c>
      <c r="BJ858" s="12">
        <v>0</v>
      </c>
    </row>
    <row r="859" spans="1:62" x14ac:dyDescent="0.15">
      <c r="A859" s="12"/>
      <c r="B859" t="s">
        <v>6038</v>
      </c>
      <c r="C859" t="s">
        <v>6038</v>
      </c>
      <c r="D859" t="s">
        <v>6596</v>
      </c>
      <c r="E859" t="s">
        <v>2182</v>
      </c>
      <c r="F859"/>
      <c r="G859"/>
      <c r="H859"/>
      <c r="I859"/>
      <c r="J859"/>
      <c r="K859"/>
      <c r="L859" s="10">
        <v>3961860</v>
      </c>
      <c r="M859" s="10">
        <v>682010</v>
      </c>
      <c r="N859" s="12">
        <v>15</v>
      </c>
      <c r="O859" s="12" t="s">
        <v>6992</v>
      </c>
      <c r="P859" t="s">
        <v>2183</v>
      </c>
      <c r="R859"/>
      <c r="S859" t="s">
        <v>2184</v>
      </c>
      <c r="T859" s="12" t="s">
        <v>2185</v>
      </c>
      <c r="U859" s="12" t="s">
        <v>2186</v>
      </c>
      <c r="V859" s="12" t="s">
        <v>2187</v>
      </c>
      <c r="W859" s="12">
        <v>0</v>
      </c>
      <c r="X859" s="12">
        <v>1</v>
      </c>
      <c r="Y859" s="12">
        <v>0</v>
      </c>
      <c r="Z859" s="12">
        <v>0</v>
      </c>
      <c r="AA859" s="12">
        <v>0</v>
      </c>
      <c r="AB859" s="12">
        <v>0</v>
      </c>
      <c r="AC859" s="12">
        <v>0</v>
      </c>
      <c r="AD859" s="12">
        <v>0</v>
      </c>
      <c r="AE859" s="12">
        <v>0</v>
      </c>
      <c r="AF859" s="12">
        <v>0</v>
      </c>
      <c r="AG859" s="12">
        <v>0</v>
      </c>
      <c r="AH859" s="12">
        <v>0</v>
      </c>
      <c r="AI859" s="12">
        <v>0</v>
      </c>
      <c r="AJ859" s="12">
        <v>0</v>
      </c>
      <c r="AK859" s="12">
        <v>0</v>
      </c>
      <c r="AL859" s="12">
        <v>0</v>
      </c>
      <c r="AM859" s="12"/>
      <c r="AN859" s="12">
        <v>0</v>
      </c>
      <c r="AO859" s="12">
        <v>0</v>
      </c>
      <c r="AP859" s="12">
        <v>0</v>
      </c>
      <c r="AQ859" s="12">
        <v>0</v>
      </c>
      <c r="AR859" s="12">
        <v>0</v>
      </c>
      <c r="AS859" s="12">
        <v>0</v>
      </c>
      <c r="AT859" s="12">
        <v>0</v>
      </c>
      <c r="AU859" s="12">
        <v>0</v>
      </c>
      <c r="AV859" s="12">
        <v>0</v>
      </c>
      <c r="AW859" s="12">
        <v>0</v>
      </c>
      <c r="AX859" s="12">
        <v>0</v>
      </c>
      <c r="AY859" s="12">
        <v>0</v>
      </c>
      <c r="AZ859"/>
      <c r="BA859"/>
      <c r="BB859" s="12">
        <v>0</v>
      </c>
      <c r="BC859" s="12">
        <v>0</v>
      </c>
      <c r="BD859" s="12">
        <v>0</v>
      </c>
      <c r="BE859" s="12">
        <v>0</v>
      </c>
      <c r="BF859" s="12">
        <v>0</v>
      </c>
      <c r="BI859" s="12">
        <v>0</v>
      </c>
      <c r="BJ859" s="12">
        <v>0</v>
      </c>
    </row>
    <row r="860" spans="1:62" x14ac:dyDescent="0.15">
      <c r="A860" s="12"/>
      <c r="B860" t="s">
        <v>6039</v>
      </c>
      <c r="C860" s="27" t="s">
        <v>6040</v>
      </c>
      <c r="D860" t="s">
        <v>6596</v>
      </c>
      <c r="E860" t="s">
        <v>2182</v>
      </c>
      <c r="F860"/>
      <c r="G860"/>
      <c r="H860"/>
      <c r="I860"/>
      <c r="J860"/>
      <c r="K860"/>
      <c r="L860" s="10">
        <v>3971840</v>
      </c>
      <c r="M860" s="10">
        <v>692680</v>
      </c>
      <c r="N860" s="12">
        <v>15</v>
      </c>
      <c r="O860" s="12" t="s">
        <v>6992</v>
      </c>
      <c r="P860" t="s">
        <v>2183</v>
      </c>
      <c r="R860"/>
      <c r="S860" t="s">
        <v>2184</v>
      </c>
      <c r="T860" s="12" t="s">
        <v>2185</v>
      </c>
      <c r="U860" s="12" t="s">
        <v>2186</v>
      </c>
      <c r="V860" s="12" t="s">
        <v>2187</v>
      </c>
      <c r="W860" s="12">
        <v>0</v>
      </c>
      <c r="X860" s="12">
        <v>1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2">
        <v>0</v>
      </c>
      <c r="AK860" s="12">
        <v>0</v>
      </c>
      <c r="AL860" s="12">
        <v>0</v>
      </c>
      <c r="AM860" s="12"/>
      <c r="AN860" s="12">
        <v>0</v>
      </c>
      <c r="AO860" s="12">
        <v>0</v>
      </c>
      <c r="AP860" s="12">
        <v>0</v>
      </c>
      <c r="AQ860" s="12">
        <v>0</v>
      </c>
      <c r="AR860" s="12">
        <v>0</v>
      </c>
      <c r="AS860" s="12">
        <v>0</v>
      </c>
      <c r="AT860" s="12">
        <v>0</v>
      </c>
      <c r="AU860" s="12">
        <v>0</v>
      </c>
      <c r="AV860" s="12">
        <v>0</v>
      </c>
      <c r="AW860" s="12">
        <v>0</v>
      </c>
      <c r="AX860" s="12">
        <v>0</v>
      </c>
      <c r="AY860" s="12">
        <v>0</v>
      </c>
      <c r="AZ860"/>
      <c r="BA860"/>
      <c r="BB860" s="12">
        <v>0</v>
      </c>
      <c r="BC860" s="12">
        <v>0</v>
      </c>
      <c r="BD860" s="12">
        <v>0</v>
      </c>
      <c r="BE860" s="12">
        <v>0</v>
      </c>
      <c r="BF860" s="12">
        <v>0</v>
      </c>
      <c r="BI860" s="12">
        <v>0</v>
      </c>
      <c r="BJ860" s="12">
        <v>0</v>
      </c>
    </row>
    <row r="861" spans="1:62" x14ac:dyDescent="0.15">
      <c r="A861" s="12"/>
      <c r="B861" t="s">
        <v>6041</v>
      </c>
      <c r="C861" t="s">
        <v>6041</v>
      </c>
      <c r="D861" t="s">
        <v>6596</v>
      </c>
      <c r="E861" t="s">
        <v>2182</v>
      </c>
      <c r="F861"/>
      <c r="G861"/>
      <c r="H861"/>
      <c r="I861"/>
      <c r="J861"/>
      <c r="K861"/>
      <c r="L861" s="10">
        <v>3973910</v>
      </c>
      <c r="M861" s="10">
        <v>694400</v>
      </c>
      <c r="N861" s="12">
        <v>15</v>
      </c>
      <c r="O861" s="12" t="s">
        <v>6992</v>
      </c>
      <c r="P861" t="s">
        <v>2183</v>
      </c>
      <c r="R861"/>
      <c r="S861" t="s">
        <v>2184</v>
      </c>
      <c r="T861" s="12" t="s">
        <v>2185</v>
      </c>
      <c r="U861" s="12" t="s">
        <v>2186</v>
      </c>
      <c r="V861" s="12" t="s">
        <v>2187</v>
      </c>
      <c r="W861" s="12">
        <v>0</v>
      </c>
      <c r="X861" s="12">
        <v>1</v>
      </c>
      <c r="Y861" s="12">
        <v>0</v>
      </c>
      <c r="Z861" s="12">
        <v>0</v>
      </c>
      <c r="AA861" s="12">
        <v>0</v>
      </c>
      <c r="AB861" s="12">
        <v>0</v>
      </c>
      <c r="AC861" s="12">
        <v>0</v>
      </c>
      <c r="AD861" s="12">
        <v>0</v>
      </c>
      <c r="AE861" s="12">
        <v>0</v>
      </c>
      <c r="AF861" s="12">
        <v>0</v>
      </c>
      <c r="AG861" s="12">
        <v>0</v>
      </c>
      <c r="AH861" s="12">
        <v>0</v>
      </c>
      <c r="AI861" s="12">
        <v>0</v>
      </c>
      <c r="AJ861" s="12">
        <v>0</v>
      </c>
      <c r="AK861" s="12">
        <v>0</v>
      </c>
      <c r="AL861" s="12">
        <v>0</v>
      </c>
      <c r="AM861" s="12"/>
      <c r="AN861" s="12">
        <v>0</v>
      </c>
      <c r="AO861" s="12">
        <v>0</v>
      </c>
      <c r="AP861" s="12">
        <v>0</v>
      </c>
      <c r="AQ861" s="12">
        <v>0</v>
      </c>
      <c r="AR861" s="12">
        <v>0</v>
      </c>
      <c r="AS861" s="12">
        <v>0</v>
      </c>
      <c r="AT861" s="12">
        <v>0</v>
      </c>
      <c r="AU861" s="12">
        <v>0</v>
      </c>
      <c r="AV861" s="12">
        <v>0</v>
      </c>
      <c r="AW861" s="12">
        <v>0</v>
      </c>
      <c r="AX861" s="12">
        <v>0</v>
      </c>
      <c r="AY861" s="12">
        <v>0</v>
      </c>
      <c r="AZ861"/>
      <c r="BA861"/>
      <c r="BB861" s="12">
        <v>0</v>
      </c>
      <c r="BC861" s="12">
        <v>0</v>
      </c>
      <c r="BD861" s="12">
        <v>0</v>
      </c>
      <c r="BE861" s="12">
        <v>0</v>
      </c>
      <c r="BF861" s="12">
        <v>0</v>
      </c>
      <c r="BI861" s="12">
        <v>0</v>
      </c>
      <c r="BJ861" s="12">
        <v>0</v>
      </c>
    </row>
    <row r="862" spans="1:62" x14ac:dyDescent="0.15">
      <c r="A862" s="12"/>
      <c r="B862" t="s">
        <v>6042</v>
      </c>
      <c r="C862" t="s">
        <v>6042</v>
      </c>
      <c r="D862" t="s">
        <v>6596</v>
      </c>
      <c r="E862" t="s">
        <v>2182</v>
      </c>
      <c r="F862"/>
      <c r="G862"/>
      <c r="H862"/>
      <c r="I862"/>
      <c r="J862"/>
      <c r="K862"/>
      <c r="L862" s="10">
        <v>3973820</v>
      </c>
      <c r="M862" s="10">
        <v>694320</v>
      </c>
      <c r="N862" s="12">
        <v>15</v>
      </c>
      <c r="O862" s="12" t="s">
        <v>6992</v>
      </c>
      <c r="P862" t="s">
        <v>2183</v>
      </c>
      <c r="R862"/>
      <c r="S862" t="s">
        <v>2184</v>
      </c>
      <c r="T862" s="12" t="s">
        <v>2185</v>
      </c>
      <c r="U862" s="12" t="s">
        <v>2186</v>
      </c>
      <c r="V862" s="12" t="s">
        <v>2187</v>
      </c>
      <c r="W862" s="12">
        <v>0</v>
      </c>
      <c r="X862" s="12">
        <v>1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2">
        <v>0</v>
      </c>
      <c r="AK862" s="12">
        <v>0</v>
      </c>
      <c r="AL862" s="12">
        <v>0</v>
      </c>
      <c r="AM862" s="12"/>
      <c r="AN862" s="12">
        <v>0</v>
      </c>
      <c r="AO862" s="12">
        <v>0</v>
      </c>
      <c r="AP862" s="12">
        <v>0</v>
      </c>
      <c r="AQ862" s="12">
        <v>0</v>
      </c>
      <c r="AR862" s="12">
        <v>0</v>
      </c>
      <c r="AS862" s="12">
        <v>0</v>
      </c>
      <c r="AT862" s="12">
        <v>0</v>
      </c>
      <c r="AU862" s="12">
        <v>0</v>
      </c>
      <c r="AV862" s="12">
        <v>0</v>
      </c>
      <c r="AW862" s="12">
        <v>0</v>
      </c>
      <c r="AX862" s="12">
        <v>0</v>
      </c>
      <c r="AY862" s="12">
        <v>0</v>
      </c>
      <c r="AZ862"/>
      <c r="BA862"/>
      <c r="BB862" s="12">
        <v>0</v>
      </c>
      <c r="BC862" s="12">
        <v>0</v>
      </c>
      <c r="BD862" s="12">
        <v>0</v>
      </c>
      <c r="BE862" s="12">
        <v>0</v>
      </c>
      <c r="BF862" s="12">
        <v>0</v>
      </c>
      <c r="BI862" s="12">
        <v>0</v>
      </c>
      <c r="BJ862" s="12">
        <v>0</v>
      </c>
    </row>
    <row r="863" spans="1:62" x14ac:dyDescent="0.15">
      <c r="A863" s="12"/>
      <c r="B863" t="s">
        <v>6043</v>
      </c>
      <c r="C863" t="s">
        <v>6043</v>
      </c>
      <c r="D863" t="s">
        <v>6596</v>
      </c>
      <c r="E863" t="s">
        <v>2182</v>
      </c>
      <c r="F863"/>
      <c r="G863"/>
      <c r="H863"/>
      <c r="I863"/>
      <c r="J863"/>
      <c r="K863"/>
      <c r="L863" s="10">
        <v>3981860</v>
      </c>
      <c r="M863" s="10">
        <v>724810</v>
      </c>
      <c r="N863" s="12">
        <v>15</v>
      </c>
      <c r="O863" s="12" t="s">
        <v>6992</v>
      </c>
      <c r="P863" t="s">
        <v>2183</v>
      </c>
      <c r="R863"/>
      <c r="S863" t="s">
        <v>2184</v>
      </c>
      <c r="T863" s="12" t="s">
        <v>2185</v>
      </c>
      <c r="U863" s="12" t="s">
        <v>2186</v>
      </c>
      <c r="V863" s="12" t="s">
        <v>2187</v>
      </c>
      <c r="W863" s="12">
        <v>0</v>
      </c>
      <c r="X863" s="12">
        <v>1</v>
      </c>
      <c r="Y863" s="12">
        <v>0</v>
      </c>
      <c r="Z863" s="12">
        <v>0</v>
      </c>
      <c r="AA863" s="12">
        <v>0</v>
      </c>
      <c r="AB863" s="12">
        <v>0</v>
      </c>
      <c r="AC863" s="12">
        <v>0</v>
      </c>
      <c r="AD863" s="12">
        <v>0</v>
      </c>
      <c r="AE863" s="12">
        <v>0</v>
      </c>
      <c r="AF863" s="12">
        <v>0</v>
      </c>
      <c r="AG863" s="12">
        <v>0</v>
      </c>
      <c r="AH863" s="12">
        <v>0</v>
      </c>
      <c r="AI863" s="12">
        <v>0</v>
      </c>
      <c r="AJ863" s="12">
        <v>0</v>
      </c>
      <c r="AK863" s="12">
        <v>0</v>
      </c>
      <c r="AL863" s="12">
        <v>0</v>
      </c>
      <c r="AM863" s="12"/>
      <c r="AN863" s="12">
        <v>0</v>
      </c>
      <c r="AO863" s="12">
        <v>0</v>
      </c>
      <c r="AP863" s="12">
        <v>0</v>
      </c>
      <c r="AQ863" s="12">
        <v>0</v>
      </c>
      <c r="AR863" s="12">
        <v>0</v>
      </c>
      <c r="AS863" s="12">
        <v>0</v>
      </c>
      <c r="AT863" s="12">
        <v>0</v>
      </c>
      <c r="AU863" s="12">
        <v>0</v>
      </c>
      <c r="AV863" s="12">
        <v>0</v>
      </c>
      <c r="AW863" s="12">
        <v>0</v>
      </c>
      <c r="AX863" s="12">
        <v>0</v>
      </c>
      <c r="AY863" s="12">
        <v>0</v>
      </c>
      <c r="AZ863"/>
      <c r="BA863"/>
      <c r="BB863" s="12">
        <v>0</v>
      </c>
      <c r="BC863" s="12">
        <v>0</v>
      </c>
      <c r="BD863" s="12">
        <v>0</v>
      </c>
      <c r="BE863" s="12">
        <v>0</v>
      </c>
      <c r="BF863" s="12">
        <v>0</v>
      </c>
      <c r="BI863" s="12">
        <v>0</v>
      </c>
      <c r="BJ863" s="12">
        <v>0</v>
      </c>
    </row>
    <row r="864" spans="1:62" x14ac:dyDescent="0.15">
      <c r="A864" s="12"/>
      <c r="B864" t="s">
        <v>6044</v>
      </c>
      <c r="C864" t="s">
        <v>6044</v>
      </c>
      <c r="D864" t="s">
        <v>6596</v>
      </c>
      <c r="E864" t="s">
        <v>2182</v>
      </c>
      <c r="F864"/>
      <c r="G864"/>
      <c r="H864"/>
      <c r="I864"/>
      <c r="J864"/>
      <c r="K864"/>
      <c r="L864" s="10">
        <v>3965380</v>
      </c>
      <c r="M864" s="10">
        <v>687860</v>
      </c>
      <c r="N864" s="12">
        <v>15</v>
      </c>
      <c r="O864" s="12" t="s">
        <v>6992</v>
      </c>
      <c r="P864" t="s">
        <v>2183</v>
      </c>
      <c r="R864"/>
      <c r="S864" t="s">
        <v>2184</v>
      </c>
      <c r="T864" s="12" t="s">
        <v>2185</v>
      </c>
      <c r="U864" s="12" t="s">
        <v>2186</v>
      </c>
      <c r="V864" s="12" t="s">
        <v>2187</v>
      </c>
      <c r="W864" s="12">
        <v>0</v>
      </c>
      <c r="X864" s="12">
        <v>1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2">
        <v>0</v>
      </c>
      <c r="AK864" s="12">
        <v>0</v>
      </c>
      <c r="AL864" s="12">
        <v>0</v>
      </c>
      <c r="AM864" s="12"/>
      <c r="AN864" s="12">
        <v>0</v>
      </c>
      <c r="AO864" s="12">
        <v>0</v>
      </c>
      <c r="AP864" s="12">
        <v>0</v>
      </c>
      <c r="AQ864" s="12">
        <v>0</v>
      </c>
      <c r="AR864" s="12">
        <v>0</v>
      </c>
      <c r="AS864" s="12">
        <v>0</v>
      </c>
      <c r="AT864" s="12">
        <v>0</v>
      </c>
      <c r="AU864" s="12">
        <v>0</v>
      </c>
      <c r="AV864" s="12">
        <v>0</v>
      </c>
      <c r="AW864" s="12">
        <v>0</v>
      </c>
      <c r="AX864" s="12">
        <v>0</v>
      </c>
      <c r="AY864" s="12">
        <v>0</v>
      </c>
      <c r="AZ864"/>
      <c r="BA864"/>
      <c r="BB864" s="12">
        <v>0</v>
      </c>
      <c r="BC864" s="12">
        <v>0</v>
      </c>
      <c r="BD864" s="12">
        <v>0</v>
      </c>
      <c r="BE864" s="12">
        <v>0</v>
      </c>
      <c r="BF864" s="12">
        <v>0</v>
      </c>
      <c r="BI864" s="12">
        <v>0</v>
      </c>
      <c r="BJ864" s="12">
        <v>0</v>
      </c>
    </row>
    <row r="865" spans="1:62" x14ac:dyDescent="0.15">
      <c r="A865" s="12"/>
      <c r="B865" t="s">
        <v>6045</v>
      </c>
      <c r="C865" t="s">
        <v>6045</v>
      </c>
      <c r="D865" t="s">
        <v>6596</v>
      </c>
      <c r="E865" t="s">
        <v>2182</v>
      </c>
      <c r="F865"/>
      <c r="G865"/>
      <c r="H865"/>
      <c r="I865"/>
      <c r="J865"/>
      <c r="K865"/>
      <c r="L865" s="10">
        <v>3961430</v>
      </c>
      <c r="M865" s="10">
        <v>718040</v>
      </c>
      <c r="N865" s="12">
        <v>15</v>
      </c>
      <c r="O865" s="12" t="s">
        <v>6992</v>
      </c>
      <c r="P865" t="s">
        <v>2183</v>
      </c>
      <c r="R865"/>
      <c r="S865" t="s">
        <v>2184</v>
      </c>
      <c r="T865" s="12" t="s">
        <v>2185</v>
      </c>
      <c r="U865" s="12" t="s">
        <v>2186</v>
      </c>
      <c r="V865" s="12" t="s">
        <v>2187</v>
      </c>
      <c r="W865" s="12">
        <v>0</v>
      </c>
      <c r="X865" s="12">
        <v>1</v>
      </c>
      <c r="Y865" s="12">
        <v>0</v>
      </c>
      <c r="Z865" s="12">
        <v>0</v>
      </c>
      <c r="AA865" s="12">
        <v>0</v>
      </c>
      <c r="AB865" s="12">
        <v>0</v>
      </c>
      <c r="AC865" s="12">
        <v>0</v>
      </c>
      <c r="AD865" s="12">
        <v>0</v>
      </c>
      <c r="AE865" s="12">
        <v>0</v>
      </c>
      <c r="AF865" s="12">
        <v>0</v>
      </c>
      <c r="AG865" s="12">
        <v>0</v>
      </c>
      <c r="AH865" s="12">
        <v>0</v>
      </c>
      <c r="AI865" s="12">
        <v>0</v>
      </c>
      <c r="AJ865" s="12">
        <v>0</v>
      </c>
      <c r="AK865" s="12">
        <v>0</v>
      </c>
      <c r="AL865" s="12">
        <v>0</v>
      </c>
      <c r="AM865" s="12"/>
      <c r="AN865" s="12">
        <v>0</v>
      </c>
      <c r="AO865" s="12">
        <v>0</v>
      </c>
      <c r="AP865" s="12">
        <v>0</v>
      </c>
      <c r="AQ865" s="12">
        <v>0</v>
      </c>
      <c r="AR865" s="12">
        <v>0</v>
      </c>
      <c r="AS865" s="12">
        <v>0</v>
      </c>
      <c r="AT865" s="12">
        <v>0</v>
      </c>
      <c r="AU865" s="12">
        <v>0</v>
      </c>
      <c r="AV865" s="12">
        <v>0</v>
      </c>
      <c r="AW865" s="12">
        <v>0</v>
      </c>
      <c r="AX865" s="12">
        <v>0</v>
      </c>
      <c r="AY865" s="12">
        <v>0</v>
      </c>
      <c r="AZ865"/>
      <c r="BA865"/>
      <c r="BB865" s="12">
        <v>0</v>
      </c>
      <c r="BC865" s="12">
        <v>0</v>
      </c>
      <c r="BD865" s="12">
        <v>0</v>
      </c>
      <c r="BE865" s="12">
        <v>0</v>
      </c>
      <c r="BF865" s="12">
        <v>0</v>
      </c>
      <c r="BI865" s="12">
        <v>0</v>
      </c>
      <c r="BJ865" s="12">
        <v>0</v>
      </c>
    </row>
    <row r="866" spans="1:62" x14ac:dyDescent="0.15">
      <c r="A866" s="12"/>
      <c r="B866" t="s">
        <v>6046</v>
      </c>
      <c r="C866" s="27" t="s">
        <v>6047</v>
      </c>
      <c r="D866" t="s">
        <v>6596</v>
      </c>
      <c r="E866" t="s">
        <v>2182</v>
      </c>
      <c r="F866"/>
      <c r="G866"/>
      <c r="H866"/>
      <c r="I866"/>
      <c r="J866"/>
      <c r="K866"/>
      <c r="L866" s="10">
        <v>3976970</v>
      </c>
      <c r="M866" s="10">
        <v>695680</v>
      </c>
      <c r="N866" s="12">
        <v>15</v>
      </c>
      <c r="O866" s="12" t="s">
        <v>6992</v>
      </c>
      <c r="P866" t="s">
        <v>2183</v>
      </c>
      <c r="R866"/>
      <c r="S866" t="s">
        <v>2184</v>
      </c>
      <c r="T866" s="12" t="s">
        <v>2185</v>
      </c>
      <c r="U866" s="12" t="s">
        <v>2186</v>
      </c>
      <c r="V866" s="12" t="s">
        <v>2187</v>
      </c>
      <c r="W866" s="12">
        <v>0</v>
      </c>
      <c r="X866" s="12">
        <v>1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2">
        <v>0</v>
      </c>
      <c r="AK866" s="12">
        <v>0</v>
      </c>
      <c r="AL866" s="12">
        <v>0</v>
      </c>
      <c r="AM866" s="12"/>
      <c r="AN866" s="12">
        <v>0</v>
      </c>
      <c r="AO866" s="12">
        <v>0</v>
      </c>
      <c r="AP866" s="12">
        <v>0</v>
      </c>
      <c r="AQ866" s="12">
        <v>0</v>
      </c>
      <c r="AR866" s="12">
        <v>0</v>
      </c>
      <c r="AS866" s="12">
        <v>0</v>
      </c>
      <c r="AT866" s="12">
        <v>0</v>
      </c>
      <c r="AU866" s="12">
        <v>0</v>
      </c>
      <c r="AV866" s="12">
        <v>0</v>
      </c>
      <c r="AW866" s="12">
        <v>0</v>
      </c>
      <c r="AX866" s="12">
        <v>0</v>
      </c>
      <c r="AY866" s="12">
        <v>0</v>
      </c>
      <c r="AZ866"/>
      <c r="BA866"/>
      <c r="BB866" s="12">
        <v>0</v>
      </c>
      <c r="BC866" s="12">
        <v>0</v>
      </c>
      <c r="BD866" s="12">
        <v>0</v>
      </c>
      <c r="BE866" s="12">
        <v>0</v>
      </c>
      <c r="BF866" s="12">
        <v>0</v>
      </c>
      <c r="BI866" s="12">
        <v>0</v>
      </c>
      <c r="BJ866" s="12">
        <v>0</v>
      </c>
    </row>
    <row r="867" spans="1:62" x14ac:dyDescent="0.15">
      <c r="A867" s="12"/>
      <c r="B867" t="s">
        <v>6048</v>
      </c>
      <c r="C867" s="27" t="s">
        <v>6049</v>
      </c>
      <c r="D867" t="s">
        <v>6596</v>
      </c>
      <c r="E867" t="s">
        <v>2182</v>
      </c>
      <c r="F867"/>
      <c r="G867"/>
      <c r="H867"/>
      <c r="I867"/>
      <c r="J867"/>
      <c r="K867"/>
      <c r="L867" s="10">
        <v>3974610</v>
      </c>
      <c r="M867" s="10">
        <v>694640</v>
      </c>
      <c r="N867" s="12">
        <v>15</v>
      </c>
      <c r="O867" s="12" t="s">
        <v>6992</v>
      </c>
      <c r="P867" t="s">
        <v>2183</v>
      </c>
      <c r="R867"/>
      <c r="S867" t="s">
        <v>2184</v>
      </c>
      <c r="T867" s="12" t="s">
        <v>2185</v>
      </c>
      <c r="U867" s="12" t="s">
        <v>2186</v>
      </c>
      <c r="V867" s="12" t="s">
        <v>2187</v>
      </c>
      <c r="W867" s="12">
        <v>0</v>
      </c>
      <c r="X867" s="12">
        <v>1</v>
      </c>
      <c r="Y867" s="12">
        <v>0</v>
      </c>
      <c r="Z867" s="12">
        <v>0</v>
      </c>
      <c r="AA867" s="12">
        <v>0</v>
      </c>
      <c r="AB867" s="12">
        <v>0</v>
      </c>
      <c r="AC867" s="12">
        <v>0</v>
      </c>
      <c r="AD867" s="12">
        <v>0</v>
      </c>
      <c r="AE867" s="12">
        <v>0</v>
      </c>
      <c r="AF867" s="12">
        <v>0</v>
      </c>
      <c r="AG867" s="12">
        <v>0</v>
      </c>
      <c r="AH867" s="12">
        <v>0</v>
      </c>
      <c r="AI867" s="12">
        <v>0</v>
      </c>
      <c r="AJ867" s="12">
        <v>0</v>
      </c>
      <c r="AK867" s="12">
        <v>0</v>
      </c>
      <c r="AL867" s="12">
        <v>0</v>
      </c>
      <c r="AM867" s="12"/>
      <c r="AN867" s="12">
        <v>0</v>
      </c>
      <c r="AO867" s="12">
        <v>0</v>
      </c>
      <c r="AP867" s="12">
        <v>0</v>
      </c>
      <c r="AQ867" s="12">
        <v>0</v>
      </c>
      <c r="AR867" s="12">
        <v>0</v>
      </c>
      <c r="AS867" s="12">
        <v>0</v>
      </c>
      <c r="AT867" s="12">
        <v>0</v>
      </c>
      <c r="AU867" s="12">
        <v>0</v>
      </c>
      <c r="AV867" s="12">
        <v>0</v>
      </c>
      <c r="AW867" s="12">
        <v>0</v>
      </c>
      <c r="AX867" s="12">
        <v>0</v>
      </c>
      <c r="AY867" s="12">
        <v>0</v>
      </c>
      <c r="AZ867"/>
      <c r="BA867"/>
      <c r="BB867" s="12">
        <v>0</v>
      </c>
      <c r="BC867" s="12">
        <v>0</v>
      </c>
      <c r="BD867" s="12">
        <v>0</v>
      </c>
      <c r="BE867" s="12">
        <v>0</v>
      </c>
      <c r="BF867" s="12">
        <v>0</v>
      </c>
      <c r="BI867" s="12">
        <v>0</v>
      </c>
      <c r="BJ867" s="12">
        <v>0</v>
      </c>
    </row>
    <row r="868" spans="1:62" x14ac:dyDescent="0.15">
      <c r="A868" s="12"/>
      <c r="B868" t="s">
        <v>6050</v>
      </c>
      <c r="C868" t="s">
        <v>6050</v>
      </c>
      <c r="D868" t="s">
        <v>6596</v>
      </c>
      <c r="E868" t="s">
        <v>2182</v>
      </c>
      <c r="F868"/>
      <c r="G868"/>
      <c r="H868"/>
      <c r="I868"/>
      <c r="J868"/>
      <c r="K868"/>
      <c r="L868" s="10">
        <v>3976650</v>
      </c>
      <c r="M868" s="10">
        <v>694800</v>
      </c>
      <c r="N868" s="12">
        <v>15</v>
      </c>
      <c r="O868" s="12" t="s">
        <v>6992</v>
      </c>
      <c r="P868" t="s">
        <v>2183</v>
      </c>
      <c r="R868"/>
      <c r="S868" t="s">
        <v>2184</v>
      </c>
      <c r="T868" s="12" t="s">
        <v>2185</v>
      </c>
      <c r="U868" s="12" t="s">
        <v>2186</v>
      </c>
      <c r="V868" s="12" t="s">
        <v>2187</v>
      </c>
      <c r="W868" s="12">
        <v>0</v>
      </c>
      <c r="X868" s="12">
        <v>1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2">
        <v>0</v>
      </c>
      <c r="AK868" s="12">
        <v>0</v>
      </c>
      <c r="AL868" s="12">
        <v>0</v>
      </c>
      <c r="AM868" s="12"/>
      <c r="AN868" s="12">
        <v>0</v>
      </c>
      <c r="AO868" s="12">
        <v>0</v>
      </c>
      <c r="AP868" s="12">
        <v>0</v>
      </c>
      <c r="AQ868" s="12">
        <v>0</v>
      </c>
      <c r="AR868" s="12">
        <v>0</v>
      </c>
      <c r="AS868" s="12">
        <v>0</v>
      </c>
      <c r="AT868" s="12">
        <v>0</v>
      </c>
      <c r="AU868" s="12">
        <v>0</v>
      </c>
      <c r="AV868" s="12">
        <v>0</v>
      </c>
      <c r="AW868" s="12">
        <v>0</v>
      </c>
      <c r="AX868" s="12">
        <v>0</v>
      </c>
      <c r="AY868" s="12">
        <v>0</v>
      </c>
      <c r="AZ868"/>
      <c r="BA868"/>
      <c r="BB868" s="12">
        <v>0</v>
      </c>
      <c r="BC868" s="12">
        <v>0</v>
      </c>
      <c r="BD868" s="12">
        <v>0</v>
      </c>
      <c r="BE868" s="12">
        <v>0</v>
      </c>
      <c r="BF868" s="12">
        <v>0</v>
      </c>
      <c r="BI868" s="12">
        <v>0</v>
      </c>
      <c r="BJ868" s="12">
        <v>0</v>
      </c>
    </row>
    <row r="869" spans="1:62" x14ac:dyDescent="0.15">
      <c r="A869" s="12"/>
      <c r="B869" t="s">
        <v>6051</v>
      </c>
      <c r="C869" t="s">
        <v>6051</v>
      </c>
      <c r="D869" t="s">
        <v>6596</v>
      </c>
      <c r="E869" t="s">
        <v>2182</v>
      </c>
      <c r="F869"/>
      <c r="G869"/>
      <c r="H869"/>
      <c r="I869"/>
      <c r="J869"/>
      <c r="K869"/>
      <c r="L869" s="10">
        <v>3976750</v>
      </c>
      <c r="M869" s="10">
        <v>695680</v>
      </c>
      <c r="N869" s="12">
        <v>15</v>
      </c>
      <c r="O869" s="12" t="s">
        <v>6992</v>
      </c>
      <c r="P869" t="s">
        <v>2183</v>
      </c>
      <c r="R869"/>
      <c r="S869" t="s">
        <v>2184</v>
      </c>
      <c r="T869" s="12" t="s">
        <v>2185</v>
      </c>
      <c r="U869" s="12" t="s">
        <v>2186</v>
      </c>
      <c r="V869" s="12" t="s">
        <v>2187</v>
      </c>
      <c r="W869" s="12">
        <v>0</v>
      </c>
      <c r="X869" s="12">
        <v>1</v>
      </c>
      <c r="Y869" s="12">
        <v>0</v>
      </c>
      <c r="Z869" s="12">
        <v>0</v>
      </c>
      <c r="AA869" s="12">
        <v>0</v>
      </c>
      <c r="AB869" s="12">
        <v>0</v>
      </c>
      <c r="AC869" s="12">
        <v>0</v>
      </c>
      <c r="AD869" s="12">
        <v>0</v>
      </c>
      <c r="AE869" s="12">
        <v>0</v>
      </c>
      <c r="AF869" s="12">
        <v>0</v>
      </c>
      <c r="AG869" s="12">
        <v>0</v>
      </c>
      <c r="AH869" s="12">
        <v>0</v>
      </c>
      <c r="AI869" s="12">
        <v>0</v>
      </c>
      <c r="AJ869" s="12">
        <v>0</v>
      </c>
      <c r="AK869" s="12">
        <v>0</v>
      </c>
      <c r="AL869" s="12">
        <v>0</v>
      </c>
      <c r="AM869" s="12"/>
      <c r="AN869" s="12">
        <v>0</v>
      </c>
      <c r="AO869" s="12">
        <v>0</v>
      </c>
      <c r="AP869" s="12">
        <v>0</v>
      </c>
      <c r="AQ869" s="12">
        <v>0</v>
      </c>
      <c r="AR869" s="12">
        <v>0</v>
      </c>
      <c r="AS869" s="12">
        <v>0</v>
      </c>
      <c r="AT869" s="12">
        <v>0</v>
      </c>
      <c r="AU869" s="12">
        <v>0</v>
      </c>
      <c r="AV869" s="12">
        <v>0</v>
      </c>
      <c r="AW869" s="12">
        <v>0</v>
      </c>
      <c r="AX869" s="12">
        <v>0</v>
      </c>
      <c r="AY869" s="12">
        <v>0</v>
      </c>
      <c r="AZ869"/>
      <c r="BA869"/>
      <c r="BB869" s="12">
        <v>0</v>
      </c>
      <c r="BC869" s="12">
        <v>0</v>
      </c>
      <c r="BD869" s="12">
        <v>0</v>
      </c>
      <c r="BE869" s="12">
        <v>0</v>
      </c>
      <c r="BF869" s="12">
        <v>0</v>
      </c>
      <c r="BI869" s="12">
        <v>0</v>
      </c>
      <c r="BJ869" s="12">
        <v>0</v>
      </c>
    </row>
    <row r="870" spans="1:62" x14ac:dyDescent="0.15">
      <c r="A870" s="12"/>
      <c r="B870" t="s">
        <v>6052</v>
      </c>
      <c r="C870" s="27" t="s">
        <v>6053</v>
      </c>
      <c r="D870" t="s">
        <v>6596</v>
      </c>
      <c r="E870" t="s">
        <v>2182</v>
      </c>
      <c r="F870"/>
      <c r="G870"/>
      <c r="H870"/>
      <c r="I870"/>
      <c r="J870"/>
      <c r="K870"/>
      <c r="L870" s="10">
        <v>3975040</v>
      </c>
      <c r="M870" s="10">
        <v>733500</v>
      </c>
      <c r="N870" s="12">
        <v>15</v>
      </c>
      <c r="O870" s="12" t="s">
        <v>6992</v>
      </c>
      <c r="P870" t="s">
        <v>2183</v>
      </c>
      <c r="R870"/>
      <c r="S870" t="s">
        <v>2184</v>
      </c>
      <c r="T870" s="12" t="s">
        <v>2185</v>
      </c>
      <c r="U870" s="12" t="s">
        <v>2186</v>
      </c>
      <c r="V870" s="12" t="s">
        <v>2187</v>
      </c>
      <c r="W870" s="12">
        <v>0</v>
      </c>
      <c r="X870" s="12">
        <v>1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2">
        <v>0</v>
      </c>
      <c r="AK870" s="12">
        <v>0</v>
      </c>
      <c r="AL870" s="12">
        <v>0</v>
      </c>
      <c r="AM870" s="12"/>
      <c r="AN870" s="12">
        <v>0</v>
      </c>
      <c r="AO870" s="12">
        <v>0</v>
      </c>
      <c r="AP870" s="12">
        <v>0</v>
      </c>
      <c r="AQ870" s="12">
        <v>0</v>
      </c>
      <c r="AR870" s="12">
        <v>0</v>
      </c>
      <c r="AS870" s="12">
        <v>0</v>
      </c>
      <c r="AT870" s="12">
        <v>0</v>
      </c>
      <c r="AU870" s="12">
        <v>0</v>
      </c>
      <c r="AV870" s="12">
        <v>0</v>
      </c>
      <c r="AW870" s="12">
        <v>0</v>
      </c>
      <c r="AX870" s="12">
        <v>0</v>
      </c>
      <c r="AY870" s="12">
        <v>0</v>
      </c>
      <c r="AZ870"/>
      <c r="BA870"/>
      <c r="BB870" s="12">
        <v>0</v>
      </c>
      <c r="BC870" s="12">
        <v>0</v>
      </c>
      <c r="BD870" s="12">
        <v>0</v>
      </c>
      <c r="BE870" s="12">
        <v>0</v>
      </c>
      <c r="BF870" s="12">
        <v>0</v>
      </c>
      <c r="BI870" s="12">
        <v>0</v>
      </c>
      <c r="BJ870" s="12">
        <v>0</v>
      </c>
    </row>
    <row r="871" spans="1:62" x14ac:dyDescent="0.15">
      <c r="A871" s="12"/>
      <c r="B871" t="s">
        <v>6054</v>
      </c>
      <c r="C871" t="s">
        <v>6054</v>
      </c>
      <c r="D871" t="s">
        <v>6596</v>
      </c>
      <c r="E871" t="s">
        <v>2182</v>
      </c>
      <c r="F871"/>
      <c r="G871"/>
      <c r="H871"/>
      <c r="I871"/>
      <c r="J871"/>
      <c r="K871"/>
      <c r="L871" s="10">
        <v>3954140</v>
      </c>
      <c r="M871" s="10">
        <v>716680</v>
      </c>
      <c r="N871" s="12">
        <v>15</v>
      </c>
      <c r="O871" s="12" t="s">
        <v>6992</v>
      </c>
      <c r="P871" t="s">
        <v>2183</v>
      </c>
      <c r="R871"/>
      <c r="S871" t="s">
        <v>2184</v>
      </c>
      <c r="T871" s="12" t="s">
        <v>2185</v>
      </c>
      <c r="U871" s="12" t="s">
        <v>2186</v>
      </c>
      <c r="V871" s="12" t="s">
        <v>2187</v>
      </c>
      <c r="W871" s="12">
        <v>0</v>
      </c>
      <c r="X871" s="12">
        <v>1</v>
      </c>
      <c r="Y871" s="12">
        <v>0</v>
      </c>
      <c r="Z871" s="12">
        <v>0</v>
      </c>
      <c r="AA871" s="12">
        <v>0</v>
      </c>
      <c r="AB871" s="12">
        <v>0</v>
      </c>
      <c r="AC871" s="12">
        <v>0</v>
      </c>
      <c r="AD871" s="12">
        <v>0</v>
      </c>
      <c r="AE871" s="12">
        <v>0</v>
      </c>
      <c r="AF871" s="12">
        <v>0</v>
      </c>
      <c r="AG871" s="12">
        <v>0</v>
      </c>
      <c r="AH871" s="12">
        <v>0</v>
      </c>
      <c r="AI871" s="12">
        <v>0</v>
      </c>
      <c r="AJ871" s="12">
        <v>0</v>
      </c>
      <c r="AK871" s="12">
        <v>0</v>
      </c>
      <c r="AL871" s="12">
        <v>0</v>
      </c>
      <c r="AM871" s="12"/>
      <c r="AN871" s="12">
        <v>0</v>
      </c>
      <c r="AO871" s="12">
        <v>0</v>
      </c>
      <c r="AP871" s="12">
        <v>0</v>
      </c>
      <c r="AQ871" s="12">
        <v>0</v>
      </c>
      <c r="AR871" s="12">
        <v>0</v>
      </c>
      <c r="AS871" s="12">
        <v>0</v>
      </c>
      <c r="AT871" s="12">
        <v>0</v>
      </c>
      <c r="AU871" s="12">
        <v>0</v>
      </c>
      <c r="AV871" s="12">
        <v>0</v>
      </c>
      <c r="AW871" s="12">
        <v>0</v>
      </c>
      <c r="AX871" s="12">
        <v>0</v>
      </c>
      <c r="AY871" s="12">
        <v>0</v>
      </c>
      <c r="AZ871"/>
      <c r="BA871"/>
      <c r="BB871" s="12">
        <v>0</v>
      </c>
      <c r="BC871" s="12">
        <v>0</v>
      </c>
      <c r="BD871" s="12">
        <v>0</v>
      </c>
      <c r="BE871" s="12">
        <v>0</v>
      </c>
      <c r="BF871" s="12">
        <v>0</v>
      </c>
      <c r="BI871" s="12">
        <v>0</v>
      </c>
      <c r="BJ871" s="12">
        <v>0</v>
      </c>
    </row>
    <row r="872" spans="1:62" x14ac:dyDescent="0.15">
      <c r="A872" s="12"/>
      <c r="B872" t="s">
        <v>6055</v>
      </c>
      <c r="C872" t="s">
        <v>6055</v>
      </c>
      <c r="D872" t="s">
        <v>6596</v>
      </c>
      <c r="E872" t="s">
        <v>2182</v>
      </c>
      <c r="F872"/>
      <c r="G872"/>
      <c r="H872"/>
      <c r="I872"/>
      <c r="J872"/>
      <c r="K872"/>
      <c r="L872" s="10">
        <v>3957060</v>
      </c>
      <c r="M872" s="10">
        <v>715560</v>
      </c>
      <c r="N872" s="12">
        <v>15</v>
      </c>
      <c r="O872" s="12" t="s">
        <v>6992</v>
      </c>
      <c r="P872" t="s">
        <v>2183</v>
      </c>
      <c r="R872"/>
      <c r="S872" t="s">
        <v>2184</v>
      </c>
      <c r="T872" s="12" t="s">
        <v>2185</v>
      </c>
      <c r="U872" s="12" t="s">
        <v>2186</v>
      </c>
      <c r="V872" s="12" t="s">
        <v>2187</v>
      </c>
      <c r="W872" s="12">
        <v>0</v>
      </c>
      <c r="X872" s="12">
        <v>1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2">
        <v>0</v>
      </c>
      <c r="AK872" s="12">
        <v>0</v>
      </c>
      <c r="AL872" s="12">
        <v>0</v>
      </c>
      <c r="AM872" s="12"/>
      <c r="AN872" s="12">
        <v>0</v>
      </c>
      <c r="AO872" s="12">
        <v>0</v>
      </c>
      <c r="AP872" s="12">
        <v>0</v>
      </c>
      <c r="AQ872" s="12">
        <v>0</v>
      </c>
      <c r="AR872" s="12">
        <v>0</v>
      </c>
      <c r="AS872" s="12">
        <v>0</v>
      </c>
      <c r="AT872" s="12">
        <v>0</v>
      </c>
      <c r="AU872" s="12">
        <v>0</v>
      </c>
      <c r="AV872" s="12">
        <v>0</v>
      </c>
      <c r="AW872" s="12">
        <v>0</v>
      </c>
      <c r="AX872" s="12">
        <v>0</v>
      </c>
      <c r="AY872" s="12">
        <v>0</v>
      </c>
      <c r="AZ872"/>
      <c r="BA872"/>
      <c r="BB872" s="12">
        <v>0</v>
      </c>
      <c r="BC872" s="12">
        <v>0</v>
      </c>
      <c r="BD872" s="12">
        <v>0</v>
      </c>
      <c r="BE872" s="12">
        <v>0</v>
      </c>
      <c r="BF872" s="12">
        <v>0</v>
      </c>
      <c r="BI872" s="12">
        <v>0</v>
      </c>
      <c r="BJ872" s="12">
        <v>0</v>
      </c>
    </row>
    <row r="873" spans="1:62" x14ac:dyDescent="0.15">
      <c r="A873" s="12"/>
      <c r="B873" t="s">
        <v>6056</v>
      </c>
      <c r="C873" t="s">
        <v>6056</v>
      </c>
      <c r="D873" t="s">
        <v>6596</v>
      </c>
      <c r="E873" t="s">
        <v>2182</v>
      </c>
      <c r="F873"/>
      <c r="G873"/>
      <c r="H873"/>
      <c r="I873"/>
      <c r="J873"/>
      <c r="K873"/>
      <c r="L873" s="10">
        <v>3955060</v>
      </c>
      <c r="M873" s="10">
        <v>691750</v>
      </c>
      <c r="N873" s="12">
        <v>15</v>
      </c>
      <c r="O873" s="12" t="s">
        <v>6992</v>
      </c>
      <c r="P873" t="s">
        <v>2183</v>
      </c>
      <c r="R873"/>
      <c r="S873" t="s">
        <v>2184</v>
      </c>
      <c r="T873" s="12" t="s">
        <v>2185</v>
      </c>
      <c r="U873" s="12" t="s">
        <v>2186</v>
      </c>
      <c r="V873" s="12" t="s">
        <v>2187</v>
      </c>
      <c r="W873" s="12">
        <v>0</v>
      </c>
      <c r="X873" s="12">
        <v>1</v>
      </c>
      <c r="Y873" s="12">
        <v>0</v>
      </c>
      <c r="Z873" s="12">
        <v>0</v>
      </c>
      <c r="AA873" s="12">
        <v>0</v>
      </c>
      <c r="AB873" s="12">
        <v>0</v>
      </c>
      <c r="AC873" s="12">
        <v>0</v>
      </c>
      <c r="AD873" s="12">
        <v>0</v>
      </c>
      <c r="AE873" s="12">
        <v>0</v>
      </c>
      <c r="AF873" s="12">
        <v>0</v>
      </c>
      <c r="AG873" s="12">
        <v>0</v>
      </c>
      <c r="AH873" s="12">
        <v>0</v>
      </c>
      <c r="AI873" s="12">
        <v>0</v>
      </c>
      <c r="AJ873" s="12">
        <v>0</v>
      </c>
      <c r="AK873" s="12">
        <v>0</v>
      </c>
      <c r="AL873" s="12">
        <v>0</v>
      </c>
      <c r="AM873" s="12"/>
      <c r="AN873" s="12">
        <v>0</v>
      </c>
      <c r="AO873" s="12">
        <v>0</v>
      </c>
      <c r="AP873" s="12">
        <v>0</v>
      </c>
      <c r="AQ873" s="12">
        <v>0</v>
      </c>
      <c r="AR873" s="12">
        <v>0</v>
      </c>
      <c r="AS873" s="12">
        <v>0</v>
      </c>
      <c r="AT873" s="12">
        <v>0</v>
      </c>
      <c r="AU873" s="12">
        <v>0</v>
      </c>
      <c r="AV873" s="12">
        <v>0</v>
      </c>
      <c r="AW873" s="12">
        <v>0</v>
      </c>
      <c r="AX873" s="12">
        <v>0</v>
      </c>
      <c r="AY873" s="12">
        <v>0</v>
      </c>
      <c r="AZ873"/>
      <c r="BA873"/>
      <c r="BB873" s="12">
        <v>0</v>
      </c>
      <c r="BC873" s="12">
        <v>0</v>
      </c>
      <c r="BD873" s="12">
        <v>0</v>
      </c>
      <c r="BE873" s="12">
        <v>0</v>
      </c>
      <c r="BF873" s="12">
        <v>0</v>
      </c>
      <c r="BI873" s="12">
        <v>0</v>
      </c>
      <c r="BJ873" s="12">
        <v>0</v>
      </c>
    </row>
    <row r="874" spans="1:62" x14ac:dyDescent="0.15">
      <c r="A874" s="12"/>
      <c r="B874" t="s">
        <v>8841</v>
      </c>
      <c r="C874" t="s">
        <v>8841</v>
      </c>
      <c r="D874" t="s">
        <v>6596</v>
      </c>
      <c r="E874" t="s">
        <v>2182</v>
      </c>
      <c r="F874"/>
      <c r="G874"/>
      <c r="H874"/>
      <c r="I874"/>
      <c r="J874"/>
      <c r="K874"/>
      <c r="L874" s="10">
        <v>3961130</v>
      </c>
      <c r="M874" s="10">
        <v>720490</v>
      </c>
      <c r="N874" s="12">
        <v>15</v>
      </c>
      <c r="O874" s="12" t="s">
        <v>6992</v>
      </c>
      <c r="P874" t="s">
        <v>2183</v>
      </c>
      <c r="R874"/>
      <c r="S874" t="s">
        <v>2184</v>
      </c>
      <c r="T874" s="12" t="s">
        <v>2185</v>
      </c>
      <c r="U874" s="12" t="s">
        <v>2186</v>
      </c>
      <c r="V874" s="12" t="s">
        <v>2187</v>
      </c>
      <c r="W874" s="12">
        <v>0</v>
      </c>
      <c r="X874" s="12">
        <v>1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2">
        <v>0</v>
      </c>
      <c r="AK874" s="12">
        <v>0</v>
      </c>
      <c r="AL874" s="12">
        <v>0</v>
      </c>
      <c r="AM874" s="12"/>
      <c r="AN874" s="12">
        <v>0</v>
      </c>
      <c r="AO874" s="12">
        <v>0</v>
      </c>
      <c r="AP874" s="12">
        <v>0</v>
      </c>
      <c r="AQ874" s="12">
        <v>0</v>
      </c>
      <c r="AR874" s="12">
        <v>0</v>
      </c>
      <c r="AS874" s="12">
        <v>0</v>
      </c>
      <c r="AT874" s="12">
        <v>0</v>
      </c>
      <c r="AU874" s="12">
        <v>0</v>
      </c>
      <c r="AV874" s="12">
        <v>0</v>
      </c>
      <c r="AW874" s="12">
        <v>0</v>
      </c>
      <c r="AX874" s="12">
        <v>0</v>
      </c>
      <c r="AY874" s="12">
        <v>0</v>
      </c>
      <c r="AZ874"/>
      <c r="BA874"/>
      <c r="BB874" s="12">
        <v>0</v>
      </c>
      <c r="BC874" s="12">
        <v>0</v>
      </c>
      <c r="BD874" s="12">
        <v>0</v>
      </c>
      <c r="BE874" s="12">
        <v>0</v>
      </c>
      <c r="BF874" s="12">
        <v>0</v>
      </c>
      <c r="BI874" s="12">
        <v>0</v>
      </c>
      <c r="BJ874" s="12">
        <v>0</v>
      </c>
    </row>
    <row r="875" spans="1:62" x14ac:dyDescent="0.15">
      <c r="A875" s="12"/>
      <c r="B875" t="s">
        <v>8842</v>
      </c>
      <c r="C875" t="s">
        <v>8842</v>
      </c>
      <c r="D875" t="s">
        <v>6596</v>
      </c>
      <c r="E875" t="s">
        <v>2182</v>
      </c>
      <c r="F875"/>
      <c r="G875"/>
      <c r="H875"/>
      <c r="I875"/>
      <c r="J875"/>
      <c r="K875"/>
      <c r="L875" s="10">
        <v>3859580</v>
      </c>
      <c r="M875" s="10">
        <v>699440</v>
      </c>
      <c r="N875" s="12">
        <v>15</v>
      </c>
      <c r="O875" s="12" t="s">
        <v>6992</v>
      </c>
      <c r="P875" t="s">
        <v>2183</v>
      </c>
      <c r="R875"/>
      <c r="S875" t="s">
        <v>2184</v>
      </c>
      <c r="T875" s="12" t="s">
        <v>2185</v>
      </c>
      <c r="U875" s="12" t="s">
        <v>2186</v>
      </c>
      <c r="V875" s="12" t="s">
        <v>2187</v>
      </c>
      <c r="W875" s="12">
        <v>0</v>
      </c>
      <c r="X875" s="12">
        <v>1</v>
      </c>
      <c r="Y875" s="12">
        <v>0</v>
      </c>
      <c r="Z875" s="12">
        <v>0</v>
      </c>
      <c r="AA875" s="12">
        <v>0</v>
      </c>
      <c r="AB875" s="12">
        <v>0</v>
      </c>
      <c r="AC875" s="12">
        <v>0</v>
      </c>
      <c r="AD875" s="12">
        <v>0</v>
      </c>
      <c r="AE875" s="12">
        <v>0</v>
      </c>
      <c r="AF875" s="12">
        <v>0</v>
      </c>
      <c r="AG875" s="12">
        <v>0</v>
      </c>
      <c r="AH875" s="12">
        <v>0</v>
      </c>
      <c r="AI875" s="12">
        <v>0</v>
      </c>
      <c r="AJ875" s="12">
        <v>0</v>
      </c>
      <c r="AK875" s="12">
        <v>0</v>
      </c>
      <c r="AL875" s="12">
        <v>0</v>
      </c>
      <c r="AM875" s="12"/>
      <c r="AN875" s="12">
        <v>0</v>
      </c>
      <c r="AO875" s="12">
        <v>0</v>
      </c>
      <c r="AP875" s="12">
        <v>0</v>
      </c>
      <c r="AQ875" s="12">
        <v>0</v>
      </c>
      <c r="AR875" s="12">
        <v>0</v>
      </c>
      <c r="AS875" s="12">
        <v>0</v>
      </c>
      <c r="AT875" s="12">
        <v>0</v>
      </c>
      <c r="AU875" s="12">
        <v>0</v>
      </c>
      <c r="AV875" s="12">
        <v>0</v>
      </c>
      <c r="AW875" s="12">
        <v>0</v>
      </c>
      <c r="AX875" s="12">
        <v>0</v>
      </c>
      <c r="AY875" s="12">
        <v>0</v>
      </c>
      <c r="AZ875"/>
      <c r="BA875"/>
      <c r="BB875" s="12">
        <v>0</v>
      </c>
      <c r="BC875" s="12">
        <v>0</v>
      </c>
      <c r="BD875" s="12">
        <v>0</v>
      </c>
      <c r="BE875" s="12">
        <v>0</v>
      </c>
      <c r="BF875" s="12">
        <v>0</v>
      </c>
      <c r="BI875" s="12">
        <v>0</v>
      </c>
      <c r="BJ875" s="12">
        <v>0</v>
      </c>
    </row>
    <row r="876" spans="1:62" x14ac:dyDescent="0.15">
      <c r="A876" s="12"/>
      <c r="B876" t="s">
        <v>8843</v>
      </c>
      <c r="C876" t="s">
        <v>8843</v>
      </c>
      <c r="D876" t="s">
        <v>6596</v>
      </c>
      <c r="E876" t="s">
        <v>2182</v>
      </c>
      <c r="F876"/>
      <c r="G876"/>
      <c r="H876"/>
      <c r="I876"/>
      <c r="J876"/>
      <c r="K876"/>
      <c r="L876" s="10">
        <v>3860000</v>
      </c>
      <c r="M876" s="10">
        <v>696240</v>
      </c>
      <c r="N876" s="12">
        <v>15</v>
      </c>
      <c r="O876" s="12" t="s">
        <v>6992</v>
      </c>
      <c r="P876" t="s">
        <v>2183</v>
      </c>
      <c r="R876"/>
      <c r="S876" t="s">
        <v>2184</v>
      </c>
      <c r="T876" s="12" t="s">
        <v>2185</v>
      </c>
      <c r="U876" s="12" t="s">
        <v>2186</v>
      </c>
      <c r="V876" s="12" t="s">
        <v>2187</v>
      </c>
      <c r="W876" s="12">
        <v>0</v>
      </c>
      <c r="X876" s="12">
        <v>1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2">
        <v>0</v>
      </c>
      <c r="AK876" s="12">
        <v>0</v>
      </c>
      <c r="AL876" s="12">
        <v>0</v>
      </c>
      <c r="AM876" s="12"/>
      <c r="AN876" s="12">
        <v>0</v>
      </c>
      <c r="AO876" s="12">
        <v>0</v>
      </c>
      <c r="AP876" s="12">
        <v>0</v>
      </c>
      <c r="AQ876" s="12">
        <v>0</v>
      </c>
      <c r="AR876" s="12">
        <v>0</v>
      </c>
      <c r="AS876" s="12">
        <v>0</v>
      </c>
      <c r="AT876" s="12">
        <v>0</v>
      </c>
      <c r="AU876" s="12">
        <v>0</v>
      </c>
      <c r="AV876" s="12">
        <v>0</v>
      </c>
      <c r="AW876" s="12">
        <v>0</v>
      </c>
      <c r="AX876" s="12">
        <v>0</v>
      </c>
      <c r="AY876" s="12">
        <v>0</v>
      </c>
      <c r="AZ876"/>
      <c r="BA876"/>
      <c r="BB876" s="12">
        <v>0</v>
      </c>
      <c r="BC876" s="12">
        <v>0</v>
      </c>
      <c r="BD876" s="12">
        <v>0</v>
      </c>
      <c r="BE876" s="12">
        <v>0</v>
      </c>
      <c r="BF876" s="12">
        <v>0</v>
      </c>
      <c r="BI876" s="12">
        <v>0</v>
      </c>
      <c r="BJ876" s="12">
        <v>0</v>
      </c>
    </row>
    <row r="877" spans="1:62" x14ac:dyDescent="0.15">
      <c r="A877" s="12"/>
      <c r="B877" t="s">
        <v>8844</v>
      </c>
      <c r="C877" s="27" t="s">
        <v>8845</v>
      </c>
      <c r="D877" t="s">
        <v>6596</v>
      </c>
      <c r="E877" t="s">
        <v>2182</v>
      </c>
      <c r="F877"/>
      <c r="G877"/>
      <c r="H877"/>
      <c r="I877"/>
      <c r="J877"/>
      <c r="K877"/>
      <c r="L877" s="10">
        <v>3921520</v>
      </c>
      <c r="M877" s="10">
        <v>690140</v>
      </c>
      <c r="N877" s="12">
        <v>15</v>
      </c>
      <c r="O877" s="12" t="s">
        <v>6992</v>
      </c>
      <c r="P877" t="s">
        <v>2183</v>
      </c>
      <c r="R877"/>
      <c r="S877" t="s">
        <v>2184</v>
      </c>
      <c r="T877" s="12" t="s">
        <v>2185</v>
      </c>
      <c r="U877" s="12" t="s">
        <v>2186</v>
      </c>
      <c r="V877" s="12" t="s">
        <v>2187</v>
      </c>
      <c r="W877" s="12">
        <v>0</v>
      </c>
      <c r="X877" s="12">
        <v>1</v>
      </c>
      <c r="Y877" s="12">
        <v>0</v>
      </c>
      <c r="Z877" s="12">
        <v>0</v>
      </c>
      <c r="AA877" s="12">
        <v>0</v>
      </c>
      <c r="AB877" s="12">
        <v>0</v>
      </c>
      <c r="AC877" s="12">
        <v>0</v>
      </c>
      <c r="AD877" s="12">
        <v>0</v>
      </c>
      <c r="AE877" s="12">
        <v>0</v>
      </c>
      <c r="AF877" s="12">
        <v>0</v>
      </c>
      <c r="AG877" s="12">
        <v>0</v>
      </c>
      <c r="AH877" s="12">
        <v>0</v>
      </c>
      <c r="AI877" s="12">
        <v>0</v>
      </c>
      <c r="AJ877" s="12">
        <v>0</v>
      </c>
      <c r="AK877" s="12">
        <v>0</v>
      </c>
      <c r="AL877" s="12">
        <v>0</v>
      </c>
      <c r="AM877" s="12"/>
      <c r="AN877" s="12">
        <v>0</v>
      </c>
      <c r="AO877" s="12">
        <v>0</v>
      </c>
      <c r="AP877" s="12">
        <v>0</v>
      </c>
      <c r="AQ877" s="12">
        <v>0</v>
      </c>
      <c r="AR877" s="12">
        <v>0</v>
      </c>
      <c r="AS877" s="12">
        <v>0</v>
      </c>
      <c r="AT877" s="12">
        <v>0</v>
      </c>
      <c r="AU877" s="12">
        <v>0</v>
      </c>
      <c r="AV877" s="12">
        <v>0</v>
      </c>
      <c r="AW877" s="12">
        <v>0</v>
      </c>
      <c r="AX877" s="12">
        <v>0</v>
      </c>
      <c r="AY877" s="12">
        <v>0</v>
      </c>
      <c r="AZ877"/>
      <c r="BA877"/>
      <c r="BB877" s="12">
        <v>0</v>
      </c>
      <c r="BC877" s="12">
        <v>0</v>
      </c>
      <c r="BD877" s="12">
        <v>0</v>
      </c>
      <c r="BE877" s="12">
        <v>0</v>
      </c>
      <c r="BF877" s="12">
        <v>0</v>
      </c>
      <c r="BI877" s="12">
        <v>0</v>
      </c>
      <c r="BJ877" s="12">
        <v>0</v>
      </c>
    </row>
    <row r="878" spans="1:62" x14ac:dyDescent="0.15">
      <c r="A878" s="12"/>
      <c r="B878" t="s">
        <v>8846</v>
      </c>
      <c r="C878" s="27" t="s">
        <v>8847</v>
      </c>
      <c r="D878" t="s">
        <v>6596</v>
      </c>
      <c r="E878" t="s">
        <v>2182</v>
      </c>
      <c r="F878"/>
      <c r="G878"/>
      <c r="H878"/>
      <c r="I878"/>
      <c r="J878"/>
      <c r="K878"/>
      <c r="L878" s="10">
        <v>3918370</v>
      </c>
      <c r="M878" s="10">
        <v>689460</v>
      </c>
      <c r="N878" s="12">
        <v>15</v>
      </c>
      <c r="O878" s="12" t="s">
        <v>6992</v>
      </c>
      <c r="P878" t="s">
        <v>2183</v>
      </c>
      <c r="R878"/>
      <c r="S878" t="s">
        <v>2184</v>
      </c>
      <c r="T878" s="12" t="s">
        <v>2185</v>
      </c>
      <c r="U878" s="12" t="s">
        <v>2186</v>
      </c>
      <c r="V878" s="12" t="s">
        <v>2187</v>
      </c>
      <c r="W878" s="12">
        <v>0</v>
      </c>
      <c r="X878" s="12">
        <v>1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2">
        <v>0</v>
      </c>
      <c r="AK878" s="12">
        <v>0</v>
      </c>
      <c r="AL878" s="12">
        <v>0</v>
      </c>
      <c r="AM878" s="12"/>
      <c r="AN878" s="12">
        <v>0</v>
      </c>
      <c r="AO878" s="12">
        <v>0</v>
      </c>
      <c r="AP878" s="12">
        <v>0</v>
      </c>
      <c r="AQ878" s="12">
        <v>0</v>
      </c>
      <c r="AR878" s="12">
        <v>0</v>
      </c>
      <c r="AS878" s="12">
        <v>0</v>
      </c>
      <c r="AT878" s="12">
        <v>0</v>
      </c>
      <c r="AU878" s="12">
        <v>0</v>
      </c>
      <c r="AV878" s="12">
        <v>0</v>
      </c>
      <c r="AW878" s="12">
        <v>0</v>
      </c>
      <c r="AX878" s="12">
        <v>0</v>
      </c>
      <c r="AY878" s="12">
        <v>0</v>
      </c>
      <c r="AZ878"/>
      <c r="BA878"/>
      <c r="BB878" s="12">
        <v>0</v>
      </c>
      <c r="BC878" s="12">
        <v>0</v>
      </c>
      <c r="BD878" s="12">
        <v>0</v>
      </c>
      <c r="BE878" s="12">
        <v>0</v>
      </c>
      <c r="BF878" s="12">
        <v>0</v>
      </c>
      <c r="BI878" s="12">
        <v>0</v>
      </c>
      <c r="BJ878" s="12">
        <v>0</v>
      </c>
    </row>
    <row r="879" spans="1:62" x14ac:dyDescent="0.15">
      <c r="A879" s="12"/>
      <c r="B879" t="s">
        <v>8848</v>
      </c>
      <c r="C879" s="27" t="s">
        <v>8849</v>
      </c>
      <c r="D879" t="s">
        <v>6596</v>
      </c>
      <c r="E879" t="s">
        <v>2182</v>
      </c>
      <c r="F879"/>
      <c r="G879"/>
      <c r="H879"/>
      <c r="I879"/>
      <c r="J879"/>
      <c r="K879"/>
      <c r="L879" s="10">
        <v>3935800</v>
      </c>
      <c r="M879" s="10">
        <v>712450</v>
      </c>
      <c r="N879" s="12">
        <v>15</v>
      </c>
      <c r="O879" s="12" t="s">
        <v>6992</v>
      </c>
      <c r="P879" t="s">
        <v>2183</v>
      </c>
      <c r="R879"/>
      <c r="S879" t="s">
        <v>2184</v>
      </c>
      <c r="T879" s="12" t="s">
        <v>2185</v>
      </c>
      <c r="U879" s="12" t="s">
        <v>2186</v>
      </c>
      <c r="V879" s="12" t="s">
        <v>2187</v>
      </c>
      <c r="W879" s="12">
        <v>0</v>
      </c>
      <c r="X879" s="12">
        <v>1</v>
      </c>
      <c r="Y879" s="12">
        <v>0</v>
      </c>
      <c r="Z879" s="12">
        <v>0</v>
      </c>
      <c r="AA879" s="12">
        <v>0</v>
      </c>
      <c r="AB879" s="12">
        <v>0</v>
      </c>
      <c r="AC879" s="12">
        <v>0</v>
      </c>
      <c r="AD879" s="12">
        <v>0</v>
      </c>
      <c r="AE879" s="12">
        <v>0</v>
      </c>
      <c r="AF879" s="12">
        <v>0</v>
      </c>
      <c r="AG879" s="12">
        <v>0</v>
      </c>
      <c r="AH879" s="12">
        <v>0</v>
      </c>
      <c r="AI879" s="12">
        <v>0</v>
      </c>
      <c r="AJ879" s="12">
        <v>0</v>
      </c>
      <c r="AK879" s="12">
        <v>0</v>
      </c>
      <c r="AL879" s="12">
        <v>0</v>
      </c>
      <c r="AM879" s="12"/>
      <c r="AN879" s="12">
        <v>0</v>
      </c>
      <c r="AO879" s="12">
        <v>0</v>
      </c>
      <c r="AP879" s="12">
        <v>0</v>
      </c>
      <c r="AQ879" s="12">
        <v>0</v>
      </c>
      <c r="AR879" s="12">
        <v>0</v>
      </c>
      <c r="AS879" s="12">
        <v>0</v>
      </c>
      <c r="AT879" s="12">
        <v>0</v>
      </c>
      <c r="AU879" s="12">
        <v>0</v>
      </c>
      <c r="AV879" s="12">
        <v>0</v>
      </c>
      <c r="AW879" s="12">
        <v>0</v>
      </c>
      <c r="AX879" s="12">
        <v>0</v>
      </c>
      <c r="AY879" s="12">
        <v>0</v>
      </c>
      <c r="AZ879"/>
      <c r="BA879"/>
      <c r="BB879" s="12">
        <v>0</v>
      </c>
      <c r="BC879" s="12">
        <v>0</v>
      </c>
      <c r="BD879" s="12">
        <v>0</v>
      </c>
      <c r="BE879" s="12">
        <v>0</v>
      </c>
      <c r="BF879" s="12">
        <v>0</v>
      </c>
      <c r="BI879" s="12">
        <v>0</v>
      </c>
      <c r="BJ879" s="12">
        <v>0</v>
      </c>
    </row>
    <row r="880" spans="1:62" x14ac:dyDescent="0.15">
      <c r="A880" s="12"/>
      <c r="B880" t="s">
        <v>8850</v>
      </c>
      <c r="C880" s="27" t="s">
        <v>2191</v>
      </c>
      <c r="D880" t="s">
        <v>6596</v>
      </c>
      <c r="E880" t="s">
        <v>2182</v>
      </c>
      <c r="F880"/>
      <c r="G880"/>
      <c r="H880"/>
      <c r="I880"/>
      <c r="J880"/>
      <c r="K880"/>
      <c r="L880" s="10">
        <v>3942240</v>
      </c>
      <c r="M880" s="10">
        <v>707720</v>
      </c>
      <c r="N880" s="12">
        <v>15</v>
      </c>
      <c r="O880" s="12" t="s">
        <v>6992</v>
      </c>
      <c r="P880" t="s">
        <v>2183</v>
      </c>
      <c r="R880"/>
      <c r="S880" t="s">
        <v>2184</v>
      </c>
      <c r="T880" s="12" t="s">
        <v>2185</v>
      </c>
      <c r="U880" s="12" t="s">
        <v>2186</v>
      </c>
      <c r="V880" s="12" t="s">
        <v>2187</v>
      </c>
      <c r="W880" s="12">
        <v>0</v>
      </c>
      <c r="X880" s="12">
        <v>1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2">
        <v>0</v>
      </c>
      <c r="AK880" s="12">
        <v>0</v>
      </c>
      <c r="AL880" s="12">
        <v>0</v>
      </c>
      <c r="AM880" s="12"/>
      <c r="AN880" s="12">
        <v>0</v>
      </c>
      <c r="AO880" s="12">
        <v>0</v>
      </c>
      <c r="AP880" s="12">
        <v>0</v>
      </c>
      <c r="AQ880" s="12">
        <v>0</v>
      </c>
      <c r="AR880" s="12">
        <v>0</v>
      </c>
      <c r="AS880" s="12">
        <v>0</v>
      </c>
      <c r="AT880" s="12">
        <v>0</v>
      </c>
      <c r="AU880" s="12">
        <v>0</v>
      </c>
      <c r="AV880" s="12">
        <v>0</v>
      </c>
      <c r="AW880" s="12">
        <v>0</v>
      </c>
      <c r="AX880" s="12">
        <v>0</v>
      </c>
      <c r="AY880" s="12">
        <v>0</v>
      </c>
      <c r="AZ880"/>
      <c r="BA880"/>
      <c r="BB880" s="12">
        <v>0</v>
      </c>
      <c r="BC880" s="12">
        <v>0</v>
      </c>
      <c r="BD880" s="12">
        <v>0</v>
      </c>
      <c r="BE880" s="12">
        <v>0</v>
      </c>
      <c r="BF880" s="12">
        <v>0</v>
      </c>
      <c r="BI880" s="12">
        <v>0</v>
      </c>
      <c r="BJ880" s="12">
        <v>0</v>
      </c>
    </row>
    <row r="881" spans="1:62" x14ac:dyDescent="0.15">
      <c r="A881" s="12"/>
      <c r="B881" t="s">
        <v>8851</v>
      </c>
      <c r="C881" t="s">
        <v>8851</v>
      </c>
      <c r="D881" t="s">
        <v>6596</v>
      </c>
      <c r="E881" t="s">
        <v>2182</v>
      </c>
      <c r="F881"/>
      <c r="G881"/>
      <c r="H881"/>
      <c r="I881"/>
      <c r="J881"/>
      <c r="K881"/>
      <c r="L881" s="10">
        <v>3932470</v>
      </c>
      <c r="M881" s="10">
        <v>683400</v>
      </c>
      <c r="N881" s="12">
        <v>15</v>
      </c>
      <c r="O881" s="12" t="s">
        <v>6992</v>
      </c>
      <c r="P881" t="s">
        <v>2183</v>
      </c>
      <c r="R881"/>
      <c r="S881" t="s">
        <v>2184</v>
      </c>
      <c r="T881" s="12" t="s">
        <v>2185</v>
      </c>
      <c r="U881" s="12" t="s">
        <v>2186</v>
      </c>
      <c r="V881" s="12" t="s">
        <v>2187</v>
      </c>
      <c r="W881" s="12">
        <v>0</v>
      </c>
      <c r="X881" s="12">
        <v>1</v>
      </c>
      <c r="Y881" s="12">
        <v>0</v>
      </c>
      <c r="Z881" s="12">
        <v>0</v>
      </c>
      <c r="AA881" s="12">
        <v>0</v>
      </c>
      <c r="AB881" s="12">
        <v>0</v>
      </c>
      <c r="AC881" s="12">
        <v>0</v>
      </c>
      <c r="AD881" s="12">
        <v>0</v>
      </c>
      <c r="AE881" s="12">
        <v>0</v>
      </c>
      <c r="AF881" s="12">
        <v>0</v>
      </c>
      <c r="AG881" s="12">
        <v>0</v>
      </c>
      <c r="AH881" s="12">
        <v>0</v>
      </c>
      <c r="AI881" s="12">
        <v>0</v>
      </c>
      <c r="AJ881" s="12">
        <v>0</v>
      </c>
      <c r="AK881" s="12">
        <v>0</v>
      </c>
      <c r="AL881" s="12">
        <v>0</v>
      </c>
      <c r="AM881" s="12"/>
      <c r="AN881" s="12">
        <v>0</v>
      </c>
      <c r="AO881" s="12">
        <v>0</v>
      </c>
      <c r="AP881" s="12">
        <v>0</v>
      </c>
      <c r="AQ881" s="12">
        <v>0</v>
      </c>
      <c r="AR881" s="12">
        <v>0</v>
      </c>
      <c r="AS881" s="12">
        <v>0</v>
      </c>
      <c r="AT881" s="12">
        <v>0</v>
      </c>
      <c r="AU881" s="12">
        <v>0</v>
      </c>
      <c r="AV881" s="12">
        <v>0</v>
      </c>
      <c r="AW881" s="12">
        <v>0</v>
      </c>
      <c r="AX881" s="12">
        <v>0</v>
      </c>
      <c r="AY881" s="12">
        <v>0</v>
      </c>
      <c r="AZ881"/>
      <c r="BA881"/>
      <c r="BB881" s="12">
        <v>0</v>
      </c>
      <c r="BC881" s="12">
        <v>0</v>
      </c>
      <c r="BD881" s="12">
        <v>0</v>
      </c>
      <c r="BE881" s="12">
        <v>0</v>
      </c>
      <c r="BF881" s="12">
        <v>0</v>
      </c>
      <c r="BI881" s="12">
        <v>0</v>
      </c>
      <c r="BJ881" s="12">
        <v>0</v>
      </c>
    </row>
    <row r="882" spans="1:62" x14ac:dyDescent="0.15">
      <c r="A882" s="12"/>
      <c r="B882" t="s">
        <v>8852</v>
      </c>
      <c r="C882" t="s">
        <v>8852</v>
      </c>
      <c r="D882" t="s">
        <v>6596</v>
      </c>
      <c r="E882" t="s">
        <v>2182</v>
      </c>
      <c r="F882"/>
      <c r="G882"/>
      <c r="H882"/>
      <c r="I882"/>
      <c r="J882"/>
      <c r="K882"/>
      <c r="L882" s="10">
        <v>3930750</v>
      </c>
      <c r="M882" s="10">
        <v>700560</v>
      </c>
      <c r="N882" s="12">
        <v>15</v>
      </c>
      <c r="O882" s="12" t="s">
        <v>6992</v>
      </c>
      <c r="P882" t="s">
        <v>2183</v>
      </c>
      <c r="R882"/>
      <c r="S882" t="s">
        <v>2184</v>
      </c>
      <c r="T882" s="12" t="s">
        <v>2185</v>
      </c>
      <c r="U882" s="12" t="s">
        <v>2186</v>
      </c>
      <c r="V882" s="12" t="s">
        <v>2187</v>
      </c>
      <c r="W882" s="12">
        <v>0</v>
      </c>
      <c r="X882" s="12">
        <v>1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2">
        <v>0</v>
      </c>
      <c r="AK882" s="12">
        <v>0</v>
      </c>
      <c r="AL882" s="12">
        <v>0</v>
      </c>
      <c r="AM882" s="12"/>
      <c r="AN882" s="12">
        <v>0</v>
      </c>
      <c r="AO882" s="12">
        <v>0</v>
      </c>
      <c r="AP882" s="12">
        <v>0</v>
      </c>
      <c r="AQ882" s="12">
        <v>0</v>
      </c>
      <c r="AR882" s="12">
        <v>0</v>
      </c>
      <c r="AS882" s="12">
        <v>0</v>
      </c>
      <c r="AT882" s="12">
        <v>0</v>
      </c>
      <c r="AU882" s="12">
        <v>0</v>
      </c>
      <c r="AV882" s="12">
        <v>0</v>
      </c>
      <c r="AW882" s="12">
        <v>0</v>
      </c>
      <c r="AX882" s="12">
        <v>0</v>
      </c>
      <c r="AY882" s="12">
        <v>0</v>
      </c>
      <c r="AZ882"/>
      <c r="BA882"/>
      <c r="BB882" s="12">
        <v>0</v>
      </c>
      <c r="BC882" s="12">
        <v>0</v>
      </c>
      <c r="BD882" s="12">
        <v>0</v>
      </c>
      <c r="BE882" s="12">
        <v>0</v>
      </c>
      <c r="BF882" s="12">
        <v>0</v>
      </c>
      <c r="BI882" s="12">
        <v>0</v>
      </c>
      <c r="BJ882" s="12">
        <v>0</v>
      </c>
    </row>
    <row r="883" spans="1:62" x14ac:dyDescent="0.15">
      <c r="A883" s="12"/>
      <c r="B883" t="s">
        <v>8853</v>
      </c>
      <c r="C883" s="27" t="s">
        <v>8854</v>
      </c>
      <c r="D883" t="s">
        <v>6596</v>
      </c>
      <c r="E883" t="s">
        <v>2182</v>
      </c>
      <c r="F883"/>
      <c r="G883"/>
      <c r="H883"/>
      <c r="I883"/>
      <c r="J883"/>
      <c r="K883"/>
      <c r="L883" s="10">
        <v>3924380</v>
      </c>
      <c r="M883" s="10">
        <v>679720</v>
      </c>
      <c r="N883" s="12">
        <v>15</v>
      </c>
      <c r="O883" s="12" t="s">
        <v>6992</v>
      </c>
      <c r="P883" t="s">
        <v>2183</v>
      </c>
      <c r="R883"/>
      <c r="S883" t="s">
        <v>2184</v>
      </c>
      <c r="T883" s="12" t="s">
        <v>2185</v>
      </c>
      <c r="U883" s="12" t="s">
        <v>2186</v>
      </c>
      <c r="V883" s="12" t="s">
        <v>2187</v>
      </c>
      <c r="W883" s="12">
        <v>0</v>
      </c>
      <c r="X883" s="12">
        <v>1</v>
      </c>
      <c r="Y883" s="12">
        <v>0</v>
      </c>
      <c r="Z883" s="12">
        <v>0</v>
      </c>
      <c r="AA883" s="12">
        <v>0</v>
      </c>
      <c r="AB883" s="12">
        <v>0</v>
      </c>
      <c r="AC883" s="12">
        <v>0</v>
      </c>
      <c r="AD883" s="12">
        <v>0</v>
      </c>
      <c r="AE883" s="12">
        <v>0</v>
      </c>
      <c r="AF883" s="12">
        <v>0</v>
      </c>
      <c r="AG883" s="12">
        <v>0</v>
      </c>
      <c r="AH883" s="12">
        <v>0</v>
      </c>
      <c r="AI883" s="12">
        <v>0</v>
      </c>
      <c r="AJ883" s="12">
        <v>0</v>
      </c>
      <c r="AK883" s="12">
        <v>0</v>
      </c>
      <c r="AL883" s="12">
        <v>0</v>
      </c>
      <c r="AM883" s="12"/>
      <c r="AN883" s="12">
        <v>0</v>
      </c>
      <c r="AO883" s="12">
        <v>0</v>
      </c>
      <c r="AP883" s="12">
        <v>0</v>
      </c>
      <c r="AQ883" s="12">
        <v>0</v>
      </c>
      <c r="AR883" s="12">
        <v>0</v>
      </c>
      <c r="AS883" s="12">
        <v>0</v>
      </c>
      <c r="AT883" s="12">
        <v>0</v>
      </c>
      <c r="AU883" s="12">
        <v>0</v>
      </c>
      <c r="AV883" s="12">
        <v>0</v>
      </c>
      <c r="AW883" s="12">
        <v>0</v>
      </c>
      <c r="AX883" s="12">
        <v>0</v>
      </c>
      <c r="AY883" s="12">
        <v>0</v>
      </c>
      <c r="AZ883"/>
      <c r="BA883"/>
      <c r="BB883" s="12">
        <v>0</v>
      </c>
      <c r="BC883" s="12">
        <v>0</v>
      </c>
      <c r="BD883" s="12">
        <v>0</v>
      </c>
      <c r="BE883" s="12">
        <v>0</v>
      </c>
      <c r="BF883" s="12">
        <v>0</v>
      </c>
      <c r="BI883" s="12">
        <v>0</v>
      </c>
      <c r="BJ883" s="12">
        <v>0</v>
      </c>
    </row>
    <row r="884" spans="1:62" x14ac:dyDescent="0.15">
      <c r="A884" s="12"/>
      <c r="B884" t="s">
        <v>8855</v>
      </c>
      <c r="C884" s="27" t="s">
        <v>8856</v>
      </c>
      <c r="D884" t="s">
        <v>6596</v>
      </c>
      <c r="E884" t="s">
        <v>2182</v>
      </c>
      <c r="F884"/>
      <c r="G884"/>
      <c r="H884"/>
      <c r="I884"/>
      <c r="J884"/>
      <c r="K884"/>
      <c r="L884" s="10">
        <v>3925030</v>
      </c>
      <c r="M884" s="10">
        <v>690800</v>
      </c>
      <c r="N884" s="12">
        <v>15</v>
      </c>
      <c r="O884" s="12" t="s">
        <v>6992</v>
      </c>
      <c r="P884" t="s">
        <v>2183</v>
      </c>
      <c r="R884"/>
      <c r="S884" t="s">
        <v>2184</v>
      </c>
      <c r="T884" s="12" t="s">
        <v>2185</v>
      </c>
      <c r="U884" s="12" t="s">
        <v>2186</v>
      </c>
      <c r="V884" s="12" t="s">
        <v>2187</v>
      </c>
      <c r="W884" s="12">
        <v>0</v>
      </c>
      <c r="X884" s="12">
        <v>1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2">
        <v>0</v>
      </c>
      <c r="AK884" s="12">
        <v>0</v>
      </c>
      <c r="AL884" s="12">
        <v>0</v>
      </c>
      <c r="AM884" s="12"/>
      <c r="AN884" s="12">
        <v>0</v>
      </c>
      <c r="AO884" s="12">
        <v>0</v>
      </c>
      <c r="AP884" s="12">
        <v>0</v>
      </c>
      <c r="AQ884" s="12">
        <v>0</v>
      </c>
      <c r="AR884" s="12">
        <v>0</v>
      </c>
      <c r="AS884" s="12">
        <v>0</v>
      </c>
      <c r="AT884" s="12">
        <v>0</v>
      </c>
      <c r="AU884" s="12">
        <v>0</v>
      </c>
      <c r="AV884" s="12">
        <v>0</v>
      </c>
      <c r="AW884" s="12">
        <v>0</v>
      </c>
      <c r="AX884" s="12">
        <v>0</v>
      </c>
      <c r="AY884" s="12">
        <v>0</v>
      </c>
      <c r="AZ884"/>
      <c r="BA884"/>
      <c r="BB884" s="12">
        <v>0</v>
      </c>
      <c r="BC884" s="12">
        <v>0</v>
      </c>
      <c r="BD884" s="12">
        <v>0</v>
      </c>
      <c r="BE884" s="12">
        <v>0</v>
      </c>
      <c r="BF884" s="12">
        <v>0</v>
      </c>
      <c r="BI884" s="12">
        <v>0</v>
      </c>
      <c r="BJ884" s="12">
        <v>0</v>
      </c>
    </row>
    <row r="885" spans="1:62" x14ac:dyDescent="0.15">
      <c r="A885" s="12"/>
      <c r="B885" t="s">
        <v>8857</v>
      </c>
      <c r="C885" s="27" t="s">
        <v>8858</v>
      </c>
      <c r="D885" t="s">
        <v>6596</v>
      </c>
      <c r="E885" t="s">
        <v>2182</v>
      </c>
      <c r="F885"/>
      <c r="G885"/>
      <c r="H885"/>
      <c r="I885"/>
      <c r="J885"/>
      <c r="K885"/>
      <c r="L885" s="10">
        <v>3926750</v>
      </c>
      <c r="M885" s="10">
        <v>691210</v>
      </c>
      <c r="N885" s="12">
        <v>15</v>
      </c>
      <c r="O885" s="12" t="s">
        <v>6992</v>
      </c>
      <c r="P885" t="s">
        <v>2183</v>
      </c>
      <c r="R885"/>
      <c r="S885" t="s">
        <v>2184</v>
      </c>
      <c r="T885" s="12" t="s">
        <v>2185</v>
      </c>
      <c r="U885" s="12" t="s">
        <v>2186</v>
      </c>
      <c r="V885" s="12" t="s">
        <v>2187</v>
      </c>
      <c r="W885" s="12">
        <v>0</v>
      </c>
      <c r="X885" s="12">
        <v>1</v>
      </c>
      <c r="Y885" s="12">
        <v>0</v>
      </c>
      <c r="Z885" s="12">
        <v>0</v>
      </c>
      <c r="AA885" s="12">
        <v>0</v>
      </c>
      <c r="AB885" s="12">
        <v>0</v>
      </c>
      <c r="AC885" s="12">
        <v>0</v>
      </c>
      <c r="AD885" s="12">
        <v>0</v>
      </c>
      <c r="AE885" s="12">
        <v>0</v>
      </c>
      <c r="AF885" s="12">
        <v>0</v>
      </c>
      <c r="AG885" s="12">
        <v>0</v>
      </c>
      <c r="AH885" s="12">
        <v>0</v>
      </c>
      <c r="AI885" s="12">
        <v>0</v>
      </c>
      <c r="AJ885" s="12">
        <v>0</v>
      </c>
      <c r="AK885" s="12">
        <v>0</v>
      </c>
      <c r="AL885" s="12">
        <v>0</v>
      </c>
      <c r="AM885" s="12"/>
      <c r="AN885" s="12">
        <v>0</v>
      </c>
      <c r="AO885" s="12">
        <v>0</v>
      </c>
      <c r="AP885" s="12">
        <v>0</v>
      </c>
      <c r="AQ885" s="12">
        <v>0</v>
      </c>
      <c r="AR885" s="12">
        <v>0</v>
      </c>
      <c r="AS885" s="12">
        <v>0</v>
      </c>
      <c r="AT885" s="12">
        <v>0</v>
      </c>
      <c r="AU885" s="12">
        <v>0</v>
      </c>
      <c r="AV885" s="12">
        <v>0</v>
      </c>
      <c r="AW885" s="12">
        <v>0</v>
      </c>
      <c r="AX885" s="12">
        <v>0</v>
      </c>
      <c r="AY885" s="12">
        <v>0</v>
      </c>
      <c r="AZ885"/>
      <c r="BA885"/>
      <c r="BB885" s="12">
        <v>0</v>
      </c>
      <c r="BC885" s="12">
        <v>0</v>
      </c>
      <c r="BD885" s="12">
        <v>0</v>
      </c>
      <c r="BE885" s="12">
        <v>0</v>
      </c>
      <c r="BF885" s="12">
        <v>0</v>
      </c>
      <c r="BI885" s="12">
        <v>0</v>
      </c>
      <c r="BJ885" s="12">
        <v>0</v>
      </c>
    </row>
    <row r="886" spans="1:62" x14ac:dyDescent="0.15">
      <c r="A886" s="12"/>
      <c r="B886" t="s">
        <v>8859</v>
      </c>
      <c r="C886" s="27" t="s">
        <v>8860</v>
      </c>
      <c r="D886" t="s">
        <v>6596</v>
      </c>
      <c r="E886" t="s">
        <v>2182</v>
      </c>
      <c r="F886"/>
      <c r="G886"/>
      <c r="H886"/>
      <c r="I886"/>
      <c r="J886"/>
      <c r="K886"/>
      <c r="L886" s="10">
        <v>3926810</v>
      </c>
      <c r="M886" s="10">
        <v>691640</v>
      </c>
      <c r="N886" s="12">
        <v>15</v>
      </c>
      <c r="O886" s="12" t="s">
        <v>6992</v>
      </c>
      <c r="P886" t="s">
        <v>2183</v>
      </c>
      <c r="R886"/>
      <c r="S886" t="s">
        <v>2184</v>
      </c>
      <c r="T886" s="12" t="s">
        <v>2185</v>
      </c>
      <c r="U886" s="12" t="s">
        <v>2186</v>
      </c>
      <c r="V886" s="12" t="s">
        <v>2187</v>
      </c>
      <c r="W886" s="12">
        <v>0</v>
      </c>
      <c r="X886" s="12">
        <v>1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2">
        <v>0</v>
      </c>
      <c r="AK886" s="12">
        <v>0</v>
      </c>
      <c r="AL886" s="12">
        <v>0</v>
      </c>
      <c r="AM886" s="12"/>
      <c r="AN886" s="12">
        <v>0</v>
      </c>
      <c r="AO886" s="12">
        <v>0</v>
      </c>
      <c r="AP886" s="12">
        <v>0</v>
      </c>
      <c r="AQ886" s="12">
        <v>0</v>
      </c>
      <c r="AR886" s="12">
        <v>0</v>
      </c>
      <c r="AS886" s="12">
        <v>0</v>
      </c>
      <c r="AT886" s="12">
        <v>0</v>
      </c>
      <c r="AU886" s="12">
        <v>0</v>
      </c>
      <c r="AV886" s="12">
        <v>0</v>
      </c>
      <c r="AW886" s="12">
        <v>0</v>
      </c>
      <c r="AX886" s="12">
        <v>0</v>
      </c>
      <c r="AY886" s="12">
        <v>0</v>
      </c>
      <c r="AZ886"/>
      <c r="BA886"/>
      <c r="BB886" s="12">
        <v>0</v>
      </c>
      <c r="BC886" s="12">
        <v>0</v>
      </c>
      <c r="BD886" s="12">
        <v>0</v>
      </c>
      <c r="BE886" s="12">
        <v>0</v>
      </c>
      <c r="BF886" s="12">
        <v>0</v>
      </c>
      <c r="BI886" s="12">
        <v>0</v>
      </c>
      <c r="BJ886" s="12">
        <v>0</v>
      </c>
    </row>
    <row r="887" spans="1:62" x14ac:dyDescent="0.15">
      <c r="A887" s="12"/>
      <c r="B887" t="s">
        <v>8861</v>
      </c>
      <c r="C887" s="27" t="s">
        <v>8862</v>
      </c>
      <c r="D887" t="s">
        <v>6596</v>
      </c>
      <c r="E887" t="s">
        <v>2182</v>
      </c>
      <c r="F887"/>
      <c r="G887"/>
      <c r="H887"/>
      <c r="I887"/>
      <c r="J887"/>
      <c r="K887"/>
      <c r="L887" s="10">
        <v>3953500</v>
      </c>
      <c r="M887" s="10">
        <v>716850</v>
      </c>
      <c r="N887" s="12">
        <v>15</v>
      </c>
      <c r="O887" s="12" t="s">
        <v>6992</v>
      </c>
      <c r="P887" t="s">
        <v>2183</v>
      </c>
      <c r="R887"/>
      <c r="S887" t="s">
        <v>2184</v>
      </c>
      <c r="T887" s="12" t="s">
        <v>2185</v>
      </c>
      <c r="U887" s="12" t="s">
        <v>2186</v>
      </c>
      <c r="V887" s="12" t="s">
        <v>2187</v>
      </c>
      <c r="W887" s="12">
        <v>0</v>
      </c>
      <c r="X887" s="12">
        <v>1</v>
      </c>
      <c r="Y887" s="12">
        <v>0</v>
      </c>
      <c r="Z887" s="12">
        <v>0</v>
      </c>
      <c r="AA887" s="12">
        <v>0</v>
      </c>
      <c r="AB887" s="12">
        <v>0</v>
      </c>
      <c r="AC887" s="12">
        <v>0</v>
      </c>
      <c r="AD887" s="12">
        <v>0</v>
      </c>
      <c r="AE887" s="12">
        <v>0</v>
      </c>
      <c r="AF887" s="12">
        <v>0</v>
      </c>
      <c r="AG887" s="12">
        <v>0</v>
      </c>
      <c r="AH887" s="12">
        <v>0</v>
      </c>
      <c r="AI887" s="12">
        <v>0</v>
      </c>
      <c r="AJ887" s="12">
        <v>0</v>
      </c>
      <c r="AK887" s="12">
        <v>0</v>
      </c>
      <c r="AL887" s="12">
        <v>0</v>
      </c>
      <c r="AM887" s="12"/>
      <c r="AN887" s="12">
        <v>0</v>
      </c>
      <c r="AO887" s="12">
        <v>0</v>
      </c>
      <c r="AP887" s="12">
        <v>0</v>
      </c>
      <c r="AQ887" s="12">
        <v>0</v>
      </c>
      <c r="AR887" s="12">
        <v>0</v>
      </c>
      <c r="AS887" s="12">
        <v>0</v>
      </c>
      <c r="AT887" s="12">
        <v>0</v>
      </c>
      <c r="AU887" s="12">
        <v>0</v>
      </c>
      <c r="AV887" s="12">
        <v>0</v>
      </c>
      <c r="AW887" s="12">
        <v>0</v>
      </c>
      <c r="AX887" s="12">
        <v>0</v>
      </c>
      <c r="AY887" s="12">
        <v>0</v>
      </c>
      <c r="AZ887"/>
      <c r="BA887"/>
      <c r="BB887" s="12">
        <v>0</v>
      </c>
      <c r="BC887" s="12">
        <v>0</v>
      </c>
      <c r="BD887" s="12">
        <v>0</v>
      </c>
      <c r="BE887" s="12">
        <v>0</v>
      </c>
      <c r="BF887" s="12">
        <v>0</v>
      </c>
      <c r="BI887" s="12">
        <v>0</v>
      </c>
      <c r="BJ887" s="12">
        <v>0</v>
      </c>
    </row>
    <row r="888" spans="1:62" x14ac:dyDescent="0.15">
      <c r="A888" s="12"/>
      <c r="B888" t="s">
        <v>8863</v>
      </c>
      <c r="C888" s="27" t="s">
        <v>8864</v>
      </c>
      <c r="D888" t="s">
        <v>6596</v>
      </c>
      <c r="E888" t="s">
        <v>2182</v>
      </c>
      <c r="F888"/>
      <c r="G888"/>
      <c r="H888"/>
      <c r="I888"/>
      <c r="J888"/>
      <c r="K888"/>
      <c r="L888" s="10">
        <v>3953320</v>
      </c>
      <c r="M888" s="10">
        <v>716840</v>
      </c>
      <c r="N888" s="12">
        <v>15</v>
      </c>
      <c r="O888" s="12" t="s">
        <v>6992</v>
      </c>
      <c r="P888" t="s">
        <v>2183</v>
      </c>
      <c r="R888"/>
      <c r="S888" t="s">
        <v>2184</v>
      </c>
      <c r="T888" s="12" t="s">
        <v>2185</v>
      </c>
      <c r="U888" s="12" t="s">
        <v>2186</v>
      </c>
      <c r="V888" s="12" t="s">
        <v>2187</v>
      </c>
      <c r="W888" s="12">
        <v>0</v>
      </c>
      <c r="X888" s="12">
        <v>1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2">
        <v>0</v>
      </c>
      <c r="AK888" s="12">
        <v>0</v>
      </c>
      <c r="AL888" s="12">
        <v>0</v>
      </c>
      <c r="AM888" s="12"/>
      <c r="AN888" s="12">
        <v>0</v>
      </c>
      <c r="AO888" s="12">
        <v>0</v>
      </c>
      <c r="AP888" s="12">
        <v>0</v>
      </c>
      <c r="AQ888" s="12">
        <v>0</v>
      </c>
      <c r="AR888" s="12">
        <v>0</v>
      </c>
      <c r="AS888" s="12">
        <v>0</v>
      </c>
      <c r="AT888" s="12">
        <v>0</v>
      </c>
      <c r="AU888" s="12">
        <v>0</v>
      </c>
      <c r="AV888" s="12">
        <v>0</v>
      </c>
      <c r="AW888" s="12">
        <v>0</v>
      </c>
      <c r="AX888" s="12">
        <v>0</v>
      </c>
      <c r="AY888" s="12">
        <v>0</v>
      </c>
      <c r="AZ888"/>
      <c r="BA888"/>
      <c r="BB888" s="12">
        <v>0</v>
      </c>
      <c r="BC888" s="12">
        <v>0</v>
      </c>
      <c r="BD888" s="12">
        <v>0</v>
      </c>
      <c r="BE888" s="12">
        <v>0</v>
      </c>
      <c r="BF888" s="12">
        <v>0</v>
      </c>
      <c r="BI888" s="12">
        <v>0</v>
      </c>
      <c r="BJ888" s="12">
        <v>0</v>
      </c>
    </row>
    <row r="889" spans="1:62" x14ac:dyDescent="0.15">
      <c r="A889" s="12"/>
      <c r="B889" t="s">
        <v>8865</v>
      </c>
      <c r="C889" s="27" t="s">
        <v>8866</v>
      </c>
      <c r="D889" t="s">
        <v>6596</v>
      </c>
      <c r="E889" t="s">
        <v>2182</v>
      </c>
      <c r="F889"/>
      <c r="G889"/>
      <c r="H889"/>
      <c r="I889"/>
      <c r="J889"/>
      <c r="K889"/>
      <c r="L889" s="10">
        <v>3953050</v>
      </c>
      <c r="M889" s="10">
        <v>716960</v>
      </c>
      <c r="N889" s="12">
        <v>15</v>
      </c>
      <c r="O889" s="12" t="s">
        <v>6992</v>
      </c>
      <c r="P889" t="s">
        <v>2183</v>
      </c>
      <c r="R889"/>
      <c r="S889" t="s">
        <v>2184</v>
      </c>
      <c r="T889" s="12" t="s">
        <v>2185</v>
      </c>
      <c r="U889" s="12" t="s">
        <v>2186</v>
      </c>
      <c r="V889" s="12" t="s">
        <v>2187</v>
      </c>
      <c r="W889" s="12">
        <v>0</v>
      </c>
      <c r="X889" s="12">
        <v>1</v>
      </c>
      <c r="Y889" s="12">
        <v>0</v>
      </c>
      <c r="Z889" s="12">
        <v>0</v>
      </c>
      <c r="AA889" s="12">
        <v>0</v>
      </c>
      <c r="AB889" s="12">
        <v>0</v>
      </c>
      <c r="AC889" s="12">
        <v>0</v>
      </c>
      <c r="AD889" s="12">
        <v>0</v>
      </c>
      <c r="AE889" s="12">
        <v>0</v>
      </c>
      <c r="AF889" s="12">
        <v>0</v>
      </c>
      <c r="AG889" s="12">
        <v>0</v>
      </c>
      <c r="AH889" s="12">
        <v>0</v>
      </c>
      <c r="AI889" s="12">
        <v>0</v>
      </c>
      <c r="AJ889" s="12">
        <v>0</v>
      </c>
      <c r="AK889" s="12">
        <v>0</v>
      </c>
      <c r="AL889" s="12">
        <v>0</v>
      </c>
      <c r="AM889" s="12"/>
      <c r="AN889" s="12">
        <v>0</v>
      </c>
      <c r="AO889" s="12">
        <v>0</v>
      </c>
      <c r="AP889" s="12">
        <v>0</v>
      </c>
      <c r="AQ889" s="12">
        <v>0</v>
      </c>
      <c r="AR889" s="12">
        <v>0</v>
      </c>
      <c r="AS889" s="12">
        <v>0</v>
      </c>
      <c r="AT889" s="12">
        <v>0</v>
      </c>
      <c r="AU889" s="12">
        <v>0</v>
      </c>
      <c r="AV889" s="12">
        <v>0</v>
      </c>
      <c r="AW889" s="12">
        <v>0</v>
      </c>
      <c r="AX889" s="12">
        <v>0</v>
      </c>
      <c r="AY889" s="12">
        <v>0</v>
      </c>
      <c r="AZ889"/>
      <c r="BA889"/>
      <c r="BB889" s="12">
        <v>0</v>
      </c>
      <c r="BC889" s="12">
        <v>0</v>
      </c>
      <c r="BD889" s="12">
        <v>0</v>
      </c>
      <c r="BE889" s="12">
        <v>0</v>
      </c>
      <c r="BF889" s="12">
        <v>0</v>
      </c>
      <c r="BI889" s="12">
        <v>0</v>
      </c>
      <c r="BJ889" s="12">
        <v>0</v>
      </c>
    </row>
    <row r="890" spans="1:62" x14ac:dyDescent="0.15">
      <c r="A890" s="12"/>
      <c r="B890" t="s">
        <v>8867</v>
      </c>
      <c r="C890" s="27" t="s">
        <v>8868</v>
      </c>
      <c r="D890" t="s">
        <v>6596</v>
      </c>
      <c r="E890" t="s">
        <v>2182</v>
      </c>
      <c r="F890"/>
      <c r="G890"/>
      <c r="H890"/>
      <c r="I890"/>
      <c r="J890"/>
      <c r="K890"/>
      <c r="L890" s="10">
        <v>3930920</v>
      </c>
      <c r="M890" s="10">
        <v>695220</v>
      </c>
      <c r="N890" s="12">
        <v>15</v>
      </c>
      <c r="O890" s="12" t="s">
        <v>6992</v>
      </c>
      <c r="P890" t="s">
        <v>2183</v>
      </c>
      <c r="R890"/>
      <c r="S890" t="s">
        <v>2184</v>
      </c>
      <c r="T890" s="12" t="s">
        <v>2185</v>
      </c>
      <c r="U890" s="12" t="s">
        <v>2186</v>
      </c>
      <c r="V890" s="12" t="s">
        <v>2187</v>
      </c>
      <c r="W890" s="12">
        <v>0</v>
      </c>
      <c r="X890" s="12">
        <v>1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2">
        <v>0</v>
      </c>
      <c r="AK890" s="12">
        <v>0</v>
      </c>
      <c r="AL890" s="12">
        <v>0</v>
      </c>
      <c r="AM890" s="12"/>
      <c r="AN890" s="12">
        <v>0</v>
      </c>
      <c r="AO890" s="12">
        <v>0</v>
      </c>
      <c r="AP890" s="12">
        <v>0</v>
      </c>
      <c r="AQ890" s="12">
        <v>0</v>
      </c>
      <c r="AR890" s="12">
        <v>0</v>
      </c>
      <c r="AS890" s="12">
        <v>0</v>
      </c>
      <c r="AT890" s="12">
        <v>0</v>
      </c>
      <c r="AU890" s="12">
        <v>0</v>
      </c>
      <c r="AV890" s="12">
        <v>0</v>
      </c>
      <c r="AW890" s="12">
        <v>0</v>
      </c>
      <c r="AX890" s="12">
        <v>0</v>
      </c>
      <c r="AY890" s="12">
        <v>0</v>
      </c>
      <c r="AZ890"/>
      <c r="BA890"/>
      <c r="BB890" s="12">
        <v>0</v>
      </c>
      <c r="BC890" s="12">
        <v>0</v>
      </c>
      <c r="BD890" s="12">
        <v>0</v>
      </c>
      <c r="BE890" s="12">
        <v>0</v>
      </c>
      <c r="BF890" s="12">
        <v>0</v>
      </c>
      <c r="BI890" s="12">
        <v>0</v>
      </c>
      <c r="BJ890" s="12">
        <v>0</v>
      </c>
    </row>
    <row r="891" spans="1:62" x14ac:dyDescent="0.15">
      <c r="A891" s="12"/>
      <c r="B891" t="s">
        <v>8869</v>
      </c>
      <c r="C891" t="s">
        <v>8869</v>
      </c>
      <c r="D891" t="s">
        <v>6596</v>
      </c>
      <c r="E891" t="s">
        <v>2182</v>
      </c>
      <c r="F891"/>
      <c r="G891"/>
      <c r="H891"/>
      <c r="I891"/>
      <c r="J891"/>
      <c r="K891"/>
      <c r="L891" s="10">
        <v>3950450</v>
      </c>
      <c r="M891" s="10">
        <v>713600</v>
      </c>
      <c r="N891" s="12">
        <v>15</v>
      </c>
      <c r="O891" s="12" t="s">
        <v>6992</v>
      </c>
      <c r="P891" t="s">
        <v>2183</v>
      </c>
      <c r="R891"/>
      <c r="S891" t="s">
        <v>2184</v>
      </c>
      <c r="T891" s="12" t="s">
        <v>2185</v>
      </c>
      <c r="U891" s="12" t="s">
        <v>2186</v>
      </c>
      <c r="V891" s="12" t="s">
        <v>2187</v>
      </c>
      <c r="W891" s="12">
        <v>0</v>
      </c>
      <c r="X891" s="12">
        <v>1</v>
      </c>
      <c r="Y891" s="12">
        <v>0</v>
      </c>
      <c r="Z891" s="12">
        <v>0</v>
      </c>
      <c r="AA891" s="12">
        <v>0</v>
      </c>
      <c r="AB891" s="12">
        <v>0</v>
      </c>
      <c r="AC891" s="12">
        <v>0</v>
      </c>
      <c r="AD891" s="12">
        <v>0</v>
      </c>
      <c r="AE891" s="12">
        <v>0</v>
      </c>
      <c r="AF891" s="12">
        <v>0</v>
      </c>
      <c r="AG891" s="12">
        <v>0</v>
      </c>
      <c r="AH891" s="12">
        <v>0</v>
      </c>
      <c r="AI891" s="12">
        <v>0</v>
      </c>
      <c r="AJ891" s="12">
        <v>0</v>
      </c>
      <c r="AK891" s="12">
        <v>0</v>
      </c>
      <c r="AL891" s="12">
        <v>0</v>
      </c>
      <c r="AM891" s="12"/>
      <c r="AN891" s="12">
        <v>0</v>
      </c>
      <c r="AO891" s="12">
        <v>0</v>
      </c>
      <c r="AP891" s="12">
        <v>0</v>
      </c>
      <c r="AQ891" s="12">
        <v>0</v>
      </c>
      <c r="AR891" s="12">
        <v>0</v>
      </c>
      <c r="AS891" s="12">
        <v>0</v>
      </c>
      <c r="AT891" s="12">
        <v>0</v>
      </c>
      <c r="AU891" s="12">
        <v>0</v>
      </c>
      <c r="AV891" s="12">
        <v>0</v>
      </c>
      <c r="AW891" s="12">
        <v>0</v>
      </c>
      <c r="AX891" s="12">
        <v>0</v>
      </c>
      <c r="AY891" s="12">
        <v>0</v>
      </c>
      <c r="AZ891"/>
      <c r="BA891"/>
      <c r="BB891" s="12">
        <v>0</v>
      </c>
      <c r="BC891" s="12">
        <v>0</v>
      </c>
      <c r="BD891" s="12">
        <v>0</v>
      </c>
      <c r="BE891" s="12">
        <v>0</v>
      </c>
      <c r="BF891" s="12">
        <v>0</v>
      </c>
      <c r="BI891" s="12">
        <v>0</v>
      </c>
      <c r="BJ891" s="12">
        <v>0</v>
      </c>
    </row>
    <row r="892" spans="1:62" x14ac:dyDescent="0.15">
      <c r="A892" s="12"/>
      <c r="B892" t="s">
        <v>8870</v>
      </c>
      <c r="C892" s="27" t="s">
        <v>8871</v>
      </c>
      <c r="D892" t="s">
        <v>6596</v>
      </c>
      <c r="E892" t="s">
        <v>2182</v>
      </c>
      <c r="F892"/>
      <c r="G892"/>
      <c r="H892"/>
      <c r="I892"/>
      <c r="J892"/>
      <c r="K892"/>
      <c r="L892" s="10">
        <v>3935870</v>
      </c>
      <c r="M892" s="10">
        <v>714600</v>
      </c>
      <c r="N892" s="12">
        <v>15</v>
      </c>
      <c r="O892" s="12" t="s">
        <v>6992</v>
      </c>
      <c r="P892" t="s">
        <v>2183</v>
      </c>
      <c r="R892"/>
      <c r="S892" t="s">
        <v>2184</v>
      </c>
      <c r="T892" s="12" t="s">
        <v>2185</v>
      </c>
      <c r="U892" s="12" t="s">
        <v>2186</v>
      </c>
      <c r="V892" s="12" t="s">
        <v>2187</v>
      </c>
      <c r="W892" s="12">
        <v>0</v>
      </c>
      <c r="X892" s="12">
        <v>1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2">
        <v>0</v>
      </c>
      <c r="AK892" s="12">
        <v>0</v>
      </c>
      <c r="AL892" s="12">
        <v>0</v>
      </c>
      <c r="AM892" s="12"/>
      <c r="AN892" s="12">
        <v>0</v>
      </c>
      <c r="AO892" s="12">
        <v>0</v>
      </c>
      <c r="AP892" s="12">
        <v>0</v>
      </c>
      <c r="AQ892" s="12">
        <v>0</v>
      </c>
      <c r="AR892" s="12">
        <v>0</v>
      </c>
      <c r="AS892" s="12">
        <v>0</v>
      </c>
      <c r="AT892" s="12">
        <v>0</v>
      </c>
      <c r="AU892" s="12">
        <v>0</v>
      </c>
      <c r="AV892" s="12">
        <v>0</v>
      </c>
      <c r="AW892" s="12">
        <v>0</v>
      </c>
      <c r="AX892" s="12">
        <v>0</v>
      </c>
      <c r="AY892" s="12">
        <v>0</v>
      </c>
      <c r="AZ892"/>
      <c r="BA892"/>
      <c r="BB892" s="12">
        <v>0</v>
      </c>
      <c r="BC892" s="12">
        <v>0</v>
      </c>
      <c r="BD892" s="12">
        <v>0</v>
      </c>
      <c r="BE892" s="12">
        <v>0</v>
      </c>
      <c r="BF892" s="12">
        <v>0</v>
      </c>
      <c r="BI892" s="12">
        <v>0</v>
      </c>
      <c r="BJ892" s="12">
        <v>0</v>
      </c>
    </row>
    <row r="893" spans="1:62" x14ac:dyDescent="0.15">
      <c r="A893" s="12"/>
      <c r="B893" t="s">
        <v>8872</v>
      </c>
      <c r="C893" s="27" t="s">
        <v>8873</v>
      </c>
      <c r="D893" t="s">
        <v>6596</v>
      </c>
      <c r="E893" t="s">
        <v>2182</v>
      </c>
      <c r="F893"/>
      <c r="G893"/>
      <c r="H893"/>
      <c r="I893"/>
      <c r="J893"/>
      <c r="K893"/>
      <c r="L893" s="10">
        <v>3930930</v>
      </c>
      <c r="M893" s="10">
        <v>696770</v>
      </c>
      <c r="N893" s="12">
        <v>15</v>
      </c>
      <c r="O893" s="12" t="s">
        <v>6992</v>
      </c>
      <c r="P893" t="s">
        <v>2183</v>
      </c>
      <c r="R893"/>
      <c r="S893" t="s">
        <v>2184</v>
      </c>
      <c r="T893" s="12" t="s">
        <v>2185</v>
      </c>
      <c r="U893" s="12" t="s">
        <v>2186</v>
      </c>
      <c r="V893" s="12" t="s">
        <v>2187</v>
      </c>
      <c r="W893" s="12">
        <v>0</v>
      </c>
      <c r="X893" s="12">
        <v>1</v>
      </c>
      <c r="Y893" s="12">
        <v>0</v>
      </c>
      <c r="Z893" s="12">
        <v>0</v>
      </c>
      <c r="AA893" s="12">
        <v>0</v>
      </c>
      <c r="AB893" s="12">
        <v>0</v>
      </c>
      <c r="AC893" s="12">
        <v>0</v>
      </c>
      <c r="AD893" s="12">
        <v>0</v>
      </c>
      <c r="AE893" s="12">
        <v>0</v>
      </c>
      <c r="AF893" s="12">
        <v>0</v>
      </c>
      <c r="AG893" s="12">
        <v>0</v>
      </c>
      <c r="AH893" s="12">
        <v>0</v>
      </c>
      <c r="AI893" s="12">
        <v>0</v>
      </c>
      <c r="AJ893" s="12">
        <v>0</v>
      </c>
      <c r="AK893" s="12">
        <v>0</v>
      </c>
      <c r="AL893" s="12">
        <v>0</v>
      </c>
      <c r="AM893" s="12"/>
      <c r="AN893" s="12">
        <v>0</v>
      </c>
      <c r="AO893" s="12">
        <v>0</v>
      </c>
      <c r="AP893" s="12">
        <v>0</v>
      </c>
      <c r="AQ893" s="12">
        <v>0</v>
      </c>
      <c r="AR893" s="12">
        <v>0</v>
      </c>
      <c r="AS893" s="12">
        <v>0</v>
      </c>
      <c r="AT893" s="12">
        <v>0</v>
      </c>
      <c r="AU893" s="12">
        <v>0</v>
      </c>
      <c r="AV893" s="12">
        <v>0</v>
      </c>
      <c r="AW893" s="12">
        <v>0</v>
      </c>
      <c r="AX893" s="12">
        <v>0</v>
      </c>
      <c r="AY893" s="12">
        <v>0</v>
      </c>
      <c r="AZ893"/>
      <c r="BA893"/>
      <c r="BB893" s="12">
        <v>0</v>
      </c>
      <c r="BC893" s="12">
        <v>0</v>
      </c>
      <c r="BD893" s="12">
        <v>0</v>
      </c>
      <c r="BE893" s="12">
        <v>0</v>
      </c>
      <c r="BF893" s="12">
        <v>0</v>
      </c>
      <c r="BI893" s="12">
        <v>0</v>
      </c>
      <c r="BJ893" s="12">
        <v>0</v>
      </c>
    </row>
    <row r="894" spans="1:62" x14ac:dyDescent="0.15">
      <c r="A894" s="12"/>
      <c r="B894" t="s">
        <v>8874</v>
      </c>
      <c r="C894" t="s">
        <v>8874</v>
      </c>
      <c r="D894" t="s">
        <v>6596</v>
      </c>
      <c r="E894" t="s">
        <v>2182</v>
      </c>
      <c r="F894"/>
      <c r="G894"/>
      <c r="H894"/>
      <c r="I894"/>
      <c r="J894"/>
      <c r="K894"/>
      <c r="L894" s="10">
        <v>3949900</v>
      </c>
      <c r="M894" s="10">
        <v>684310</v>
      </c>
      <c r="N894" s="12">
        <v>15</v>
      </c>
      <c r="O894" s="12" t="s">
        <v>6992</v>
      </c>
      <c r="P894" t="s">
        <v>2183</v>
      </c>
      <c r="R894"/>
      <c r="S894" t="s">
        <v>2184</v>
      </c>
      <c r="T894" s="12" t="s">
        <v>2185</v>
      </c>
      <c r="U894" s="12" t="s">
        <v>2186</v>
      </c>
      <c r="V894" s="12" t="s">
        <v>2187</v>
      </c>
      <c r="W894" s="12">
        <v>0</v>
      </c>
      <c r="X894" s="12">
        <v>1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2">
        <v>0</v>
      </c>
      <c r="AK894" s="12">
        <v>0</v>
      </c>
      <c r="AL894" s="12">
        <v>0</v>
      </c>
      <c r="AM894" s="12"/>
      <c r="AN894" s="12">
        <v>0</v>
      </c>
      <c r="AO894" s="12">
        <v>0</v>
      </c>
      <c r="AP894" s="12">
        <v>0</v>
      </c>
      <c r="AQ894" s="12">
        <v>0</v>
      </c>
      <c r="AR894" s="12">
        <v>0</v>
      </c>
      <c r="AS894" s="12">
        <v>0</v>
      </c>
      <c r="AT894" s="12">
        <v>0</v>
      </c>
      <c r="AU894" s="12">
        <v>0</v>
      </c>
      <c r="AV894" s="12">
        <v>0</v>
      </c>
      <c r="AW894" s="12">
        <v>0</v>
      </c>
      <c r="AX894" s="12">
        <v>0</v>
      </c>
      <c r="AY894" s="12">
        <v>0</v>
      </c>
      <c r="AZ894"/>
      <c r="BA894"/>
      <c r="BB894" s="12">
        <v>0</v>
      </c>
      <c r="BC894" s="12">
        <v>0</v>
      </c>
      <c r="BD894" s="12">
        <v>0</v>
      </c>
      <c r="BE894" s="12">
        <v>0</v>
      </c>
      <c r="BF894" s="12">
        <v>0</v>
      </c>
      <c r="BI894" s="12">
        <v>0</v>
      </c>
      <c r="BJ894" s="12">
        <v>0</v>
      </c>
    </row>
    <row r="895" spans="1:62" x14ac:dyDescent="0.15">
      <c r="A895" s="12"/>
      <c r="B895" t="s">
        <v>8875</v>
      </c>
      <c r="C895" s="27" t="s">
        <v>8876</v>
      </c>
      <c r="D895" t="s">
        <v>6596</v>
      </c>
      <c r="E895" t="s">
        <v>2182</v>
      </c>
      <c r="F895"/>
      <c r="G895"/>
      <c r="H895"/>
      <c r="I895"/>
      <c r="J895"/>
      <c r="K895"/>
      <c r="L895" s="10">
        <v>3925140</v>
      </c>
      <c r="M895" s="10">
        <v>681100</v>
      </c>
      <c r="N895" s="12">
        <v>15</v>
      </c>
      <c r="O895" s="12" t="s">
        <v>6992</v>
      </c>
      <c r="P895" t="s">
        <v>2183</v>
      </c>
      <c r="R895"/>
      <c r="S895" t="s">
        <v>2184</v>
      </c>
      <c r="T895" s="12" t="s">
        <v>2185</v>
      </c>
      <c r="U895" s="12" t="s">
        <v>2186</v>
      </c>
      <c r="V895" s="12" t="s">
        <v>2187</v>
      </c>
      <c r="W895" s="12">
        <v>0</v>
      </c>
      <c r="X895" s="12">
        <v>1</v>
      </c>
      <c r="Y895" s="12">
        <v>0</v>
      </c>
      <c r="Z895" s="12">
        <v>0</v>
      </c>
      <c r="AA895" s="12">
        <v>0</v>
      </c>
      <c r="AB895" s="12">
        <v>0</v>
      </c>
      <c r="AC895" s="12">
        <v>0</v>
      </c>
      <c r="AD895" s="12">
        <v>0</v>
      </c>
      <c r="AE895" s="12">
        <v>0</v>
      </c>
      <c r="AF895" s="12">
        <v>0</v>
      </c>
      <c r="AG895" s="12">
        <v>0</v>
      </c>
      <c r="AH895" s="12">
        <v>0</v>
      </c>
      <c r="AI895" s="12">
        <v>0</v>
      </c>
      <c r="AJ895" s="12">
        <v>0</v>
      </c>
      <c r="AK895" s="12">
        <v>0</v>
      </c>
      <c r="AL895" s="12">
        <v>0</v>
      </c>
      <c r="AM895" s="12"/>
      <c r="AN895" s="12">
        <v>0</v>
      </c>
      <c r="AO895" s="12">
        <v>0</v>
      </c>
      <c r="AP895" s="12">
        <v>0</v>
      </c>
      <c r="AQ895" s="12">
        <v>0</v>
      </c>
      <c r="AR895" s="12">
        <v>0</v>
      </c>
      <c r="AS895" s="12">
        <v>0</v>
      </c>
      <c r="AT895" s="12">
        <v>0</v>
      </c>
      <c r="AU895" s="12">
        <v>0</v>
      </c>
      <c r="AV895" s="12">
        <v>0</v>
      </c>
      <c r="AW895" s="12">
        <v>0</v>
      </c>
      <c r="AX895" s="12">
        <v>0</v>
      </c>
      <c r="AY895" s="12">
        <v>0</v>
      </c>
      <c r="AZ895"/>
      <c r="BA895"/>
      <c r="BB895" s="12">
        <v>0</v>
      </c>
      <c r="BC895" s="12">
        <v>0</v>
      </c>
      <c r="BD895" s="12">
        <v>0</v>
      </c>
      <c r="BE895" s="12">
        <v>0</v>
      </c>
      <c r="BF895" s="12">
        <v>0</v>
      </c>
      <c r="BI895" s="12">
        <v>0</v>
      </c>
      <c r="BJ895" s="12">
        <v>0</v>
      </c>
    </row>
    <row r="896" spans="1:62" x14ac:dyDescent="0.15">
      <c r="A896" s="12"/>
      <c r="B896" t="s">
        <v>8877</v>
      </c>
      <c r="C896" s="27" t="s">
        <v>8878</v>
      </c>
      <c r="D896" t="s">
        <v>6596</v>
      </c>
      <c r="E896" t="s">
        <v>2182</v>
      </c>
      <c r="F896"/>
      <c r="G896"/>
      <c r="H896"/>
      <c r="I896"/>
      <c r="J896"/>
      <c r="K896"/>
      <c r="L896" s="10">
        <v>3936460</v>
      </c>
      <c r="M896" s="10">
        <v>715550</v>
      </c>
      <c r="N896" s="12">
        <v>15</v>
      </c>
      <c r="O896" s="12" t="s">
        <v>6992</v>
      </c>
      <c r="P896" t="s">
        <v>2183</v>
      </c>
      <c r="R896"/>
      <c r="S896" t="s">
        <v>2184</v>
      </c>
      <c r="T896" s="12" t="s">
        <v>2185</v>
      </c>
      <c r="U896" s="12" t="s">
        <v>2186</v>
      </c>
      <c r="V896" s="12" t="s">
        <v>2187</v>
      </c>
      <c r="W896" s="12">
        <v>0</v>
      </c>
      <c r="X896" s="12">
        <v>1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2">
        <v>0</v>
      </c>
      <c r="AK896" s="12">
        <v>0</v>
      </c>
      <c r="AL896" s="12">
        <v>0</v>
      </c>
      <c r="AM896" s="12"/>
      <c r="AN896" s="12">
        <v>0</v>
      </c>
      <c r="AO896" s="12">
        <v>0</v>
      </c>
      <c r="AP896" s="12">
        <v>0</v>
      </c>
      <c r="AQ896" s="12">
        <v>0</v>
      </c>
      <c r="AR896" s="12">
        <v>0</v>
      </c>
      <c r="AS896" s="12">
        <v>0</v>
      </c>
      <c r="AT896" s="12">
        <v>0</v>
      </c>
      <c r="AU896" s="12">
        <v>0</v>
      </c>
      <c r="AV896" s="12">
        <v>0</v>
      </c>
      <c r="AW896" s="12">
        <v>0</v>
      </c>
      <c r="AX896" s="12">
        <v>0</v>
      </c>
      <c r="AY896" s="12">
        <v>0</v>
      </c>
      <c r="AZ896"/>
      <c r="BA896"/>
      <c r="BB896" s="12">
        <v>0</v>
      </c>
      <c r="BC896" s="12">
        <v>0</v>
      </c>
      <c r="BD896" s="12">
        <v>0</v>
      </c>
      <c r="BE896" s="12">
        <v>0</v>
      </c>
      <c r="BF896" s="12">
        <v>0</v>
      </c>
      <c r="BI896" s="12">
        <v>0</v>
      </c>
      <c r="BJ896" s="12">
        <v>0</v>
      </c>
    </row>
    <row r="897" spans="1:62" x14ac:dyDescent="0.15">
      <c r="A897" s="12"/>
      <c r="B897" t="s">
        <v>8879</v>
      </c>
      <c r="C897" s="27" t="s">
        <v>8880</v>
      </c>
      <c r="D897" t="s">
        <v>6596</v>
      </c>
      <c r="E897" t="s">
        <v>2182</v>
      </c>
      <c r="F897"/>
      <c r="G897"/>
      <c r="H897"/>
      <c r="I897"/>
      <c r="J897"/>
      <c r="K897"/>
      <c r="L897" s="10">
        <v>3950870</v>
      </c>
      <c r="M897" s="10">
        <v>716070</v>
      </c>
      <c r="N897" s="12">
        <v>15</v>
      </c>
      <c r="O897" s="12" t="s">
        <v>6992</v>
      </c>
      <c r="P897" t="s">
        <v>2183</v>
      </c>
      <c r="R897"/>
      <c r="S897" t="s">
        <v>2184</v>
      </c>
      <c r="T897" s="12" t="s">
        <v>2185</v>
      </c>
      <c r="U897" s="12" t="s">
        <v>2186</v>
      </c>
      <c r="V897" s="12" t="s">
        <v>2187</v>
      </c>
      <c r="W897" s="12">
        <v>0</v>
      </c>
      <c r="X897" s="12">
        <v>1</v>
      </c>
      <c r="Y897" s="12">
        <v>0</v>
      </c>
      <c r="Z897" s="12">
        <v>0</v>
      </c>
      <c r="AA897" s="12">
        <v>0</v>
      </c>
      <c r="AB897" s="12">
        <v>0</v>
      </c>
      <c r="AC897" s="12">
        <v>0</v>
      </c>
      <c r="AD897" s="12">
        <v>0</v>
      </c>
      <c r="AE897" s="12">
        <v>0</v>
      </c>
      <c r="AF897" s="12">
        <v>0</v>
      </c>
      <c r="AG897" s="12">
        <v>0</v>
      </c>
      <c r="AH897" s="12">
        <v>0</v>
      </c>
      <c r="AI897" s="12">
        <v>0</v>
      </c>
      <c r="AJ897" s="12">
        <v>0</v>
      </c>
      <c r="AK897" s="12">
        <v>0</v>
      </c>
      <c r="AL897" s="12">
        <v>0</v>
      </c>
      <c r="AM897" s="12"/>
      <c r="AN897" s="12">
        <v>0</v>
      </c>
      <c r="AO897" s="12">
        <v>0</v>
      </c>
      <c r="AP897" s="12">
        <v>0</v>
      </c>
      <c r="AQ897" s="12">
        <v>0</v>
      </c>
      <c r="AR897" s="12">
        <v>0</v>
      </c>
      <c r="AS897" s="12">
        <v>0</v>
      </c>
      <c r="AT897" s="12">
        <v>0</v>
      </c>
      <c r="AU897" s="12">
        <v>0</v>
      </c>
      <c r="AV897" s="12">
        <v>0</v>
      </c>
      <c r="AW897" s="12">
        <v>0</v>
      </c>
      <c r="AX897" s="12">
        <v>0</v>
      </c>
      <c r="AY897" s="12">
        <v>0</v>
      </c>
      <c r="AZ897"/>
      <c r="BA897"/>
      <c r="BB897" s="12">
        <v>0</v>
      </c>
      <c r="BC897" s="12">
        <v>0</v>
      </c>
      <c r="BD897" s="12">
        <v>0</v>
      </c>
      <c r="BE897" s="12">
        <v>0</v>
      </c>
      <c r="BF897" s="12">
        <v>0</v>
      </c>
      <c r="BI897" s="12">
        <v>0</v>
      </c>
      <c r="BJ897" s="12">
        <v>0</v>
      </c>
    </row>
    <row r="898" spans="1:62" x14ac:dyDescent="0.15">
      <c r="A898" s="12"/>
      <c r="B898" t="s">
        <v>8881</v>
      </c>
      <c r="C898" t="s">
        <v>8881</v>
      </c>
      <c r="D898" t="s">
        <v>6596</v>
      </c>
      <c r="E898" t="s">
        <v>2182</v>
      </c>
      <c r="F898"/>
      <c r="G898"/>
      <c r="H898"/>
      <c r="I898"/>
      <c r="J898"/>
      <c r="K898"/>
      <c r="L898" s="10">
        <v>3948600</v>
      </c>
      <c r="M898" s="10">
        <v>715500</v>
      </c>
      <c r="N898" s="12">
        <v>15</v>
      </c>
      <c r="O898" s="12" t="s">
        <v>6992</v>
      </c>
      <c r="P898" t="s">
        <v>2183</v>
      </c>
      <c r="R898"/>
      <c r="S898" t="s">
        <v>2184</v>
      </c>
      <c r="T898" s="12" t="s">
        <v>2185</v>
      </c>
      <c r="U898" s="12" t="s">
        <v>2186</v>
      </c>
      <c r="V898" s="12" t="s">
        <v>2187</v>
      </c>
      <c r="W898" s="12">
        <v>0</v>
      </c>
      <c r="X898" s="12">
        <v>1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2">
        <v>0</v>
      </c>
      <c r="AK898" s="12">
        <v>0</v>
      </c>
      <c r="AL898" s="12">
        <v>0</v>
      </c>
      <c r="AM898" s="12"/>
      <c r="AN898" s="12">
        <v>0</v>
      </c>
      <c r="AO898" s="12">
        <v>0</v>
      </c>
      <c r="AP898" s="12">
        <v>0</v>
      </c>
      <c r="AQ898" s="12">
        <v>0</v>
      </c>
      <c r="AR898" s="12">
        <v>0</v>
      </c>
      <c r="AS898" s="12">
        <v>0</v>
      </c>
      <c r="AT898" s="12">
        <v>0</v>
      </c>
      <c r="AU898" s="12">
        <v>0</v>
      </c>
      <c r="AV898" s="12">
        <v>0</v>
      </c>
      <c r="AW898" s="12">
        <v>0</v>
      </c>
      <c r="AX898" s="12">
        <v>0</v>
      </c>
      <c r="AY898" s="12">
        <v>0</v>
      </c>
      <c r="AZ898"/>
      <c r="BA898"/>
      <c r="BB898" s="12">
        <v>0</v>
      </c>
      <c r="BC898" s="12">
        <v>0</v>
      </c>
      <c r="BD898" s="12">
        <v>0</v>
      </c>
      <c r="BE898" s="12">
        <v>0</v>
      </c>
      <c r="BF898" s="12">
        <v>0</v>
      </c>
      <c r="BI898" s="12">
        <v>0</v>
      </c>
      <c r="BJ898" s="12">
        <v>0</v>
      </c>
    </row>
    <row r="899" spans="1:62" x14ac:dyDescent="0.15">
      <c r="A899" s="12"/>
      <c r="B899" t="s">
        <v>2924</v>
      </c>
      <c r="C899" t="s">
        <v>2924</v>
      </c>
      <c r="D899" t="s">
        <v>6596</v>
      </c>
      <c r="E899" t="s">
        <v>2182</v>
      </c>
      <c r="F899"/>
      <c r="G899"/>
      <c r="H899"/>
      <c r="I899"/>
      <c r="J899"/>
      <c r="K899"/>
      <c r="L899" s="10">
        <v>3944850</v>
      </c>
      <c r="M899" s="10">
        <v>715350</v>
      </c>
      <c r="N899" s="12">
        <v>15</v>
      </c>
      <c r="O899" s="12" t="s">
        <v>6992</v>
      </c>
      <c r="P899" t="s">
        <v>2183</v>
      </c>
      <c r="R899"/>
      <c r="S899" t="s">
        <v>2184</v>
      </c>
      <c r="T899" s="12" t="s">
        <v>2185</v>
      </c>
      <c r="U899" s="12" t="s">
        <v>2186</v>
      </c>
      <c r="V899" s="12" t="s">
        <v>2187</v>
      </c>
      <c r="W899" s="12">
        <v>0</v>
      </c>
      <c r="X899" s="12">
        <v>1</v>
      </c>
      <c r="Y899" s="12">
        <v>0</v>
      </c>
      <c r="Z899" s="12">
        <v>0</v>
      </c>
      <c r="AA899" s="12">
        <v>0</v>
      </c>
      <c r="AB899" s="12">
        <v>0</v>
      </c>
      <c r="AC899" s="12">
        <v>0</v>
      </c>
      <c r="AD899" s="12">
        <v>0</v>
      </c>
      <c r="AE899" s="12">
        <v>0</v>
      </c>
      <c r="AF899" s="12">
        <v>0</v>
      </c>
      <c r="AG899" s="12">
        <v>0</v>
      </c>
      <c r="AH899" s="12">
        <v>0</v>
      </c>
      <c r="AI899" s="12">
        <v>0</v>
      </c>
      <c r="AJ899" s="12">
        <v>0</v>
      </c>
      <c r="AK899" s="12">
        <v>0</v>
      </c>
      <c r="AL899" s="12">
        <v>0</v>
      </c>
      <c r="AM899" s="12"/>
      <c r="AN899" s="12">
        <v>0</v>
      </c>
      <c r="AO899" s="12">
        <v>0</v>
      </c>
      <c r="AP899" s="12">
        <v>0</v>
      </c>
      <c r="AQ899" s="12">
        <v>0</v>
      </c>
      <c r="AR899" s="12">
        <v>0</v>
      </c>
      <c r="AS899" s="12">
        <v>0</v>
      </c>
      <c r="AT899" s="12">
        <v>0</v>
      </c>
      <c r="AU899" s="12">
        <v>0</v>
      </c>
      <c r="AV899" s="12">
        <v>0</v>
      </c>
      <c r="AW899" s="12">
        <v>0</v>
      </c>
      <c r="AX899" s="12">
        <v>0</v>
      </c>
      <c r="AY899" s="12">
        <v>0</v>
      </c>
      <c r="AZ899"/>
      <c r="BA899"/>
      <c r="BB899" s="12">
        <v>0</v>
      </c>
      <c r="BC899" s="12">
        <v>0</v>
      </c>
      <c r="BD899" s="12">
        <v>0</v>
      </c>
      <c r="BE899" s="12">
        <v>0</v>
      </c>
      <c r="BF899" s="12">
        <v>0</v>
      </c>
      <c r="BI899" s="12">
        <v>0</v>
      </c>
      <c r="BJ899" s="12">
        <v>0</v>
      </c>
    </row>
    <row r="900" spans="1:62" x14ac:dyDescent="0.15">
      <c r="A900" s="12"/>
      <c r="B900" t="s">
        <v>2925</v>
      </c>
      <c r="C900" s="27" t="s">
        <v>2926</v>
      </c>
      <c r="D900" t="s">
        <v>6596</v>
      </c>
      <c r="E900" t="s">
        <v>2182</v>
      </c>
      <c r="F900"/>
      <c r="G900"/>
      <c r="H900"/>
      <c r="I900"/>
      <c r="J900"/>
      <c r="K900"/>
      <c r="L900" s="10">
        <v>3951100</v>
      </c>
      <c r="M900" s="10">
        <v>718010</v>
      </c>
      <c r="N900" s="12">
        <v>15</v>
      </c>
      <c r="O900" s="12" t="s">
        <v>6992</v>
      </c>
      <c r="P900" t="s">
        <v>2183</v>
      </c>
      <c r="R900"/>
      <c r="S900" t="s">
        <v>2184</v>
      </c>
      <c r="T900" s="12" t="s">
        <v>2185</v>
      </c>
      <c r="U900" s="12" t="s">
        <v>2186</v>
      </c>
      <c r="V900" s="12" t="s">
        <v>2187</v>
      </c>
      <c r="W900" s="12">
        <v>0</v>
      </c>
      <c r="X900" s="12">
        <v>1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2">
        <v>0</v>
      </c>
      <c r="AK900" s="12">
        <v>0</v>
      </c>
      <c r="AL900" s="12">
        <v>0</v>
      </c>
      <c r="AM900" s="12"/>
      <c r="AN900" s="12">
        <v>0</v>
      </c>
      <c r="AO900" s="12">
        <v>0</v>
      </c>
      <c r="AP900" s="12">
        <v>0</v>
      </c>
      <c r="AQ900" s="12">
        <v>0</v>
      </c>
      <c r="AR900" s="12">
        <v>0</v>
      </c>
      <c r="AS900" s="12">
        <v>0</v>
      </c>
      <c r="AT900" s="12">
        <v>0</v>
      </c>
      <c r="AU900" s="12">
        <v>0</v>
      </c>
      <c r="AV900" s="12">
        <v>0</v>
      </c>
      <c r="AW900" s="12">
        <v>0</v>
      </c>
      <c r="AX900" s="12">
        <v>0</v>
      </c>
      <c r="AY900" s="12">
        <v>0</v>
      </c>
      <c r="AZ900"/>
      <c r="BA900"/>
      <c r="BB900" s="12">
        <v>0</v>
      </c>
      <c r="BC900" s="12">
        <v>0</v>
      </c>
      <c r="BD900" s="12">
        <v>0</v>
      </c>
      <c r="BE900" s="12">
        <v>0</v>
      </c>
      <c r="BF900" s="12">
        <v>0</v>
      </c>
      <c r="BI900" s="12">
        <v>0</v>
      </c>
      <c r="BJ900" s="12">
        <v>0</v>
      </c>
    </row>
    <row r="901" spans="1:62" x14ac:dyDescent="0.15">
      <c r="A901" s="12"/>
      <c r="B901" t="s">
        <v>2927</v>
      </c>
      <c r="C901" s="27" t="s">
        <v>2928</v>
      </c>
      <c r="D901" t="s">
        <v>6596</v>
      </c>
      <c r="E901" t="s">
        <v>2182</v>
      </c>
      <c r="F901"/>
      <c r="G901"/>
      <c r="H901"/>
      <c r="I901"/>
      <c r="J901"/>
      <c r="K901"/>
      <c r="L901" s="10">
        <v>3945800</v>
      </c>
      <c r="M901" s="10">
        <v>717460</v>
      </c>
      <c r="N901" s="12">
        <v>15</v>
      </c>
      <c r="O901" s="12" t="s">
        <v>6992</v>
      </c>
      <c r="P901" t="s">
        <v>2183</v>
      </c>
      <c r="R901"/>
      <c r="S901" t="s">
        <v>2184</v>
      </c>
      <c r="T901" s="12" t="s">
        <v>2185</v>
      </c>
      <c r="U901" s="12" t="s">
        <v>2186</v>
      </c>
      <c r="V901" s="12" t="s">
        <v>2187</v>
      </c>
      <c r="W901" s="12">
        <v>0</v>
      </c>
      <c r="X901" s="12">
        <v>1</v>
      </c>
      <c r="Y901" s="12">
        <v>0</v>
      </c>
      <c r="Z901" s="12">
        <v>0</v>
      </c>
      <c r="AA901" s="12">
        <v>0</v>
      </c>
      <c r="AB901" s="12">
        <v>0</v>
      </c>
      <c r="AC901" s="12">
        <v>0</v>
      </c>
      <c r="AD901" s="12">
        <v>0</v>
      </c>
      <c r="AE901" s="12">
        <v>0</v>
      </c>
      <c r="AF901" s="12">
        <v>0</v>
      </c>
      <c r="AG901" s="12">
        <v>0</v>
      </c>
      <c r="AH901" s="12">
        <v>0</v>
      </c>
      <c r="AI901" s="12">
        <v>0</v>
      </c>
      <c r="AJ901" s="12">
        <v>0</v>
      </c>
      <c r="AK901" s="12">
        <v>0</v>
      </c>
      <c r="AL901" s="12">
        <v>0</v>
      </c>
      <c r="AM901" s="12"/>
      <c r="AN901" s="12">
        <v>0</v>
      </c>
      <c r="AO901" s="12">
        <v>0</v>
      </c>
      <c r="AP901" s="12">
        <v>0</v>
      </c>
      <c r="AQ901" s="12">
        <v>0</v>
      </c>
      <c r="AR901" s="12">
        <v>0</v>
      </c>
      <c r="AS901" s="12">
        <v>0</v>
      </c>
      <c r="AT901" s="12">
        <v>0</v>
      </c>
      <c r="AU901" s="12">
        <v>0</v>
      </c>
      <c r="AV901" s="12">
        <v>0</v>
      </c>
      <c r="AW901" s="12">
        <v>0</v>
      </c>
      <c r="AX901" s="12">
        <v>0</v>
      </c>
      <c r="AY901" s="12">
        <v>0</v>
      </c>
      <c r="AZ901"/>
      <c r="BA901"/>
      <c r="BB901" s="12">
        <v>0</v>
      </c>
      <c r="BC901" s="12">
        <v>0</v>
      </c>
      <c r="BD901" s="12">
        <v>0</v>
      </c>
      <c r="BE901" s="12">
        <v>0</v>
      </c>
      <c r="BF901" s="12">
        <v>0</v>
      </c>
      <c r="BI901" s="12">
        <v>0</v>
      </c>
      <c r="BJ901" s="12">
        <v>0</v>
      </c>
    </row>
    <row r="902" spans="1:62" x14ac:dyDescent="0.15">
      <c r="A902" s="12"/>
      <c r="B902" t="s">
        <v>2929</v>
      </c>
      <c r="C902" t="s">
        <v>2929</v>
      </c>
      <c r="D902" t="s">
        <v>6596</v>
      </c>
      <c r="E902" t="s">
        <v>2182</v>
      </c>
      <c r="F902"/>
      <c r="G902"/>
      <c r="H902"/>
      <c r="I902"/>
      <c r="J902"/>
      <c r="K902"/>
      <c r="L902" s="10">
        <v>3946060</v>
      </c>
      <c r="M902" s="10">
        <v>716770</v>
      </c>
      <c r="N902" s="12">
        <v>15</v>
      </c>
      <c r="O902" s="12" t="s">
        <v>6992</v>
      </c>
      <c r="P902" t="s">
        <v>2183</v>
      </c>
      <c r="R902"/>
      <c r="S902" t="s">
        <v>2184</v>
      </c>
      <c r="T902" s="12" t="s">
        <v>2185</v>
      </c>
      <c r="U902" s="12" t="s">
        <v>2186</v>
      </c>
      <c r="V902" s="12" t="s">
        <v>2187</v>
      </c>
      <c r="W902" s="12">
        <v>0</v>
      </c>
      <c r="X902" s="12">
        <v>1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2">
        <v>0</v>
      </c>
      <c r="AK902" s="12">
        <v>0</v>
      </c>
      <c r="AL902" s="12">
        <v>0</v>
      </c>
      <c r="AM902" s="12"/>
      <c r="AN902" s="12">
        <v>0</v>
      </c>
      <c r="AO902" s="12">
        <v>0</v>
      </c>
      <c r="AP902" s="12">
        <v>0</v>
      </c>
      <c r="AQ902" s="12">
        <v>0</v>
      </c>
      <c r="AR902" s="12">
        <v>0</v>
      </c>
      <c r="AS902" s="12">
        <v>0</v>
      </c>
      <c r="AT902" s="12">
        <v>0</v>
      </c>
      <c r="AU902" s="12">
        <v>0</v>
      </c>
      <c r="AV902" s="12">
        <v>0</v>
      </c>
      <c r="AW902" s="12">
        <v>0</v>
      </c>
      <c r="AX902" s="12">
        <v>0</v>
      </c>
      <c r="AY902" s="12">
        <v>0</v>
      </c>
      <c r="AZ902"/>
      <c r="BA902"/>
      <c r="BB902" s="12">
        <v>0</v>
      </c>
      <c r="BC902" s="12">
        <v>0</v>
      </c>
      <c r="BD902" s="12">
        <v>0</v>
      </c>
      <c r="BE902" s="12">
        <v>0</v>
      </c>
      <c r="BF902" s="12">
        <v>0</v>
      </c>
      <c r="BI902" s="12">
        <v>0</v>
      </c>
      <c r="BJ902" s="12">
        <v>0</v>
      </c>
    </row>
    <row r="903" spans="1:62" x14ac:dyDescent="0.15">
      <c r="A903" s="12"/>
      <c r="B903" t="s">
        <v>2930</v>
      </c>
      <c r="C903" t="s">
        <v>2930</v>
      </c>
      <c r="D903" t="s">
        <v>6596</v>
      </c>
      <c r="E903" t="s">
        <v>2182</v>
      </c>
      <c r="F903"/>
      <c r="G903"/>
      <c r="H903"/>
      <c r="I903"/>
      <c r="J903"/>
      <c r="K903"/>
      <c r="L903" s="10">
        <v>3948640</v>
      </c>
      <c r="M903" s="10">
        <v>714640</v>
      </c>
      <c r="N903" s="12">
        <v>15</v>
      </c>
      <c r="O903" s="12" t="s">
        <v>6992</v>
      </c>
      <c r="P903" t="s">
        <v>2183</v>
      </c>
      <c r="R903"/>
      <c r="S903" t="s">
        <v>2184</v>
      </c>
      <c r="T903" s="12" t="s">
        <v>2185</v>
      </c>
      <c r="U903" s="12" t="s">
        <v>2186</v>
      </c>
      <c r="V903" s="12" t="s">
        <v>2187</v>
      </c>
      <c r="W903" s="12">
        <v>0</v>
      </c>
      <c r="X903" s="12">
        <v>1</v>
      </c>
      <c r="Y903" s="12">
        <v>0</v>
      </c>
      <c r="Z903" s="12">
        <v>0</v>
      </c>
      <c r="AA903" s="12">
        <v>0</v>
      </c>
      <c r="AB903" s="12">
        <v>0</v>
      </c>
      <c r="AC903" s="12">
        <v>0</v>
      </c>
      <c r="AD903" s="12">
        <v>0</v>
      </c>
      <c r="AE903" s="12">
        <v>0</v>
      </c>
      <c r="AF903" s="12">
        <v>0</v>
      </c>
      <c r="AG903" s="12">
        <v>0</v>
      </c>
      <c r="AH903" s="12">
        <v>0</v>
      </c>
      <c r="AI903" s="12">
        <v>0</v>
      </c>
      <c r="AJ903" s="12">
        <v>0</v>
      </c>
      <c r="AK903" s="12">
        <v>0</v>
      </c>
      <c r="AL903" s="12">
        <v>0</v>
      </c>
      <c r="AM903" s="12"/>
      <c r="AN903" s="12">
        <v>0</v>
      </c>
      <c r="AO903" s="12">
        <v>0</v>
      </c>
      <c r="AP903" s="12">
        <v>0</v>
      </c>
      <c r="AQ903" s="12">
        <v>0</v>
      </c>
      <c r="AR903" s="12">
        <v>0</v>
      </c>
      <c r="AS903" s="12">
        <v>0</v>
      </c>
      <c r="AT903" s="12">
        <v>0</v>
      </c>
      <c r="AU903" s="12">
        <v>0</v>
      </c>
      <c r="AV903" s="12">
        <v>0</v>
      </c>
      <c r="AW903" s="12">
        <v>0</v>
      </c>
      <c r="AX903" s="12">
        <v>0</v>
      </c>
      <c r="AY903" s="12">
        <v>0</v>
      </c>
      <c r="AZ903"/>
      <c r="BA903"/>
      <c r="BB903" s="12">
        <v>0</v>
      </c>
      <c r="BC903" s="12">
        <v>0</v>
      </c>
      <c r="BD903" s="12">
        <v>0</v>
      </c>
      <c r="BE903" s="12">
        <v>0</v>
      </c>
      <c r="BF903" s="12">
        <v>0</v>
      </c>
      <c r="BI903" s="12">
        <v>0</v>
      </c>
      <c r="BJ903" s="12">
        <v>0</v>
      </c>
    </row>
    <row r="904" spans="1:62" x14ac:dyDescent="0.15">
      <c r="A904" s="12"/>
      <c r="B904" t="s">
        <v>2931</v>
      </c>
      <c r="C904" s="27" t="s">
        <v>2932</v>
      </c>
      <c r="D904" t="s">
        <v>6596</v>
      </c>
      <c r="E904" t="s">
        <v>2182</v>
      </c>
      <c r="F904"/>
      <c r="G904"/>
      <c r="H904"/>
      <c r="I904"/>
      <c r="J904"/>
      <c r="K904"/>
      <c r="L904" s="10">
        <v>3929700</v>
      </c>
      <c r="M904" s="10">
        <v>695250</v>
      </c>
      <c r="N904" s="12">
        <v>15</v>
      </c>
      <c r="O904" s="12" t="s">
        <v>6992</v>
      </c>
      <c r="P904" t="s">
        <v>2183</v>
      </c>
      <c r="R904"/>
      <c r="S904" t="s">
        <v>2184</v>
      </c>
      <c r="T904" s="12" t="s">
        <v>2185</v>
      </c>
      <c r="U904" s="12" t="s">
        <v>2186</v>
      </c>
      <c r="V904" s="12" t="s">
        <v>2187</v>
      </c>
      <c r="W904" s="12">
        <v>0</v>
      </c>
      <c r="X904" s="12">
        <v>1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2">
        <v>0</v>
      </c>
      <c r="AK904" s="12">
        <v>0</v>
      </c>
      <c r="AL904" s="12">
        <v>0</v>
      </c>
      <c r="AM904" s="12"/>
      <c r="AN904" s="12">
        <v>0</v>
      </c>
      <c r="AO904" s="12">
        <v>0</v>
      </c>
      <c r="AP904" s="12">
        <v>0</v>
      </c>
      <c r="AQ904" s="12">
        <v>0</v>
      </c>
      <c r="AR904" s="12">
        <v>0</v>
      </c>
      <c r="AS904" s="12">
        <v>0</v>
      </c>
      <c r="AT904" s="12">
        <v>0</v>
      </c>
      <c r="AU904" s="12">
        <v>0</v>
      </c>
      <c r="AV904" s="12">
        <v>0</v>
      </c>
      <c r="AW904" s="12">
        <v>0</v>
      </c>
      <c r="AX904" s="12">
        <v>0</v>
      </c>
      <c r="AY904" s="12">
        <v>0</v>
      </c>
      <c r="AZ904"/>
      <c r="BA904"/>
      <c r="BB904" s="12">
        <v>0</v>
      </c>
      <c r="BC904" s="12">
        <v>0</v>
      </c>
      <c r="BD904" s="12">
        <v>0</v>
      </c>
      <c r="BE904" s="12">
        <v>0</v>
      </c>
      <c r="BF904" s="12">
        <v>0</v>
      </c>
      <c r="BI904" s="12">
        <v>0</v>
      </c>
      <c r="BJ904" s="12">
        <v>0</v>
      </c>
    </row>
    <row r="905" spans="1:62" x14ac:dyDescent="0.15">
      <c r="A905" s="12"/>
      <c r="B905" t="s">
        <v>2933</v>
      </c>
      <c r="C905" s="27" t="s">
        <v>2934</v>
      </c>
      <c r="D905" t="s">
        <v>6596</v>
      </c>
      <c r="E905" t="s">
        <v>2182</v>
      </c>
      <c r="F905"/>
      <c r="G905"/>
      <c r="H905"/>
      <c r="I905"/>
      <c r="J905"/>
      <c r="K905"/>
      <c r="L905" s="10">
        <v>3930520</v>
      </c>
      <c r="M905" s="10">
        <v>720520</v>
      </c>
      <c r="N905" s="12">
        <v>15</v>
      </c>
      <c r="O905" s="12" t="s">
        <v>6992</v>
      </c>
      <c r="P905" t="s">
        <v>2183</v>
      </c>
      <c r="R905"/>
      <c r="S905" t="s">
        <v>2184</v>
      </c>
      <c r="T905" s="12" t="s">
        <v>2185</v>
      </c>
      <c r="U905" s="12" t="s">
        <v>2186</v>
      </c>
      <c r="V905" s="12" t="s">
        <v>2187</v>
      </c>
      <c r="W905" s="12">
        <v>0</v>
      </c>
      <c r="X905" s="12">
        <v>1</v>
      </c>
      <c r="Y905" s="12">
        <v>0</v>
      </c>
      <c r="Z905" s="12">
        <v>0</v>
      </c>
      <c r="AA905" s="12">
        <v>0</v>
      </c>
      <c r="AB905" s="12">
        <v>0</v>
      </c>
      <c r="AC905" s="12">
        <v>0</v>
      </c>
      <c r="AD905" s="12">
        <v>0</v>
      </c>
      <c r="AE905" s="12">
        <v>0</v>
      </c>
      <c r="AF905" s="12">
        <v>0</v>
      </c>
      <c r="AG905" s="12">
        <v>0</v>
      </c>
      <c r="AH905" s="12">
        <v>0</v>
      </c>
      <c r="AI905" s="12">
        <v>0</v>
      </c>
      <c r="AJ905" s="12">
        <v>0</v>
      </c>
      <c r="AK905" s="12">
        <v>0</v>
      </c>
      <c r="AL905" s="12">
        <v>0</v>
      </c>
      <c r="AM905" s="12"/>
      <c r="AN905" s="12">
        <v>0</v>
      </c>
      <c r="AO905" s="12">
        <v>0</v>
      </c>
      <c r="AP905" s="12">
        <v>0</v>
      </c>
      <c r="AQ905" s="12">
        <v>0</v>
      </c>
      <c r="AR905" s="12">
        <v>0</v>
      </c>
      <c r="AS905" s="12">
        <v>0</v>
      </c>
      <c r="AT905" s="12">
        <v>0</v>
      </c>
      <c r="AU905" s="12">
        <v>0</v>
      </c>
      <c r="AV905" s="12">
        <v>0</v>
      </c>
      <c r="AW905" s="12">
        <v>0</v>
      </c>
      <c r="AX905" s="12">
        <v>0</v>
      </c>
      <c r="AY905" s="12">
        <v>0</v>
      </c>
      <c r="AZ905"/>
      <c r="BA905"/>
      <c r="BB905" s="12">
        <v>0</v>
      </c>
      <c r="BC905" s="12">
        <v>0</v>
      </c>
      <c r="BD905" s="12">
        <v>0</v>
      </c>
      <c r="BE905" s="12">
        <v>0</v>
      </c>
      <c r="BF905" s="12">
        <v>0</v>
      </c>
      <c r="BI905" s="12">
        <v>0</v>
      </c>
      <c r="BJ905" s="12">
        <v>0</v>
      </c>
    </row>
    <row r="906" spans="1:62" x14ac:dyDescent="0.15">
      <c r="A906" s="12"/>
      <c r="B906" t="s">
        <v>2935</v>
      </c>
      <c r="C906" s="27" t="s">
        <v>2936</v>
      </c>
      <c r="D906" t="s">
        <v>6596</v>
      </c>
      <c r="E906" t="s">
        <v>2182</v>
      </c>
      <c r="F906"/>
      <c r="G906"/>
      <c r="H906"/>
      <c r="I906"/>
      <c r="J906"/>
      <c r="K906"/>
      <c r="L906" s="10">
        <v>3929500</v>
      </c>
      <c r="M906" s="10">
        <v>715890</v>
      </c>
      <c r="N906" s="12">
        <v>15</v>
      </c>
      <c r="O906" s="12" t="s">
        <v>6992</v>
      </c>
      <c r="P906" t="s">
        <v>2183</v>
      </c>
      <c r="R906"/>
      <c r="S906" t="s">
        <v>2184</v>
      </c>
      <c r="T906" s="12" t="s">
        <v>2185</v>
      </c>
      <c r="U906" s="12" t="s">
        <v>2186</v>
      </c>
      <c r="V906" s="12" t="s">
        <v>2187</v>
      </c>
      <c r="W906" s="12">
        <v>0</v>
      </c>
      <c r="X906" s="12">
        <v>1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2">
        <v>0</v>
      </c>
      <c r="AK906" s="12">
        <v>0</v>
      </c>
      <c r="AL906" s="12">
        <v>0</v>
      </c>
      <c r="AM906" s="12"/>
      <c r="AN906" s="12">
        <v>0</v>
      </c>
      <c r="AO906" s="12">
        <v>0</v>
      </c>
      <c r="AP906" s="12">
        <v>0</v>
      </c>
      <c r="AQ906" s="12">
        <v>0</v>
      </c>
      <c r="AR906" s="12">
        <v>0</v>
      </c>
      <c r="AS906" s="12">
        <v>0</v>
      </c>
      <c r="AT906" s="12">
        <v>0</v>
      </c>
      <c r="AU906" s="12">
        <v>0</v>
      </c>
      <c r="AV906" s="12">
        <v>0</v>
      </c>
      <c r="AW906" s="12">
        <v>0</v>
      </c>
      <c r="AX906" s="12">
        <v>0</v>
      </c>
      <c r="AY906" s="12">
        <v>0</v>
      </c>
      <c r="AZ906"/>
      <c r="BA906"/>
      <c r="BB906" s="12">
        <v>0</v>
      </c>
      <c r="BC906" s="12">
        <v>0</v>
      </c>
      <c r="BD906" s="12">
        <v>0</v>
      </c>
      <c r="BE906" s="12">
        <v>0</v>
      </c>
      <c r="BF906" s="12">
        <v>0</v>
      </c>
      <c r="BI906" s="12">
        <v>0</v>
      </c>
      <c r="BJ906" s="12">
        <v>0</v>
      </c>
    </row>
    <row r="907" spans="1:62" x14ac:dyDescent="0.15">
      <c r="A907" s="12"/>
      <c r="B907" t="s">
        <v>2937</v>
      </c>
      <c r="C907" s="27" t="s">
        <v>2938</v>
      </c>
      <c r="D907" t="s">
        <v>6596</v>
      </c>
      <c r="E907" t="s">
        <v>2182</v>
      </c>
      <c r="F907"/>
      <c r="G907"/>
      <c r="H907"/>
      <c r="I907"/>
      <c r="J907"/>
      <c r="K907"/>
      <c r="L907" s="10">
        <v>3930250</v>
      </c>
      <c r="M907" s="10">
        <v>696470</v>
      </c>
      <c r="N907" s="12">
        <v>15</v>
      </c>
      <c r="O907" s="12" t="s">
        <v>6992</v>
      </c>
      <c r="P907" t="s">
        <v>2183</v>
      </c>
      <c r="R907"/>
      <c r="S907" t="s">
        <v>2184</v>
      </c>
      <c r="T907" s="12" t="s">
        <v>2185</v>
      </c>
      <c r="U907" s="12" t="s">
        <v>2186</v>
      </c>
      <c r="V907" s="12" t="s">
        <v>2187</v>
      </c>
      <c r="W907" s="12">
        <v>0</v>
      </c>
      <c r="X907" s="12">
        <v>1</v>
      </c>
      <c r="Y907" s="12">
        <v>0</v>
      </c>
      <c r="Z907" s="12">
        <v>0</v>
      </c>
      <c r="AA907" s="12">
        <v>0</v>
      </c>
      <c r="AB907" s="12">
        <v>0</v>
      </c>
      <c r="AC907" s="12">
        <v>0</v>
      </c>
      <c r="AD907" s="12">
        <v>0</v>
      </c>
      <c r="AE907" s="12">
        <v>0</v>
      </c>
      <c r="AF907" s="12">
        <v>0</v>
      </c>
      <c r="AG907" s="12">
        <v>0</v>
      </c>
      <c r="AH907" s="12">
        <v>0</v>
      </c>
      <c r="AI907" s="12">
        <v>0</v>
      </c>
      <c r="AJ907" s="12">
        <v>0</v>
      </c>
      <c r="AK907" s="12">
        <v>0</v>
      </c>
      <c r="AL907" s="12">
        <v>0</v>
      </c>
      <c r="AM907" s="12"/>
      <c r="AN907" s="12">
        <v>0</v>
      </c>
      <c r="AO907" s="12">
        <v>0</v>
      </c>
      <c r="AP907" s="12">
        <v>0</v>
      </c>
      <c r="AQ907" s="12">
        <v>0</v>
      </c>
      <c r="AR907" s="12">
        <v>0</v>
      </c>
      <c r="AS907" s="12">
        <v>0</v>
      </c>
      <c r="AT907" s="12">
        <v>0</v>
      </c>
      <c r="AU907" s="12">
        <v>0</v>
      </c>
      <c r="AV907" s="12">
        <v>0</v>
      </c>
      <c r="AW907" s="12">
        <v>0</v>
      </c>
      <c r="AX907" s="12">
        <v>0</v>
      </c>
      <c r="AY907" s="12">
        <v>0</v>
      </c>
      <c r="AZ907"/>
      <c r="BA907"/>
      <c r="BB907" s="12">
        <v>0</v>
      </c>
      <c r="BC907" s="12">
        <v>0</v>
      </c>
      <c r="BD907" s="12">
        <v>0</v>
      </c>
      <c r="BE907" s="12">
        <v>0</v>
      </c>
      <c r="BF907" s="12">
        <v>0</v>
      </c>
      <c r="BI907" s="12">
        <v>0</v>
      </c>
      <c r="BJ907" s="12">
        <v>0</v>
      </c>
    </row>
    <row r="908" spans="1:62" x14ac:dyDescent="0.15">
      <c r="A908" s="12"/>
      <c r="B908" t="s">
        <v>2939</v>
      </c>
      <c r="C908" t="s">
        <v>2939</v>
      </c>
      <c r="D908" t="s">
        <v>6596</v>
      </c>
      <c r="E908" t="s">
        <v>2182</v>
      </c>
      <c r="F908"/>
      <c r="G908"/>
      <c r="H908"/>
      <c r="I908"/>
      <c r="J908"/>
      <c r="K908"/>
      <c r="L908" s="10">
        <v>3948280</v>
      </c>
      <c r="M908" s="10">
        <v>710430</v>
      </c>
      <c r="N908" s="12">
        <v>15</v>
      </c>
      <c r="O908" s="12" t="s">
        <v>6992</v>
      </c>
      <c r="P908" t="s">
        <v>2183</v>
      </c>
      <c r="R908"/>
      <c r="S908" t="s">
        <v>2184</v>
      </c>
      <c r="T908" s="12" t="s">
        <v>2185</v>
      </c>
      <c r="U908" s="12" t="s">
        <v>2186</v>
      </c>
      <c r="V908" s="12" t="s">
        <v>2187</v>
      </c>
      <c r="W908" s="12">
        <v>0</v>
      </c>
      <c r="X908" s="12">
        <v>1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2">
        <v>0</v>
      </c>
      <c r="AK908" s="12">
        <v>0</v>
      </c>
      <c r="AL908" s="12">
        <v>0</v>
      </c>
      <c r="AM908" s="12"/>
      <c r="AN908" s="12">
        <v>0</v>
      </c>
      <c r="AO908" s="12">
        <v>0</v>
      </c>
      <c r="AP908" s="12">
        <v>0</v>
      </c>
      <c r="AQ908" s="12">
        <v>0</v>
      </c>
      <c r="AR908" s="12">
        <v>0</v>
      </c>
      <c r="AS908" s="12">
        <v>0</v>
      </c>
      <c r="AT908" s="12">
        <v>0</v>
      </c>
      <c r="AU908" s="12">
        <v>0</v>
      </c>
      <c r="AV908" s="12">
        <v>0</v>
      </c>
      <c r="AW908" s="12">
        <v>0</v>
      </c>
      <c r="AX908" s="12">
        <v>0</v>
      </c>
      <c r="AY908" s="12">
        <v>0</v>
      </c>
      <c r="AZ908"/>
      <c r="BA908"/>
      <c r="BB908" s="12">
        <v>0</v>
      </c>
      <c r="BC908" s="12">
        <v>0</v>
      </c>
      <c r="BD908" s="12">
        <v>0</v>
      </c>
      <c r="BE908" s="12">
        <v>0</v>
      </c>
      <c r="BF908" s="12">
        <v>0</v>
      </c>
      <c r="BI908" s="12">
        <v>0</v>
      </c>
      <c r="BJ908" s="12">
        <v>0</v>
      </c>
    </row>
    <row r="909" spans="1:62" x14ac:dyDescent="0.15">
      <c r="A909" s="12"/>
      <c r="B909" t="s">
        <v>2940</v>
      </c>
      <c r="C909" s="27" t="s">
        <v>2941</v>
      </c>
      <c r="D909" t="s">
        <v>6596</v>
      </c>
      <c r="E909" t="s">
        <v>2182</v>
      </c>
      <c r="F909"/>
      <c r="G909"/>
      <c r="H909"/>
      <c r="I909"/>
      <c r="J909"/>
      <c r="K909"/>
      <c r="L909" s="10">
        <v>3900665</v>
      </c>
      <c r="M909" s="10">
        <v>686080</v>
      </c>
      <c r="N909" s="12">
        <v>15</v>
      </c>
      <c r="O909" s="12" t="s">
        <v>6992</v>
      </c>
      <c r="P909" t="s">
        <v>2183</v>
      </c>
      <c r="R909"/>
      <c r="S909" t="s">
        <v>2184</v>
      </c>
      <c r="T909" s="12" t="s">
        <v>2185</v>
      </c>
      <c r="U909" s="12" t="s">
        <v>2186</v>
      </c>
      <c r="V909" s="12" t="s">
        <v>2187</v>
      </c>
      <c r="W909" s="12">
        <v>0</v>
      </c>
      <c r="X909" s="12">
        <v>1</v>
      </c>
      <c r="Y909" s="12">
        <v>0</v>
      </c>
      <c r="Z909" s="12">
        <v>0</v>
      </c>
      <c r="AA909" s="12">
        <v>0</v>
      </c>
      <c r="AB909" s="12">
        <v>0</v>
      </c>
      <c r="AC909" s="12">
        <v>0</v>
      </c>
      <c r="AD909" s="12">
        <v>0</v>
      </c>
      <c r="AE909" s="12">
        <v>0</v>
      </c>
      <c r="AF909" s="12">
        <v>0</v>
      </c>
      <c r="AG909" s="12">
        <v>0</v>
      </c>
      <c r="AH909" s="12">
        <v>0</v>
      </c>
      <c r="AI909" s="12">
        <v>0</v>
      </c>
      <c r="AJ909" s="12">
        <v>0</v>
      </c>
      <c r="AK909" s="12">
        <v>0</v>
      </c>
      <c r="AL909" s="12">
        <v>0</v>
      </c>
      <c r="AM909" s="12"/>
      <c r="AN909" s="12">
        <v>0</v>
      </c>
      <c r="AO909" s="12">
        <v>0</v>
      </c>
      <c r="AP909" s="12">
        <v>0</v>
      </c>
      <c r="AQ909" s="12">
        <v>0</v>
      </c>
      <c r="AR909" s="12">
        <v>0</v>
      </c>
      <c r="AS909" s="12">
        <v>0</v>
      </c>
      <c r="AT909" s="12">
        <v>0</v>
      </c>
      <c r="AU909" s="12">
        <v>0</v>
      </c>
      <c r="AV909" s="12">
        <v>0</v>
      </c>
      <c r="AW909" s="12">
        <v>0</v>
      </c>
      <c r="AX909" s="12">
        <v>0</v>
      </c>
      <c r="AY909" s="12">
        <v>0</v>
      </c>
      <c r="AZ909"/>
      <c r="BA909"/>
      <c r="BB909" s="12">
        <v>0</v>
      </c>
      <c r="BC909" s="12">
        <v>0</v>
      </c>
      <c r="BD909" s="12">
        <v>0</v>
      </c>
      <c r="BE909" s="12">
        <v>0</v>
      </c>
      <c r="BF909" s="12">
        <v>0</v>
      </c>
      <c r="BI909" s="12">
        <v>0</v>
      </c>
      <c r="BJ909" s="12">
        <v>0</v>
      </c>
    </row>
    <row r="910" spans="1:62" x14ac:dyDescent="0.15">
      <c r="A910" s="12"/>
      <c r="B910" t="s">
        <v>2942</v>
      </c>
      <c r="C910" s="27" t="s">
        <v>2943</v>
      </c>
      <c r="D910" t="s">
        <v>6596</v>
      </c>
      <c r="E910" t="s">
        <v>2182</v>
      </c>
      <c r="F910"/>
      <c r="G910"/>
      <c r="H910"/>
      <c r="I910"/>
      <c r="J910"/>
      <c r="K910"/>
      <c r="L910" s="10">
        <v>3921400</v>
      </c>
      <c r="M910" s="10">
        <v>679640</v>
      </c>
      <c r="N910" s="12">
        <v>15</v>
      </c>
      <c r="O910" s="12" t="s">
        <v>6992</v>
      </c>
      <c r="P910" t="s">
        <v>2183</v>
      </c>
      <c r="R910"/>
      <c r="S910" t="s">
        <v>2184</v>
      </c>
      <c r="T910" s="12" t="s">
        <v>2185</v>
      </c>
      <c r="U910" s="12" t="s">
        <v>2186</v>
      </c>
      <c r="V910" s="12" t="s">
        <v>2187</v>
      </c>
      <c r="W910" s="12">
        <v>0</v>
      </c>
      <c r="X910" s="12">
        <v>1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2">
        <v>0</v>
      </c>
      <c r="AK910" s="12">
        <v>0</v>
      </c>
      <c r="AL910" s="12">
        <v>0</v>
      </c>
      <c r="AM910" s="12"/>
      <c r="AN910" s="12">
        <v>0</v>
      </c>
      <c r="AO910" s="12">
        <v>0</v>
      </c>
      <c r="AP910" s="12">
        <v>0</v>
      </c>
      <c r="AQ910" s="12">
        <v>0</v>
      </c>
      <c r="AR910" s="12">
        <v>0</v>
      </c>
      <c r="AS910" s="12">
        <v>0</v>
      </c>
      <c r="AT910" s="12">
        <v>0</v>
      </c>
      <c r="AU910" s="12">
        <v>0</v>
      </c>
      <c r="AV910" s="12">
        <v>0</v>
      </c>
      <c r="AW910" s="12">
        <v>0</v>
      </c>
      <c r="AX910" s="12">
        <v>0</v>
      </c>
      <c r="AY910" s="12">
        <v>0</v>
      </c>
      <c r="AZ910"/>
      <c r="BA910"/>
      <c r="BB910" s="12">
        <v>0</v>
      </c>
      <c r="BC910" s="12">
        <v>0</v>
      </c>
      <c r="BD910" s="12">
        <v>0</v>
      </c>
      <c r="BE910" s="12">
        <v>0</v>
      </c>
      <c r="BF910" s="12">
        <v>0</v>
      </c>
      <c r="BI910" s="12">
        <v>0</v>
      </c>
      <c r="BJ910" s="12">
        <v>0</v>
      </c>
    </row>
    <row r="911" spans="1:62" x14ac:dyDescent="0.15">
      <c r="A911" s="12"/>
      <c r="B911" t="s">
        <v>2944</v>
      </c>
      <c r="C911" s="27" t="s">
        <v>2945</v>
      </c>
      <c r="D911" t="s">
        <v>6596</v>
      </c>
      <c r="E911" t="s">
        <v>2182</v>
      </c>
      <c r="F911"/>
      <c r="G911"/>
      <c r="H911"/>
      <c r="I911"/>
      <c r="J911"/>
      <c r="K911"/>
      <c r="L911" s="10">
        <v>3923340</v>
      </c>
      <c r="M911" s="10">
        <v>679570</v>
      </c>
      <c r="N911" s="12">
        <v>15</v>
      </c>
      <c r="O911" s="12" t="s">
        <v>6992</v>
      </c>
      <c r="P911" t="s">
        <v>2183</v>
      </c>
      <c r="R911"/>
      <c r="S911" t="s">
        <v>2184</v>
      </c>
      <c r="T911" s="12" t="s">
        <v>2185</v>
      </c>
      <c r="U911" s="12" t="s">
        <v>2186</v>
      </c>
      <c r="V911" s="12" t="s">
        <v>2187</v>
      </c>
      <c r="W911" s="12">
        <v>0</v>
      </c>
      <c r="X911" s="12">
        <v>1</v>
      </c>
      <c r="Y911" s="12">
        <v>0</v>
      </c>
      <c r="Z911" s="12">
        <v>0</v>
      </c>
      <c r="AA911" s="12">
        <v>0</v>
      </c>
      <c r="AB911" s="12">
        <v>0</v>
      </c>
      <c r="AC911" s="12">
        <v>0</v>
      </c>
      <c r="AD911" s="12">
        <v>0</v>
      </c>
      <c r="AE911" s="12">
        <v>0</v>
      </c>
      <c r="AF911" s="12">
        <v>0</v>
      </c>
      <c r="AG911" s="12">
        <v>0</v>
      </c>
      <c r="AH911" s="12">
        <v>0</v>
      </c>
      <c r="AI911" s="12">
        <v>0</v>
      </c>
      <c r="AJ911" s="12">
        <v>0</v>
      </c>
      <c r="AK911" s="12">
        <v>0</v>
      </c>
      <c r="AL911" s="12">
        <v>0</v>
      </c>
      <c r="AM911" s="12"/>
      <c r="AN911" s="12">
        <v>0</v>
      </c>
      <c r="AO911" s="12">
        <v>0</v>
      </c>
      <c r="AP911" s="12">
        <v>0</v>
      </c>
      <c r="AQ911" s="12">
        <v>0</v>
      </c>
      <c r="AR911" s="12">
        <v>0</v>
      </c>
      <c r="AS911" s="12">
        <v>0</v>
      </c>
      <c r="AT911" s="12">
        <v>0</v>
      </c>
      <c r="AU911" s="12">
        <v>0</v>
      </c>
      <c r="AV911" s="12">
        <v>0</v>
      </c>
      <c r="AW911" s="12">
        <v>0</v>
      </c>
      <c r="AX911" s="12">
        <v>0</v>
      </c>
      <c r="AY911" s="12">
        <v>0</v>
      </c>
      <c r="AZ911"/>
      <c r="BA911"/>
      <c r="BB911" s="12">
        <v>0</v>
      </c>
      <c r="BC911" s="12">
        <v>0</v>
      </c>
      <c r="BD911" s="12">
        <v>0</v>
      </c>
      <c r="BE911" s="12">
        <v>0</v>
      </c>
      <c r="BF911" s="12">
        <v>0</v>
      </c>
      <c r="BI911" s="12">
        <v>0</v>
      </c>
      <c r="BJ911" s="12">
        <v>0</v>
      </c>
    </row>
    <row r="912" spans="1:62" x14ac:dyDescent="0.15">
      <c r="A912" s="12"/>
      <c r="B912" t="s">
        <v>2946</v>
      </c>
      <c r="C912" s="27" t="s">
        <v>2947</v>
      </c>
      <c r="D912" t="s">
        <v>6596</v>
      </c>
      <c r="E912" t="s">
        <v>2182</v>
      </c>
      <c r="F912"/>
      <c r="G912"/>
      <c r="H912"/>
      <c r="I912"/>
      <c r="J912"/>
      <c r="K912"/>
      <c r="L912" s="10">
        <v>3891700</v>
      </c>
      <c r="M912" s="10">
        <v>694620</v>
      </c>
      <c r="N912" s="12">
        <v>15</v>
      </c>
      <c r="O912" s="12" t="s">
        <v>6992</v>
      </c>
      <c r="P912" t="s">
        <v>2183</v>
      </c>
      <c r="R912"/>
      <c r="S912" t="s">
        <v>2184</v>
      </c>
      <c r="T912" s="12" t="s">
        <v>2185</v>
      </c>
      <c r="U912" s="12" t="s">
        <v>2186</v>
      </c>
      <c r="V912" s="12" t="s">
        <v>2187</v>
      </c>
      <c r="W912" s="12">
        <v>0</v>
      </c>
      <c r="X912" s="12">
        <v>1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2">
        <v>0</v>
      </c>
      <c r="AK912" s="12">
        <v>0</v>
      </c>
      <c r="AL912" s="12">
        <v>0</v>
      </c>
      <c r="AM912" s="12"/>
      <c r="AN912" s="12">
        <v>0</v>
      </c>
      <c r="AO912" s="12">
        <v>0</v>
      </c>
      <c r="AP912" s="12">
        <v>0</v>
      </c>
      <c r="AQ912" s="12">
        <v>0</v>
      </c>
      <c r="AR912" s="12">
        <v>0</v>
      </c>
      <c r="AS912" s="12">
        <v>0</v>
      </c>
      <c r="AT912" s="12">
        <v>0</v>
      </c>
      <c r="AU912" s="12">
        <v>0</v>
      </c>
      <c r="AV912" s="12">
        <v>0</v>
      </c>
      <c r="AW912" s="12">
        <v>0</v>
      </c>
      <c r="AX912" s="12">
        <v>0</v>
      </c>
      <c r="AY912" s="12">
        <v>0</v>
      </c>
      <c r="AZ912"/>
      <c r="BA912"/>
      <c r="BB912" s="12">
        <v>0</v>
      </c>
      <c r="BC912" s="12">
        <v>0</v>
      </c>
      <c r="BD912" s="12">
        <v>0</v>
      </c>
      <c r="BE912" s="12">
        <v>0</v>
      </c>
      <c r="BF912" s="12">
        <v>0</v>
      </c>
      <c r="BI912" s="12">
        <v>0</v>
      </c>
      <c r="BJ912" s="12">
        <v>0</v>
      </c>
    </row>
    <row r="913" spans="1:62" x14ac:dyDescent="0.15">
      <c r="A913" s="12"/>
      <c r="B913" t="s">
        <v>2948</v>
      </c>
      <c r="C913" s="27" t="s">
        <v>2949</v>
      </c>
      <c r="D913" t="s">
        <v>6596</v>
      </c>
      <c r="E913" t="s">
        <v>2182</v>
      </c>
      <c r="F913"/>
      <c r="G913"/>
      <c r="H913"/>
      <c r="I913"/>
      <c r="J913"/>
      <c r="K913"/>
      <c r="L913" s="10">
        <v>3904300</v>
      </c>
      <c r="M913" s="10">
        <v>691820</v>
      </c>
      <c r="N913" s="12">
        <v>15</v>
      </c>
      <c r="O913" s="12" t="s">
        <v>6992</v>
      </c>
      <c r="P913" t="s">
        <v>2183</v>
      </c>
      <c r="R913"/>
      <c r="S913" t="s">
        <v>2184</v>
      </c>
      <c r="T913" s="12" t="s">
        <v>2185</v>
      </c>
      <c r="U913" s="12" t="s">
        <v>2186</v>
      </c>
      <c r="V913" s="12" t="s">
        <v>2187</v>
      </c>
      <c r="W913" s="12">
        <v>0</v>
      </c>
      <c r="X913" s="12">
        <v>1</v>
      </c>
      <c r="Y913" s="12">
        <v>0</v>
      </c>
      <c r="Z913" s="12">
        <v>0</v>
      </c>
      <c r="AA913" s="12">
        <v>0</v>
      </c>
      <c r="AB913" s="12">
        <v>0</v>
      </c>
      <c r="AC913" s="12">
        <v>0</v>
      </c>
      <c r="AD913" s="12">
        <v>0</v>
      </c>
      <c r="AE913" s="12">
        <v>0</v>
      </c>
      <c r="AF913" s="12">
        <v>0</v>
      </c>
      <c r="AG913" s="12">
        <v>0</v>
      </c>
      <c r="AH913" s="12">
        <v>0</v>
      </c>
      <c r="AI913" s="12">
        <v>0</v>
      </c>
      <c r="AJ913" s="12">
        <v>0</v>
      </c>
      <c r="AK913" s="12">
        <v>0</v>
      </c>
      <c r="AL913" s="12">
        <v>0</v>
      </c>
      <c r="AM913" s="12"/>
      <c r="AN913" s="12">
        <v>0</v>
      </c>
      <c r="AO913" s="12">
        <v>0</v>
      </c>
      <c r="AP913" s="12">
        <v>0</v>
      </c>
      <c r="AQ913" s="12">
        <v>0</v>
      </c>
      <c r="AR913" s="12">
        <v>0</v>
      </c>
      <c r="AS913" s="12">
        <v>0</v>
      </c>
      <c r="AT913" s="12">
        <v>0</v>
      </c>
      <c r="AU913" s="12">
        <v>0</v>
      </c>
      <c r="AV913" s="12">
        <v>0</v>
      </c>
      <c r="AW913" s="12">
        <v>0</v>
      </c>
      <c r="AX913" s="12">
        <v>0</v>
      </c>
      <c r="AY913" s="12">
        <v>0</v>
      </c>
      <c r="AZ913"/>
      <c r="BA913"/>
      <c r="BB913" s="12">
        <v>0</v>
      </c>
      <c r="BC913" s="12">
        <v>0</v>
      </c>
      <c r="BD913" s="12">
        <v>0</v>
      </c>
      <c r="BE913" s="12">
        <v>0</v>
      </c>
      <c r="BF913" s="12">
        <v>0</v>
      </c>
      <c r="BI913" s="12">
        <v>0</v>
      </c>
      <c r="BJ913" s="12">
        <v>0</v>
      </c>
    </row>
    <row r="914" spans="1:62" x14ac:dyDescent="0.15">
      <c r="A914" s="12"/>
      <c r="B914" t="s">
        <v>2950</v>
      </c>
      <c r="C914" s="27" t="s">
        <v>2951</v>
      </c>
      <c r="D914" t="s">
        <v>6596</v>
      </c>
      <c r="E914" t="s">
        <v>2182</v>
      </c>
      <c r="F914"/>
      <c r="G914"/>
      <c r="H914"/>
      <c r="I914"/>
      <c r="J914"/>
      <c r="K914"/>
      <c r="L914" s="10">
        <v>3923250</v>
      </c>
      <c r="M914" s="10">
        <v>705130</v>
      </c>
      <c r="N914" s="12">
        <v>15</v>
      </c>
      <c r="O914" s="12" t="s">
        <v>6992</v>
      </c>
      <c r="P914" t="s">
        <v>2183</v>
      </c>
      <c r="R914"/>
      <c r="S914" t="s">
        <v>2184</v>
      </c>
      <c r="T914" s="12" t="s">
        <v>2185</v>
      </c>
      <c r="U914" s="12" t="s">
        <v>2186</v>
      </c>
      <c r="V914" s="12" t="s">
        <v>2187</v>
      </c>
      <c r="W914" s="12">
        <v>0</v>
      </c>
      <c r="X914" s="12">
        <v>1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2">
        <v>0</v>
      </c>
      <c r="AK914" s="12">
        <v>0</v>
      </c>
      <c r="AL914" s="12">
        <v>0</v>
      </c>
      <c r="AM914" s="12"/>
      <c r="AN914" s="12">
        <v>0</v>
      </c>
      <c r="AO914" s="12">
        <v>0</v>
      </c>
      <c r="AP914" s="12">
        <v>0</v>
      </c>
      <c r="AQ914" s="12">
        <v>0</v>
      </c>
      <c r="AR914" s="12">
        <v>0</v>
      </c>
      <c r="AS914" s="12">
        <v>0</v>
      </c>
      <c r="AT914" s="12">
        <v>0</v>
      </c>
      <c r="AU914" s="12">
        <v>0</v>
      </c>
      <c r="AV914" s="12">
        <v>0</v>
      </c>
      <c r="AW914" s="12">
        <v>0</v>
      </c>
      <c r="AX914" s="12">
        <v>0</v>
      </c>
      <c r="AY914" s="12">
        <v>0</v>
      </c>
      <c r="AZ914"/>
      <c r="BA914"/>
      <c r="BB914" s="12">
        <v>0</v>
      </c>
      <c r="BC914" s="12">
        <v>0</v>
      </c>
      <c r="BD914" s="12">
        <v>0</v>
      </c>
      <c r="BE914" s="12">
        <v>0</v>
      </c>
      <c r="BF914" s="12">
        <v>0</v>
      </c>
      <c r="BI914" s="12">
        <v>0</v>
      </c>
      <c r="BJ914" s="12">
        <v>0</v>
      </c>
    </row>
    <row r="915" spans="1:62" x14ac:dyDescent="0.15">
      <c r="A915" s="12"/>
      <c r="B915" t="s">
        <v>2952</v>
      </c>
      <c r="C915" s="27" t="s">
        <v>2953</v>
      </c>
      <c r="D915" t="s">
        <v>6596</v>
      </c>
      <c r="E915" t="s">
        <v>2182</v>
      </c>
      <c r="F915"/>
      <c r="G915"/>
      <c r="H915"/>
      <c r="I915"/>
      <c r="J915"/>
      <c r="K915"/>
      <c r="L915" s="10">
        <v>3915220</v>
      </c>
      <c r="M915" s="10">
        <v>697320</v>
      </c>
      <c r="N915" s="12">
        <v>15</v>
      </c>
      <c r="O915" s="12" t="s">
        <v>6992</v>
      </c>
      <c r="P915" t="s">
        <v>2183</v>
      </c>
      <c r="R915"/>
      <c r="S915" t="s">
        <v>2184</v>
      </c>
      <c r="T915" s="12" t="s">
        <v>2185</v>
      </c>
      <c r="U915" s="12" t="s">
        <v>2186</v>
      </c>
      <c r="V915" s="12" t="s">
        <v>2187</v>
      </c>
      <c r="W915" s="12">
        <v>0</v>
      </c>
      <c r="X915" s="12">
        <v>1</v>
      </c>
      <c r="Y915" s="12">
        <v>0</v>
      </c>
      <c r="Z915" s="12">
        <v>0</v>
      </c>
      <c r="AA915" s="12">
        <v>0</v>
      </c>
      <c r="AB915" s="12">
        <v>0</v>
      </c>
      <c r="AC915" s="12">
        <v>0</v>
      </c>
      <c r="AD915" s="12">
        <v>0</v>
      </c>
      <c r="AE915" s="12">
        <v>0</v>
      </c>
      <c r="AF915" s="12">
        <v>0</v>
      </c>
      <c r="AG915" s="12">
        <v>0</v>
      </c>
      <c r="AH915" s="12">
        <v>0</v>
      </c>
      <c r="AI915" s="12">
        <v>0</v>
      </c>
      <c r="AJ915" s="12">
        <v>0</v>
      </c>
      <c r="AK915" s="12">
        <v>0</v>
      </c>
      <c r="AL915" s="12">
        <v>0</v>
      </c>
      <c r="AM915" s="12"/>
      <c r="AN915" s="12">
        <v>0</v>
      </c>
      <c r="AO915" s="12">
        <v>0</v>
      </c>
      <c r="AP915" s="12">
        <v>0</v>
      </c>
      <c r="AQ915" s="12">
        <v>0</v>
      </c>
      <c r="AR915" s="12">
        <v>0</v>
      </c>
      <c r="AS915" s="12">
        <v>0</v>
      </c>
      <c r="AT915" s="12">
        <v>0</v>
      </c>
      <c r="AU915" s="12">
        <v>0</v>
      </c>
      <c r="AV915" s="12">
        <v>0</v>
      </c>
      <c r="AW915" s="12">
        <v>0</v>
      </c>
      <c r="AX915" s="12">
        <v>0</v>
      </c>
      <c r="AY915" s="12">
        <v>0</v>
      </c>
      <c r="AZ915"/>
      <c r="BA915"/>
      <c r="BB915" s="12">
        <v>0</v>
      </c>
      <c r="BC915" s="12">
        <v>0</v>
      </c>
      <c r="BD915" s="12">
        <v>0</v>
      </c>
      <c r="BE915" s="12">
        <v>0</v>
      </c>
      <c r="BF915" s="12">
        <v>0</v>
      </c>
      <c r="BI915" s="12">
        <v>0</v>
      </c>
      <c r="BJ915" s="12">
        <v>0</v>
      </c>
    </row>
    <row r="916" spans="1:62" x14ac:dyDescent="0.15">
      <c r="A916" s="12"/>
      <c r="B916" t="s">
        <v>2954</v>
      </c>
      <c r="C916" s="27" t="s">
        <v>2955</v>
      </c>
      <c r="D916" t="s">
        <v>6596</v>
      </c>
      <c r="E916" t="s">
        <v>2182</v>
      </c>
      <c r="F916"/>
      <c r="G916"/>
      <c r="H916"/>
      <c r="I916"/>
      <c r="J916"/>
      <c r="K916"/>
      <c r="L916" s="10">
        <v>3895000</v>
      </c>
      <c r="M916" s="10">
        <v>689820</v>
      </c>
      <c r="N916" s="12">
        <v>15</v>
      </c>
      <c r="O916" s="12" t="s">
        <v>6992</v>
      </c>
      <c r="P916" t="s">
        <v>2183</v>
      </c>
      <c r="R916"/>
      <c r="S916" t="s">
        <v>2184</v>
      </c>
      <c r="T916" s="12" t="s">
        <v>2185</v>
      </c>
      <c r="U916" s="12" t="s">
        <v>2186</v>
      </c>
      <c r="V916" s="12" t="s">
        <v>2187</v>
      </c>
      <c r="W916" s="12">
        <v>0</v>
      </c>
      <c r="X916" s="12">
        <v>1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2">
        <v>0</v>
      </c>
      <c r="AK916" s="12">
        <v>0</v>
      </c>
      <c r="AL916" s="12">
        <v>0</v>
      </c>
      <c r="AM916" s="12"/>
      <c r="AN916" s="12">
        <v>0</v>
      </c>
      <c r="AO916" s="12">
        <v>0</v>
      </c>
      <c r="AP916" s="12">
        <v>0</v>
      </c>
      <c r="AQ916" s="12">
        <v>0</v>
      </c>
      <c r="AR916" s="12">
        <v>0</v>
      </c>
      <c r="AS916" s="12">
        <v>0</v>
      </c>
      <c r="AT916" s="12">
        <v>0</v>
      </c>
      <c r="AU916" s="12">
        <v>0</v>
      </c>
      <c r="AV916" s="12">
        <v>0</v>
      </c>
      <c r="AW916" s="12">
        <v>0</v>
      </c>
      <c r="AX916" s="12">
        <v>0</v>
      </c>
      <c r="AY916" s="12">
        <v>0</v>
      </c>
      <c r="AZ916"/>
      <c r="BA916"/>
      <c r="BB916" s="12">
        <v>0</v>
      </c>
      <c r="BC916" s="12">
        <v>0</v>
      </c>
      <c r="BD916" s="12">
        <v>0</v>
      </c>
      <c r="BE916" s="12">
        <v>0</v>
      </c>
      <c r="BF916" s="12">
        <v>0</v>
      </c>
      <c r="BI916" s="12">
        <v>0</v>
      </c>
      <c r="BJ916" s="12">
        <v>0</v>
      </c>
    </row>
    <row r="917" spans="1:62" x14ac:dyDescent="0.15">
      <c r="A917" s="12"/>
      <c r="B917" t="s">
        <v>1878</v>
      </c>
      <c r="C917" t="s">
        <v>1878</v>
      </c>
      <c r="D917" t="s">
        <v>6596</v>
      </c>
      <c r="E917" t="s">
        <v>2182</v>
      </c>
      <c r="F917"/>
      <c r="G917"/>
      <c r="H917"/>
      <c r="I917"/>
      <c r="J917"/>
      <c r="K917"/>
      <c r="L917" s="10">
        <v>3884450</v>
      </c>
      <c r="M917" s="10">
        <v>691400</v>
      </c>
      <c r="N917" s="12">
        <v>15</v>
      </c>
      <c r="O917" s="12" t="s">
        <v>6992</v>
      </c>
      <c r="P917" t="s">
        <v>2183</v>
      </c>
      <c r="R917"/>
      <c r="S917" t="s">
        <v>2184</v>
      </c>
      <c r="T917" s="12" t="s">
        <v>2185</v>
      </c>
      <c r="U917" s="12" t="s">
        <v>2186</v>
      </c>
      <c r="V917" s="12" t="s">
        <v>2187</v>
      </c>
      <c r="W917" s="12">
        <v>0</v>
      </c>
      <c r="X917" s="12">
        <v>1</v>
      </c>
      <c r="Y917" s="12">
        <v>0</v>
      </c>
      <c r="Z917" s="12">
        <v>0</v>
      </c>
      <c r="AA917" s="12">
        <v>0</v>
      </c>
      <c r="AB917" s="12">
        <v>0</v>
      </c>
      <c r="AC917" s="12">
        <v>0</v>
      </c>
      <c r="AD917" s="12">
        <v>0</v>
      </c>
      <c r="AE917" s="12">
        <v>0</v>
      </c>
      <c r="AF917" s="12">
        <v>0</v>
      </c>
      <c r="AG917" s="12">
        <v>0</v>
      </c>
      <c r="AH917" s="12">
        <v>0</v>
      </c>
      <c r="AI917" s="12">
        <v>0</v>
      </c>
      <c r="AJ917" s="12">
        <v>0</v>
      </c>
      <c r="AK917" s="12">
        <v>0</v>
      </c>
      <c r="AL917" s="12">
        <v>0</v>
      </c>
      <c r="AM917" s="12"/>
      <c r="AN917" s="12">
        <v>0</v>
      </c>
      <c r="AO917" s="12">
        <v>0</v>
      </c>
      <c r="AP917" s="12">
        <v>0</v>
      </c>
      <c r="AQ917" s="12">
        <v>0</v>
      </c>
      <c r="AR917" s="12">
        <v>0</v>
      </c>
      <c r="AS917" s="12">
        <v>0</v>
      </c>
      <c r="AT917" s="12">
        <v>0</v>
      </c>
      <c r="AU917" s="12">
        <v>0</v>
      </c>
      <c r="AV917" s="12">
        <v>0</v>
      </c>
      <c r="AW917" s="12">
        <v>0</v>
      </c>
      <c r="AX917" s="12">
        <v>0</v>
      </c>
      <c r="AY917" s="12">
        <v>0</v>
      </c>
      <c r="AZ917"/>
      <c r="BA917"/>
      <c r="BB917" s="12">
        <v>0</v>
      </c>
      <c r="BC917" s="12">
        <v>0</v>
      </c>
      <c r="BD917" s="12">
        <v>0</v>
      </c>
      <c r="BE917" s="12">
        <v>0</v>
      </c>
      <c r="BF917" s="12">
        <v>0</v>
      </c>
      <c r="BI917" s="12">
        <v>0</v>
      </c>
      <c r="BJ917" s="12">
        <v>0</v>
      </c>
    </row>
    <row r="918" spans="1:62" x14ac:dyDescent="0.15">
      <c r="A918" s="12"/>
      <c r="B918" t="s">
        <v>1879</v>
      </c>
      <c r="C918" s="27" t="s">
        <v>1880</v>
      </c>
      <c r="D918" t="s">
        <v>6596</v>
      </c>
      <c r="E918" t="s">
        <v>2182</v>
      </c>
      <c r="F918"/>
      <c r="G918"/>
      <c r="H918"/>
      <c r="I918"/>
      <c r="J918"/>
      <c r="K918"/>
      <c r="L918" s="10">
        <v>3911200</v>
      </c>
      <c r="M918" s="10">
        <v>688250</v>
      </c>
      <c r="N918" s="12">
        <v>15</v>
      </c>
      <c r="O918" s="12" t="s">
        <v>6992</v>
      </c>
      <c r="P918" t="s">
        <v>2183</v>
      </c>
      <c r="R918"/>
      <c r="S918" t="s">
        <v>2184</v>
      </c>
      <c r="T918" s="12" t="s">
        <v>2185</v>
      </c>
      <c r="U918" s="12" t="s">
        <v>2186</v>
      </c>
      <c r="V918" s="12" t="s">
        <v>2187</v>
      </c>
      <c r="W918" s="12">
        <v>0</v>
      </c>
      <c r="X918" s="12">
        <v>1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2">
        <v>0</v>
      </c>
      <c r="AK918" s="12">
        <v>0</v>
      </c>
      <c r="AL918" s="12">
        <v>0</v>
      </c>
      <c r="AM918" s="12"/>
      <c r="AN918" s="12">
        <v>0</v>
      </c>
      <c r="AO918" s="12">
        <v>0</v>
      </c>
      <c r="AP918" s="12">
        <v>0</v>
      </c>
      <c r="AQ918" s="12">
        <v>0</v>
      </c>
      <c r="AR918" s="12">
        <v>0</v>
      </c>
      <c r="AS918" s="12">
        <v>0</v>
      </c>
      <c r="AT918" s="12">
        <v>0</v>
      </c>
      <c r="AU918" s="12">
        <v>0</v>
      </c>
      <c r="AV918" s="12">
        <v>0</v>
      </c>
      <c r="AW918" s="12">
        <v>0</v>
      </c>
      <c r="AX918" s="12">
        <v>0</v>
      </c>
      <c r="AY918" s="12">
        <v>0</v>
      </c>
      <c r="AZ918"/>
      <c r="BA918"/>
      <c r="BB918" s="12">
        <v>0</v>
      </c>
      <c r="BC918" s="12">
        <v>0</v>
      </c>
      <c r="BD918" s="12">
        <v>0</v>
      </c>
      <c r="BE918" s="12">
        <v>0</v>
      </c>
      <c r="BF918" s="12">
        <v>0</v>
      </c>
      <c r="BI918" s="12">
        <v>0</v>
      </c>
      <c r="BJ918" s="12">
        <v>0</v>
      </c>
    </row>
    <row r="919" spans="1:62" x14ac:dyDescent="0.15">
      <c r="A919" s="12"/>
      <c r="B919" t="s">
        <v>1881</v>
      </c>
      <c r="C919" t="s">
        <v>1881</v>
      </c>
      <c r="D919" t="s">
        <v>6596</v>
      </c>
      <c r="E919" t="s">
        <v>2182</v>
      </c>
      <c r="F919"/>
      <c r="G919"/>
      <c r="H919"/>
      <c r="I919"/>
      <c r="J919"/>
      <c r="K919"/>
      <c r="L919" s="10">
        <v>3917550</v>
      </c>
      <c r="M919" s="10">
        <v>715170</v>
      </c>
      <c r="N919" s="12">
        <v>15</v>
      </c>
      <c r="O919" s="12" t="s">
        <v>6992</v>
      </c>
      <c r="P919" t="s">
        <v>2183</v>
      </c>
      <c r="R919"/>
      <c r="S919" t="s">
        <v>2184</v>
      </c>
      <c r="T919" s="12" t="s">
        <v>2185</v>
      </c>
      <c r="U919" s="12" t="s">
        <v>2186</v>
      </c>
      <c r="V919" s="12" t="s">
        <v>2187</v>
      </c>
      <c r="W919" s="12">
        <v>0</v>
      </c>
      <c r="X919" s="12">
        <v>1</v>
      </c>
      <c r="Y919" s="12">
        <v>0</v>
      </c>
      <c r="Z919" s="12">
        <v>0</v>
      </c>
      <c r="AA919" s="12">
        <v>0</v>
      </c>
      <c r="AB919" s="12">
        <v>0</v>
      </c>
      <c r="AC919" s="12">
        <v>0</v>
      </c>
      <c r="AD919" s="12">
        <v>0</v>
      </c>
      <c r="AE919" s="12">
        <v>0</v>
      </c>
      <c r="AF919" s="12">
        <v>0</v>
      </c>
      <c r="AG919" s="12">
        <v>0</v>
      </c>
      <c r="AH919" s="12">
        <v>0</v>
      </c>
      <c r="AI919" s="12">
        <v>0</v>
      </c>
      <c r="AJ919" s="12">
        <v>0</v>
      </c>
      <c r="AK919" s="12">
        <v>0</v>
      </c>
      <c r="AL919" s="12">
        <v>0</v>
      </c>
      <c r="AM919" s="12"/>
      <c r="AN919" s="12">
        <v>0</v>
      </c>
      <c r="AO919" s="12">
        <v>0</v>
      </c>
      <c r="AP919" s="12">
        <v>0</v>
      </c>
      <c r="AQ919" s="12">
        <v>0</v>
      </c>
      <c r="AR919" s="12">
        <v>0</v>
      </c>
      <c r="AS919" s="12">
        <v>0</v>
      </c>
      <c r="AT919" s="12">
        <v>0</v>
      </c>
      <c r="AU919" s="12">
        <v>0</v>
      </c>
      <c r="AV919" s="12">
        <v>0</v>
      </c>
      <c r="AW919" s="12">
        <v>0</v>
      </c>
      <c r="AX919" s="12">
        <v>0</v>
      </c>
      <c r="AY919" s="12">
        <v>0</v>
      </c>
      <c r="AZ919"/>
      <c r="BA919"/>
      <c r="BB919" s="12">
        <v>0</v>
      </c>
      <c r="BC919" s="12">
        <v>0</v>
      </c>
      <c r="BD919" s="12">
        <v>0</v>
      </c>
      <c r="BE919" s="12">
        <v>0</v>
      </c>
      <c r="BF919" s="12">
        <v>0</v>
      </c>
      <c r="BI919" s="12">
        <v>0</v>
      </c>
      <c r="BJ919" s="12">
        <v>0</v>
      </c>
    </row>
    <row r="920" spans="1:62" x14ac:dyDescent="0.15">
      <c r="A920" s="12"/>
      <c r="B920" t="s">
        <v>1882</v>
      </c>
      <c r="C920" t="s">
        <v>1882</v>
      </c>
      <c r="D920" t="s">
        <v>6596</v>
      </c>
      <c r="E920" t="s">
        <v>2182</v>
      </c>
      <c r="F920"/>
      <c r="G920"/>
      <c r="H920"/>
      <c r="I920"/>
      <c r="J920"/>
      <c r="K920"/>
      <c r="L920" s="10">
        <v>3895350</v>
      </c>
      <c r="M920" s="10">
        <v>708150</v>
      </c>
      <c r="N920" s="12">
        <v>15</v>
      </c>
      <c r="O920" s="12" t="s">
        <v>6992</v>
      </c>
      <c r="P920" t="s">
        <v>2183</v>
      </c>
      <c r="R920"/>
      <c r="S920" t="s">
        <v>2184</v>
      </c>
      <c r="T920" s="12" t="s">
        <v>2185</v>
      </c>
      <c r="U920" s="12" t="s">
        <v>2186</v>
      </c>
      <c r="V920" s="12" t="s">
        <v>2187</v>
      </c>
      <c r="W920" s="12">
        <v>0</v>
      </c>
      <c r="X920" s="12">
        <v>1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2">
        <v>0</v>
      </c>
      <c r="AK920" s="12">
        <v>0</v>
      </c>
      <c r="AL920" s="12">
        <v>0</v>
      </c>
      <c r="AM920" s="12"/>
      <c r="AN920" s="12">
        <v>0</v>
      </c>
      <c r="AO920" s="12">
        <v>0</v>
      </c>
      <c r="AP920" s="12">
        <v>0</v>
      </c>
      <c r="AQ920" s="12">
        <v>0</v>
      </c>
      <c r="AR920" s="12">
        <v>0</v>
      </c>
      <c r="AS920" s="12">
        <v>0</v>
      </c>
      <c r="AT920" s="12">
        <v>0</v>
      </c>
      <c r="AU920" s="12">
        <v>0</v>
      </c>
      <c r="AV920" s="12">
        <v>0</v>
      </c>
      <c r="AW920" s="12">
        <v>0</v>
      </c>
      <c r="AX920" s="12">
        <v>0</v>
      </c>
      <c r="AY920" s="12">
        <v>0</v>
      </c>
      <c r="AZ920"/>
      <c r="BA920"/>
      <c r="BB920" s="12">
        <v>0</v>
      </c>
      <c r="BC920" s="12">
        <v>0</v>
      </c>
      <c r="BD920" s="12">
        <v>0</v>
      </c>
      <c r="BE920" s="12">
        <v>0</v>
      </c>
      <c r="BF920" s="12">
        <v>0</v>
      </c>
      <c r="BI920" s="12">
        <v>0</v>
      </c>
      <c r="BJ920" s="12">
        <v>0</v>
      </c>
    </row>
    <row r="921" spans="1:62" x14ac:dyDescent="0.15">
      <c r="A921" s="12"/>
      <c r="B921" t="s">
        <v>1883</v>
      </c>
      <c r="C921" s="27" t="s">
        <v>1884</v>
      </c>
      <c r="D921" t="s">
        <v>6596</v>
      </c>
      <c r="E921" t="s">
        <v>2182</v>
      </c>
      <c r="F921"/>
      <c r="G921"/>
      <c r="H921"/>
      <c r="I921"/>
      <c r="J921"/>
      <c r="K921"/>
      <c r="L921" s="10">
        <v>3900460</v>
      </c>
      <c r="M921" s="10">
        <v>685500</v>
      </c>
      <c r="N921" s="12">
        <v>15</v>
      </c>
      <c r="O921" s="12" t="s">
        <v>6992</v>
      </c>
      <c r="P921" t="s">
        <v>2183</v>
      </c>
      <c r="R921"/>
      <c r="S921" t="s">
        <v>2184</v>
      </c>
      <c r="T921" s="12" t="s">
        <v>2185</v>
      </c>
      <c r="U921" s="12" t="s">
        <v>2186</v>
      </c>
      <c r="V921" s="12" t="s">
        <v>2187</v>
      </c>
      <c r="W921" s="12">
        <v>0</v>
      </c>
      <c r="X921" s="12">
        <v>1</v>
      </c>
      <c r="Y921" s="12">
        <v>0</v>
      </c>
      <c r="Z921" s="12">
        <v>0</v>
      </c>
      <c r="AA921" s="12">
        <v>0</v>
      </c>
      <c r="AB921" s="12">
        <v>0</v>
      </c>
      <c r="AC921" s="12">
        <v>0</v>
      </c>
      <c r="AD921" s="12">
        <v>0</v>
      </c>
      <c r="AE921" s="12">
        <v>0</v>
      </c>
      <c r="AF921" s="12">
        <v>0</v>
      </c>
      <c r="AG921" s="12">
        <v>0</v>
      </c>
      <c r="AH921" s="12">
        <v>0</v>
      </c>
      <c r="AI921" s="12">
        <v>0</v>
      </c>
      <c r="AJ921" s="12">
        <v>0</v>
      </c>
      <c r="AK921" s="12">
        <v>0</v>
      </c>
      <c r="AL921" s="12">
        <v>0</v>
      </c>
      <c r="AM921" s="12"/>
      <c r="AN921" s="12">
        <v>0</v>
      </c>
      <c r="AO921" s="12">
        <v>0</v>
      </c>
      <c r="AP921" s="12">
        <v>0</v>
      </c>
      <c r="AQ921" s="12">
        <v>0</v>
      </c>
      <c r="AR921" s="12">
        <v>0</v>
      </c>
      <c r="AS921" s="12">
        <v>0</v>
      </c>
      <c r="AT921" s="12">
        <v>0</v>
      </c>
      <c r="AU921" s="12">
        <v>0</v>
      </c>
      <c r="AV921" s="12">
        <v>0</v>
      </c>
      <c r="AW921" s="12">
        <v>0</v>
      </c>
      <c r="AX921" s="12">
        <v>0</v>
      </c>
      <c r="AY921" s="12">
        <v>0</v>
      </c>
      <c r="AZ921"/>
      <c r="BA921"/>
      <c r="BB921" s="12">
        <v>0</v>
      </c>
      <c r="BC921" s="12">
        <v>0</v>
      </c>
      <c r="BD921" s="12">
        <v>0</v>
      </c>
      <c r="BE921" s="12">
        <v>0</v>
      </c>
      <c r="BF921" s="12">
        <v>0</v>
      </c>
      <c r="BI921" s="12">
        <v>0</v>
      </c>
      <c r="BJ921" s="12">
        <v>0</v>
      </c>
    </row>
    <row r="922" spans="1:62" x14ac:dyDescent="0.15">
      <c r="A922" s="12"/>
      <c r="B922" t="s">
        <v>1885</v>
      </c>
      <c r="C922" t="s">
        <v>1885</v>
      </c>
      <c r="D922" t="s">
        <v>6596</v>
      </c>
      <c r="E922" t="s">
        <v>2182</v>
      </c>
      <c r="F922"/>
      <c r="G922"/>
      <c r="H922"/>
      <c r="I922"/>
      <c r="J922"/>
      <c r="K922"/>
      <c r="L922" s="10">
        <v>3962700</v>
      </c>
      <c r="M922" s="10">
        <v>730020</v>
      </c>
      <c r="N922" s="12">
        <v>15</v>
      </c>
      <c r="O922" s="12" t="s">
        <v>6992</v>
      </c>
      <c r="P922" t="s">
        <v>2183</v>
      </c>
      <c r="R922"/>
      <c r="S922" t="s">
        <v>2184</v>
      </c>
      <c r="T922" s="12" t="s">
        <v>2185</v>
      </c>
      <c r="U922" s="12" t="s">
        <v>2186</v>
      </c>
      <c r="V922" s="12" t="s">
        <v>2187</v>
      </c>
      <c r="W922" s="12">
        <v>0</v>
      </c>
      <c r="X922" s="12">
        <v>1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2">
        <v>0</v>
      </c>
      <c r="AK922" s="12">
        <v>0</v>
      </c>
      <c r="AL922" s="12">
        <v>0</v>
      </c>
      <c r="AM922" s="12"/>
      <c r="AN922" s="12">
        <v>0</v>
      </c>
      <c r="AO922" s="12">
        <v>0</v>
      </c>
      <c r="AP922" s="12">
        <v>0</v>
      </c>
      <c r="AQ922" s="12">
        <v>0</v>
      </c>
      <c r="AR922" s="12">
        <v>0</v>
      </c>
      <c r="AS922" s="12">
        <v>0</v>
      </c>
      <c r="AT922" s="12">
        <v>0</v>
      </c>
      <c r="AU922" s="12">
        <v>0</v>
      </c>
      <c r="AV922" s="12">
        <v>0</v>
      </c>
      <c r="AW922" s="12">
        <v>0</v>
      </c>
      <c r="AX922" s="12">
        <v>0</v>
      </c>
      <c r="AY922" s="12">
        <v>0</v>
      </c>
      <c r="AZ922"/>
      <c r="BA922"/>
      <c r="BB922" s="12">
        <v>0</v>
      </c>
      <c r="BC922" s="12">
        <v>0</v>
      </c>
      <c r="BD922" s="12">
        <v>0</v>
      </c>
      <c r="BE922" s="12">
        <v>0</v>
      </c>
      <c r="BF922" s="12">
        <v>0</v>
      </c>
      <c r="BI922" s="12">
        <v>0</v>
      </c>
      <c r="BJ922" s="12">
        <v>0</v>
      </c>
    </row>
    <row r="923" spans="1:62" x14ac:dyDescent="0.15">
      <c r="A923" s="12"/>
      <c r="B923" t="s">
        <v>1886</v>
      </c>
      <c r="C923" t="s">
        <v>1886</v>
      </c>
      <c r="D923" t="s">
        <v>6596</v>
      </c>
      <c r="E923" t="s">
        <v>2182</v>
      </c>
      <c r="F923"/>
      <c r="G923"/>
      <c r="H923"/>
      <c r="I923"/>
      <c r="J923"/>
      <c r="K923"/>
      <c r="L923" s="10">
        <v>3953930</v>
      </c>
      <c r="M923" s="10">
        <v>689280</v>
      </c>
      <c r="N923" s="12">
        <v>15</v>
      </c>
      <c r="O923" s="12" t="s">
        <v>6992</v>
      </c>
      <c r="P923" t="s">
        <v>2183</v>
      </c>
      <c r="R923"/>
      <c r="S923" t="s">
        <v>2184</v>
      </c>
      <c r="T923" s="12" t="s">
        <v>2185</v>
      </c>
      <c r="U923" s="12" t="s">
        <v>2186</v>
      </c>
      <c r="V923" s="12" t="s">
        <v>2187</v>
      </c>
      <c r="W923" s="12">
        <v>0</v>
      </c>
      <c r="X923" s="12">
        <v>1</v>
      </c>
      <c r="Y923" s="12">
        <v>0</v>
      </c>
      <c r="Z923" s="12">
        <v>0</v>
      </c>
      <c r="AA923" s="12">
        <v>0</v>
      </c>
      <c r="AB923" s="12">
        <v>0</v>
      </c>
      <c r="AC923" s="12">
        <v>0</v>
      </c>
      <c r="AD923" s="12">
        <v>0</v>
      </c>
      <c r="AE923" s="12">
        <v>0</v>
      </c>
      <c r="AF923" s="12">
        <v>0</v>
      </c>
      <c r="AG923" s="12">
        <v>0</v>
      </c>
      <c r="AH923" s="12">
        <v>0</v>
      </c>
      <c r="AI923" s="12">
        <v>0</v>
      </c>
      <c r="AJ923" s="12">
        <v>0</v>
      </c>
      <c r="AK923" s="12">
        <v>0</v>
      </c>
      <c r="AL923" s="12">
        <v>0</v>
      </c>
      <c r="AM923" s="12"/>
      <c r="AN923" s="12">
        <v>0</v>
      </c>
      <c r="AO923" s="12">
        <v>0</v>
      </c>
      <c r="AP923" s="12">
        <v>0</v>
      </c>
      <c r="AQ923" s="12">
        <v>0</v>
      </c>
      <c r="AR923" s="12">
        <v>0</v>
      </c>
      <c r="AS923" s="12">
        <v>0</v>
      </c>
      <c r="AT923" s="12">
        <v>0</v>
      </c>
      <c r="AU923" s="12">
        <v>0</v>
      </c>
      <c r="AV923" s="12">
        <v>0</v>
      </c>
      <c r="AW923" s="12">
        <v>0</v>
      </c>
      <c r="AX923" s="12">
        <v>0</v>
      </c>
      <c r="AY923" s="12">
        <v>0</v>
      </c>
      <c r="AZ923"/>
      <c r="BA923"/>
      <c r="BB923" s="12">
        <v>0</v>
      </c>
      <c r="BC923" s="12">
        <v>0</v>
      </c>
      <c r="BD923" s="12">
        <v>0</v>
      </c>
      <c r="BE923" s="12">
        <v>0</v>
      </c>
      <c r="BF923" s="12">
        <v>0</v>
      </c>
      <c r="BI923" s="12">
        <v>0</v>
      </c>
      <c r="BJ923" s="12">
        <v>0</v>
      </c>
    </row>
    <row r="924" spans="1:62" x14ac:dyDescent="0.15">
      <c r="A924" s="12"/>
      <c r="B924" t="s">
        <v>1887</v>
      </c>
      <c r="C924" s="27" t="s">
        <v>1888</v>
      </c>
      <c r="D924" t="s">
        <v>6596</v>
      </c>
      <c r="E924" t="s">
        <v>2182</v>
      </c>
      <c r="F924"/>
      <c r="G924"/>
      <c r="H924"/>
      <c r="I924"/>
      <c r="J924"/>
      <c r="K924"/>
      <c r="L924" s="10">
        <v>3971250</v>
      </c>
      <c r="M924" s="10">
        <v>695720</v>
      </c>
      <c r="N924" s="12">
        <v>15</v>
      </c>
      <c r="O924" s="12" t="s">
        <v>6992</v>
      </c>
      <c r="P924" t="s">
        <v>2183</v>
      </c>
      <c r="R924"/>
      <c r="S924" t="s">
        <v>2184</v>
      </c>
      <c r="T924" s="12" t="s">
        <v>2185</v>
      </c>
      <c r="U924" s="12" t="s">
        <v>2186</v>
      </c>
      <c r="V924" s="12" t="s">
        <v>2187</v>
      </c>
      <c r="W924" s="12">
        <v>0</v>
      </c>
      <c r="X924" s="12">
        <v>1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2">
        <v>0</v>
      </c>
      <c r="AK924" s="12">
        <v>0</v>
      </c>
      <c r="AL924" s="12">
        <v>0</v>
      </c>
      <c r="AM924" s="12"/>
      <c r="AN924" s="12">
        <v>0</v>
      </c>
      <c r="AO924" s="12">
        <v>0</v>
      </c>
      <c r="AP924" s="12">
        <v>0</v>
      </c>
      <c r="AQ924" s="12">
        <v>0</v>
      </c>
      <c r="AR924" s="12">
        <v>0</v>
      </c>
      <c r="AS924" s="12">
        <v>0</v>
      </c>
      <c r="AT924" s="12">
        <v>0</v>
      </c>
      <c r="AU924" s="12">
        <v>0</v>
      </c>
      <c r="AV924" s="12">
        <v>0</v>
      </c>
      <c r="AW924" s="12">
        <v>0</v>
      </c>
      <c r="AX924" s="12">
        <v>0</v>
      </c>
      <c r="AY924" s="12">
        <v>0</v>
      </c>
      <c r="AZ924"/>
      <c r="BA924"/>
      <c r="BB924" s="12">
        <v>0</v>
      </c>
      <c r="BC924" s="12">
        <v>0</v>
      </c>
      <c r="BD924" s="12">
        <v>0</v>
      </c>
      <c r="BE924" s="12">
        <v>0</v>
      </c>
      <c r="BF924" s="12">
        <v>0</v>
      </c>
      <c r="BI924" s="12">
        <v>0</v>
      </c>
      <c r="BJ924" s="12">
        <v>0</v>
      </c>
    </row>
    <row r="925" spans="1:62" x14ac:dyDescent="0.15">
      <c r="A925" s="12"/>
      <c r="B925" t="s">
        <v>1889</v>
      </c>
      <c r="C925" t="s">
        <v>1889</v>
      </c>
      <c r="D925" t="s">
        <v>6596</v>
      </c>
      <c r="E925" t="s">
        <v>2182</v>
      </c>
      <c r="F925"/>
      <c r="G925"/>
      <c r="H925"/>
      <c r="I925"/>
      <c r="J925"/>
      <c r="K925"/>
      <c r="L925" s="10">
        <v>3961530</v>
      </c>
      <c r="M925" s="10">
        <v>681780</v>
      </c>
      <c r="N925" s="12">
        <v>15</v>
      </c>
      <c r="O925" s="12" t="s">
        <v>6992</v>
      </c>
      <c r="P925" t="s">
        <v>2183</v>
      </c>
      <c r="R925"/>
      <c r="S925" t="s">
        <v>2184</v>
      </c>
      <c r="T925" s="12" t="s">
        <v>2185</v>
      </c>
      <c r="U925" s="12" t="s">
        <v>2186</v>
      </c>
      <c r="V925" s="12" t="s">
        <v>2187</v>
      </c>
      <c r="W925" s="12">
        <v>0</v>
      </c>
      <c r="X925" s="12">
        <v>1</v>
      </c>
      <c r="Y925" s="12">
        <v>0</v>
      </c>
      <c r="Z925" s="12">
        <v>0</v>
      </c>
      <c r="AA925" s="12">
        <v>0</v>
      </c>
      <c r="AB925" s="12">
        <v>0</v>
      </c>
      <c r="AC925" s="12">
        <v>0</v>
      </c>
      <c r="AD925" s="12">
        <v>0</v>
      </c>
      <c r="AE925" s="12">
        <v>0</v>
      </c>
      <c r="AF925" s="12">
        <v>0</v>
      </c>
      <c r="AG925" s="12">
        <v>0</v>
      </c>
      <c r="AH925" s="12">
        <v>0</v>
      </c>
      <c r="AI925" s="12">
        <v>0</v>
      </c>
      <c r="AJ925" s="12">
        <v>0</v>
      </c>
      <c r="AK925" s="12">
        <v>0</v>
      </c>
      <c r="AL925" s="12">
        <v>0</v>
      </c>
      <c r="AM925" s="12"/>
      <c r="AN925" s="12">
        <v>0</v>
      </c>
      <c r="AO925" s="12">
        <v>0</v>
      </c>
      <c r="AP925" s="12">
        <v>0</v>
      </c>
      <c r="AQ925" s="12">
        <v>0</v>
      </c>
      <c r="AR925" s="12">
        <v>0</v>
      </c>
      <c r="AS925" s="12">
        <v>0</v>
      </c>
      <c r="AT925" s="12">
        <v>0</v>
      </c>
      <c r="AU925" s="12">
        <v>0</v>
      </c>
      <c r="AV925" s="12">
        <v>0</v>
      </c>
      <c r="AW925" s="12">
        <v>0</v>
      </c>
      <c r="AX925" s="12">
        <v>0</v>
      </c>
      <c r="AY925" s="12">
        <v>0</v>
      </c>
      <c r="AZ925"/>
      <c r="BA925"/>
      <c r="BB925" s="12">
        <v>0</v>
      </c>
      <c r="BC925" s="12">
        <v>0</v>
      </c>
      <c r="BD925" s="12">
        <v>0</v>
      </c>
      <c r="BE925" s="12">
        <v>0</v>
      </c>
      <c r="BF925" s="12">
        <v>0</v>
      </c>
      <c r="BI925" s="12">
        <v>0</v>
      </c>
      <c r="BJ925" s="12">
        <v>0</v>
      </c>
    </row>
    <row r="926" spans="1:62" x14ac:dyDescent="0.15">
      <c r="A926" s="12"/>
      <c r="B926" t="s">
        <v>1890</v>
      </c>
      <c r="C926" t="s">
        <v>1890</v>
      </c>
      <c r="D926" t="s">
        <v>6596</v>
      </c>
      <c r="E926" t="s">
        <v>2182</v>
      </c>
      <c r="F926"/>
      <c r="G926"/>
      <c r="H926"/>
      <c r="I926"/>
      <c r="J926"/>
      <c r="K926"/>
      <c r="L926" s="10">
        <v>3975070</v>
      </c>
      <c r="M926" s="10">
        <v>727080</v>
      </c>
      <c r="N926" s="12">
        <v>15</v>
      </c>
      <c r="O926" s="12" t="s">
        <v>6992</v>
      </c>
      <c r="P926" t="s">
        <v>2183</v>
      </c>
      <c r="R926"/>
      <c r="S926" t="s">
        <v>2184</v>
      </c>
      <c r="T926" s="12" t="s">
        <v>2185</v>
      </c>
      <c r="U926" s="12" t="s">
        <v>2186</v>
      </c>
      <c r="V926" s="12" t="s">
        <v>2187</v>
      </c>
      <c r="W926" s="12">
        <v>0</v>
      </c>
      <c r="X926" s="12">
        <v>1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2">
        <v>0</v>
      </c>
      <c r="AK926" s="12">
        <v>0</v>
      </c>
      <c r="AL926" s="12">
        <v>0</v>
      </c>
      <c r="AM926" s="12"/>
      <c r="AN926" s="12">
        <v>0</v>
      </c>
      <c r="AO926" s="12">
        <v>0</v>
      </c>
      <c r="AP926" s="12">
        <v>0</v>
      </c>
      <c r="AQ926" s="12">
        <v>0</v>
      </c>
      <c r="AR926" s="12">
        <v>0</v>
      </c>
      <c r="AS926" s="12">
        <v>0</v>
      </c>
      <c r="AT926" s="12">
        <v>0</v>
      </c>
      <c r="AU926" s="12">
        <v>0</v>
      </c>
      <c r="AV926" s="12">
        <v>0</v>
      </c>
      <c r="AW926" s="12">
        <v>0</v>
      </c>
      <c r="AX926" s="12">
        <v>0</v>
      </c>
      <c r="AY926" s="12">
        <v>0</v>
      </c>
      <c r="AZ926"/>
      <c r="BA926"/>
      <c r="BB926" s="12">
        <v>0</v>
      </c>
      <c r="BC926" s="12">
        <v>0</v>
      </c>
      <c r="BD926" s="12">
        <v>0</v>
      </c>
      <c r="BE926" s="12">
        <v>0</v>
      </c>
      <c r="BF926" s="12">
        <v>0</v>
      </c>
      <c r="BI926" s="12">
        <v>0</v>
      </c>
      <c r="BJ926" s="12">
        <v>0</v>
      </c>
    </row>
    <row r="927" spans="1:62" x14ac:dyDescent="0.15">
      <c r="A927" s="12"/>
      <c r="B927" t="s">
        <v>1891</v>
      </c>
      <c r="C927" s="27" t="s">
        <v>1892</v>
      </c>
      <c r="D927" t="s">
        <v>6596</v>
      </c>
      <c r="E927" t="s">
        <v>2182</v>
      </c>
      <c r="F927"/>
      <c r="G927"/>
      <c r="H927"/>
      <c r="I927"/>
      <c r="J927"/>
      <c r="K927"/>
      <c r="L927" s="10">
        <v>3931380</v>
      </c>
      <c r="M927" s="10">
        <v>714050</v>
      </c>
      <c r="N927" s="12">
        <v>15</v>
      </c>
      <c r="O927" s="12" t="s">
        <v>6992</v>
      </c>
      <c r="P927" t="s">
        <v>2183</v>
      </c>
      <c r="R927"/>
      <c r="S927" t="s">
        <v>2184</v>
      </c>
      <c r="T927" s="12" t="s">
        <v>2185</v>
      </c>
      <c r="U927" s="12" t="s">
        <v>2186</v>
      </c>
      <c r="V927" s="12" t="s">
        <v>2187</v>
      </c>
      <c r="W927" s="12">
        <v>0</v>
      </c>
      <c r="X927" s="12">
        <v>1</v>
      </c>
      <c r="Y927" s="12">
        <v>0</v>
      </c>
      <c r="Z927" s="12">
        <v>0</v>
      </c>
      <c r="AA927" s="12">
        <v>0</v>
      </c>
      <c r="AB927" s="12">
        <v>0</v>
      </c>
      <c r="AC927" s="12">
        <v>0</v>
      </c>
      <c r="AD927" s="12">
        <v>0</v>
      </c>
      <c r="AE927" s="12">
        <v>0</v>
      </c>
      <c r="AF927" s="12">
        <v>0</v>
      </c>
      <c r="AG927" s="12">
        <v>0</v>
      </c>
      <c r="AH927" s="12">
        <v>0</v>
      </c>
      <c r="AI927" s="12">
        <v>0</v>
      </c>
      <c r="AJ927" s="12">
        <v>0</v>
      </c>
      <c r="AK927" s="12">
        <v>0</v>
      </c>
      <c r="AL927" s="12">
        <v>0</v>
      </c>
      <c r="AM927" s="12"/>
      <c r="AN927" s="12">
        <v>0</v>
      </c>
      <c r="AO927" s="12">
        <v>0</v>
      </c>
      <c r="AP927" s="12">
        <v>0</v>
      </c>
      <c r="AQ927" s="12">
        <v>0</v>
      </c>
      <c r="AR927" s="12">
        <v>0</v>
      </c>
      <c r="AS927" s="12">
        <v>0</v>
      </c>
      <c r="AT927" s="12">
        <v>0</v>
      </c>
      <c r="AU927" s="12">
        <v>0</v>
      </c>
      <c r="AV927" s="12">
        <v>0</v>
      </c>
      <c r="AW927" s="12">
        <v>0</v>
      </c>
      <c r="AX927" s="12">
        <v>0</v>
      </c>
      <c r="AY927" s="12">
        <v>0</v>
      </c>
      <c r="AZ927"/>
      <c r="BA927"/>
      <c r="BB927" s="12">
        <v>0</v>
      </c>
      <c r="BC927" s="12">
        <v>0</v>
      </c>
      <c r="BD927" s="12">
        <v>0</v>
      </c>
      <c r="BE927" s="12">
        <v>0</v>
      </c>
      <c r="BF927" s="12">
        <v>0</v>
      </c>
      <c r="BI927" s="12">
        <v>0</v>
      </c>
      <c r="BJ927" s="12">
        <v>0</v>
      </c>
    </row>
    <row r="928" spans="1:62" x14ac:dyDescent="0.15">
      <c r="A928" s="12"/>
      <c r="B928" t="s">
        <v>1893</v>
      </c>
      <c r="C928" s="27" t="s">
        <v>1894</v>
      </c>
      <c r="D928" t="s">
        <v>6596</v>
      </c>
      <c r="E928" t="s">
        <v>2182</v>
      </c>
      <c r="F928"/>
      <c r="G928"/>
      <c r="H928"/>
      <c r="I928"/>
      <c r="J928"/>
      <c r="K928"/>
      <c r="L928" s="10">
        <v>3943730</v>
      </c>
      <c r="M928" s="10">
        <v>714080</v>
      </c>
      <c r="N928" s="12">
        <v>15</v>
      </c>
      <c r="O928" s="12" t="s">
        <v>6992</v>
      </c>
      <c r="P928" t="s">
        <v>2183</v>
      </c>
      <c r="R928"/>
      <c r="S928" t="s">
        <v>2184</v>
      </c>
      <c r="T928" s="12" t="s">
        <v>2185</v>
      </c>
      <c r="U928" s="12" t="s">
        <v>2186</v>
      </c>
      <c r="V928" s="12" t="s">
        <v>2187</v>
      </c>
      <c r="W928" s="12">
        <v>0</v>
      </c>
      <c r="X928" s="12">
        <v>1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2">
        <v>0</v>
      </c>
      <c r="AK928" s="12">
        <v>0</v>
      </c>
      <c r="AL928" s="12">
        <v>0</v>
      </c>
      <c r="AM928" s="12"/>
      <c r="AN928" s="12">
        <v>0</v>
      </c>
      <c r="AO928" s="12">
        <v>0</v>
      </c>
      <c r="AP928" s="12">
        <v>0</v>
      </c>
      <c r="AQ928" s="12">
        <v>0</v>
      </c>
      <c r="AR928" s="12">
        <v>0</v>
      </c>
      <c r="AS928" s="12">
        <v>0</v>
      </c>
      <c r="AT928" s="12">
        <v>0</v>
      </c>
      <c r="AU928" s="12">
        <v>0</v>
      </c>
      <c r="AV928" s="12">
        <v>0</v>
      </c>
      <c r="AW928" s="12">
        <v>0</v>
      </c>
      <c r="AX928" s="12">
        <v>0</v>
      </c>
      <c r="AY928" s="12">
        <v>0</v>
      </c>
      <c r="AZ928"/>
      <c r="BA928"/>
      <c r="BB928" s="12">
        <v>0</v>
      </c>
      <c r="BC928" s="12">
        <v>0</v>
      </c>
      <c r="BD928" s="12">
        <v>0</v>
      </c>
      <c r="BE928" s="12">
        <v>0</v>
      </c>
      <c r="BF928" s="12">
        <v>0</v>
      </c>
      <c r="BI928" s="12">
        <v>0</v>
      </c>
      <c r="BJ928" s="12">
        <v>0</v>
      </c>
    </row>
    <row r="929" spans="1:62" x14ac:dyDescent="0.15">
      <c r="A929" s="12"/>
      <c r="B929" t="s">
        <v>1895</v>
      </c>
      <c r="C929" s="27" t="s">
        <v>1896</v>
      </c>
      <c r="D929" t="s">
        <v>6596</v>
      </c>
      <c r="E929" t="s">
        <v>2182</v>
      </c>
      <c r="F929"/>
      <c r="G929"/>
      <c r="H929"/>
      <c r="I929"/>
      <c r="J929"/>
      <c r="K929"/>
      <c r="L929" s="10">
        <v>3930650</v>
      </c>
      <c r="M929" s="10">
        <v>719250</v>
      </c>
      <c r="N929" s="12">
        <v>15</v>
      </c>
      <c r="O929" s="12" t="s">
        <v>6992</v>
      </c>
      <c r="P929" t="s">
        <v>2183</v>
      </c>
      <c r="R929"/>
      <c r="S929" t="s">
        <v>2184</v>
      </c>
      <c r="T929" s="12" t="s">
        <v>2185</v>
      </c>
      <c r="U929" s="12" t="s">
        <v>2186</v>
      </c>
      <c r="V929" s="12" t="s">
        <v>2187</v>
      </c>
      <c r="W929" s="12">
        <v>0</v>
      </c>
      <c r="X929" s="12">
        <v>1</v>
      </c>
      <c r="Y929" s="12">
        <v>0</v>
      </c>
      <c r="Z929" s="12">
        <v>0</v>
      </c>
      <c r="AA929" s="12">
        <v>0</v>
      </c>
      <c r="AB929" s="12">
        <v>0</v>
      </c>
      <c r="AC929" s="12">
        <v>0</v>
      </c>
      <c r="AD929" s="12">
        <v>0</v>
      </c>
      <c r="AE929" s="12">
        <v>0</v>
      </c>
      <c r="AF929" s="12">
        <v>0</v>
      </c>
      <c r="AG929" s="12">
        <v>0</v>
      </c>
      <c r="AH929" s="12">
        <v>0</v>
      </c>
      <c r="AI929" s="12">
        <v>0</v>
      </c>
      <c r="AJ929" s="12">
        <v>0</v>
      </c>
      <c r="AK929" s="12">
        <v>0</v>
      </c>
      <c r="AL929" s="12">
        <v>0</v>
      </c>
      <c r="AM929" s="12"/>
      <c r="AN929" s="12">
        <v>0</v>
      </c>
      <c r="AO929" s="12">
        <v>0</v>
      </c>
      <c r="AP929" s="12">
        <v>0</v>
      </c>
      <c r="AQ929" s="12">
        <v>0</v>
      </c>
      <c r="AR929" s="12">
        <v>0</v>
      </c>
      <c r="AS929" s="12">
        <v>0</v>
      </c>
      <c r="AT929" s="12">
        <v>0</v>
      </c>
      <c r="AU929" s="12">
        <v>0</v>
      </c>
      <c r="AV929" s="12">
        <v>0</v>
      </c>
      <c r="AW929" s="12">
        <v>0</v>
      </c>
      <c r="AX929" s="12">
        <v>0</v>
      </c>
      <c r="AY929" s="12">
        <v>0</v>
      </c>
      <c r="AZ929"/>
      <c r="BA929"/>
      <c r="BB929" s="12">
        <v>0</v>
      </c>
      <c r="BC929" s="12">
        <v>0</v>
      </c>
      <c r="BD929" s="12">
        <v>0</v>
      </c>
      <c r="BE929" s="12">
        <v>0</v>
      </c>
      <c r="BF929" s="12">
        <v>0</v>
      </c>
      <c r="BI929" s="12">
        <v>0</v>
      </c>
      <c r="BJ929" s="12">
        <v>0</v>
      </c>
    </row>
    <row r="930" spans="1:62" x14ac:dyDescent="0.15">
      <c r="A930" s="12"/>
      <c r="B930" t="s">
        <v>1897</v>
      </c>
      <c r="C930" t="s">
        <v>1897</v>
      </c>
      <c r="D930" t="s">
        <v>6596</v>
      </c>
      <c r="E930" t="s">
        <v>2182</v>
      </c>
      <c r="F930"/>
      <c r="G930"/>
      <c r="H930"/>
      <c r="I930"/>
      <c r="J930"/>
      <c r="K930"/>
      <c r="L930" s="10">
        <v>3938860</v>
      </c>
      <c r="M930" s="10">
        <v>712280</v>
      </c>
      <c r="N930" s="12">
        <v>15</v>
      </c>
      <c r="O930" s="12" t="s">
        <v>6992</v>
      </c>
      <c r="P930" t="s">
        <v>2183</v>
      </c>
      <c r="R930"/>
      <c r="S930" t="s">
        <v>2184</v>
      </c>
      <c r="T930" s="12" t="s">
        <v>2185</v>
      </c>
      <c r="U930" s="12" t="s">
        <v>2186</v>
      </c>
      <c r="V930" s="12" t="s">
        <v>2187</v>
      </c>
      <c r="W930" s="12">
        <v>0</v>
      </c>
      <c r="X930" s="12">
        <v>1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2">
        <v>0</v>
      </c>
      <c r="AK930" s="12">
        <v>0</v>
      </c>
      <c r="AL930" s="12">
        <v>0</v>
      </c>
      <c r="AM930" s="12"/>
      <c r="AN930" s="12">
        <v>0</v>
      </c>
      <c r="AO930" s="12">
        <v>0</v>
      </c>
      <c r="AP930" s="12">
        <v>0</v>
      </c>
      <c r="AQ930" s="12">
        <v>0</v>
      </c>
      <c r="AR930" s="12">
        <v>0</v>
      </c>
      <c r="AS930" s="12">
        <v>0</v>
      </c>
      <c r="AT930" s="12">
        <v>0</v>
      </c>
      <c r="AU930" s="12">
        <v>0</v>
      </c>
      <c r="AV930" s="12">
        <v>0</v>
      </c>
      <c r="AW930" s="12">
        <v>0</v>
      </c>
      <c r="AX930" s="12">
        <v>0</v>
      </c>
      <c r="AY930" s="12">
        <v>0</v>
      </c>
      <c r="AZ930"/>
      <c r="BA930"/>
      <c r="BB930" s="12">
        <v>0</v>
      </c>
      <c r="BC930" s="12">
        <v>0</v>
      </c>
      <c r="BD930" s="12">
        <v>0</v>
      </c>
      <c r="BE930" s="12">
        <v>0</v>
      </c>
      <c r="BF930" s="12">
        <v>0</v>
      </c>
      <c r="BI930" s="12">
        <v>0</v>
      </c>
      <c r="BJ930" s="12">
        <v>0</v>
      </c>
    </row>
    <row r="931" spans="1:62" x14ac:dyDescent="0.15">
      <c r="A931" s="12"/>
      <c r="B931" t="s">
        <v>1898</v>
      </c>
      <c r="C931" s="27" t="s">
        <v>1899</v>
      </c>
      <c r="D931" t="s">
        <v>6596</v>
      </c>
      <c r="E931" t="s">
        <v>2182</v>
      </c>
      <c r="F931"/>
      <c r="G931"/>
      <c r="H931"/>
      <c r="I931"/>
      <c r="J931"/>
      <c r="K931"/>
      <c r="L931" s="10">
        <v>3977860</v>
      </c>
      <c r="M931" s="10">
        <v>731300</v>
      </c>
      <c r="N931" s="12">
        <v>15</v>
      </c>
      <c r="O931" s="12" t="s">
        <v>6992</v>
      </c>
      <c r="P931" t="s">
        <v>2183</v>
      </c>
      <c r="R931"/>
      <c r="S931" t="s">
        <v>2184</v>
      </c>
      <c r="T931" s="12" t="s">
        <v>2185</v>
      </c>
      <c r="U931" s="12" t="s">
        <v>2186</v>
      </c>
      <c r="V931" s="12" t="s">
        <v>2187</v>
      </c>
      <c r="W931" s="12">
        <v>0</v>
      </c>
      <c r="X931" s="12">
        <v>1</v>
      </c>
      <c r="Y931" s="12">
        <v>0</v>
      </c>
      <c r="Z931" s="12">
        <v>0</v>
      </c>
      <c r="AA931" s="12">
        <v>0</v>
      </c>
      <c r="AB931" s="12">
        <v>0</v>
      </c>
      <c r="AC931" s="12">
        <v>0</v>
      </c>
      <c r="AD931" s="12">
        <v>0</v>
      </c>
      <c r="AE931" s="12">
        <v>0</v>
      </c>
      <c r="AF931" s="12">
        <v>0</v>
      </c>
      <c r="AG931" s="12">
        <v>0</v>
      </c>
      <c r="AH931" s="12">
        <v>0</v>
      </c>
      <c r="AI931" s="12">
        <v>0</v>
      </c>
      <c r="AJ931" s="12">
        <v>0</v>
      </c>
      <c r="AK931" s="12">
        <v>0</v>
      </c>
      <c r="AL931" s="12">
        <v>0</v>
      </c>
      <c r="AM931" s="12"/>
      <c r="AN931" s="12">
        <v>0</v>
      </c>
      <c r="AO931" s="12">
        <v>0</v>
      </c>
      <c r="AP931" s="12">
        <v>0</v>
      </c>
      <c r="AQ931" s="12">
        <v>0</v>
      </c>
      <c r="AR931" s="12">
        <v>0</v>
      </c>
      <c r="AS931" s="12">
        <v>0</v>
      </c>
      <c r="AT931" s="12">
        <v>0</v>
      </c>
      <c r="AU931" s="12">
        <v>0</v>
      </c>
      <c r="AV931" s="12">
        <v>0</v>
      </c>
      <c r="AW931" s="12">
        <v>0</v>
      </c>
      <c r="AX931" s="12">
        <v>0</v>
      </c>
      <c r="AY931" s="12">
        <v>0</v>
      </c>
      <c r="AZ931"/>
      <c r="BA931"/>
      <c r="BB931" s="12">
        <v>0</v>
      </c>
      <c r="BC931" s="12">
        <v>0</v>
      </c>
      <c r="BD931" s="12">
        <v>0</v>
      </c>
      <c r="BE931" s="12">
        <v>0</v>
      </c>
      <c r="BF931" s="12">
        <v>0</v>
      </c>
      <c r="BI931" s="12">
        <v>0</v>
      </c>
      <c r="BJ931" s="12">
        <v>0</v>
      </c>
    </row>
    <row r="932" spans="1:62" x14ac:dyDescent="0.15">
      <c r="A932" s="12"/>
      <c r="B932" t="s">
        <v>1900</v>
      </c>
      <c r="C932" s="27" t="s">
        <v>6404</v>
      </c>
      <c r="D932" t="s">
        <v>6596</v>
      </c>
      <c r="E932" t="s">
        <v>2182</v>
      </c>
      <c r="F932"/>
      <c r="G932"/>
      <c r="H932"/>
      <c r="I932"/>
      <c r="J932"/>
      <c r="K932"/>
      <c r="L932" s="10">
        <v>3948800</v>
      </c>
      <c r="M932" s="10">
        <v>722100</v>
      </c>
      <c r="N932" s="12">
        <v>15</v>
      </c>
      <c r="O932" s="12" t="s">
        <v>6992</v>
      </c>
      <c r="P932" t="s">
        <v>2183</v>
      </c>
      <c r="R932"/>
      <c r="S932" t="s">
        <v>2184</v>
      </c>
      <c r="T932" s="12" t="s">
        <v>2185</v>
      </c>
      <c r="U932" s="12" t="s">
        <v>2186</v>
      </c>
      <c r="V932" s="12" t="s">
        <v>2187</v>
      </c>
      <c r="W932" s="12">
        <v>0</v>
      </c>
      <c r="X932" s="12">
        <v>1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2">
        <v>0</v>
      </c>
      <c r="AK932" s="12">
        <v>0</v>
      </c>
      <c r="AL932" s="12">
        <v>0</v>
      </c>
      <c r="AM932" s="12"/>
      <c r="AN932" s="12">
        <v>0</v>
      </c>
      <c r="AO932" s="12">
        <v>0</v>
      </c>
      <c r="AP932" s="12">
        <v>0</v>
      </c>
      <c r="AQ932" s="12">
        <v>0</v>
      </c>
      <c r="AR932" s="12">
        <v>0</v>
      </c>
      <c r="AS932" s="12">
        <v>0</v>
      </c>
      <c r="AT932" s="12">
        <v>0</v>
      </c>
      <c r="AU932" s="12">
        <v>0</v>
      </c>
      <c r="AV932" s="12">
        <v>0</v>
      </c>
      <c r="AW932" s="12">
        <v>0</v>
      </c>
      <c r="AX932" s="12">
        <v>0</v>
      </c>
      <c r="AY932" s="12">
        <v>0</v>
      </c>
      <c r="AZ932"/>
      <c r="BA932"/>
      <c r="BB932" s="12">
        <v>0</v>
      </c>
      <c r="BC932" s="12">
        <v>0</v>
      </c>
      <c r="BD932" s="12">
        <v>0</v>
      </c>
      <c r="BE932" s="12">
        <v>0</v>
      </c>
      <c r="BF932" s="12">
        <v>0</v>
      </c>
      <c r="BI932" s="12">
        <v>0</v>
      </c>
      <c r="BJ932" s="12">
        <v>0</v>
      </c>
    </row>
    <row r="933" spans="1:62" x14ac:dyDescent="0.15">
      <c r="A933" s="12"/>
      <c r="B933" t="s">
        <v>1901</v>
      </c>
      <c r="C933" s="27" t="s">
        <v>1902</v>
      </c>
      <c r="D933" t="s">
        <v>6596</v>
      </c>
      <c r="E933" t="s">
        <v>2182</v>
      </c>
      <c r="F933"/>
      <c r="G933"/>
      <c r="H933"/>
      <c r="I933"/>
      <c r="J933"/>
      <c r="K933"/>
      <c r="L933" s="10">
        <v>3980700</v>
      </c>
      <c r="M933" s="10">
        <v>728420</v>
      </c>
      <c r="N933" s="12">
        <v>15</v>
      </c>
      <c r="O933" s="12" t="s">
        <v>6992</v>
      </c>
      <c r="P933" t="s">
        <v>2183</v>
      </c>
      <c r="R933"/>
      <c r="S933" t="s">
        <v>2184</v>
      </c>
      <c r="T933" s="12" t="s">
        <v>2185</v>
      </c>
      <c r="U933" s="12" t="s">
        <v>2186</v>
      </c>
      <c r="V933" s="12" t="s">
        <v>2187</v>
      </c>
      <c r="W933" s="12">
        <v>0</v>
      </c>
      <c r="X933" s="12">
        <v>1</v>
      </c>
      <c r="Y933" s="12">
        <v>0</v>
      </c>
      <c r="Z933" s="12">
        <v>0</v>
      </c>
      <c r="AA933" s="12">
        <v>0</v>
      </c>
      <c r="AB933" s="12">
        <v>0</v>
      </c>
      <c r="AC933" s="12">
        <v>0</v>
      </c>
      <c r="AD933" s="12">
        <v>0</v>
      </c>
      <c r="AE933" s="12">
        <v>0</v>
      </c>
      <c r="AF933" s="12">
        <v>0</v>
      </c>
      <c r="AG933" s="12">
        <v>0</v>
      </c>
      <c r="AH933" s="12">
        <v>0</v>
      </c>
      <c r="AI933" s="12">
        <v>0</v>
      </c>
      <c r="AJ933" s="12">
        <v>0</v>
      </c>
      <c r="AK933" s="12">
        <v>0</v>
      </c>
      <c r="AL933" s="12">
        <v>0</v>
      </c>
      <c r="AM933" s="12"/>
      <c r="AN933" s="12">
        <v>0</v>
      </c>
      <c r="AO933" s="12">
        <v>0</v>
      </c>
      <c r="AP933" s="12">
        <v>0</v>
      </c>
      <c r="AQ933" s="12">
        <v>0</v>
      </c>
      <c r="AR933" s="12">
        <v>0</v>
      </c>
      <c r="AS933" s="12">
        <v>0</v>
      </c>
      <c r="AT933" s="12">
        <v>0</v>
      </c>
      <c r="AU933" s="12">
        <v>0</v>
      </c>
      <c r="AV933" s="12">
        <v>0</v>
      </c>
      <c r="AW933" s="12">
        <v>0</v>
      </c>
      <c r="AX933" s="12">
        <v>0</v>
      </c>
      <c r="AY933" s="12">
        <v>0</v>
      </c>
      <c r="AZ933"/>
      <c r="BA933"/>
      <c r="BB933" s="12">
        <v>0</v>
      </c>
      <c r="BC933" s="12">
        <v>0</v>
      </c>
      <c r="BD933" s="12">
        <v>0</v>
      </c>
      <c r="BE933" s="12">
        <v>0</v>
      </c>
      <c r="BF933" s="12">
        <v>0</v>
      </c>
      <c r="BI933" s="12">
        <v>0</v>
      </c>
      <c r="BJ933" s="12">
        <v>0</v>
      </c>
    </row>
    <row r="934" spans="1:62" x14ac:dyDescent="0.15">
      <c r="A934" s="12"/>
      <c r="B934" t="s">
        <v>1903</v>
      </c>
      <c r="C934" s="27" t="s">
        <v>1904</v>
      </c>
      <c r="D934" t="s">
        <v>6596</v>
      </c>
      <c r="E934" t="s">
        <v>2182</v>
      </c>
      <c r="F934"/>
      <c r="G934"/>
      <c r="H934"/>
      <c r="I934"/>
      <c r="J934"/>
      <c r="K934"/>
      <c r="L934" s="10">
        <v>3978900</v>
      </c>
      <c r="M934" s="10">
        <v>729380</v>
      </c>
      <c r="N934" s="12">
        <v>15</v>
      </c>
      <c r="O934" s="12" t="s">
        <v>6992</v>
      </c>
      <c r="P934" t="s">
        <v>2183</v>
      </c>
      <c r="R934"/>
      <c r="S934" t="s">
        <v>2184</v>
      </c>
      <c r="T934" s="12" t="s">
        <v>2185</v>
      </c>
      <c r="U934" s="12" t="s">
        <v>2186</v>
      </c>
      <c r="V934" s="12" t="s">
        <v>2187</v>
      </c>
      <c r="W934" s="12">
        <v>0</v>
      </c>
      <c r="X934" s="12">
        <v>1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2">
        <v>0</v>
      </c>
      <c r="AK934" s="12">
        <v>0</v>
      </c>
      <c r="AL934" s="12">
        <v>0</v>
      </c>
      <c r="AM934" s="12"/>
      <c r="AN934" s="12">
        <v>0</v>
      </c>
      <c r="AO934" s="12">
        <v>0</v>
      </c>
      <c r="AP934" s="12">
        <v>0</v>
      </c>
      <c r="AQ934" s="12">
        <v>0</v>
      </c>
      <c r="AR934" s="12">
        <v>0</v>
      </c>
      <c r="AS934" s="12">
        <v>0</v>
      </c>
      <c r="AT934" s="12">
        <v>0</v>
      </c>
      <c r="AU934" s="12">
        <v>0</v>
      </c>
      <c r="AV934" s="12">
        <v>0</v>
      </c>
      <c r="AW934" s="12">
        <v>0</v>
      </c>
      <c r="AX934" s="12">
        <v>0</v>
      </c>
      <c r="AY934" s="12">
        <v>0</v>
      </c>
      <c r="AZ934"/>
      <c r="BA934"/>
      <c r="BB934" s="12">
        <v>0</v>
      </c>
      <c r="BC934" s="12">
        <v>0</v>
      </c>
      <c r="BD934" s="12">
        <v>0</v>
      </c>
      <c r="BE934" s="12">
        <v>0</v>
      </c>
      <c r="BF934" s="12">
        <v>0</v>
      </c>
      <c r="BI934" s="12">
        <v>0</v>
      </c>
      <c r="BJ934" s="12">
        <v>0</v>
      </c>
    </row>
    <row r="935" spans="1:62" x14ac:dyDescent="0.15">
      <c r="A935" s="12"/>
      <c r="B935" t="s">
        <v>1905</v>
      </c>
      <c r="C935" s="27" t="s">
        <v>1906</v>
      </c>
      <c r="D935" t="s">
        <v>6596</v>
      </c>
      <c r="E935" t="s">
        <v>2182</v>
      </c>
      <c r="F935"/>
      <c r="G935"/>
      <c r="H935"/>
      <c r="I935"/>
      <c r="J935"/>
      <c r="K935"/>
      <c r="L935" s="10">
        <v>3933530</v>
      </c>
      <c r="M935" s="10">
        <v>683600</v>
      </c>
      <c r="N935" s="12">
        <v>15</v>
      </c>
      <c r="O935" s="12" t="s">
        <v>6992</v>
      </c>
      <c r="P935" t="s">
        <v>2183</v>
      </c>
      <c r="R935"/>
      <c r="S935" t="s">
        <v>2184</v>
      </c>
      <c r="T935" s="12" t="s">
        <v>2185</v>
      </c>
      <c r="U935" s="12" t="s">
        <v>2186</v>
      </c>
      <c r="V935" s="12" t="s">
        <v>2187</v>
      </c>
      <c r="W935" s="12">
        <v>0</v>
      </c>
      <c r="X935" s="12">
        <v>1</v>
      </c>
      <c r="Y935" s="12">
        <v>0</v>
      </c>
      <c r="Z935" s="12">
        <v>0</v>
      </c>
      <c r="AA935" s="12">
        <v>0</v>
      </c>
      <c r="AB935" s="12">
        <v>0</v>
      </c>
      <c r="AC935" s="12">
        <v>0</v>
      </c>
      <c r="AD935" s="12">
        <v>0</v>
      </c>
      <c r="AE935" s="12">
        <v>0</v>
      </c>
      <c r="AF935" s="12">
        <v>0</v>
      </c>
      <c r="AG935" s="12">
        <v>0</v>
      </c>
      <c r="AH935" s="12">
        <v>0</v>
      </c>
      <c r="AI935" s="12">
        <v>0</v>
      </c>
      <c r="AJ935" s="12">
        <v>0</v>
      </c>
      <c r="AK935" s="12">
        <v>0</v>
      </c>
      <c r="AL935" s="12">
        <v>0</v>
      </c>
      <c r="AM935" s="12"/>
      <c r="AN935" s="12">
        <v>0</v>
      </c>
      <c r="AO935" s="12">
        <v>0</v>
      </c>
      <c r="AP935" s="12">
        <v>0</v>
      </c>
      <c r="AQ935" s="12">
        <v>0</v>
      </c>
      <c r="AR935" s="12">
        <v>0</v>
      </c>
      <c r="AS935" s="12">
        <v>0</v>
      </c>
      <c r="AT935" s="12">
        <v>0</v>
      </c>
      <c r="AU935" s="12">
        <v>0</v>
      </c>
      <c r="AV935" s="12">
        <v>0</v>
      </c>
      <c r="AW935" s="12">
        <v>0</v>
      </c>
      <c r="AX935" s="12">
        <v>0</v>
      </c>
      <c r="AY935" s="12">
        <v>0</v>
      </c>
      <c r="AZ935"/>
      <c r="BA935"/>
      <c r="BB935" s="12">
        <v>0</v>
      </c>
      <c r="BC935" s="12">
        <v>0</v>
      </c>
      <c r="BD935" s="12">
        <v>0</v>
      </c>
      <c r="BE935" s="12">
        <v>0</v>
      </c>
      <c r="BF935" s="12">
        <v>0</v>
      </c>
      <c r="BI935" s="12">
        <v>0</v>
      </c>
      <c r="BJ935" s="12">
        <v>0</v>
      </c>
    </row>
    <row r="936" spans="1:62" x14ac:dyDescent="0.15">
      <c r="A936" s="12"/>
      <c r="B936" t="s">
        <v>1907</v>
      </c>
      <c r="C936" t="s">
        <v>1907</v>
      </c>
      <c r="D936" t="s">
        <v>6596</v>
      </c>
      <c r="E936" t="s">
        <v>2182</v>
      </c>
      <c r="F936"/>
      <c r="G936"/>
      <c r="H936"/>
      <c r="I936"/>
      <c r="J936"/>
      <c r="K936"/>
      <c r="L936" s="10">
        <v>3857000</v>
      </c>
      <c r="M936" s="10">
        <v>701750</v>
      </c>
      <c r="N936" s="12">
        <v>15</v>
      </c>
      <c r="O936" s="12" t="s">
        <v>6992</v>
      </c>
      <c r="P936" t="s">
        <v>2183</v>
      </c>
      <c r="R936"/>
      <c r="S936" t="s">
        <v>2184</v>
      </c>
      <c r="T936" s="12" t="s">
        <v>2185</v>
      </c>
      <c r="U936" s="12" t="s">
        <v>2186</v>
      </c>
      <c r="V936" s="12" t="s">
        <v>2187</v>
      </c>
      <c r="W936" s="12">
        <v>0</v>
      </c>
      <c r="X936" s="12">
        <v>1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2">
        <v>0</v>
      </c>
      <c r="AK936" s="12">
        <v>0</v>
      </c>
      <c r="AL936" s="12">
        <v>0</v>
      </c>
      <c r="AM936" s="12"/>
      <c r="AN936" s="12">
        <v>0</v>
      </c>
      <c r="AO936" s="12">
        <v>0</v>
      </c>
      <c r="AP936" s="12">
        <v>0</v>
      </c>
      <c r="AQ936" s="12">
        <v>0</v>
      </c>
      <c r="AR936" s="12">
        <v>0</v>
      </c>
      <c r="AS936" s="12">
        <v>0</v>
      </c>
      <c r="AT936" s="12">
        <v>0</v>
      </c>
      <c r="AU936" s="12">
        <v>0</v>
      </c>
      <c r="AV936" s="12">
        <v>0</v>
      </c>
      <c r="AW936" s="12">
        <v>0</v>
      </c>
      <c r="AX936" s="12">
        <v>0</v>
      </c>
      <c r="AY936" s="12">
        <v>0</v>
      </c>
      <c r="AZ936"/>
      <c r="BA936"/>
      <c r="BB936" s="12">
        <v>0</v>
      </c>
      <c r="BC936" s="12">
        <v>0</v>
      </c>
      <c r="BD936" s="12">
        <v>0</v>
      </c>
      <c r="BE936" s="12">
        <v>0</v>
      </c>
      <c r="BF936" s="12">
        <v>0</v>
      </c>
      <c r="BI936" s="12">
        <v>0</v>
      </c>
      <c r="BJ936" s="12">
        <v>0</v>
      </c>
    </row>
    <row r="937" spans="1:62" x14ac:dyDescent="0.15">
      <c r="A937" s="12"/>
      <c r="B937" t="s">
        <v>1908</v>
      </c>
      <c r="C937" t="s">
        <v>1908</v>
      </c>
      <c r="D937" t="s">
        <v>6596</v>
      </c>
      <c r="E937" t="s">
        <v>2182</v>
      </c>
      <c r="F937"/>
      <c r="G937"/>
      <c r="H937"/>
      <c r="I937"/>
      <c r="J937"/>
      <c r="K937"/>
      <c r="L937" s="10">
        <v>3863800</v>
      </c>
      <c r="M937" s="10">
        <v>697500</v>
      </c>
      <c r="N937" s="12">
        <v>15</v>
      </c>
      <c r="O937" s="12" t="s">
        <v>6992</v>
      </c>
      <c r="P937" t="s">
        <v>2183</v>
      </c>
      <c r="R937"/>
      <c r="S937" t="s">
        <v>2184</v>
      </c>
      <c r="T937" s="12" t="s">
        <v>2185</v>
      </c>
      <c r="U937" s="12" t="s">
        <v>2186</v>
      </c>
      <c r="V937" s="12" t="s">
        <v>2187</v>
      </c>
      <c r="W937" s="12">
        <v>0</v>
      </c>
      <c r="X937" s="12">
        <v>1</v>
      </c>
      <c r="Y937" s="12">
        <v>0</v>
      </c>
      <c r="Z937" s="12">
        <v>0</v>
      </c>
      <c r="AA937" s="12">
        <v>0</v>
      </c>
      <c r="AB937" s="12">
        <v>0</v>
      </c>
      <c r="AC937" s="12">
        <v>0</v>
      </c>
      <c r="AD937" s="12">
        <v>0</v>
      </c>
      <c r="AE937" s="12">
        <v>0</v>
      </c>
      <c r="AF937" s="12">
        <v>0</v>
      </c>
      <c r="AG937" s="12">
        <v>0</v>
      </c>
      <c r="AH937" s="12">
        <v>0</v>
      </c>
      <c r="AI937" s="12">
        <v>0</v>
      </c>
      <c r="AJ937" s="12">
        <v>0</v>
      </c>
      <c r="AK937" s="12">
        <v>0</v>
      </c>
      <c r="AL937" s="12">
        <v>0</v>
      </c>
      <c r="AM937" s="12"/>
      <c r="AN937" s="12">
        <v>0</v>
      </c>
      <c r="AO937" s="12">
        <v>0</v>
      </c>
      <c r="AP937" s="12">
        <v>0</v>
      </c>
      <c r="AQ937" s="12">
        <v>0</v>
      </c>
      <c r="AR937" s="12">
        <v>0</v>
      </c>
      <c r="AS937" s="12">
        <v>0</v>
      </c>
      <c r="AT937" s="12">
        <v>0</v>
      </c>
      <c r="AU937" s="12">
        <v>0</v>
      </c>
      <c r="AV937" s="12">
        <v>0</v>
      </c>
      <c r="AW937" s="12">
        <v>0</v>
      </c>
      <c r="AX937" s="12">
        <v>0</v>
      </c>
      <c r="AY937" s="12">
        <v>0</v>
      </c>
      <c r="AZ937"/>
      <c r="BA937"/>
      <c r="BB937" s="12">
        <v>0</v>
      </c>
      <c r="BC937" s="12">
        <v>0</v>
      </c>
      <c r="BD937" s="12">
        <v>0</v>
      </c>
      <c r="BE937" s="12">
        <v>0</v>
      </c>
      <c r="BF937" s="12">
        <v>0</v>
      </c>
      <c r="BI937" s="12">
        <v>0</v>
      </c>
      <c r="BJ937" s="12">
        <v>0</v>
      </c>
    </row>
    <row r="938" spans="1:62" x14ac:dyDescent="0.15">
      <c r="A938" s="12"/>
      <c r="B938" t="s">
        <v>1909</v>
      </c>
      <c r="C938" t="s">
        <v>1909</v>
      </c>
      <c r="D938" t="s">
        <v>6596</v>
      </c>
      <c r="E938" t="s">
        <v>2182</v>
      </c>
      <c r="F938"/>
      <c r="G938"/>
      <c r="H938"/>
      <c r="I938"/>
      <c r="J938"/>
      <c r="K938"/>
      <c r="L938" s="10">
        <v>3860040</v>
      </c>
      <c r="M938" s="10">
        <v>700230</v>
      </c>
      <c r="N938" s="12">
        <v>15</v>
      </c>
      <c r="O938" s="12" t="s">
        <v>6992</v>
      </c>
      <c r="P938" t="s">
        <v>2183</v>
      </c>
      <c r="R938"/>
      <c r="S938" t="s">
        <v>2184</v>
      </c>
      <c r="T938" s="12" t="s">
        <v>2185</v>
      </c>
      <c r="U938" s="12" t="s">
        <v>2186</v>
      </c>
      <c r="V938" s="12" t="s">
        <v>2187</v>
      </c>
      <c r="W938" s="12">
        <v>0</v>
      </c>
      <c r="X938" s="12">
        <v>1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2">
        <v>0</v>
      </c>
      <c r="AK938" s="12">
        <v>0</v>
      </c>
      <c r="AL938" s="12">
        <v>0</v>
      </c>
      <c r="AM938" s="12"/>
      <c r="AN938" s="12">
        <v>0</v>
      </c>
      <c r="AO938" s="12">
        <v>0</v>
      </c>
      <c r="AP938" s="12">
        <v>0</v>
      </c>
      <c r="AQ938" s="12">
        <v>0</v>
      </c>
      <c r="AR938" s="12">
        <v>0</v>
      </c>
      <c r="AS938" s="12">
        <v>0</v>
      </c>
      <c r="AT938" s="12">
        <v>0</v>
      </c>
      <c r="AU938" s="12">
        <v>0</v>
      </c>
      <c r="AV938" s="12">
        <v>0</v>
      </c>
      <c r="AW938" s="12">
        <v>0</v>
      </c>
      <c r="AX938" s="12">
        <v>0</v>
      </c>
      <c r="AY938" s="12">
        <v>0</v>
      </c>
      <c r="AZ938"/>
      <c r="BA938"/>
      <c r="BB938" s="12">
        <v>0</v>
      </c>
      <c r="BC938" s="12">
        <v>0</v>
      </c>
      <c r="BD938" s="12">
        <v>0</v>
      </c>
      <c r="BE938" s="12">
        <v>0</v>
      </c>
      <c r="BF938" s="12">
        <v>0</v>
      </c>
      <c r="BI938" s="12">
        <v>0</v>
      </c>
      <c r="BJ938" s="12">
        <v>0</v>
      </c>
    </row>
    <row r="939" spans="1:62" x14ac:dyDescent="0.15">
      <c r="A939" s="12"/>
      <c r="B939" t="s">
        <v>1910</v>
      </c>
      <c r="C939" t="s">
        <v>1910</v>
      </c>
      <c r="D939" t="s">
        <v>6596</v>
      </c>
      <c r="E939" t="s">
        <v>2182</v>
      </c>
      <c r="F939"/>
      <c r="G939"/>
      <c r="H939"/>
      <c r="I939"/>
      <c r="J939"/>
      <c r="K939"/>
      <c r="L939" s="10">
        <v>3856480</v>
      </c>
      <c r="M939" s="10">
        <v>702770</v>
      </c>
      <c r="N939" s="12">
        <v>15</v>
      </c>
      <c r="O939" s="12" t="s">
        <v>6992</v>
      </c>
      <c r="P939" t="s">
        <v>2183</v>
      </c>
      <c r="R939"/>
      <c r="S939" t="s">
        <v>2184</v>
      </c>
      <c r="T939" s="12" t="s">
        <v>2185</v>
      </c>
      <c r="U939" s="12" t="s">
        <v>2186</v>
      </c>
      <c r="V939" s="12" t="s">
        <v>2187</v>
      </c>
      <c r="W939" s="12">
        <v>0</v>
      </c>
      <c r="X939" s="12">
        <v>1</v>
      </c>
      <c r="Y939" s="12">
        <v>0</v>
      </c>
      <c r="Z939" s="12">
        <v>0</v>
      </c>
      <c r="AA939" s="12">
        <v>0</v>
      </c>
      <c r="AB939" s="12">
        <v>0</v>
      </c>
      <c r="AC939" s="12">
        <v>0</v>
      </c>
      <c r="AD939" s="12">
        <v>0</v>
      </c>
      <c r="AE939" s="12">
        <v>0</v>
      </c>
      <c r="AF939" s="12">
        <v>0</v>
      </c>
      <c r="AG939" s="12">
        <v>0</v>
      </c>
      <c r="AH939" s="12">
        <v>0</v>
      </c>
      <c r="AI939" s="12">
        <v>0</v>
      </c>
      <c r="AJ939" s="12">
        <v>0</v>
      </c>
      <c r="AK939" s="12">
        <v>0</v>
      </c>
      <c r="AL939" s="12">
        <v>0</v>
      </c>
      <c r="AM939" s="12"/>
      <c r="AN939" s="12">
        <v>0</v>
      </c>
      <c r="AO939" s="12">
        <v>0</v>
      </c>
      <c r="AP939" s="12">
        <v>0</v>
      </c>
      <c r="AQ939" s="12">
        <v>0</v>
      </c>
      <c r="AR939" s="12">
        <v>0</v>
      </c>
      <c r="AS939" s="12">
        <v>0</v>
      </c>
      <c r="AT939" s="12">
        <v>0</v>
      </c>
      <c r="AU939" s="12">
        <v>0</v>
      </c>
      <c r="AV939" s="12">
        <v>0</v>
      </c>
      <c r="AW939" s="12">
        <v>0</v>
      </c>
      <c r="AX939" s="12">
        <v>0</v>
      </c>
      <c r="AY939" s="12">
        <v>0</v>
      </c>
      <c r="AZ939"/>
      <c r="BA939"/>
      <c r="BB939" s="12">
        <v>0</v>
      </c>
      <c r="BC939" s="12">
        <v>0</v>
      </c>
      <c r="BD939" s="12">
        <v>0</v>
      </c>
      <c r="BE939" s="12">
        <v>0</v>
      </c>
      <c r="BF939" s="12">
        <v>0</v>
      </c>
      <c r="BI939" s="12">
        <v>0</v>
      </c>
      <c r="BJ939" s="12">
        <v>0</v>
      </c>
    </row>
    <row r="940" spans="1:62" x14ac:dyDescent="0.15">
      <c r="A940" s="12"/>
      <c r="B940" t="s">
        <v>1911</v>
      </c>
      <c r="C940" t="s">
        <v>1911</v>
      </c>
      <c r="D940" t="s">
        <v>6596</v>
      </c>
      <c r="E940" t="s">
        <v>2182</v>
      </c>
      <c r="F940"/>
      <c r="G940"/>
      <c r="H940"/>
      <c r="I940"/>
      <c r="J940"/>
      <c r="K940"/>
      <c r="L940" s="10">
        <v>3940380</v>
      </c>
      <c r="M940" s="10">
        <v>701200</v>
      </c>
      <c r="N940" s="12">
        <v>15</v>
      </c>
      <c r="O940" s="12" t="s">
        <v>6992</v>
      </c>
      <c r="P940" t="s">
        <v>2183</v>
      </c>
      <c r="R940"/>
      <c r="S940" t="s">
        <v>2184</v>
      </c>
      <c r="T940" s="12" t="s">
        <v>2185</v>
      </c>
      <c r="U940" s="12" t="s">
        <v>2186</v>
      </c>
      <c r="V940" s="12" t="s">
        <v>2187</v>
      </c>
      <c r="W940" s="12">
        <v>0</v>
      </c>
      <c r="X940" s="12">
        <v>1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2">
        <v>0</v>
      </c>
      <c r="AK940" s="12">
        <v>0</v>
      </c>
      <c r="AL940" s="12">
        <v>0</v>
      </c>
      <c r="AM940" s="12"/>
      <c r="AN940" s="12">
        <v>0</v>
      </c>
      <c r="AO940" s="12">
        <v>0</v>
      </c>
      <c r="AP940" s="12">
        <v>0</v>
      </c>
      <c r="AQ940" s="12">
        <v>0</v>
      </c>
      <c r="AR940" s="12">
        <v>0</v>
      </c>
      <c r="AS940" s="12">
        <v>0</v>
      </c>
      <c r="AT940" s="12">
        <v>0</v>
      </c>
      <c r="AU940" s="12">
        <v>0</v>
      </c>
      <c r="AV940" s="12">
        <v>0</v>
      </c>
      <c r="AW940" s="12">
        <v>0</v>
      </c>
      <c r="AX940" s="12">
        <v>0</v>
      </c>
      <c r="AY940" s="12">
        <v>0</v>
      </c>
      <c r="AZ940"/>
      <c r="BA940"/>
      <c r="BB940" s="12">
        <v>0</v>
      </c>
      <c r="BC940" s="12">
        <v>0</v>
      </c>
      <c r="BD940" s="12">
        <v>0</v>
      </c>
      <c r="BE940" s="12">
        <v>0</v>
      </c>
      <c r="BF940" s="12">
        <v>0</v>
      </c>
      <c r="BI940" s="12">
        <v>0</v>
      </c>
      <c r="BJ940" s="12">
        <v>0</v>
      </c>
    </row>
    <row r="941" spans="1:62" x14ac:dyDescent="0.15">
      <c r="A941" s="12"/>
      <c r="B941" t="s">
        <v>1912</v>
      </c>
      <c r="C941" t="s">
        <v>1912</v>
      </c>
      <c r="D941" t="s">
        <v>6596</v>
      </c>
      <c r="E941" t="s">
        <v>2182</v>
      </c>
      <c r="F941"/>
      <c r="G941"/>
      <c r="H941"/>
      <c r="I941"/>
      <c r="J941"/>
      <c r="K941"/>
      <c r="L941" s="10">
        <v>3870460</v>
      </c>
      <c r="M941" s="10">
        <v>693730</v>
      </c>
      <c r="N941" s="12">
        <v>15</v>
      </c>
      <c r="O941" s="12" t="s">
        <v>6992</v>
      </c>
      <c r="P941" t="s">
        <v>2183</v>
      </c>
      <c r="R941"/>
      <c r="S941" t="s">
        <v>2184</v>
      </c>
      <c r="T941" s="12" t="s">
        <v>2185</v>
      </c>
      <c r="U941" s="12" t="s">
        <v>2186</v>
      </c>
      <c r="V941" s="12" t="s">
        <v>2187</v>
      </c>
      <c r="W941" s="12">
        <v>0</v>
      </c>
      <c r="X941" s="12">
        <v>1</v>
      </c>
      <c r="Y941" s="12">
        <v>0</v>
      </c>
      <c r="Z941" s="12">
        <v>0</v>
      </c>
      <c r="AA941" s="12">
        <v>0</v>
      </c>
      <c r="AB941" s="12">
        <v>0</v>
      </c>
      <c r="AC941" s="12">
        <v>0</v>
      </c>
      <c r="AD941" s="12">
        <v>0</v>
      </c>
      <c r="AE941" s="12">
        <v>0</v>
      </c>
      <c r="AF941" s="12">
        <v>0</v>
      </c>
      <c r="AG941" s="12">
        <v>0</v>
      </c>
      <c r="AH941" s="12">
        <v>0</v>
      </c>
      <c r="AI941" s="12">
        <v>0</v>
      </c>
      <c r="AJ941" s="12">
        <v>0</v>
      </c>
      <c r="AK941" s="12">
        <v>0</v>
      </c>
      <c r="AL941" s="12">
        <v>0</v>
      </c>
      <c r="AM941" s="12"/>
      <c r="AN941" s="12">
        <v>0</v>
      </c>
      <c r="AO941" s="12">
        <v>0</v>
      </c>
      <c r="AP941" s="12">
        <v>0</v>
      </c>
      <c r="AQ941" s="12">
        <v>0</v>
      </c>
      <c r="AR941" s="12">
        <v>0</v>
      </c>
      <c r="AS941" s="12">
        <v>0</v>
      </c>
      <c r="AT941" s="12">
        <v>0</v>
      </c>
      <c r="AU941" s="12">
        <v>0</v>
      </c>
      <c r="AV941" s="12">
        <v>0</v>
      </c>
      <c r="AW941" s="12">
        <v>0</v>
      </c>
      <c r="AX941" s="12">
        <v>0</v>
      </c>
      <c r="AY941" s="12">
        <v>0</v>
      </c>
      <c r="AZ941"/>
      <c r="BA941"/>
      <c r="BB941" s="12">
        <v>0</v>
      </c>
      <c r="BC941" s="12">
        <v>0</v>
      </c>
      <c r="BD941" s="12">
        <v>0</v>
      </c>
      <c r="BE941" s="12">
        <v>0</v>
      </c>
      <c r="BF941" s="12">
        <v>0</v>
      </c>
      <c r="BI941" s="12">
        <v>0</v>
      </c>
      <c r="BJ941" s="12">
        <v>0</v>
      </c>
    </row>
    <row r="942" spans="1:62" x14ac:dyDescent="0.15">
      <c r="A942" s="12"/>
      <c r="B942" t="s">
        <v>1913</v>
      </c>
      <c r="C942" t="s">
        <v>1913</v>
      </c>
      <c r="D942" t="s">
        <v>6596</v>
      </c>
      <c r="E942" t="s">
        <v>2182</v>
      </c>
      <c r="F942"/>
      <c r="G942"/>
      <c r="H942"/>
      <c r="I942"/>
      <c r="J942"/>
      <c r="K942"/>
      <c r="L942" s="10">
        <v>3903660</v>
      </c>
      <c r="M942" s="10">
        <v>691070</v>
      </c>
      <c r="N942" s="12">
        <v>15</v>
      </c>
      <c r="O942" s="12" t="s">
        <v>6992</v>
      </c>
      <c r="P942" t="s">
        <v>2183</v>
      </c>
      <c r="R942"/>
      <c r="S942" t="s">
        <v>2184</v>
      </c>
      <c r="T942" s="12" t="s">
        <v>2185</v>
      </c>
      <c r="U942" s="12" t="s">
        <v>2186</v>
      </c>
      <c r="V942" s="12" t="s">
        <v>2187</v>
      </c>
      <c r="W942" s="12">
        <v>0</v>
      </c>
      <c r="X942" s="12">
        <v>1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2">
        <v>0</v>
      </c>
      <c r="AK942" s="12">
        <v>0</v>
      </c>
      <c r="AL942" s="12">
        <v>0</v>
      </c>
      <c r="AM942" s="12"/>
      <c r="AN942" s="12">
        <v>0</v>
      </c>
      <c r="AO942" s="12">
        <v>0</v>
      </c>
      <c r="AP942" s="12">
        <v>0</v>
      </c>
      <c r="AQ942" s="12">
        <v>0</v>
      </c>
      <c r="AR942" s="12">
        <v>0</v>
      </c>
      <c r="AS942" s="12">
        <v>0</v>
      </c>
      <c r="AT942" s="12">
        <v>0</v>
      </c>
      <c r="AU942" s="12">
        <v>0</v>
      </c>
      <c r="AV942" s="12">
        <v>0</v>
      </c>
      <c r="AW942" s="12">
        <v>0</v>
      </c>
      <c r="AX942" s="12">
        <v>0</v>
      </c>
      <c r="AY942" s="12">
        <v>0</v>
      </c>
      <c r="AZ942"/>
      <c r="BA942"/>
      <c r="BB942" s="12">
        <v>0</v>
      </c>
      <c r="BC942" s="12">
        <v>0</v>
      </c>
      <c r="BD942" s="12">
        <v>0</v>
      </c>
      <c r="BE942" s="12">
        <v>0</v>
      </c>
      <c r="BF942" s="12">
        <v>0</v>
      </c>
      <c r="BI942" s="12">
        <v>0</v>
      </c>
      <c r="BJ942" s="12">
        <v>0</v>
      </c>
    </row>
    <row r="943" spans="1:62" x14ac:dyDescent="0.15">
      <c r="A943" s="12"/>
      <c r="B943" t="s">
        <v>1914</v>
      </c>
      <c r="C943" t="s">
        <v>1914</v>
      </c>
      <c r="D943" t="s">
        <v>6596</v>
      </c>
      <c r="E943" t="s">
        <v>2182</v>
      </c>
      <c r="F943"/>
      <c r="G943"/>
      <c r="H943"/>
      <c r="I943"/>
      <c r="J943"/>
      <c r="K943"/>
      <c r="L943" s="10">
        <v>3922975</v>
      </c>
      <c r="M943" s="10">
        <v>697980</v>
      </c>
      <c r="N943" s="12">
        <v>15</v>
      </c>
      <c r="O943" s="12" t="s">
        <v>6992</v>
      </c>
      <c r="P943" t="s">
        <v>2183</v>
      </c>
      <c r="R943"/>
      <c r="S943" t="s">
        <v>2184</v>
      </c>
      <c r="T943" s="12" t="s">
        <v>2185</v>
      </c>
      <c r="U943" s="12" t="s">
        <v>2186</v>
      </c>
      <c r="V943" s="12" t="s">
        <v>2187</v>
      </c>
      <c r="W943" s="12">
        <v>0</v>
      </c>
      <c r="X943" s="12">
        <v>1</v>
      </c>
      <c r="Y943" s="12">
        <v>0</v>
      </c>
      <c r="Z943" s="12">
        <v>0</v>
      </c>
      <c r="AA943" s="12">
        <v>0</v>
      </c>
      <c r="AB943" s="12">
        <v>0</v>
      </c>
      <c r="AC943" s="12">
        <v>0</v>
      </c>
      <c r="AD943" s="12">
        <v>0</v>
      </c>
      <c r="AE943" s="12">
        <v>0</v>
      </c>
      <c r="AF943" s="12">
        <v>0</v>
      </c>
      <c r="AG943" s="12">
        <v>0</v>
      </c>
      <c r="AH943" s="12">
        <v>0</v>
      </c>
      <c r="AI943" s="12">
        <v>0</v>
      </c>
      <c r="AJ943" s="12">
        <v>0</v>
      </c>
      <c r="AK943" s="12">
        <v>0</v>
      </c>
      <c r="AL943" s="12">
        <v>0</v>
      </c>
      <c r="AM943" s="12"/>
      <c r="AN943" s="12">
        <v>0</v>
      </c>
      <c r="AO943" s="12">
        <v>0</v>
      </c>
      <c r="AP943" s="12">
        <v>0</v>
      </c>
      <c r="AQ943" s="12">
        <v>0</v>
      </c>
      <c r="AR943" s="12">
        <v>0</v>
      </c>
      <c r="AS943" s="12">
        <v>0</v>
      </c>
      <c r="AT943" s="12">
        <v>0</v>
      </c>
      <c r="AU943" s="12">
        <v>0</v>
      </c>
      <c r="AV943" s="12">
        <v>0</v>
      </c>
      <c r="AW943" s="12">
        <v>0</v>
      </c>
      <c r="AX943" s="12">
        <v>0</v>
      </c>
      <c r="AY943" s="12">
        <v>0</v>
      </c>
      <c r="AZ943"/>
      <c r="BA943"/>
      <c r="BB943" s="12">
        <v>0</v>
      </c>
      <c r="BC943" s="12">
        <v>0</v>
      </c>
      <c r="BD943" s="12">
        <v>0</v>
      </c>
      <c r="BE943" s="12">
        <v>0</v>
      </c>
      <c r="BF943" s="12">
        <v>0</v>
      </c>
      <c r="BI943" s="12">
        <v>0</v>
      </c>
      <c r="BJ943" s="12">
        <v>0</v>
      </c>
    </row>
    <row r="944" spans="1:62" x14ac:dyDescent="0.15">
      <c r="A944" s="12"/>
      <c r="B944" t="s">
        <v>1915</v>
      </c>
      <c r="C944" t="s">
        <v>1915</v>
      </c>
      <c r="D944" t="s">
        <v>6596</v>
      </c>
      <c r="E944" t="s">
        <v>2182</v>
      </c>
      <c r="F944"/>
      <c r="G944"/>
      <c r="H944"/>
      <c r="I944"/>
      <c r="J944"/>
      <c r="K944"/>
      <c r="L944" s="10">
        <v>3922280</v>
      </c>
      <c r="M944" s="10">
        <v>698320</v>
      </c>
      <c r="N944" s="12">
        <v>15</v>
      </c>
      <c r="O944" s="12" t="s">
        <v>6992</v>
      </c>
      <c r="P944" t="s">
        <v>2183</v>
      </c>
      <c r="R944"/>
      <c r="S944" t="s">
        <v>2184</v>
      </c>
      <c r="T944" s="12" t="s">
        <v>2185</v>
      </c>
      <c r="U944" s="12" t="s">
        <v>2186</v>
      </c>
      <c r="V944" s="12" t="s">
        <v>2187</v>
      </c>
      <c r="W944" s="12">
        <v>0</v>
      </c>
      <c r="X944" s="12">
        <v>1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2">
        <v>0</v>
      </c>
      <c r="AK944" s="12">
        <v>0</v>
      </c>
      <c r="AL944" s="12">
        <v>0</v>
      </c>
      <c r="AM944" s="12"/>
      <c r="AN944" s="12">
        <v>0</v>
      </c>
      <c r="AO944" s="12">
        <v>0</v>
      </c>
      <c r="AP944" s="12">
        <v>0</v>
      </c>
      <c r="AQ944" s="12">
        <v>0</v>
      </c>
      <c r="AR944" s="12">
        <v>0</v>
      </c>
      <c r="AS944" s="12">
        <v>0</v>
      </c>
      <c r="AT944" s="12">
        <v>0</v>
      </c>
      <c r="AU944" s="12">
        <v>0</v>
      </c>
      <c r="AV944" s="12">
        <v>0</v>
      </c>
      <c r="AW944" s="12">
        <v>0</v>
      </c>
      <c r="AX944" s="12">
        <v>0</v>
      </c>
      <c r="AY944" s="12">
        <v>0</v>
      </c>
      <c r="AZ944"/>
      <c r="BA944"/>
      <c r="BB944" s="12">
        <v>0</v>
      </c>
      <c r="BC944" s="12">
        <v>0</v>
      </c>
      <c r="BD944" s="12">
        <v>0</v>
      </c>
      <c r="BE944" s="12">
        <v>0</v>
      </c>
      <c r="BF944" s="12">
        <v>0</v>
      </c>
      <c r="BI944" s="12">
        <v>0</v>
      </c>
      <c r="BJ944" s="12">
        <v>0</v>
      </c>
    </row>
    <row r="945" spans="1:62" x14ac:dyDescent="0.15">
      <c r="A945" s="12"/>
      <c r="B945" t="s">
        <v>1916</v>
      </c>
      <c r="C945" t="s">
        <v>1916</v>
      </c>
      <c r="D945" t="s">
        <v>6596</v>
      </c>
      <c r="E945" t="s">
        <v>2182</v>
      </c>
      <c r="F945"/>
      <c r="G945"/>
      <c r="H945"/>
      <c r="I945"/>
      <c r="J945"/>
      <c r="K945"/>
      <c r="L945" s="10">
        <v>3920800</v>
      </c>
      <c r="M945" s="10">
        <v>697430</v>
      </c>
      <c r="N945" s="12">
        <v>15</v>
      </c>
      <c r="O945" s="12" t="s">
        <v>6992</v>
      </c>
      <c r="P945" t="s">
        <v>2183</v>
      </c>
      <c r="R945"/>
      <c r="S945" t="s">
        <v>2184</v>
      </c>
      <c r="T945" s="12" t="s">
        <v>2185</v>
      </c>
      <c r="U945" s="12" t="s">
        <v>2186</v>
      </c>
      <c r="V945" s="12" t="s">
        <v>2187</v>
      </c>
      <c r="W945" s="12">
        <v>0</v>
      </c>
      <c r="X945" s="12">
        <v>1</v>
      </c>
      <c r="Y945" s="12">
        <v>0</v>
      </c>
      <c r="Z945" s="12">
        <v>0</v>
      </c>
      <c r="AA945" s="12">
        <v>0</v>
      </c>
      <c r="AB945" s="12">
        <v>0</v>
      </c>
      <c r="AC945" s="12">
        <v>0</v>
      </c>
      <c r="AD945" s="12">
        <v>0</v>
      </c>
      <c r="AE945" s="12">
        <v>0</v>
      </c>
      <c r="AF945" s="12">
        <v>0</v>
      </c>
      <c r="AG945" s="12">
        <v>0</v>
      </c>
      <c r="AH945" s="12">
        <v>0</v>
      </c>
      <c r="AI945" s="12">
        <v>0</v>
      </c>
      <c r="AJ945" s="12">
        <v>0</v>
      </c>
      <c r="AK945" s="12">
        <v>0</v>
      </c>
      <c r="AL945" s="12">
        <v>0</v>
      </c>
      <c r="AM945" s="12"/>
      <c r="AN945" s="12">
        <v>0</v>
      </c>
      <c r="AO945" s="12">
        <v>0</v>
      </c>
      <c r="AP945" s="12">
        <v>0</v>
      </c>
      <c r="AQ945" s="12">
        <v>0</v>
      </c>
      <c r="AR945" s="12">
        <v>0</v>
      </c>
      <c r="AS945" s="12">
        <v>0</v>
      </c>
      <c r="AT945" s="12">
        <v>0</v>
      </c>
      <c r="AU945" s="12">
        <v>0</v>
      </c>
      <c r="AV945" s="12">
        <v>0</v>
      </c>
      <c r="AW945" s="12">
        <v>0</v>
      </c>
      <c r="AX945" s="12">
        <v>0</v>
      </c>
      <c r="AY945" s="12">
        <v>0</v>
      </c>
      <c r="AZ945"/>
      <c r="BA945"/>
      <c r="BB945" s="12">
        <v>0</v>
      </c>
      <c r="BC945" s="12">
        <v>0</v>
      </c>
      <c r="BD945" s="12">
        <v>0</v>
      </c>
      <c r="BE945" s="12">
        <v>0</v>
      </c>
      <c r="BF945" s="12">
        <v>0</v>
      </c>
      <c r="BI945" s="12">
        <v>0</v>
      </c>
      <c r="BJ945" s="12">
        <v>0</v>
      </c>
    </row>
    <row r="946" spans="1:62" x14ac:dyDescent="0.15">
      <c r="A946" s="12"/>
      <c r="B946" t="s">
        <v>1917</v>
      </c>
      <c r="C946" s="27" t="s">
        <v>1918</v>
      </c>
      <c r="D946" t="s">
        <v>6596</v>
      </c>
      <c r="E946" t="s">
        <v>2182</v>
      </c>
      <c r="F946"/>
      <c r="G946"/>
      <c r="H946"/>
      <c r="I946"/>
      <c r="J946"/>
      <c r="K946"/>
      <c r="L946" s="10">
        <v>3863980</v>
      </c>
      <c r="M946" s="10">
        <v>696720</v>
      </c>
      <c r="N946" s="12">
        <v>15</v>
      </c>
      <c r="O946" s="12" t="s">
        <v>6992</v>
      </c>
      <c r="P946" t="s">
        <v>2183</v>
      </c>
      <c r="R946"/>
      <c r="S946" t="s">
        <v>2184</v>
      </c>
      <c r="T946" s="12" t="s">
        <v>2185</v>
      </c>
      <c r="U946" s="12" t="s">
        <v>2186</v>
      </c>
      <c r="V946" s="12" t="s">
        <v>2187</v>
      </c>
      <c r="W946" s="12">
        <v>0</v>
      </c>
      <c r="X946" s="12">
        <v>1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2">
        <v>0</v>
      </c>
      <c r="AK946" s="12">
        <v>0</v>
      </c>
      <c r="AL946" s="12">
        <v>0</v>
      </c>
      <c r="AM946" s="12"/>
      <c r="AN946" s="12">
        <v>0</v>
      </c>
      <c r="AO946" s="12">
        <v>0</v>
      </c>
      <c r="AP946" s="12">
        <v>0</v>
      </c>
      <c r="AQ946" s="12">
        <v>0</v>
      </c>
      <c r="AR946" s="12">
        <v>0</v>
      </c>
      <c r="AS946" s="12">
        <v>0</v>
      </c>
      <c r="AT946" s="12">
        <v>0</v>
      </c>
      <c r="AU946" s="12">
        <v>0</v>
      </c>
      <c r="AV946" s="12">
        <v>0</v>
      </c>
      <c r="AW946" s="12">
        <v>0</v>
      </c>
      <c r="AX946" s="12">
        <v>0</v>
      </c>
      <c r="AY946" s="12">
        <v>0</v>
      </c>
      <c r="AZ946"/>
      <c r="BA946"/>
      <c r="BB946" s="12">
        <v>0</v>
      </c>
      <c r="BC946" s="12">
        <v>0</v>
      </c>
      <c r="BD946" s="12">
        <v>0</v>
      </c>
      <c r="BE946" s="12">
        <v>0</v>
      </c>
      <c r="BF946" s="12">
        <v>0</v>
      </c>
      <c r="BI946" s="12">
        <v>0</v>
      </c>
      <c r="BJ946" s="12">
        <v>0</v>
      </c>
    </row>
    <row r="947" spans="1:62" x14ac:dyDescent="0.15">
      <c r="A947" s="12"/>
      <c r="B947" t="s">
        <v>1919</v>
      </c>
      <c r="C947" t="s">
        <v>1919</v>
      </c>
      <c r="D947" t="s">
        <v>6596</v>
      </c>
      <c r="E947" t="s">
        <v>2182</v>
      </c>
      <c r="F947"/>
      <c r="G947"/>
      <c r="H947"/>
      <c r="I947"/>
      <c r="J947"/>
      <c r="K947"/>
      <c r="L947" s="10">
        <v>3945530</v>
      </c>
      <c r="M947" s="10">
        <v>703270</v>
      </c>
      <c r="N947" s="12">
        <v>15</v>
      </c>
      <c r="O947" s="12" t="s">
        <v>6992</v>
      </c>
      <c r="P947" t="s">
        <v>2183</v>
      </c>
      <c r="R947"/>
      <c r="S947" t="s">
        <v>2184</v>
      </c>
      <c r="T947" s="12" t="s">
        <v>2185</v>
      </c>
      <c r="U947" s="12" t="s">
        <v>2186</v>
      </c>
      <c r="V947" s="12" t="s">
        <v>2187</v>
      </c>
      <c r="W947" s="12">
        <v>0</v>
      </c>
      <c r="X947" s="12">
        <v>1</v>
      </c>
      <c r="Y947" s="12">
        <v>0</v>
      </c>
      <c r="Z947" s="12">
        <v>0</v>
      </c>
      <c r="AA947" s="12">
        <v>0</v>
      </c>
      <c r="AB947" s="12">
        <v>0</v>
      </c>
      <c r="AC947" s="12">
        <v>0</v>
      </c>
      <c r="AD947" s="12">
        <v>0</v>
      </c>
      <c r="AE947" s="12">
        <v>0</v>
      </c>
      <c r="AF947" s="12">
        <v>0</v>
      </c>
      <c r="AG947" s="12">
        <v>0</v>
      </c>
      <c r="AH947" s="12">
        <v>0</v>
      </c>
      <c r="AI947" s="12">
        <v>0</v>
      </c>
      <c r="AJ947" s="12">
        <v>0</v>
      </c>
      <c r="AK947" s="12">
        <v>0</v>
      </c>
      <c r="AL947" s="12">
        <v>0</v>
      </c>
      <c r="AM947" s="12"/>
      <c r="AN947" s="12">
        <v>0</v>
      </c>
      <c r="AO947" s="12">
        <v>0</v>
      </c>
      <c r="AP947" s="12">
        <v>0</v>
      </c>
      <c r="AQ947" s="12">
        <v>0</v>
      </c>
      <c r="AR947" s="12">
        <v>0</v>
      </c>
      <c r="AS947" s="12">
        <v>0</v>
      </c>
      <c r="AT947" s="12">
        <v>0</v>
      </c>
      <c r="AU947" s="12">
        <v>0</v>
      </c>
      <c r="AV947" s="12">
        <v>0</v>
      </c>
      <c r="AW947" s="12">
        <v>0</v>
      </c>
      <c r="AX947" s="12">
        <v>0</v>
      </c>
      <c r="AY947" s="12">
        <v>0</v>
      </c>
      <c r="AZ947"/>
      <c r="BA947"/>
      <c r="BB947" s="12">
        <v>0</v>
      </c>
      <c r="BC947" s="12">
        <v>0</v>
      </c>
      <c r="BD947" s="12">
        <v>0</v>
      </c>
      <c r="BE947" s="12">
        <v>0</v>
      </c>
      <c r="BF947" s="12">
        <v>0</v>
      </c>
      <c r="BI947" s="12">
        <v>0</v>
      </c>
      <c r="BJ947" s="12">
        <v>0</v>
      </c>
    </row>
    <row r="948" spans="1:62" x14ac:dyDescent="0.15">
      <c r="A948" s="12"/>
      <c r="B948" t="s">
        <v>1920</v>
      </c>
      <c r="C948" t="s">
        <v>1920</v>
      </c>
      <c r="D948" t="s">
        <v>6596</v>
      </c>
      <c r="E948" t="s">
        <v>2182</v>
      </c>
      <c r="F948"/>
      <c r="G948"/>
      <c r="H948"/>
      <c r="I948"/>
      <c r="J948"/>
      <c r="K948"/>
      <c r="L948" s="10">
        <v>3922400</v>
      </c>
      <c r="M948" s="10">
        <v>679730</v>
      </c>
      <c r="N948" s="12">
        <v>15</v>
      </c>
      <c r="O948" s="12" t="s">
        <v>6992</v>
      </c>
      <c r="P948" t="s">
        <v>2183</v>
      </c>
      <c r="R948"/>
      <c r="S948" t="s">
        <v>2184</v>
      </c>
      <c r="T948" s="12" t="s">
        <v>2185</v>
      </c>
      <c r="U948" s="12" t="s">
        <v>2186</v>
      </c>
      <c r="V948" s="12" t="s">
        <v>2187</v>
      </c>
      <c r="W948" s="12">
        <v>0</v>
      </c>
      <c r="X948" s="12">
        <v>1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2">
        <v>0</v>
      </c>
      <c r="AK948" s="12">
        <v>0</v>
      </c>
      <c r="AL948" s="12">
        <v>0</v>
      </c>
      <c r="AM948" s="12"/>
      <c r="AN948" s="12">
        <v>0</v>
      </c>
      <c r="AO948" s="12">
        <v>0</v>
      </c>
      <c r="AP948" s="12">
        <v>0</v>
      </c>
      <c r="AQ948" s="12">
        <v>0</v>
      </c>
      <c r="AR948" s="12">
        <v>0</v>
      </c>
      <c r="AS948" s="12">
        <v>0</v>
      </c>
      <c r="AT948" s="12">
        <v>0</v>
      </c>
      <c r="AU948" s="12">
        <v>0</v>
      </c>
      <c r="AV948" s="12">
        <v>0</v>
      </c>
      <c r="AW948" s="12">
        <v>0</v>
      </c>
      <c r="AX948" s="12">
        <v>0</v>
      </c>
      <c r="AY948" s="12">
        <v>0</v>
      </c>
      <c r="AZ948"/>
      <c r="BA948"/>
      <c r="BB948" s="12">
        <v>0</v>
      </c>
      <c r="BC948" s="12">
        <v>0</v>
      </c>
      <c r="BD948" s="12">
        <v>0</v>
      </c>
      <c r="BE948" s="12">
        <v>0</v>
      </c>
      <c r="BF948" s="12">
        <v>0</v>
      </c>
      <c r="BI948" s="12">
        <v>0</v>
      </c>
      <c r="BJ948" s="12">
        <v>0</v>
      </c>
    </row>
    <row r="949" spans="1:62" x14ac:dyDescent="0.15">
      <c r="A949" s="12"/>
      <c r="B949" t="s">
        <v>1921</v>
      </c>
      <c r="C949" s="27" t="s">
        <v>1922</v>
      </c>
      <c r="D949" t="s">
        <v>6596</v>
      </c>
      <c r="E949" t="s">
        <v>2182</v>
      </c>
      <c r="F949"/>
      <c r="G949"/>
      <c r="H949"/>
      <c r="I949"/>
      <c r="J949"/>
      <c r="K949"/>
      <c r="L949" s="10">
        <v>3907240</v>
      </c>
      <c r="M949" s="10">
        <v>687900</v>
      </c>
      <c r="N949" s="12">
        <v>15</v>
      </c>
      <c r="O949" s="12" t="s">
        <v>6992</v>
      </c>
      <c r="P949" t="s">
        <v>2183</v>
      </c>
      <c r="R949"/>
      <c r="S949" t="s">
        <v>2184</v>
      </c>
      <c r="T949" s="12" t="s">
        <v>2185</v>
      </c>
      <c r="U949" s="12" t="s">
        <v>2186</v>
      </c>
      <c r="V949" s="12" t="s">
        <v>2187</v>
      </c>
      <c r="W949" s="12">
        <v>0</v>
      </c>
      <c r="X949" s="12">
        <v>1</v>
      </c>
      <c r="Y949" s="12">
        <v>0</v>
      </c>
      <c r="Z949" s="12">
        <v>0</v>
      </c>
      <c r="AA949" s="12">
        <v>0</v>
      </c>
      <c r="AB949" s="12">
        <v>0</v>
      </c>
      <c r="AC949" s="12">
        <v>0</v>
      </c>
      <c r="AD949" s="12">
        <v>0</v>
      </c>
      <c r="AE949" s="12">
        <v>0</v>
      </c>
      <c r="AF949" s="12">
        <v>0</v>
      </c>
      <c r="AG949" s="12">
        <v>0</v>
      </c>
      <c r="AH949" s="12">
        <v>0</v>
      </c>
      <c r="AI949" s="12">
        <v>0</v>
      </c>
      <c r="AJ949" s="12">
        <v>0</v>
      </c>
      <c r="AK949" s="12">
        <v>0</v>
      </c>
      <c r="AL949" s="12">
        <v>0</v>
      </c>
      <c r="AM949" s="12"/>
      <c r="AN949" s="12">
        <v>0</v>
      </c>
      <c r="AO949" s="12">
        <v>0</v>
      </c>
      <c r="AP949" s="12">
        <v>0</v>
      </c>
      <c r="AQ949" s="12">
        <v>0</v>
      </c>
      <c r="AR949" s="12">
        <v>0</v>
      </c>
      <c r="AS949" s="12">
        <v>0</v>
      </c>
      <c r="AT949" s="12">
        <v>0</v>
      </c>
      <c r="AU949" s="12">
        <v>0</v>
      </c>
      <c r="AV949" s="12">
        <v>0</v>
      </c>
      <c r="AW949" s="12">
        <v>0</v>
      </c>
      <c r="AX949" s="12">
        <v>0</v>
      </c>
      <c r="AY949" s="12">
        <v>0</v>
      </c>
      <c r="AZ949"/>
      <c r="BA949"/>
      <c r="BB949" s="12">
        <v>0</v>
      </c>
      <c r="BC949" s="12">
        <v>0</v>
      </c>
      <c r="BD949" s="12">
        <v>0</v>
      </c>
      <c r="BE949" s="12">
        <v>0</v>
      </c>
      <c r="BF949" s="12">
        <v>0</v>
      </c>
      <c r="BI949" s="12">
        <v>0</v>
      </c>
      <c r="BJ949" s="12">
        <v>0</v>
      </c>
    </row>
    <row r="950" spans="1:62" x14ac:dyDescent="0.15">
      <c r="A950" s="12"/>
      <c r="B950" t="s">
        <v>1923</v>
      </c>
      <c r="C950" s="27" t="s">
        <v>1924</v>
      </c>
      <c r="D950" t="s">
        <v>6596</v>
      </c>
      <c r="E950" t="s">
        <v>2182</v>
      </c>
      <c r="F950"/>
      <c r="G950"/>
      <c r="H950"/>
      <c r="I950"/>
      <c r="J950"/>
      <c r="K950"/>
      <c r="L950" s="10">
        <v>3903760</v>
      </c>
      <c r="M950" s="10">
        <v>691120</v>
      </c>
      <c r="N950" s="12">
        <v>15</v>
      </c>
      <c r="O950" s="12" t="s">
        <v>6992</v>
      </c>
      <c r="P950" t="s">
        <v>2183</v>
      </c>
      <c r="R950"/>
      <c r="S950" t="s">
        <v>2184</v>
      </c>
      <c r="T950" s="12" t="s">
        <v>2185</v>
      </c>
      <c r="U950" s="12" t="s">
        <v>2186</v>
      </c>
      <c r="V950" s="12" t="s">
        <v>2187</v>
      </c>
      <c r="W950" s="12">
        <v>0</v>
      </c>
      <c r="X950" s="12">
        <v>1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2">
        <v>0</v>
      </c>
      <c r="AK950" s="12">
        <v>0</v>
      </c>
      <c r="AL950" s="12">
        <v>0</v>
      </c>
      <c r="AM950" s="12"/>
      <c r="AN950" s="12">
        <v>0</v>
      </c>
      <c r="AO950" s="12">
        <v>0</v>
      </c>
      <c r="AP950" s="12">
        <v>0</v>
      </c>
      <c r="AQ950" s="12">
        <v>0</v>
      </c>
      <c r="AR950" s="12">
        <v>0</v>
      </c>
      <c r="AS950" s="12">
        <v>0</v>
      </c>
      <c r="AT950" s="12">
        <v>0</v>
      </c>
      <c r="AU950" s="12">
        <v>0</v>
      </c>
      <c r="AV950" s="12">
        <v>0</v>
      </c>
      <c r="AW950" s="12">
        <v>0</v>
      </c>
      <c r="AX950" s="12">
        <v>0</v>
      </c>
      <c r="AY950" s="12">
        <v>0</v>
      </c>
      <c r="AZ950"/>
      <c r="BA950"/>
      <c r="BB950" s="12">
        <v>0</v>
      </c>
      <c r="BC950" s="12">
        <v>0</v>
      </c>
      <c r="BD950" s="12">
        <v>0</v>
      </c>
      <c r="BE950" s="12">
        <v>0</v>
      </c>
      <c r="BF950" s="12">
        <v>0</v>
      </c>
      <c r="BI950" s="12">
        <v>0</v>
      </c>
      <c r="BJ950" s="12">
        <v>0</v>
      </c>
    </row>
    <row r="951" spans="1:62" x14ac:dyDescent="0.15">
      <c r="A951" s="12"/>
      <c r="B951" t="s">
        <v>1925</v>
      </c>
      <c r="C951" s="27" t="s">
        <v>1926</v>
      </c>
      <c r="D951" t="s">
        <v>6596</v>
      </c>
      <c r="E951" t="s">
        <v>2182</v>
      </c>
      <c r="F951"/>
      <c r="G951"/>
      <c r="H951"/>
      <c r="I951"/>
      <c r="J951"/>
      <c r="K951"/>
      <c r="L951" s="10">
        <v>3912300</v>
      </c>
      <c r="M951" s="10">
        <v>694900</v>
      </c>
      <c r="N951" s="12">
        <v>15</v>
      </c>
      <c r="O951" s="12" t="s">
        <v>6992</v>
      </c>
      <c r="P951" t="s">
        <v>2183</v>
      </c>
      <c r="R951"/>
      <c r="S951" t="s">
        <v>2184</v>
      </c>
      <c r="T951" s="12" t="s">
        <v>2185</v>
      </c>
      <c r="U951" s="12" t="s">
        <v>2186</v>
      </c>
      <c r="V951" s="12" t="s">
        <v>2187</v>
      </c>
      <c r="W951" s="12">
        <v>0</v>
      </c>
      <c r="X951" s="12">
        <v>1</v>
      </c>
      <c r="Y951" s="12">
        <v>0</v>
      </c>
      <c r="Z951" s="12">
        <v>0</v>
      </c>
      <c r="AA951" s="12">
        <v>0</v>
      </c>
      <c r="AB951" s="12">
        <v>0</v>
      </c>
      <c r="AC951" s="12">
        <v>0</v>
      </c>
      <c r="AD951" s="12">
        <v>0</v>
      </c>
      <c r="AE951" s="12">
        <v>0</v>
      </c>
      <c r="AF951" s="12">
        <v>0</v>
      </c>
      <c r="AG951" s="12">
        <v>0</v>
      </c>
      <c r="AH951" s="12">
        <v>0</v>
      </c>
      <c r="AI951" s="12">
        <v>0</v>
      </c>
      <c r="AJ951" s="12">
        <v>0</v>
      </c>
      <c r="AK951" s="12">
        <v>0</v>
      </c>
      <c r="AL951" s="12">
        <v>0</v>
      </c>
      <c r="AM951" s="12"/>
      <c r="AN951" s="12">
        <v>0</v>
      </c>
      <c r="AO951" s="12">
        <v>0</v>
      </c>
      <c r="AP951" s="12">
        <v>0</v>
      </c>
      <c r="AQ951" s="12">
        <v>0</v>
      </c>
      <c r="AR951" s="12">
        <v>0</v>
      </c>
      <c r="AS951" s="12">
        <v>0</v>
      </c>
      <c r="AT951" s="12">
        <v>0</v>
      </c>
      <c r="AU951" s="12">
        <v>0</v>
      </c>
      <c r="AV951" s="12">
        <v>0</v>
      </c>
      <c r="AW951" s="12">
        <v>0</v>
      </c>
      <c r="AX951" s="12">
        <v>0</v>
      </c>
      <c r="AY951" s="12">
        <v>0</v>
      </c>
      <c r="AZ951"/>
      <c r="BA951"/>
      <c r="BB951" s="12">
        <v>0</v>
      </c>
      <c r="BC951" s="12">
        <v>0</v>
      </c>
      <c r="BD951" s="12">
        <v>0</v>
      </c>
      <c r="BE951" s="12">
        <v>0</v>
      </c>
      <c r="BF951" s="12">
        <v>0</v>
      </c>
      <c r="BI951" s="12">
        <v>0</v>
      </c>
      <c r="BJ951" s="12">
        <v>0</v>
      </c>
    </row>
    <row r="952" spans="1:62" x14ac:dyDescent="0.15">
      <c r="A952" s="12"/>
      <c r="B952" t="s">
        <v>1927</v>
      </c>
      <c r="C952" s="27" t="s">
        <v>1928</v>
      </c>
      <c r="D952" t="s">
        <v>6596</v>
      </c>
      <c r="E952" t="s">
        <v>2182</v>
      </c>
      <c r="F952"/>
      <c r="G952"/>
      <c r="H952"/>
      <c r="I952"/>
      <c r="J952"/>
      <c r="K952"/>
      <c r="L952" s="10">
        <v>3914520</v>
      </c>
      <c r="M952" s="10">
        <v>696580</v>
      </c>
      <c r="N952" s="12">
        <v>15</v>
      </c>
      <c r="O952" s="12" t="s">
        <v>6992</v>
      </c>
      <c r="P952" t="s">
        <v>2183</v>
      </c>
      <c r="R952"/>
      <c r="S952" t="s">
        <v>2184</v>
      </c>
      <c r="T952" s="12" t="s">
        <v>2185</v>
      </c>
      <c r="U952" s="12" t="s">
        <v>2186</v>
      </c>
      <c r="V952" s="12" t="s">
        <v>2187</v>
      </c>
      <c r="W952" s="12">
        <v>0</v>
      </c>
      <c r="X952" s="12">
        <v>1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2">
        <v>0</v>
      </c>
      <c r="AK952" s="12">
        <v>0</v>
      </c>
      <c r="AL952" s="12">
        <v>0</v>
      </c>
      <c r="AM952" s="12"/>
      <c r="AN952" s="12">
        <v>0</v>
      </c>
      <c r="AO952" s="12">
        <v>0</v>
      </c>
      <c r="AP952" s="12">
        <v>0</v>
      </c>
      <c r="AQ952" s="12">
        <v>0</v>
      </c>
      <c r="AR952" s="12">
        <v>0</v>
      </c>
      <c r="AS952" s="12">
        <v>0</v>
      </c>
      <c r="AT952" s="12">
        <v>0</v>
      </c>
      <c r="AU952" s="12">
        <v>0</v>
      </c>
      <c r="AV952" s="12">
        <v>0</v>
      </c>
      <c r="AW952" s="12">
        <v>0</v>
      </c>
      <c r="AX952" s="12">
        <v>0</v>
      </c>
      <c r="AY952" s="12">
        <v>0</v>
      </c>
      <c r="AZ952"/>
      <c r="BA952"/>
      <c r="BB952" s="12">
        <v>0</v>
      </c>
      <c r="BC952" s="12">
        <v>0</v>
      </c>
      <c r="BD952" s="12">
        <v>0</v>
      </c>
      <c r="BE952" s="12">
        <v>0</v>
      </c>
      <c r="BF952" s="12">
        <v>0</v>
      </c>
      <c r="BI952" s="12">
        <v>0</v>
      </c>
      <c r="BJ952" s="12">
        <v>0</v>
      </c>
    </row>
    <row r="953" spans="1:62" x14ac:dyDescent="0.15">
      <c r="A953" s="12"/>
      <c r="B953" t="s">
        <v>1929</v>
      </c>
      <c r="C953" s="27" t="s">
        <v>1930</v>
      </c>
      <c r="D953" t="s">
        <v>6596</v>
      </c>
      <c r="E953" t="s">
        <v>2182</v>
      </c>
      <c r="F953"/>
      <c r="G953"/>
      <c r="H953"/>
      <c r="I953"/>
      <c r="J953"/>
      <c r="K953"/>
      <c r="L953" s="10">
        <v>3904430</v>
      </c>
      <c r="M953" s="10">
        <v>691070</v>
      </c>
      <c r="N953" s="12">
        <v>15</v>
      </c>
      <c r="O953" s="12" t="s">
        <v>6992</v>
      </c>
      <c r="P953" t="s">
        <v>2183</v>
      </c>
      <c r="R953"/>
      <c r="S953" t="s">
        <v>2184</v>
      </c>
      <c r="T953" s="12" t="s">
        <v>2185</v>
      </c>
      <c r="U953" s="12" t="s">
        <v>2186</v>
      </c>
      <c r="V953" s="12" t="s">
        <v>2187</v>
      </c>
      <c r="W953" s="12">
        <v>0</v>
      </c>
      <c r="X953" s="12">
        <v>1</v>
      </c>
      <c r="Y953" s="12">
        <v>0</v>
      </c>
      <c r="Z953" s="12">
        <v>0</v>
      </c>
      <c r="AA953" s="12">
        <v>0</v>
      </c>
      <c r="AB953" s="12">
        <v>0</v>
      </c>
      <c r="AC953" s="12">
        <v>0</v>
      </c>
      <c r="AD953" s="12">
        <v>0</v>
      </c>
      <c r="AE953" s="12">
        <v>0</v>
      </c>
      <c r="AF953" s="12">
        <v>0</v>
      </c>
      <c r="AG953" s="12">
        <v>0</v>
      </c>
      <c r="AH953" s="12">
        <v>0</v>
      </c>
      <c r="AI953" s="12">
        <v>0</v>
      </c>
      <c r="AJ953" s="12">
        <v>0</v>
      </c>
      <c r="AK953" s="12">
        <v>0</v>
      </c>
      <c r="AL953" s="12">
        <v>0</v>
      </c>
      <c r="AM953" s="12"/>
      <c r="AN953" s="12">
        <v>0</v>
      </c>
      <c r="AO953" s="12">
        <v>0</v>
      </c>
      <c r="AP953" s="12">
        <v>0</v>
      </c>
      <c r="AQ953" s="12">
        <v>0</v>
      </c>
      <c r="AR953" s="12">
        <v>0</v>
      </c>
      <c r="AS953" s="12">
        <v>0</v>
      </c>
      <c r="AT953" s="12">
        <v>0</v>
      </c>
      <c r="AU953" s="12">
        <v>0</v>
      </c>
      <c r="AV953" s="12">
        <v>0</v>
      </c>
      <c r="AW953" s="12">
        <v>0</v>
      </c>
      <c r="AX953" s="12">
        <v>0</v>
      </c>
      <c r="AY953" s="12">
        <v>0</v>
      </c>
      <c r="AZ953"/>
      <c r="BA953"/>
      <c r="BB953" s="12">
        <v>0</v>
      </c>
      <c r="BC953" s="12">
        <v>0</v>
      </c>
      <c r="BD953" s="12">
        <v>0</v>
      </c>
      <c r="BE953" s="12">
        <v>0</v>
      </c>
      <c r="BF953" s="12">
        <v>0</v>
      </c>
      <c r="BI953" s="12">
        <v>0</v>
      </c>
      <c r="BJ953" s="12">
        <v>0</v>
      </c>
    </row>
    <row r="954" spans="1:62" x14ac:dyDescent="0.15">
      <c r="A954" s="12"/>
      <c r="B954" t="s">
        <v>1931</v>
      </c>
      <c r="C954" s="27" t="s">
        <v>1932</v>
      </c>
      <c r="D954" t="s">
        <v>6596</v>
      </c>
      <c r="E954" t="s">
        <v>2182</v>
      </c>
      <c r="F954"/>
      <c r="G954"/>
      <c r="H954"/>
      <c r="I954"/>
      <c r="J954"/>
      <c r="K954"/>
      <c r="L954" s="10">
        <v>3921000</v>
      </c>
      <c r="M954" s="10">
        <v>697500</v>
      </c>
      <c r="N954" s="12">
        <v>15</v>
      </c>
      <c r="O954" s="12" t="s">
        <v>6992</v>
      </c>
      <c r="P954" t="s">
        <v>2183</v>
      </c>
      <c r="R954"/>
      <c r="S954" t="s">
        <v>2184</v>
      </c>
      <c r="T954" s="12" t="s">
        <v>2185</v>
      </c>
      <c r="U954" s="12" t="s">
        <v>2186</v>
      </c>
      <c r="V954" s="12" t="s">
        <v>2187</v>
      </c>
      <c r="W954" s="12">
        <v>0</v>
      </c>
      <c r="X954" s="12">
        <v>1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2">
        <v>0</v>
      </c>
      <c r="AK954" s="12">
        <v>0</v>
      </c>
      <c r="AL954" s="12">
        <v>0</v>
      </c>
      <c r="AM954" s="12"/>
      <c r="AN954" s="12">
        <v>0</v>
      </c>
      <c r="AO954" s="12">
        <v>0</v>
      </c>
      <c r="AP954" s="12">
        <v>0</v>
      </c>
      <c r="AQ954" s="12">
        <v>0</v>
      </c>
      <c r="AR954" s="12">
        <v>0</v>
      </c>
      <c r="AS954" s="12">
        <v>0</v>
      </c>
      <c r="AT954" s="12">
        <v>0</v>
      </c>
      <c r="AU954" s="12">
        <v>0</v>
      </c>
      <c r="AV954" s="12">
        <v>0</v>
      </c>
      <c r="AW954" s="12">
        <v>0</v>
      </c>
      <c r="AX954" s="12">
        <v>0</v>
      </c>
      <c r="AY954" s="12">
        <v>0</v>
      </c>
      <c r="AZ954"/>
      <c r="BA954"/>
      <c r="BB954" s="12">
        <v>0</v>
      </c>
      <c r="BC954" s="12">
        <v>0</v>
      </c>
      <c r="BD954" s="12">
        <v>0</v>
      </c>
      <c r="BE954" s="12">
        <v>0</v>
      </c>
      <c r="BF954" s="12">
        <v>0</v>
      </c>
      <c r="BI954" s="12">
        <v>0</v>
      </c>
      <c r="BJ954" s="12">
        <v>0</v>
      </c>
    </row>
    <row r="955" spans="1:62" x14ac:dyDescent="0.15">
      <c r="A955" s="12"/>
      <c r="B955" t="s">
        <v>1933</v>
      </c>
      <c r="C955" s="27" t="s">
        <v>1934</v>
      </c>
      <c r="D955" t="s">
        <v>6596</v>
      </c>
      <c r="E955" t="s">
        <v>2182</v>
      </c>
      <c r="F955"/>
      <c r="G955"/>
      <c r="H955"/>
      <c r="I955"/>
      <c r="J955"/>
      <c r="K955"/>
      <c r="L955" s="10">
        <v>3920550</v>
      </c>
      <c r="M955" s="10">
        <v>688450</v>
      </c>
      <c r="N955" s="12">
        <v>15</v>
      </c>
      <c r="O955" s="12" t="s">
        <v>6992</v>
      </c>
      <c r="P955" t="s">
        <v>2183</v>
      </c>
      <c r="R955"/>
      <c r="S955" t="s">
        <v>2184</v>
      </c>
      <c r="T955" s="12" t="s">
        <v>2185</v>
      </c>
      <c r="U955" s="12" t="s">
        <v>2186</v>
      </c>
      <c r="V955" s="12" t="s">
        <v>2187</v>
      </c>
      <c r="W955" s="12">
        <v>0</v>
      </c>
      <c r="X955" s="12">
        <v>1</v>
      </c>
      <c r="Y955" s="12">
        <v>0</v>
      </c>
      <c r="Z955" s="12">
        <v>0</v>
      </c>
      <c r="AA955" s="12">
        <v>0</v>
      </c>
      <c r="AB955" s="12">
        <v>0</v>
      </c>
      <c r="AC955" s="12">
        <v>0</v>
      </c>
      <c r="AD955" s="12">
        <v>0</v>
      </c>
      <c r="AE955" s="12">
        <v>0</v>
      </c>
      <c r="AF955" s="12">
        <v>0</v>
      </c>
      <c r="AG955" s="12">
        <v>0</v>
      </c>
      <c r="AH955" s="12">
        <v>0</v>
      </c>
      <c r="AI955" s="12">
        <v>0</v>
      </c>
      <c r="AJ955" s="12">
        <v>0</v>
      </c>
      <c r="AK955" s="12">
        <v>0</v>
      </c>
      <c r="AL955" s="12">
        <v>0</v>
      </c>
      <c r="AM955" s="12"/>
      <c r="AN955" s="12">
        <v>0</v>
      </c>
      <c r="AO955" s="12">
        <v>0</v>
      </c>
      <c r="AP955" s="12">
        <v>0</v>
      </c>
      <c r="AQ955" s="12">
        <v>0</v>
      </c>
      <c r="AR955" s="12">
        <v>0</v>
      </c>
      <c r="AS955" s="12">
        <v>0</v>
      </c>
      <c r="AT955" s="12">
        <v>0</v>
      </c>
      <c r="AU955" s="12">
        <v>0</v>
      </c>
      <c r="AV955" s="12">
        <v>0</v>
      </c>
      <c r="AW955" s="12">
        <v>0</v>
      </c>
      <c r="AX955" s="12">
        <v>0</v>
      </c>
      <c r="AY955" s="12">
        <v>0</v>
      </c>
      <c r="AZ955"/>
      <c r="BA955"/>
      <c r="BB955" s="12">
        <v>0</v>
      </c>
      <c r="BC955" s="12">
        <v>0</v>
      </c>
      <c r="BD955" s="12">
        <v>0</v>
      </c>
      <c r="BE955" s="12">
        <v>0</v>
      </c>
      <c r="BF955" s="12">
        <v>0</v>
      </c>
      <c r="BI955" s="12">
        <v>0</v>
      </c>
      <c r="BJ955" s="12">
        <v>0</v>
      </c>
    </row>
    <row r="956" spans="1:62" x14ac:dyDescent="0.15">
      <c r="A956" s="12"/>
      <c r="B956" t="s">
        <v>1935</v>
      </c>
      <c r="C956" s="27" t="s">
        <v>1936</v>
      </c>
      <c r="D956" t="s">
        <v>6596</v>
      </c>
      <c r="E956" t="s">
        <v>2182</v>
      </c>
      <c r="F956"/>
      <c r="G956"/>
      <c r="H956"/>
      <c r="I956"/>
      <c r="J956"/>
      <c r="K956"/>
      <c r="L956" s="10">
        <v>3900450</v>
      </c>
      <c r="M956" s="10">
        <v>691320</v>
      </c>
      <c r="N956" s="12">
        <v>15</v>
      </c>
      <c r="O956" s="12" t="s">
        <v>6992</v>
      </c>
      <c r="P956" t="s">
        <v>2183</v>
      </c>
      <c r="R956"/>
      <c r="S956" t="s">
        <v>2184</v>
      </c>
      <c r="T956" s="12" t="s">
        <v>2185</v>
      </c>
      <c r="U956" s="12" t="s">
        <v>2186</v>
      </c>
      <c r="V956" s="12" t="s">
        <v>2187</v>
      </c>
      <c r="W956" s="12">
        <v>0</v>
      </c>
      <c r="X956" s="12">
        <v>1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2">
        <v>0</v>
      </c>
      <c r="AK956" s="12">
        <v>0</v>
      </c>
      <c r="AL956" s="12">
        <v>0</v>
      </c>
      <c r="AM956" s="12"/>
      <c r="AN956" s="12">
        <v>0</v>
      </c>
      <c r="AO956" s="12">
        <v>0</v>
      </c>
      <c r="AP956" s="12">
        <v>0</v>
      </c>
      <c r="AQ956" s="12">
        <v>0</v>
      </c>
      <c r="AR956" s="12">
        <v>0</v>
      </c>
      <c r="AS956" s="12">
        <v>0</v>
      </c>
      <c r="AT956" s="12">
        <v>0</v>
      </c>
      <c r="AU956" s="12">
        <v>0</v>
      </c>
      <c r="AV956" s="12">
        <v>0</v>
      </c>
      <c r="AW956" s="12">
        <v>0</v>
      </c>
      <c r="AX956" s="12">
        <v>0</v>
      </c>
      <c r="AY956" s="12">
        <v>0</v>
      </c>
      <c r="AZ956"/>
      <c r="BA956"/>
      <c r="BB956" s="12">
        <v>0</v>
      </c>
      <c r="BC956" s="12">
        <v>0</v>
      </c>
      <c r="BD956" s="12">
        <v>0</v>
      </c>
      <c r="BE956" s="12">
        <v>0</v>
      </c>
      <c r="BF956" s="12">
        <v>0</v>
      </c>
      <c r="BI956" s="12">
        <v>0</v>
      </c>
      <c r="BJ956" s="12">
        <v>0</v>
      </c>
    </row>
    <row r="957" spans="1:62" x14ac:dyDescent="0.15">
      <c r="A957" s="12"/>
      <c r="B957" t="s">
        <v>1937</v>
      </c>
      <c r="C957" t="s">
        <v>1937</v>
      </c>
      <c r="D957" t="s">
        <v>6596</v>
      </c>
      <c r="E957" t="s">
        <v>2182</v>
      </c>
      <c r="F957"/>
      <c r="G957"/>
      <c r="H957"/>
      <c r="I957"/>
      <c r="J957"/>
      <c r="K957"/>
      <c r="L957" s="10">
        <v>3896410</v>
      </c>
      <c r="M957" s="10">
        <v>707800</v>
      </c>
      <c r="N957" s="12">
        <v>15</v>
      </c>
      <c r="O957" s="12" t="s">
        <v>6992</v>
      </c>
      <c r="P957" t="s">
        <v>2183</v>
      </c>
      <c r="R957"/>
      <c r="S957" t="s">
        <v>2184</v>
      </c>
      <c r="T957" s="12" t="s">
        <v>2185</v>
      </c>
      <c r="U957" s="12" t="s">
        <v>2186</v>
      </c>
      <c r="V957" s="12" t="s">
        <v>2187</v>
      </c>
      <c r="W957" s="12">
        <v>0</v>
      </c>
      <c r="X957" s="12">
        <v>1</v>
      </c>
      <c r="Y957" s="12">
        <v>0</v>
      </c>
      <c r="Z957" s="12">
        <v>0</v>
      </c>
      <c r="AA957" s="12">
        <v>0</v>
      </c>
      <c r="AB957" s="12">
        <v>0</v>
      </c>
      <c r="AC957" s="12">
        <v>0</v>
      </c>
      <c r="AD957" s="12">
        <v>0</v>
      </c>
      <c r="AE957" s="12">
        <v>0</v>
      </c>
      <c r="AF957" s="12">
        <v>0</v>
      </c>
      <c r="AG957" s="12">
        <v>0</v>
      </c>
      <c r="AH957" s="12">
        <v>0</v>
      </c>
      <c r="AI957" s="12">
        <v>0</v>
      </c>
      <c r="AJ957" s="12">
        <v>0</v>
      </c>
      <c r="AK957" s="12">
        <v>0</v>
      </c>
      <c r="AL957" s="12">
        <v>0</v>
      </c>
      <c r="AM957" s="12"/>
      <c r="AN957" s="12">
        <v>0</v>
      </c>
      <c r="AO957" s="12">
        <v>0</v>
      </c>
      <c r="AP957" s="12">
        <v>0</v>
      </c>
      <c r="AQ957" s="12">
        <v>0</v>
      </c>
      <c r="AR957" s="12">
        <v>0</v>
      </c>
      <c r="AS957" s="12">
        <v>0</v>
      </c>
      <c r="AT957" s="12">
        <v>0</v>
      </c>
      <c r="AU957" s="12">
        <v>0</v>
      </c>
      <c r="AV957" s="12">
        <v>0</v>
      </c>
      <c r="AW957" s="12">
        <v>0</v>
      </c>
      <c r="AX957" s="12">
        <v>0</v>
      </c>
      <c r="AY957" s="12">
        <v>0</v>
      </c>
      <c r="AZ957"/>
      <c r="BA957"/>
      <c r="BB957" s="12">
        <v>0</v>
      </c>
      <c r="BC957" s="12">
        <v>0</v>
      </c>
      <c r="BD957" s="12">
        <v>0</v>
      </c>
      <c r="BE957" s="12">
        <v>0</v>
      </c>
      <c r="BF957" s="12">
        <v>0</v>
      </c>
      <c r="BI957" s="12">
        <v>0</v>
      </c>
      <c r="BJ957" s="12">
        <v>0</v>
      </c>
    </row>
    <row r="958" spans="1:62" x14ac:dyDescent="0.15">
      <c r="A958" s="12"/>
      <c r="B958" t="s">
        <v>1938</v>
      </c>
      <c r="C958" s="27" t="s">
        <v>1939</v>
      </c>
      <c r="D958" t="s">
        <v>6596</v>
      </c>
      <c r="E958" t="s">
        <v>2182</v>
      </c>
      <c r="F958"/>
      <c r="G958"/>
      <c r="H958"/>
      <c r="I958"/>
      <c r="J958"/>
      <c r="K958"/>
      <c r="L958" s="10">
        <v>3900495</v>
      </c>
      <c r="M958" s="10">
        <v>685385</v>
      </c>
      <c r="N958" s="12">
        <v>15</v>
      </c>
      <c r="O958" s="12" t="s">
        <v>6992</v>
      </c>
      <c r="P958" t="s">
        <v>2183</v>
      </c>
      <c r="R958"/>
      <c r="S958" t="s">
        <v>2184</v>
      </c>
      <c r="T958" s="12" t="s">
        <v>2185</v>
      </c>
      <c r="U958" s="12" t="s">
        <v>2186</v>
      </c>
      <c r="V958" s="12" t="s">
        <v>2187</v>
      </c>
      <c r="W958" s="12">
        <v>0</v>
      </c>
      <c r="X958" s="12">
        <v>1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2">
        <v>0</v>
      </c>
      <c r="AK958" s="12">
        <v>0</v>
      </c>
      <c r="AL958" s="12">
        <v>0</v>
      </c>
      <c r="AM958" s="12"/>
      <c r="AN958" s="12">
        <v>0</v>
      </c>
      <c r="AO958" s="12">
        <v>0</v>
      </c>
      <c r="AP958" s="12">
        <v>0</v>
      </c>
      <c r="AQ958" s="12">
        <v>0</v>
      </c>
      <c r="AR958" s="12">
        <v>0</v>
      </c>
      <c r="AS958" s="12">
        <v>0</v>
      </c>
      <c r="AT958" s="12">
        <v>0</v>
      </c>
      <c r="AU958" s="12">
        <v>0</v>
      </c>
      <c r="AV958" s="12">
        <v>0</v>
      </c>
      <c r="AW958" s="12">
        <v>0</v>
      </c>
      <c r="AX958" s="12">
        <v>0</v>
      </c>
      <c r="AY958" s="12">
        <v>0</v>
      </c>
      <c r="AZ958"/>
      <c r="BA958"/>
      <c r="BB958" s="12">
        <v>0</v>
      </c>
      <c r="BC958" s="12">
        <v>0</v>
      </c>
      <c r="BD958" s="12">
        <v>0</v>
      </c>
      <c r="BE958" s="12">
        <v>0</v>
      </c>
      <c r="BF958" s="12">
        <v>0</v>
      </c>
      <c r="BI958" s="12">
        <v>0</v>
      </c>
      <c r="BJ958" s="12">
        <v>0</v>
      </c>
    </row>
    <row r="959" spans="1:62" x14ac:dyDescent="0.15">
      <c r="A959" s="12"/>
      <c r="B959" t="s">
        <v>1940</v>
      </c>
      <c r="C959" t="s">
        <v>1940</v>
      </c>
      <c r="D959" t="s">
        <v>6596</v>
      </c>
      <c r="E959" t="s">
        <v>2182</v>
      </c>
      <c r="F959"/>
      <c r="G959"/>
      <c r="H959"/>
      <c r="I959"/>
      <c r="J959"/>
      <c r="K959"/>
      <c r="L959" s="10">
        <v>3895170</v>
      </c>
      <c r="M959" s="10">
        <v>708080</v>
      </c>
      <c r="N959" s="12">
        <v>15</v>
      </c>
      <c r="O959" s="12" t="s">
        <v>6992</v>
      </c>
      <c r="P959" t="s">
        <v>2183</v>
      </c>
      <c r="R959"/>
      <c r="S959" t="s">
        <v>2184</v>
      </c>
      <c r="T959" s="12" t="s">
        <v>2185</v>
      </c>
      <c r="U959" s="12" t="s">
        <v>2186</v>
      </c>
      <c r="V959" s="12" t="s">
        <v>2187</v>
      </c>
      <c r="W959" s="12">
        <v>0</v>
      </c>
      <c r="X959" s="12">
        <v>1</v>
      </c>
      <c r="Y959" s="12">
        <v>0</v>
      </c>
      <c r="Z959" s="12">
        <v>0</v>
      </c>
      <c r="AA959" s="12">
        <v>0</v>
      </c>
      <c r="AB959" s="12">
        <v>0</v>
      </c>
      <c r="AC959" s="12">
        <v>0</v>
      </c>
      <c r="AD959" s="12">
        <v>0</v>
      </c>
      <c r="AE959" s="12">
        <v>0</v>
      </c>
      <c r="AF959" s="12">
        <v>0</v>
      </c>
      <c r="AG959" s="12">
        <v>0</v>
      </c>
      <c r="AH959" s="12">
        <v>0</v>
      </c>
      <c r="AI959" s="12">
        <v>0</v>
      </c>
      <c r="AJ959" s="12">
        <v>0</v>
      </c>
      <c r="AK959" s="12">
        <v>0</v>
      </c>
      <c r="AL959" s="12">
        <v>0</v>
      </c>
      <c r="AM959" s="12"/>
      <c r="AN959" s="12">
        <v>0</v>
      </c>
      <c r="AO959" s="12">
        <v>0</v>
      </c>
      <c r="AP959" s="12">
        <v>0</v>
      </c>
      <c r="AQ959" s="12">
        <v>0</v>
      </c>
      <c r="AR959" s="12">
        <v>0</v>
      </c>
      <c r="AS959" s="12">
        <v>0</v>
      </c>
      <c r="AT959" s="12">
        <v>0</v>
      </c>
      <c r="AU959" s="12">
        <v>0</v>
      </c>
      <c r="AV959" s="12">
        <v>0</v>
      </c>
      <c r="AW959" s="12">
        <v>0</v>
      </c>
      <c r="AX959" s="12">
        <v>0</v>
      </c>
      <c r="AY959" s="12">
        <v>0</v>
      </c>
      <c r="AZ959"/>
      <c r="BA959"/>
      <c r="BB959" s="12">
        <v>0</v>
      </c>
      <c r="BC959" s="12">
        <v>0</v>
      </c>
      <c r="BD959" s="12">
        <v>0</v>
      </c>
      <c r="BE959" s="12">
        <v>0</v>
      </c>
      <c r="BF959" s="12">
        <v>0</v>
      </c>
      <c r="BI959" s="12">
        <v>0</v>
      </c>
      <c r="BJ959" s="12">
        <v>0</v>
      </c>
    </row>
    <row r="960" spans="1:62" x14ac:dyDescent="0.15">
      <c r="A960" s="12"/>
      <c r="B960" t="s">
        <v>1941</v>
      </c>
      <c r="C960" s="27" t="s">
        <v>1942</v>
      </c>
      <c r="D960" t="s">
        <v>6596</v>
      </c>
      <c r="E960" t="s">
        <v>2182</v>
      </c>
      <c r="F960"/>
      <c r="G960"/>
      <c r="H960"/>
      <c r="I960"/>
      <c r="J960"/>
      <c r="K960"/>
      <c r="L960" s="10">
        <v>3906520</v>
      </c>
      <c r="M960" s="10">
        <v>691950</v>
      </c>
      <c r="N960" s="12">
        <v>15</v>
      </c>
      <c r="O960" s="12" t="s">
        <v>6992</v>
      </c>
      <c r="P960" t="s">
        <v>2183</v>
      </c>
      <c r="R960"/>
      <c r="S960" t="s">
        <v>2184</v>
      </c>
      <c r="T960" s="12" t="s">
        <v>2185</v>
      </c>
      <c r="U960" s="12" t="s">
        <v>2186</v>
      </c>
      <c r="V960" s="12" t="s">
        <v>2187</v>
      </c>
      <c r="W960" s="12">
        <v>0</v>
      </c>
      <c r="X960" s="12">
        <v>1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2">
        <v>0</v>
      </c>
      <c r="AK960" s="12">
        <v>0</v>
      </c>
      <c r="AL960" s="12">
        <v>0</v>
      </c>
      <c r="AM960" s="12"/>
      <c r="AN960" s="12">
        <v>0</v>
      </c>
      <c r="AO960" s="12">
        <v>0</v>
      </c>
      <c r="AP960" s="12">
        <v>0</v>
      </c>
      <c r="AQ960" s="12">
        <v>0</v>
      </c>
      <c r="AR960" s="12">
        <v>0</v>
      </c>
      <c r="AS960" s="12">
        <v>0</v>
      </c>
      <c r="AT960" s="12">
        <v>0</v>
      </c>
      <c r="AU960" s="12">
        <v>0</v>
      </c>
      <c r="AV960" s="12">
        <v>0</v>
      </c>
      <c r="AW960" s="12">
        <v>0</v>
      </c>
      <c r="AX960" s="12">
        <v>0</v>
      </c>
      <c r="AY960" s="12">
        <v>0</v>
      </c>
      <c r="AZ960"/>
      <c r="BA960"/>
      <c r="BB960" s="12">
        <v>0</v>
      </c>
      <c r="BC960" s="12">
        <v>0</v>
      </c>
      <c r="BD960" s="12">
        <v>0</v>
      </c>
      <c r="BE960" s="12">
        <v>0</v>
      </c>
      <c r="BF960" s="12">
        <v>0</v>
      </c>
      <c r="BI960" s="12">
        <v>0</v>
      </c>
      <c r="BJ960" s="12">
        <v>0</v>
      </c>
    </row>
    <row r="961" spans="1:62" x14ac:dyDescent="0.15">
      <c r="A961" s="12"/>
      <c r="B961" t="s">
        <v>1943</v>
      </c>
      <c r="C961" t="s">
        <v>1943</v>
      </c>
      <c r="D961" t="s">
        <v>6596</v>
      </c>
      <c r="E961" t="s">
        <v>2182</v>
      </c>
      <c r="F961"/>
      <c r="G961"/>
      <c r="H961"/>
      <c r="I961"/>
      <c r="J961"/>
      <c r="K961"/>
      <c r="L961" s="10">
        <v>3891550</v>
      </c>
      <c r="M961" s="10">
        <v>696100</v>
      </c>
      <c r="N961" s="12">
        <v>15</v>
      </c>
      <c r="O961" s="12" t="s">
        <v>6992</v>
      </c>
      <c r="P961" t="s">
        <v>2183</v>
      </c>
      <c r="R961"/>
      <c r="S961" t="s">
        <v>2184</v>
      </c>
      <c r="T961" s="12" t="s">
        <v>2185</v>
      </c>
      <c r="U961" s="12" t="s">
        <v>2186</v>
      </c>
      <c r="V961" s="12" t="s">
        <v>2187</v>
      </c>
      <c r="W961" s="12">
        <v>0</v>
      </c>
      <c r="X961" s="12">
        <v>1</v>
      </c>
      <c r="Y961" s="12">
        <v>0</v>
      </c>
      <c r="Z961" s="12">
        <v>0</v>
      </c>
      <c r="AA961" s="12">
        <v>0</v>
      </c>
      <c r="AB961" s="12">
        <v>0</v>
      </c>
      <c r="AC961" s="12">
        <v>0</v>
      </c>
      <c r="AD961" s="12">
        <v>0</v>
      </c>
      <c r="AE961" s="12">
        <v>0</v>
      </c>
      <c r="AF961" s="12">
        <v>0</v>
      </c>
      <c r="AG961" s="12">
        <v>0</v>
      </c>
      <c r="AH961" s="12">
        <v>0</v>
      </c>
      <c r="AI961" s="12">
        <v>0</v>
      </c>
      <c r="AJ961" s="12">
        <v>0</v>
      </c>
      <c r="AK961" s="12">
        <v>0</v>
      </c>
      <c r="AL961" s="12">
        <v>0</v>
      </c>
      <c r="AM961" s="12"/>
      <c r="AN961" s="12">
        <v>0</v>
      </c>
      <c r="AO961" s="12">
        <v>0</v>
      </c>
      <c r="AP961" s="12">
        <v>0</v>
      </c>
      <c r="AQ961" s="12">
        <v>0</v>
      </c>
      <c r="AR961" s="12">
        <v>0</v>
      </c>
      <c r="AS961" s="12">
        <v>0</v>
      </c>
      <c r="AT961" s="12">
        <v>0</v>
      </c>
      <c r="AU961" s="12">
        <v>0</v>
      </c>
      <c r="AV961" s="12">
        <v>0</v>
      </c>
      <c r="AW961" s="12">
        <v>0</v>
      </c>
      <c r="AX961" s="12">
        <v>0</v>
      </c>
      <c r="AY961" s="12">
        <v>0</v>
      </c>
      <c r="AZ961"/>
      <c r="BA961"/>
      <c r="BB961" s="12">
        <v>0</v>
      </c>
      <c r="BC961" s="12">
        <v>0</v>
      </c>
      <c r="BD961" s="12">
        <v>0</v>
      </c>
      <c r="BE961" s="12">
        <v>0</v>
      </c>
      <c r="BF961" s="12">
        <v>0</v>
      </c>
      <c r="BI961" s="12">
        <v>0</v>
      </c>
      <c r="BJ961" s="12">
        <v>0</v>
      </c>
    </row>
    <row r="962" spans="1:62" x14ac:dyDescent="0.15">
      <c r="A962" s="12"/>
      <c r="B962" t="s">
        <v>1944</v>
      </c>
      <c r="C962" s="27" t="s">
        <v>1945</v>
      </c>
      <c r="D962" t="s">
        <v>6596</v>
      </c>
      <c r="E962" t="s">
        <v>2182</v>
      </c>
      <c r="F962"/>
      <c r="G962"/>
      <c r="H962"/>
      <c r="I962"/>
      <c r="J962"/>
      <c r="K962"/>
      <c r="L962" s="10">
        <v>3897330</v>
      </c>
      <c r="M962" s="10">
        <v>679020</v>
      </c>
      <c r="N962" s="12">
        <v>15</v>
      </c>
      <c r="O962" s="12" t="s">
        <v>6992</v>
      </c>
      <c r="P962" t="s">
        <v>2183</v>
      </c>
      <c r="R962"/>
      <c r="S962" t="s">
        <v>2184</v>
      </c>
      <c r="T962" s="12" t="s">
        <v>2185</v>
      </c>
      <c r="U962" s="12" t="s">
        <v>2186</v>
      </c>
      <c r="V962" s="12" t="s">
        <v>2187</v>
      </c>
      <c r="W962" s="12">
        <v>0</v>
      </c>
      <c r="X962" s="12">
        <v>1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2">
        <v>0</v>
      </c>
      <c r="AK962" s="12">
        <v>0</v>
      </c>
      <c r="AL962" s="12">
        <v>0</v>
      </c>
      <c r="AM962" s="12"/>
      <c r="AN962" s="12">
        <v>0</v>
      </c>
      <c r="AO962" s="12">
        <v>0</v>
      </c>
      <c r="AP962" s="12">
        <v>0</v>
      </c>
      <c r="AQ962" s="12">
        <v>0</v>
      </c>
      <c r="AR962" s="12">
        <v>0</v>
      </c>
      <c r="AS962" s="12">
        <v>0</v>
      </c>
      <c r="AT962" s="12">
        <v>0</v>
      </c>
      <c r="AU962" s="12">
        <v>0</v>
      </c>
      <c r="AV962" s="12">
        <v>0</v>
      </c>
      <c r="AW962" s="12">
        <v>0</v>
      </c>
      <c r="AX962" s="12">
        <v>0</v>
      </c>
      <c r="AY962" s="12">
        <v>0</v>
      </c>
      <c r="AZ962"/>
      <c r="BA962"/>
      <c r="BB962" s="12">
        <v>0</v>
      </c>
      <c r="BC962" s="12">
        <v>0</v>
      </c>
      <c r="BD962" s="12">
        <v>0</v>
      </c>
      <c r="BE962" s="12">
        <v>0</v>
      </c>
      <c r="BF962" s="12">
        <v>0</v>
      </c>
      <c r="BI962" s="12">
        <v>0</v>
      </c>
      <c r="BJ962" s="12">
        <v>0</v>
      </c>
    </row>
    <row r="963" spans="1:62" x14ac:dyDescent="0.15">
      <c r="A963" s="12"/>
      <c r="B963" t="s">
        <v>1946</v>
      </c>
      <c r="C963" t="s">
        <v>1946</v>
      </c>
      <c r="D963" t="s">
        <v>6596</v>
      </c>
      <c r="E963" t="s">
        <v>2182</v>
      </c>
      <c r="F963"/>
      <c r="G963"/>
      <c r="H963"/>
      <c r="I963"/>
      <c r="J963"/>
      <c r="K963"/>
      <c r="L963" s="10">
        <v>3910160</v>
      </c>
      <c r="M963" s="10">
        <v>693800</v>
      </c>
      <c r="N963" s="12">
        <v>15</v>
      </c>
      <c r="O963" s="12" t="s">
        <v>6992</v>
      </c>
      <c r="P963" t="s">
        <v>2183</v>
      </c>
      <c r="R963"/>
      <c r="S963" t="s">
        <v>2184</v>
      </c>
      <c r="T963" s="12" t="s">
        <v>2185</v>
      </c>
      <c r="U963" s="12" t="s">
        <v>2186</v>
      </c>
      <c r="V963" s="12" t="s">
        <v>2187</v>
      </c>
      <c r="W963" s="12">
        <v>0</v>
      </c>
      <c r="X963" s="12">
        <v>1</v>
      </c>
      <c r="Y963" s="12">
        <v>0</v>
      </c>
      <c r="Z963" s="12">
        <v>0</v>
      </c>
      <c r="AA963" s="12">
        <v>0</v>
      </c>
      <c r="AB963" s="12">
        <v>0</v>
      </c>
      <c r="AC963" s="12">
        <v>0</v>
      </c>
      <c r="AD963" s="12">
        <v>0</v>
      </c>
      <c r="AE963" s="12">
        <v>0</v>
      </c>
      <c r="AF963" s="12">
        <v>0</v>
      </c>
      <c r="AG963" s="12">
        <v>0</v>
      </c>
      <c r="AH963" s="12">
        <v>0</v>
      </c>
      <c r="AI963" s="12">
        <v>0</v>
      </c>
      <c r="AJ963" s="12">
        <v>0</v>
      </c>
      <c r="AK963" s="12">
        <v>0</v>
      </c>
      <c r="AL963" s="12">
        <v>0</v>
      </c>
      <c r="AM963" s="12"/>
      <c r="AN963" s="12">
        <v>0</v>
      </c>
      <c r="AO963" s="12">
        <v>0</v>
      </c>
      <c r="AP963" s="12">
        <v>0</v>
      </c>
      <c r="AQ963" s="12">
        <v>0</v>
      </c>
      <c r="AR963" s="12">
        <v>0</v>
      </c>
      <c r="AS963" s="12">
        <v>0</v>
      </c>
      <c r="AT963" s="12">
        <v>0</v>
      </c>
      <c r="AU963" s="12">
        <v>0</v>
      </c>
      <c r="AV963" s="12">
        <v>0</v>
      </c>
      <c r="AW963" s="12">
        <v>0</v>
      </c>
      <c r="AX963" s="12">
        <v>0</v>
      </c>
      <c r="AY963" s="12">
        <v>0</v>
      </c>
      <c r="AZ963"/>
      <c r="BA963"/>
      <c r="BB963" s="12">
        <v>0</v>
      </c>
      <c r="BC963" s="12">
        <v>0</v>
      </c>
      <c r="BD963" s="12">
        <v>0</v>
      </c>
      <c r="BE963" s="12">
        <v>0</v>
      </c>
      <c r="BF963" s="12">
        <v>0</v>
      </c>
      <c r="BI963" s="12">
        <v>0</v>
      </c>
      <c r="BJ963" s="12">
        <v>0</v>
      </c>
    </row>
    <row r="964" spans="1:62" x14ac:dyDescent="0.15">
      <c r="A964" s="12"/>
      <c r="B964" t="s">
        <v>1947</v>
      </c>
      <c r="C964" s="27" t="s">
        <v>1948</v>
      </c>
      <c r="D964" t="s">
        <v>6596</v>
      </c>
      <c r="E964" t="s">
        <v>2182</v>
      </c>
      <c r="F964"/>
      <c r="G964"/>
      <c r="H964"/>
      <c r="I964"/>
      <c r="J964"/>
      <c r="K964"/>
      <c r="L964" s="10">
        <v>3896170</v>
      </c>
      <c r="M964" s="10">
        <v>687240</v>
      </c>
      <c r="N964" s="12">
        <v>15</v>
      </c>
      <c r="O964" s="12" t="s">
        <v>6992</v>
      </c>
      <c r="P964" t="s">
        <v>2183</v>
      </c>
      <c r="R964"/>
      <c r="S964" t="s">
        <v>2184</v>
      </c>
      <c r="T964" s="12" t="s">
        <v>2185</v>
      </c>
      <c r="U964" s="12" t="s">
        <v>2186</v>
      </c>
      <c r="V964" s="12" t="s">
        <v>2187</v>
      </c>
      <c r="W964" s="12">
        <v>0</v>
      </c>
      <c r="X964" s="12">
        <v>1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2">
        <v>0</v>
      </c>
      <c r="AK964" s="12">
        <v>0</v>
      </c>
      <c r="AL964" s="12">
        <v>0</v>
      </c>
      <c r="AM964" s="12"/>
      <c r="AN964" s="12">
        <v>0</v>
      </c>
      <c r="AO964" s="12">
        <v>0</v>
      </c>
      <c r="AP964" s="12">
        <v>0</v>
      </c>
      <c r="AQ964" s="12">
        <v>0</v>
      </c>
      <c r="AR964" s="12">
        <v>0</v>
      </c>
      <c r="AS964" s="12">
        <v>0</v>
      </c>
      <c r="AT964" s="12">
        <v>0</v>
      </c>
      <c r="AU964" s="12">
        <v>0</v>
      </c>
      <c r="AV964" s="12">
        <v>0</v>
      </c>
      <c r="AW964" s="12">
        <v>0</v>
      </c>
      <c r="AX964" s="12">
        <v>0</v>
      </c>
      <c r="AY964" s="12">
        <v>0</v>
      </c>
      <c r="AZ964"/>
      <c r="BA964"/>
      <c r="BB964" s="12">
        <v>0</v>
      </c>
      <c r="BC964" s="12">
        <v>0</v>
      </c>
      <c r="BD964" s="12">
        <v>0</v>
      </c>
      <c r="BE964" s="12">
        <v>0</v>
      </c>
      <c r="BF964" s="12">
        <v>0</v>
      </c>
      <c r="BI964" s="12">
        <v>0</v>
      </c>
      <c r="BJ964" s="12">
        <v>0</v>
      </c>
    </row>
    <row r="965" spans="1:62" x14ac:dyDescent="0.15">
      <c r="A965" s="12"/>
      <c r="B965" t="s">
        <v>1949</v>
      </c>
      <c r="C965" s="27" t="s">
        <v>1950</v>
      </c>
      <c r="D965" t="s">
        <v>6596</v>
      </c>
      <c r="E965" t="s">
        <v>2182</v>
      </c>
      <c r="F965"/>
      <c r="G965"/>
      <c r="H965"/>
      <c r="I965"/>
      <c r="J965"/>
      <c r="K965"/>
      <c r="L965" s="10">
        <v>3900350</v>
      </c>
      <c r="M965" s="10">
        <v>685700</v>
      </c>
      <c r="N965" s="12">
        <v>15</v>
      </c>
      <c r="O965" s="12" t="s">
        <v>6992</v>
      </c>
      <c r="P965" t="s">
        <v>2183</v>
      </c>
      <c r="R965"/>
      <c r="S965" t="s">
        <v>2184</v>
      </c>
      <c r="T965" s="12" t="s">
        <v>2185</v>
      </c>
      <c r="U965" s="12" t="s">
        <v>2186</v>
      </c>
      <c r="V965" s="12" t="s">
        <v>2187</v>
      </c>
      <c r="W965" s="12">
        <v>0</v>
      </c>
      <c r="X965" s="12">
        <v>1</v>
      </c>
      <c r="Y965" s="12">
        <v>0</v>
      </c>
      <c r="Z965" s="12">
        <v>0</v>
      </c>
      <c r="AA965" s="12">
        <v>0</v>
      </c>
      <c r="AB965" s="12">
        <v>0</v>
      </c>
      <c r="AC965" s="12">
        <v>0</v>
      </c>
      <c r="AD965" s="12">
        <v>0</v>
      </c>
      <c r="AE965" s="12">
        <v>0</v>
      </c>
      <c r="AF965" s="12">
        <v>0</v>
      </c>
      <c r="AG965" s="12">
        <v>0</v>
      </c>
      <c r="AH965" s="12">
        <v>0</v>
      </c>
      <c r="AI965" s="12">
        <v>0</v>
      </c>
      <c r="AJ965" s="12">
        <v>0</v>
      </c>
      <c r="AK965" s="12">
        <v>0</v>
      </c>
      <c r="AL965" s="12">
        <v>0</v>
      </c>
      <c r="AM965" s="12"/>
      <c r="AN965" s="12">
        <v>0</v>
      </c>
      <c r="AO965" s="12">
        <v>0</v>
      </c>
      <c r="AP965" s="12">
        <v>0</v>
      </c>
      <c r="AQ965" s="12">
        <v>0</v>
      </c>
      <c r="AR965" s="12">
        <v>0</v>
      </c>
      <c r="AS965" s="12">
        <v>0</v>
      </c>
      <c r="AT965" s="12">
        <v>0</v>
      </c>
      <c r="AU965" s="12">
        <v>0</v>
      </c>
      <c r="AV965" s="12">
        <v>0</v>
      </c>
      <c r="AW965" s="12">
        <v>0</v>
      </c>
      <c r="AX965" s="12">
        <v>0</v>
      </c>
      <c r="AY965" s="12">
        <v>0</v>
      </c>
      <c r="AZ965"/>
      <c r="BA965"/>
      <c r="BB965" s="12">
        <v>0</v>
      </c>
      <c r="BC965" s="12">
        <v>0</v>
      </c>
      <c r="BD965" s="12">
        <v>0</v>
      </c>
      <c r="BE965" s="12">
        <v>0</v>
      </c>
      <c r="BF965" s="12">
        <v>0</v>
      </c>
      <c r="BI965" s="12">
        <v>0</v>
      </c>
      <c r="BJ965" s="12">
        <v>0</v>
      </c>
    </row>
    <row r="966" spans="1:62" x14ac:dyDescent="0.15">
      <c r="A966" s="12"/>
      <c r="B966" t="s">
        <v>1951</v>
      </c>
      <c r="C966" s="27" t="s">
        <v>1952</v>
      </c>
      <c r="D966" t="s">
        <v>6596</v>
      </c>
      <c r="E966" t="s">
        <v>2182</v>
      </c>
      <c r="F966"/>
      <c r="G966"/>
      <c r="H966"/>
      <c r="I966"/>
      <c r="J966"/>
      <c r="K966"/>
      <c r="L966" s="10">
        <v>3896170</v>
      </c>
      <c r="M966" s="10">
        <v>690900</v>
      </c>
      <c r="N966" s="12">
        <v>15</v>
      </c>
      <c r="O966" s="12" t="s">
        <v>6992</v>
      </c>
      <c r="P966" t="s">
        <v>2183</v>
      </c>
      <c r="R966"/>
      <c r="S966" t="s">
        <v>2184</v>
      </c>
      <c r="T966" s="12" t="s">
        <v>2185</v>
      </c>
      <c r="U966" s="12" t="s">
        <v>2186</v>
      </c>
      <c r="V966" s="12" t="s">
        <v>2187</v>
      </c>
      <c r="W966" s="12">
        <v>0</v>
      </c>
      <c r="X966" s="12">
        <v>1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2">
        <v>0</v>
      </c>
      <c r="AK966" s="12">
        <v>0</v>
      </c>
      <c r="AL966" s="12">
        <v>0</v>
      </c>
      <c r="AM966" s="12"/>
      <c r="AN966" s="12">
        <v>0</v>
      </c>
      <c r="AO966" s="12">
        <v>0</v>
      </c>
      <c r="AP966" s="12">
        <v>0</v>
      </c>
      <c r="AQ966" s="12">
        <v>0</v>
      </c>
      <c r="AR966" s="12">
        <v>0</v>
      </c>
      <c r="AS966" s="12">
        <v>0</v>
      </c>
      <c r="AT966" s="12">
        <v>0</v>
      </c>
      <c r="AU966" s="12">
        <v>0</v>
      </c>
      <c r="AV966" s="12">
        <v>0</v>
      </c>
      <c r="AW966" s="12">
        <v>0</v>
      </c>
      <c r="AX966" s="12">
        <v>0</v>
      </c>
      <c r="AY966" s="12">
        <v>0</v>
      </c>
      <c r="AZ966"/>
      <c r="BA966"/>
      <c r="BB966" s="12">
        <v>0</v>
      </c>
      <c r="BC966" s="12">
        <v>0</v>
      </c>
      <c r="BD966" s="12">
        <v>0</v>
      </c>
      <c r="BE966" s="12">
        <v>0</v>
      </c>
      <c r="BF966" s="12">
        <v>0</v>
      </c>
      <c r="BI966" s="12">
        <v>0</v>
      </c>
      <c r="BJ966" s="12">
        <v>0</v>
      </c>
    </row>
    <row r="967" spans="1:62" x14ac:dyDescent="0.15">
      <c r="A967" s="12"/>
      <c r="B967" t="s">
        <v>1953</v>
      </c>
      <c r="C967" t="s">
        <v>1953</v>
      </c>
      <c r="D967" t="s">
        <v>6596</v>
      </c>
      <c r="E967" t="s">
        <v>2182</v>
      </c>
      <c r="F967"/>
      <c r="G967"/>
      <c r="H967"/>
      <c r="I967"/>
      <c r="J967"/>
      <c r="K967"/>
      <c r="L967" s="10">
        <v>3902200</v>
      </c>
      <c r="M967" s="10">
        <v>690360</v>
      </c>
      <c r="N967" s="12">
        <v>15</v>
      </c>
      <c r="O967" s="12" t="s">
        <v>6992</v>
      </c>
      <c r="P967" t="s">
        <v>2183</v>
      </c>
      <c r="R967"/>
      <c r="S967" t="s">
        <v>2184</v>
      </c>
      <c r="T967" s="12" t="s">
        <v>2185</v>
      </c>
      <c r="U967" s="12" t="s">
        <v>2186</v>
      </c>
      <c r="V967" s="12" t="s">
        <v>2187</v>
      </c>
      <c r="W967" s="12">
        <v>0</v>
      </c>
      <c r="X967" s="12">
        <v>1</v>
      </c>
      <c r="Y967" s="12">
        <v>0</v>
      </c>
      <c r="Z967" s="12">
        <v>0</v>
      </c>
      <c r="AA967" s="12">
        <v>0</v>
      </c>
      <c r="AB967" s="12">
        <v>0</v>
      </c>
      <c r="AC967" s="12">
        <v>0</v>
      </c>
      <c r="AD967" s="12">
        <v>0</v>
      </c>
      <c r="AE967" s="12">
        <v>0</v>
      </c>
      <c r="AF967" s="12">
        <v>0</v>
      </c>
      <c r="AG967" s="12">
        <v>0</v>
      </c>
      <c r="AH967" s="12">
        <v>0</v>
      </c>
      <c r="AI967" s="12">
        <v>0</v>
      </c>
      <c r="AJ967" s="12">
        <v>0</v>
      </c>
      <c r="AK967" s="12">
        <v>0</v>
      </c>
      <c r="AL967" s="12">
        <v>0</v>
      </c>
      <c r="AM967" s="12"/>
      <c r="AN967" s="12">
        <v>0</v>
      </c>
      <c r="AO967" s="12">
        <v>0</v>
      </c>
      <c r="AP967" s="12">
        <v>0</v>
      </c>
      <c r="AQ967" s="12">
        <v>0</v>
      </c>
      <c r="AR967" s="12">
        <v>0</v>
      </c>
      <c r="AS967" s="12">
        <v>0</v>
      </c>
      <c r="AT967" s="12">
        <v>0</v>
      </c>
      <c r="AU967" s="12">
        <v>0</v>
      </c>
      <c r="AV967" s="12">
        <v>0</v>
      </c>
      <c r="AW967" s="12">
        <v>0</v>
      </c>
      <c r="AX967" s="12">
        <v>0</v>
      </c>
      <c r="AY967" s="12">
        <v>0</v>
      </c>
      <c r="AZ967"/>
      <c r="BA967"/>
      <c r="BB967" s="12">
        <v>0</v>
      </c>
      <c r="BC967" s="12">
        <v>0</v>
      </c>
      <c r="BD967" s="12">
        <v>0</v>
      </c>
      <c r="BE967" s="12">
        <v>0</v>
      </c>
      <c r="BF967" s="12">
        <v>0</v>
      </c>
      <c r="BI967" s="12">
        <v>0</v>
      </c>
      <c r="BJ967" s="12">
        <v>0</v>
      </c>
    </row>
    <row r="968" spans="1:62" x14ac:dyDescent="0.15">
      <c r="A968" s="12"/>
      <c r="B968" t="s">
        <v>1954</v>
      </c>
      <c r="C968" s="27" t="s">
        <v>1955</v>
      </c>
      <c r="D968" t="s">
        <v>6596</v>
      </c>
      <c r="E968" t="s">
        <v>2182</v>
      </c>
      <c r="F968"/>
      <c r="G968"/>
      <c r="H968"/>
      <c r="I968"/>
      <c r="J968"/>
      <c r="K968"/>
      <c r="L968" s="10">
        <v>3976400</v>
      </c>
      <c r="M968" s="10">
        <v>748040</v>
      </c>
      <c r="N968" s="12">
        <v>15</v>
      </c>
      <c r="O968" s="12" t="s">
        <v>6992</v>
      </c>
      <c r="P968" t="s">
        <v>2183</v>
      </c>
      <c r="R968"/>
      <c r="S968" t="s">
        <v>2184</v>
      </c>
      <c r="T968" s="12" t="s">
        <v>2185</v>
      </c>
      <c r="U968" s="12" t="s">
        <v>2186</v>
      </c>
      <c r="V968" s="12" t="s">
        <v>2187</v>
      </c>
      <c r="W968" s="12">
        <v>0</v>
      </c>
      <c r="X968" s="12">
        <v>1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2">
        <v>0</v>
      </c>
      <c r="AK968" s="12">
        <v>0</v>
      </c>
      <c r="AL968" s="12">
        <v>0</v>
      </c>
      <c r="AM968" s="12"/>
      <c r="AN968" s="12">
        <v>0</v>
      </c>
      <c r="AO968" s="12">
        <v>0</v>
      </c>
      <c r="AP968" s="12">
        <v>0</v>
      </c>
      <c r="AQ968" s="12">
        <v>0</v>
      </c>
      <c r="AR968" s="12">
        <v>0</v>
      </c>
      <c r="AS968" s="12">
        <v>0</v>
      </c>
      <c r="AT968" s="12">
        <v>0</v>
      </c>
      <c r="AU968" s="12">
        <v>0</v>
      </c>
      <c r="AV968" s="12">
        <v>0</v>
      </c>
      <c r="AW968" s="12">
        <v>0</v>
      </c>
      <c r="AX968" s="12">
        <v>0</v>
      </c>
      <c r="AY968" s="12">
        <v>0</v>
      </c>
      <c r="AZ968"/>
      <c r="BA968"/>
      <c r="BB968" s="12">
        <v>0</v>
      </c>
      <c r="BC968" s="12">
        <v>0</v>
      </c>
      <c r="BD968" s="12">
        <v>0</v>
      </c>
      <c r="BE968" s="12">
        <v>0</v>
      </c>
      <c r="BF968" s="12">
        <v>0</v>
      </c>
      <c r="BI968" s="12">
        <v>0</v>
      </c>
      <c r="BJ968" s="12">
        <v>0</v>
      </c>
    </row>
    <row r="969" spans="1:62" x14ac:dyDescent="0.15">
      <c r="A969" s="12"/>
      <c r="B969" t="s">
        <v>1956</v>
      </c>
      <c r="C969" t="s">
        <v>1956</v>
      </c>
      <c r="D969" t="s">
        <v>6596</v>
      </c>
      <c r="E969" t="s">
        <v>2182</v>
      </c>
      <c r="F969"/>
      <c r="G969"/>
      <c r="H969"/>
      <c r="I969"/>
      <c r="J969"/>
      <c r="K969"/>
      <c r="L969" s="10">
        <v>3958000</v>
      </c>
      <c r="M969" s="10">
        <v>754820</v>
      </c>
      <c r="N969" s="12">
        <v>15</v>
      </c>
      <c r="O969" s="12" t="s">
        <v>6992</v>
      </c>
      <c r="P969" t="s">
        <v>2183</v>
      </c>
      <c r="R969"/>
      <c r="S969" t="s">
        <v>2184</v>
      </c>
      <c r="T969" s="12" t="s">
        <v>2185</v>
      </c>
      <c r="U969" s="12" t="s">
        <v>2186</v>
      </c>
      <c r="V969" s="12" t="s">
        <v>2187</v>
      </c>
      <c r="W969" s="12">
        <v>0</v>
      </c>
      <c r="X969" s="12">
        <v>1</v>
      </c>
      <c r="Y969" s="12">
        <v>0</v>
      </c>
      <c r="Z969" s="12">
        <v>0</v>
      </c>
      <c r="AA969" s="12">
        <v>0</v>
      </c>
      <c r="AB969" s="12">
        <v>0</v>
      </c>
      <c r="AC969" s="12">
        <v>0</v>
      </c>
      <c r="AD969" s="12">
        <v>0</v>
      </c>
      <c r="AE969" s="12">
        <v>0</v>
      </c>
      <c r="AF969" s="12">
        <v>0</v>
      </c>
      <c r="AG969" s="12">
        <v>0</v>
      </c>
      <c r="AH969" s="12">
        <v>0</v>
      </c>
      <c r="AI969" s="12">
        <v>0</v>
      </c>
      <c r="AJ969" s="12">
        <v>0</v>
      </c>
      <c r="AK969" s="12">
        <v>0</v>
      </c>
      <c r="AL969" s="12">
        <v>0</v>
      </c>
      <c r="AM969" s="12"/>
      <c r="AN969" s="12">
        <v>0</v>
      </c>
      <c r="AO969" s="12">
        <v>0</v>
      </c>
      <c r="AP969" s="12">
        <v>0</v>
      </c>
      <c r="AQ969" s="12">
        <v>0</v>
      </c>
      <c r="AR969" s="12">
        <v>0</v>
      </c>
      <c r="AS969" s="12">
        <v>0</v>
      </c>
      <c r="AT969" s="12">
        <v>0</v>
      </c>
      <c r="AU969" s="12">
        <v>0</v>
      </c>
      <c r="AV969" s="12">
        <v>0</v>
      </c>
      <c r="AW969" s="12">
        <v>0</v>
      </c>
      <c r="AX969" s="12">
        <v>0</v>
      </c>
      <c r="AY969" s="12">
        <v>0</v>
      </c>
      <c r="AZ969"/>
      <c r="BA969"/>
      <c r="BB969" s="12">
        <v>0</v>
      </c>
      <c r="BC969" s="12">
        <v>0</v>
      </c>
      <c r="BD969" s="12">
        <v>0</v>
      </c>
      <c r="BE969" s="12">
        <v>0</v>
      </c>
      <c r="BF969" s="12">
        <v>0</v>
      </c>
      <c r="BI969" s="12">
        <v>0</v>
      </c>
      <c r="BJ969" s="12">
        <v>0</v>
      </c>
    </row>
    <row r="970" spans="1:62" x14ac:dyDescent="0.15">
      <c r="A970" s="12"/>
      <c r="B970" t="s">
        <v>1957</v>
      </c>
      <c r="C970" t="s">
        <v>1957</v>
      </c>
      <c r="D970" t="s">
        <v>6596</v>
      </c>
      <c r="E970" t="s">
        <v>2182</v>
      </c>
      <c r="F970"/>
      <c r="G970"/>
      <c r="H970"/>
      <c r="I970"/>
      <c r="J970"/>
      <c r="K970"/>
      <c r="L970" s="10">
        <v>3889900</v>
      </c>
      <c r="M970" s="10">
        <v>707600</v>
      </c>
      <c r="N970" s="12">
        <v>15</v>
      </c>
      <c r="O970" s="12" t="s">
        <v>6992</v>
      </c>
      <c r="P970" t="s">
        <v>2183</v>
      </c>
      <c r="R970"/>
      <c r="S970" t="s">
        <v>2184</v>
      </c>
      <c r="T970" s="12" t="s">
        <v>2185</v>
      </c>
      <c r="U970" s="12" t="s">
        <v>2186</v>
      </c>
      <c r="V970" s="12" t="s">
        <v>2187</v>
      </c>
      <c r="W970" s="12">
        <v>0</v>
      </c>
      <c r="X970" s="12">
        <v>1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2">
        <v>0</v>
      </c>
      <c r="AK970" s="12">
        <v>0</v>
      </c>
      <c r="AL970" s="12">
        <v>0</v>
      </c>
      <c r="AM970" s="12"/>
      <c r="AN970" s="12">
        <v>0</v>
      </c>
      <c r="AO970" s="12">
        <v>0</v>
      </c>
      <c r="AP970" s="12">
        <v>0</v>
      </c>
      <c r="AQ970" s="12">
        <v>0</v>
      </c>
      <c r="AR970" s="12">
        <v>0</v>
      </c>
      <c r="AS970" s="12">
        <v>0</v>
      </c>
      <c r="AT970" s="12">
        <v>0</v>
      </c>
      <c r="AU970" s="12">
        <v>0</v>
      </c>
      <c r="AV970" s="12">
        <v>0</v>
      </c>
      <c r="AW970" s="12">
        <v>0</v>
      </c>
      <c r="AX970" s="12">
        <v>0</v>
      </c>
      <c r="AY970" s="12">
        <v>0</v>
      </c>
      <c r="AZ970"/>
      <c r="BA970"/>
      <c r="BB970" s="12">
        <v>0</v>
      </c>
      <c r="BC970" s="12">
        <v>0</v>
      </c>
      <c r="BD970" s="12">
        <v>0</v>
      </c>
      <c r="BE970" s="12">
        <v>0</v>
      </c>
      <c r="BF970" s="12">
        <v>0</v>
      </c>
      <c r="BI970" s="12">
        <v>0</v>
      </c>
      <c r="BJ970" s="12">
        <v>0</v>
      </c>
    </row>
    <row r="971" spans="1:62" x14ac:dyDescent="0.15">
      <c r="A971" s="12"/>
      <c r="B971" t="s">
        <v>1958</v>
      </c>
      <c r="C971" t="s">
        <v>1958</v>
      </c>
      <c r="D971" t="s">
        <v>6596</v>
      </c>
      <c r="E971" t="s">
        <v>2182</v>
      </c>
      <c r="F971"/>
      <c r="G971"/>
      <c r="H971"/>
      <c r="I971"/>
      <c r="J971"/>
      <c r="K971"/>
      <c r="L971" s="10">
        <v>3948060</v>
      </c>
      <c r="M971" s="10">
        <v>716620</v>
      </c>
      <c r="N971" s="12">
        <v>15</v>
      </c>
      <c r="O971" s="12" t="s">
        <v>6992</v>
      </c>
      <c r="P971" t="s">
        <v>2183</v>
      </c>
      <c r="R971"/>
      <c r="S971" t="s">
        <v>2184</v>
      </c>
      <c r="T971" s="12" t="s">
        <v>2185</v>
      </c>
      <c r="U971" s="12" t="s">
        <v>2186</v>
      </c>
      <c r="V971" s="12" t="s">
        <v>2187</v>
      </c>
      <c r="W971" s="12">
        <v>0</v>
      </c>
      <c r="X971" s="12">
        <v>1</v>
      </c>
      <c r="Y971" s="12">
        <v>0</v>
      </c>
      <c r="Z971" s="12">
        <v>0</v>
      </c>
      <c r="AA971" s="12">
        <v>0</v>
      </c>
      <c r="AB971" s="12">
        <v>0</v>
      </c>
      <c r="AC971" s="12">
        <v>0</v>
      </c>
      <c r="AD971" s="12">
        <v>0</v>
      </c>
      <c r="AE971" s="12">
        <v>0</v>
      </c>
      <c r="AF971" s="12">
        <v>0</v>
      </c>
      <c r="AG971" s="12">
        <v>0</v>
      </c>
      <c r="AH971" s="12">
        <v>0</v>
      </c>
      <c r="AI971" s="12">
        <v>0</v>
      </c>
      <c r="AJ971" s="12">
        <v>0</v>
      </c>
      <c r="AK971" s="12">
        <v>0</v>
      </c>
      <c r="AL971" s="12">
        <v>0</v>
      </c>
      <c r="AM971" s="12"/>
      <c r="AN971" s="12">
        <v>0</v>
      </c>
      <c r="AO971" s="12">
        <v>0</v>
      </c>
      <c r="AP971" s="12">
        <v>0</v>
      </c>
      <c r="AQ971" s="12">
        <v>0</v>
      </c>
      <c r="AR971" s="12">
        <v>0</v>
      </c>
      <c r="AS971" s="12">
        <v>0</v>
      </c>
      <c r="AT971" s="12">
        <v>0</v>
      </c>
      <c r="AU971" s="12">
        <v>0</v>
      </c>
      <c r="AV971" s="12">
        <v>0</v>
      </c>
      <c r="AW971" s="12">
        <v>0</v>
      </c>
      <c r="AX971" s="12">
        <v>0</v>
      </c>
      <c r="AY971" s="12">
        <v>0</v>
      </c>
      <c r="AZ971"/>
      <c r="BA971"/>
      <c r="BB971" s="12">
        <v>0</v>
      </c>
      <c r="BC971" s="12">
        <v>0</v>
      </c>
      <c r="BD971" s="12">
        <v>0</v>
      </c>
      <c r="BE971" s="12">
        <v>0</v>
      </c>
      <c r="BF971" s="12">
        <v>0</v>
      </c>
      <c r="BI971" s="12">
        <v>0</v>
      </c>
      <c r="BJ971" s="12">
        <v>0</v>
      </c>
    </row>
    <row r="972" spans="1:62" x14ac:dyDescent="0.15">
      <c r="A972" s="12"/>
      <c r="B972" t="s">
        <v>1959</v>
      </c>
      <c r="C972" s="27" t="s">
        <v>1960</v>
      </c>
      <c r="D972" t="s">
        <v>6596</v>
      </c>
      <c r="E972" t="s">
        <v>2182</v>
      </c>
      <c r="F972"/>
      <c r="G972"/>
      <c r="H972"/>
      <c r="I972"/>
      <c r="J972"/>
      <c r="K972"/>
      <c r="L972" s="10">
        <v>3950630</v>
      </c>
      <c r="M972" s="10">
        <v>718120</v>
      </c>
      <c r="N972" s="12">
        <v>15</v>
      </c>
      <c r="O972" s="12" t="s">
        <v>6992</v>
      </c>
      <c r="P972" t="s">
        <v>2183</v>
      </c>
      <c r="R972"/>
      <c r="S972" t="s">
        <v>2184</v>
      </c>
      <c r="T972" s="12" t="s">
        <v>2185</v>
      </c>
      <c r="U972" s="12" t="s">
        <v>2186</v>
      </c>
      <c r="V972" s="12" t="s">
        <v>2187</v>
      </c>
      <c r="W972" s="12">
        <v>0</v>
      </c>
      <c r="X972" s="12">
        <v>1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2">
        <v>0</v>
      </c>
      <c r="AK972" s="12">
        <v>0</v>
      </c>
      <c r="AL972" s="12">
        <v>0</v>
      </c>
      <c r="AM972" s="12"/>
      <c r="AN972" s="12">
        <v>0</v>
      </c>
      <c r="AO972" s="12">
        <v>0</v>
      </c>
      <c r="AP972" s="12">
        <v>0</v>
      </c>
      <c r="AQ972" s="12">
        <v>0</v>
      </c>
      <c r="AR972" s="12">
        <v>0</v>
      </c>
      <c r="AS972" s="12">
        <v>0</v>
      </c>
      <c r="AT972" s="12">
        <v>0</v>
      </c>
      <c r="AU972" s="12">
        <v>0</v>
      </c>
      <c r="AV972" s="12">
        <v>0</v>
      </c>
      <c r="AW972" s="12">
        <v>0</v>
      </c>
      <c r="AX972" s="12">
        <v>0</v>
      </c>
      <c r="AY972" s="12">
        <v>0</v>
      </c>
      <c r="AZ972"/>
      <c r="BA972"/>
      <c r="BB972" s="12">
        <v>0</v>
      </c>
      <c r="BC972" s="12">
        <v>0</v>
      </c>
      <c r="BD972" s="12">
        <v>0</v>
      </c>
      <c r="BE972" s="12">
        <v>0</v>
      </c>
      <c r="BF972" s="12">
        <v>0</v>
      </c>
      <c r="BI972" s="12">
        <v>0</v>
      </c>
      <c r="BJ972" s="12">
        <v>0</v>
      </c>
    </row>
    <row r="973" spans="1:62" x14ac:dyDescent="0.15">
      <c r="A973" s="12"/>
      <c r="B973" t="s">
        <v>1961</v>
      </c>
      <c r="C973" s="27" t="s">
        <v>1962</v>
      </c>
      <c r="D973" t="s">
        <v>6596</v>
      </c>
      <c r="E973" t="s">
        <v>2182</v>
      </c>
      <c r="F973"/>
      <c r="G973"/>
      <c r="H973"/>
      <c r="I973"/>
      <c r="J973"/>
      <c r="K973"/>
      <c r="L973" s="10">
        <v>3929490</v>
      </c>
      <c r="M973" s="10">
        <v>715360</v>
      </c>
      <c r="N973" s="12">
        <v>15</v>
      </c>
      <c r="O973" s="12" t="s">
        <v>6992</v>
      </c>
      <c r="P973" t="s">
        <v>2183</v>
      </c>
      <c r="R973"/>
      <c r="S973" t="s">
        <v>2184</v>
      </c>
      <c r="T973" s="12" t="s">
        <v>2185</v>
      </c>
      <c r="U973" s="12" t="s">
        <v>2186</v>
      </c>
      <c r="V973" s="12" t="s">
        <v>2187</v>
      </c>
      <c r="W973" s="12">
        <v>0</v>
      </c>
      <c r="X973" s="12">
        <v>1</v>
      </c>
      <c r="Y973" s="12">
        <v>0</v>
      </c>
      <c r="Z973" s="12">
        <v>0</v>
      </c>
      <c r="AA973" s="12">
        <v>0</v>
      </c>
      <c r="AB973" s="12">
        <v>0</v>
      </c>
      <c r="AC973" s="12">
        <v>0</v>
      </c>
      <c r="AD973" s="12">
        <v>0</v>
      </c>
      <c r="AE973" s="12">
        <v>0</v>
      </c>
      <c r="AF973" s="12">
        <v>0</v>
      </c>
      <c r="AG973" s="12">
        <v>0</v>
      </c>
      <c r="AH973" s="12">
        <v>0</v>
      </c>
      <c r="AI973" s="12">
        <v>0</v>
      </c>
      <c r="AJ973" s="12">
        <v>0</v>
      </c>
      <c r="AK973" s="12">
        <v>0</v>
      </c>
      <c r="AL973" s="12">
        <v>0</v>
      </c>
      <c r="AM973" s="12"/>
      <c r="AN973" s="12">
        <v>0</v>
      </c>
      <c r="AO973" s="12">
        <v>0</v>
      </c>
      <c r="AP973" s="12">
        <v>0</v>
      </c>
      <c r="AQ973" s="12">
        <v>0</v>
      </c>
      <c r="AR973" s="12">
        <v>0</v>
      </c>
      <c r="AS973" s="12">
        <v>0</v>
      </c>
      <c r="AT973" s="12">
        <v>0</v>
      </c>
      <c r="AU973" s="12">
        <v>0</v>
      </c>
      <c r="AV973" s="12">
        <v>0</v>
      </c>
      <c r="AW973" s="12">
        <v>0</v>
      </c>
      <c r="AX973" s="12">
        <v>0</v>
      </c>
      <c r="AY973" s="12">
        <v>0</v>
      </c>
      <c r="AZ973"/>
      <c r="BA973"/>
      <c r="BB973" s="12">
        <v>0</v>
      </c>
      <c r="BC973" s="12">
        <v>0</v>
      </c>
      <c r="BD973" s="12">
        <v>0</v>
      </c>
      <c r="BE973" s="12">
        <v>0</v>
      </c>
      <c r="BF973" s="12">
        <v>0</v>
      </c>
      <c r="BI973" s="12">
        <v>0</v>
      </c>
      <c r="BJ973" s="12">
        <v>0</v>
      </c>
    </row>
    <row r="974" spans="1:62" x14ac:dyDescent="0.15">
      <c r="A974" s="12"/>
      <c r="B974" t="s">
        <v>1963</v>
      </c>
      <c r="C974" s="27" t="s">
        <v>1964</v>
      </c>
      <c r="D974" t="s">
        <v>6596</v>
      </c>
      <c r="E974" t="s">
        <v>2182</v>
      </c>
      <c r="F974"/>
      <c r="G974"/>
      <c r="H974"/>
      <c r="I974"/>
      <c r="J974"/>
      <c r="K974"/>
      <c r="L974" s="10">
        <v>3951180</v>
      </c>
      <c r="M974" s="10">
        <v>718120</v>
      </c>
      <c r="N974" s="12">
        <v>15</v>
      </c>
      <c r="O974" s="12" t="s">
        <v>6992</v>
      </c>
      <c r="P974" t="s">
        <v>2183</v>
      </c>
      <c r="R974"/>
      <c r="S974" t="s">
        <v>2184</v>
      </c>
      <c r="T974" s="12" t="s">
        <v>2185</v>
      </c>
      <c r="U974" s="12" t="s">
        <v>2186</v>
      </c>
      <c r="V974" s="12" t="s">
        <v>2187</v>
      </c>
      <c r="W974" s="12">
        <v>0</v>
      </c>
      <c r="X974" s="12">
        <v>1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2">
        <v>0</v>
      </c>
      <c r="AK974" s="12">
        <v>0</v>
      </c>
      <c r="AL974" s="12">
        <v>0</v>
      </c>
      <c r="AM974" s="12"/>
      <c r="AN974" s="12">
        <v>0</v>
      </c>
      <c r="AO974" s="12">
        <v>0</v>
      </c>
      <c r="AP974" s="12">
        <v>0</v>
      </c>
      <c r="AQ974" s="12">
        <v>0</v>
      </c>
      <c r="AR974" s="12">
        <v>0</v>
      </c>
      <c r="AS974" s="12">
        <v>0</v>
      </c>
      <c r="AT974" s="12">
        <v>0</v>
      </c>
      <c r="AU974" s="12">
        <v>0</v>
      </c>
      <c r="AV974" s="12">
        <v>0</v>
      </c>
      <c r="AW974" s="12">
        <v>0</v>
      </c>
      <c r="AX974" s="12">
        <v>0</v>
      </c>
      <c r="AY974" s="12">
        <v>0</v>
      </c>
      <c r="AZ974"/>
      <c r="BA974"/>
      <c r="BB974" s="12">
        <v>0</v>
      </c>
      <c r="BC974" s="12">
        <v>0</v>
      </c>
      <c r="BD974" s="12">
        <v>0</v>
      </c>
      <c r="BE974" s="12">
        <v>0</v>
      </c>
      <c r="BF974" s="12">
        <v>0</v>
      </c>
      <c r="BI974" s="12">
        <v>0</v>
      </c>
      <c r="BJ974" s="12">
        <v>0</v>
      </c>
    </row>
    <row r="975" spans="1:62" x14ac:dyDescent="0.15">
      <c r="A975" s="12"/>
      <c r="B975" t="s">
        <v>1965</v>
      </c>
      <c r="C975" s="27" t="s">
        <v>1966</v>
      </c>
      <c r="D975" t="s">
        <v>6596</v>
      </c>
      <c r="E975" t="s">
        <v>2182</v>
      </c>
      <c r="F975"/>
      <c r="G975"/>
      <c r="H975"/>
      <c r="I975"/>
      <c r="J975"/>
      <c r="K975"/>
      <c r="L975" s="10">
        <v>3949110</v>
      </c>
      <c r="M975" s="10">
        <v>694930</v>
      </c>
      <c r="N975" s="12">
        <v>15</v>
      </c>
      <c r="O975" s="12" t="s">
        <v>6992</v>
      </c>
      <c r="P975" t="s">
        <v>2183</v>
      </c>
      <c r="R975"/>
      <c r="S975" t="s">
        <v>2184</v>
      </c>
      <c r="T975" s="12" t="s">
        <v>2185</v>
      </c>
      <c r="U975" s="12" t="s">
        <v>2186</v>
      </c>
      <c r="V975" s="12" t="s">
        <v>2187</v>
      </c>
      <c r="W975" s="12">
        <v>0</v>
      </c>
      <c r="X975" s="12">
        <v>1</v>
      </c>
      <c r="Y975" s="12">
        <v>0</v>
      </c>
      <c r="Z975" s="12">
        <v>0</v>
      </c>
      <c r="AA975" s="12">
        <v>0</v>
      </c>
      <c r="AB975" s="12">
        <v>0</v>
      </c>
      <c r="AC975" s="12">
        <v>0</v>
      </c>
      <c r="AD975" s="12">
        <v>0</v>
      </c>
      <c r="AE975" s="12">
        <v>0</v>
      </c>
      <c r="AF975" s="12">
        <v>0</v>
      </c>
      <c r="AG975" s="12">
        <v>0</v>
      </c>
      <c r="AH975" s="12">
        <v>0</v>
      </c>
      <c r="AI975" s="12">
        <v>0</v>
      </c>
      <c r="AJ975" s="12">
        <v>0</v>
      </c>
      <c r="AK975" s="12">
        <v>0</v>
      </c>
      <c r="AL975" s="12">
        <v>0</v>
      </c>
      <c r="AM975" s="12"/>
      <c r="AN975" s="12">
        <v>0</v>
      </c>
      <c r="AO975" s="12">
        <v>0</v>
      </c>
      <c r="AP975" s="12">
        <v>0</v>
      </c>
      <c r="AQ975" s="12">
        <v>0</v>
      </c>
      <c r="AR975" s="12">
        <v>0</v>
      </c>
      <c r="AS975" s="12">
        <v>0</v>
      </c>
      <c r="AT975" s="12">
        <v>0</v>
      </c>
      <c r="AU975" s="12">
        <v>0</v>
      </c>
      <c r="AV975" s="12">
        <v>0</v>
      </c>
      <c r="AW975" s="12">
        <v>0</v>
      </c>
      <c r="AX975" s="12">
        <v>0</v>
      </c>
      <c r="AY975" s="12">
        <v>0</v>
      </c>
      <c r="AZ975"/>
      <c r="BA975"/>
      <c r="BB975" s="12">
        <v>0</v>
      </c>
      <c r="BC975" s="12">
        <v>0</v>
      </c>
      <c r="BD975" s="12">
        <v>0</v>
      </c>
      <c r="BE975" s="12">
        <v>0</v>
      </c>
      <c r="BF975" s="12">
        <v>0</v>
      </c>
      <c r="BI975" s="12">
        <v>0</v>
      </c>
      <c r="BJ975" s="12">
        <v>0</v>
      </c>
    </row>
    <row r="976" spans="1:62" x14ac:dyDescent="0.15">
      <c r="A976" s="12"/>
      <c r="B976" t="s">
        <v>1967</v>
      </c>
      <c r="C976" t="s">
        <v>1967</v>
      </c>
      <c r="D976" t="s">
        <v>6596</v>
      </c>
      <c r="E976" t="s">
        <v>2182</v>
      </c>
      <c r="F976"/>
      <c r="G976"/>
      <c r="H976"/>
      <c r="I976"/>
      <c r="J976"/>
      <c r="K976"/>
      <c r="L976" s="10">
        <v>3951720</v>
      </c>
      <c r="M976" s="10">
        <v>716450</v>
      </c>
      <c r="N976" s="12">
        <v>15</v>
      </c>
      <c r="O976" s="12" t="s">
        <v>6992</v>
      </c>
      <c r="P976" t="s">
        <v>2183</v>
      </c>
      <c r="R976"/>
      <c r="S976" t="s">
        <v>2184</v>
      </c>
      <c r="T976" s="12" t="s">
        <v>2185</v>
      </c>
      <c r="U976" s="12" t="s">
        <v>2186</v>
      </c>
      <c r="V976" s="12" t="s">
        <v>2187</v>
      </c>
      <c r="W976" s="12">
        <v>0</v>
      </c>
      <c r="X976" s="12">
        <v>1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2">
        <v>0</v>
      </c>
      <c r="AK976" s="12">
        <v>0</v>
      </c>
      <c r="AL976" s="12">
        <v>0</v>
      </c>
      <c r="AM976" s="12"/>
      <c r="AN976" s="12">
        <v>0</v>
      </c>
      <c r="AO976" s="12">
        <v>0</v>
      </c>
      <c r="AP976" s="12">
        <v>0</v>
      </c>
      <c r="AQ976" s="12">
        <v>0</v>
      </c>
      <c r="AR976" s="12">
        <v>0</v>
      </c>
      <c r="AS976" s="12">
        <v>0</v>
      </c>
      <c r="AT976" s="12">
        <v>0</v>
      </c>
      <c r="AU976" s="12">
        <v>0</v>
      </c>
      <c r="AV976" s="12">
        <v>0</v>
      </c>
      <c r="AW976" s="12">
        <v>0</v>
      </c>
      <c r="AX976" s="12">
        <v>0</v>
      </c>
      <c r="AY976" s="12">
        <v>0</v>
      </c>
      <c r="AZ976"/>
      <c r="BA976"/>
      <c r="BB976" s="12">
        <v>0</v>
      </c>
      <c r="BC976" s="12">
        <v>0</v>
      </c>
      <c r="BD976" s="12">
        <v>0</v>
      </c>
      <c r="BE976" s="12">
        <v>0</v>
      </c>
      <c r="BF976" s="12">
        <v>0</v>
      </c>
      <c r="BI976" s="12">
        <v>0</v>
      </c>
      <c r="BJ976" s="12">
        <v>0</v>
      </c>
    </row>
    <row r="977" spans="1:62" x14ac:dyDescent="0.15">
      <c r="A977" s="12"/>
      <c r="B977" t="s">
        <v>1968</v>
      </c>
      <c r="C977" t="s">
        <v>1968</v>
      </c>
      <c r="D977" t="s">
        <v>6596</v>
      </c>
      <c r="E977" t="s">
        <v>2182</v>
      </c>
      <c r="F977"/>
      <c r="G977"/>
      <c r="H977"/>
      <c r="I977"/>
      <c r="J977"/>
      <c r="K977"/>
      <c r="L977" s="10">
        <v>3950500</v>
      </c>
      <c r="M977" s="10">
        <v>715200</v>
      </c>
      <c r="N977" s="12">
        <v>15</v>
      </c>
      <c r="O977" s="12" t="s">
        <v>6992</v>
      </c>
      <c r="P977" t="s">
        <v>2183</v>
      </c>
      <c r="R977"/>
      <c r="S977" t="s">
        <v>2184</v>
      </c>
      <c r="T977" s="12" t="s">
        <v>2185</v>
      </c>
      <c r="U977" s="12" t="s">
        <v>2186</v>
      </c>
      <c r="V977" s="12" t="s">
        <v>2187</v>
      </c>
      <c r="W977" s="12">
        <v>0</v>
      </c>
      <c r="X977" s="12">
        <v>1</v>
      </c>
      <c r="Y977" s="12">
        <v>0</v>
      </c>
      <c r="Z977" s="12">
        <v>0</v>
      </c>
      <c r="AA977" s="12">
        <v>0</v>
      </c>
      <c r="AB977" s="12">
        <v>0</v>
      </c>
      <c r="AC977" s="12">
        <v>0</v>
      </c>
      <c r="AD977" s="12">
        <v>0</v>
      </c>
      <c r="AE977" s="12">
        <v>0</v>
      </c>
      <c r="AF977" s="12">
        <v>0</v>
      </c>
      <c r="AG977" s="12">
        <v>0</v>
      </c>
      <c r="AH977" s="12">
        <v>0</v>
      </c>
      <c r="AI977" s="12">
        <v>0</v>
      </c>
      <c r="AJ977" s="12">
        <v>0</v>
      </c>
      <c r="AK977" s="12">
        <v>0</v>
      </c>
      <c r="AL977" s="12">
        <v>0</v>
      </c>
      <c r="AM977" s="12"/>
      <c r="AN977" s="12">
        <v>0</v>
      </c>
      <c r="AO977" s="12">
        <v>0</v>
      </c>
      <c r="AP977" s="12">
        <v>0</v>
      </c>
      <c r="AQ977" s="12">
        <v>0</v>
      </c>
      <c r="AR977" s="12">
        <v>0</v>
      </c>
      <c r="AS977" s="12">
        <v>0</v>
      </c>
      <c r="AT977" s="12">
        <v>0</v>
      </c>
      <c r="AU977" s="12">
        <v>0</v>
      </c>
      <c r="AV977" s="12">
        <v>0</v>
      </c>
      <c r="AW977" s="12">
        <v>0</v>
      </c>
      <c r="AX977" s="12">
        <v>0</v>
      </c>
      <c r="AY977" s="12">
        <v>0</v>
      </c>
      <c r="AZ977"/>
      <c r="BA977"/>
      <c r="BB977" s="12">
        <v>0</v>
      </c>
      <c r="BC977" s="12">
        <v>0</v>
      </c>
      <c r="BD977" s="12">
        <v>0</v>
      </c>
      <c r="BE977" s="12">
        <v>0</v>
      </c>
      <c r="BF977" s="12">
        <v>0</v>
      </c>
      <c r="BI977" s="12">
        <v>0</v>
      </c>
      <c r="BJ977" s="12">
        <v>0</v>
      </c>
    </row>
    <row r="978" spans="1:62" x14ac:dyDescent="0.15">
      <c r="A978" s="12"/>
      <c r="B978" t="s">
        <v>1969</v>
      </c>
      <c r="C978" s="27" t="s">
        <v>1970</v>
      </c>
      <c r="D978" t="s">
        <v>6596</v>
      </c>
      <c r="E978" t="s">
        <v>2182</v>
      </c>
      <c r="F978"/>
      <c r="G978"/>
      <c r="H978"/>
      <c r="I978"/>
      <c r="J978"/>
      <c r="K978"/>
      <c r="L978" s="10">
        <v>3947770</v>
      </c>
      <c r="M978" s="10">
        <v>716830</v>
      </c>
      <c r="N978" s="12">
        <v>15</v>
      </c>
      <c r="O978" s="12" t="s">
        <v>6992</v>
      </c>
      <c r="P978" t="s">
        <v>2183</v>
      </c>
      <c r="R978"/>
      <c r="S978" t="s">
        <v>2184</v>
      </c>
      <c r="T978" s="12" t="s">
        <v>2185</v>
      </c>
      <c r="U978" s="12" t="s">
        <v>2186</v>
      </c>
      <c r="V978" s="12" t="s">
        <v>2187</v>
      </c>
      <c r="W978" s="12">
        <v>0</v>
      </c>
      <c r="X978" s="12">
        <v>1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2">
        <v>0</v>
      </c>
      <c r="AK978" s="12">
        <v>0</v>
      </c>
      <c r="AL978" s="12">
        <v>0</v>
      </c>
      <c r="AM978" s="12"/>
      <c r="AN978" s="12">
        <v>0</v>
      </c>
      <c r="AO978" s="12">
        <v>0</v>
      </c>
      <c r="AP978" s="12">
        <v>0</v>
      </c>
      <c r="AQ978" s="12">
        <v>0</v>
      </c>
      <c r="AR978" s="12">
        <v>0</v>
      </c>
      <c r="AS978" s="12">
        <v>0</v>
      </c>
      <c r="AT978" s="12">
        <v>0</v>
      </c>
      <c r="AU978" s="12">
        <v>0</v>
      </c>
      <c r="AV978" s="12">
        <v>0</v>
      </c>
      <c r="AW978" s="12">
        <v>0</v>
      </c>
      <c r="AX978" s="12">
        <v>0</v>
      </c>
      <c r="AY978" s="12">
        <v>0</v>
      </c>
      <c r="AZ978"/>
      <c r="BA978"/>
      <c r="BB978" s="12">
        <v>0</v>
      </c>
      <c r="BC978" s="12">
        <v>0</v>
      </c>
      <c r="BD978" s="12">
        <v>0</v>
      </c>
      <c r="BE978" s="12">
        <v>0</v>
      </c>
      <c r="BF978" s="12">
        <v>0</v>
      </c>
      <c r="BI978" s="12">
        <v>0</v>
      </c>
      <c r="BJ978" s="12">
        <v>0</v>
      </c>
    </row>
    <row r="979" spans="1:62" x14ac:dyDescent="0.15">
      <c r="A979" s="12"/>
      <c r="B979" t="s">
        <v>1971</v>
      </c>
      <c r="C979" t="s">
        <v>1971</v>
      </c>
      <c r="D979" t="s">
        <v>6596</v>
      </c>
      <c r="E979" t="s">
        <v>2182</v>
      </c>
      <c r="F979"/>
      <c r="G979"/>
      <c r="H979"/>
      <c r="I979"/>
      <c r="J979"/>
      <c r="K979"/>
      <c r="L979" s="10">
        <v>3952840</v>
      </c>
      <c r="M979" s="10">
        <v>697220</v>
      </c>
      <c r="N979" s="12">
        <v>15</v>
      </c>
      <c r="O979" s="12" t="s">
        <v>6992</v>
      </c>
      <c r="P979" t="s">
        <v>2183</v>
      </c>
      <c r="R979"/>
      <c r="S979" t="s">
        <v>2184</v>
      </c>
      <c r="T979" s="12" t="s">
        <v>2185</v>
      </c>
      <c r="U979" s="12" t="s">
        <v>2186</v>
      </c>
      <c r="V979" s="12" t="s">
        <v>2187</v>
      </c>
      <c r="W979" s="12">
        <v>0</v>
      </c>
      <c r="X979" s="12">
        <v>1</v>
      </c>
      <c r="Y979" s="12">
        <v>0</v>
      </c>
      <c r="Z979" s="12">
        <v>0</v>
      </c>
      <c r="AA979" s="12">
        <v>0</v>
      </c>
      <c r="AB979" s="12">
        <v>0</v>
      </c>
      <c r="AC979" s="12">
        <v>0</v>
      </c>
      <c r="AD979" s="12">
        <v>0</v>
      </c>
      <c r="AE979" s="12">
        <v>0</v>
      </c>
      <c r="AF979" s="12">
        <v>0</v>
      </c>
      <c r="AG979" s="12">
        <v>0</v>
      </c>
      <c r="AH979" s="12">
        <v>0</v>
      </c>
      <c r="AI979" s="12">
        <v>0</v>
      </c>
      <c r="AJ979" s="12">
        <v>0</v>
      </c>
      <c r="AK979" s="12">
        <v>0</v>
      </c>
      <c r="AL979" s="12">
        <v>0</v>
      </c>
      <c r="AM979" s="12"/>
      <c r="AN979" s="12">
        <v>0</v>
      </c>
      <c r="AO979" s="12">
        <v>0</v>
      </c>
      <c r="AP979" s="12">
        <v>0</v>
      </c>
      <c r="AQ979" s="12">
        <v>0</v>
      </c>
      <c r="AR979" s="12">
        <v>0</v>
      </c>
      <c r="AS979" s="12">
        <v>0</v>
      </c>
      <c r="AT979" s="12">
        <v>0</v>
      </c>
      <c r="AU979" s="12">
        <v>0</v>
      </c>
      <c r="AV979" s="12">
        <v>0</v>
      </c>
      <c r="AW979" s="12">
        <v>0</v>
      </c>
      <c r="AX979" s="12">
        <v>0</v>
      </c>
      <c r="AY979" s="12">
        <v>0</v>
      </c>
      <c r="AZ979"/>
      <c r="BA979"/>
      <c r="BB979" s="12">
        <v>0</v>
      </c>
      <c r="BC979" s="12">
        <v>0</v>
      </c>
      <c r="BD979" s="12">
        <v>0</v>
      </c>
      <c r="BE979" s="12">
        <v>0</v>
      </c>
      <c r="BF979" s="12">
        <v>0</v>
      </c>
      <c r="BI979" s="12">
        <v>0</v>
      </c>
      <c r="BJ979" s="12">
        <v>0</v>
      </c>
    </row>
    <row r="980" spans="1:62" x14ac:dyDescent="0.15">
      <c r="A980" s="12"/>
      <c r="B980" t="s">
        <v>1972</v>
      </c>
      <c r="C980" t="s">
        <v>1972</v>
      </c>
      <c r="D980" t="s">
        <v>6596</v>
      </c>
      <c r="E980" t="s">
        <v>2182</v>
      </c>
      <c r="F980"/>
      <c r="G980"/>
      <c r="H980"/>
      <c r="I980"/>
      <c r="J980"/>
      <c r="K980"/>
      <c r="L980" s="10">
        <v>3948000</v>
      </c>
      <c r="M980" s="10">
        <v>695000</v>
      </c>
      <c r="N980" s="12">
        <v>15</v>
      </c>
      <c r="O980" s="12" t="s">
        <v>6992</v>
      </c>
      <c r="P980" t="s">
        <v>2183</v>
      </c>
      <c r="R980"/>
      <c r="S980" t="s">
        <v>2184</v>
      </c>
      <c r="T980" s="12" t="s">
        <v>2185</v>
      </c>
      <c r="U980" s="12" t="s">
        <v>2186</v>
      </c>
      <c r="V980" s="12" t="s">
        <v>2187</v>
      </c>
      <c r="W980" s="12">
        <v>0</v>
      </c>
      <c r="X980" s="12">
        <v>1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2">
        <v>0</v>
      </c>
      <c r="AK980" s="12">
        <v>0</v>
      </c>
      <c r="AL980" s="12">
        <v>0</v>
      </c>
      <c r="AM980" s="12"/>
      <c r="AN980" s="12">
        <v>0</v>
      </c>
      <c r="AO980" s="12">
        <v>0</v>
      </c>
      <c r="AP980" s="12">
        <v>0</v>
      </c>
      <c r="AQ980" s="12">
        <v>0</v>
      </c>
      <c r="AR980" s="12">
        <v>0</v>
      </c>
      <c r="AS980" s="12">
        <v>0</v>
      </c>
      <c r="AT980" s="12">
        <v>0</v>
      </c>
      <c r="AU980" s="12">
        <v>0</v>
      </c>
      <c r="AV980" s="12">
        <v>0</v>
      </c>
      <c r="AW980" s="12">
        <v>0</v>
      </c>
      <c r="AX980" s="12">
        <v>0</v>
      </c>
      <c r="AY980" s="12">
        <v>0</v>
      </c>
      <c r="AZ980"/>
      <c r="BA980"/>
      <c r="BB980" s="12">
        <v>0</v>
      </c>
      <c r="BC980" s="12">
        <v>0</v>
      </c>
      <c r="BD980" s="12">
        <v>0</v>
      </c>
      <c r="BE980" s="12">
        <v>0</v>
      </c>
      <c r="BF980" s="12">
        <v>0</v>
      </c>
      <c r="BI980" s="12">
        <v>0</v>
      </c>
      <c r="BJ980" s="12">
        <v>0</v>
      </c>
    </row>
    <row r="981" spans="1:62" x14ac:dyDescent="0.15">
      <c r="A981" s="12"/>
      <c r="B981" t="s">
        <v>1973</v>
      </c>
      <c r="C981" t="s">
        <v>1973</v>
      </c>
      <c r="D981" t="s">
        <v>6596</v>
      </c>
      <c r="E981" t="s">
        <v>2182</v>
      </c>
      <c r="F981"/>
      <c r="G981"/>
      <c r="H981"/>
      <c r="I981"/>
      <c r="J981"/>
      <c r="K981"/>
      <c r="L981" s="10">
        <v>3931020</v>
      </c>
      <c r="M981" s="10">
        <v>699070</v>
      </c>
      <c r="N981" s="12">
        <v>15</v>
      </c>
      <c r="O981" s="12" t="s">
        <v>6992</v>
      </c>
      <c r="P981" t="s">
        <v>2183</v>
      </c>
      <c r="R981"/>
      <c r="S981" t="s">
        <v>2184</v>
      </c>
      <c r="T981" s="12" t="s">
        <v>2185</v>
      </c>
      <c r="U981" s="12" t="s">
        <v>2186</v>
      </c>
      <c r="V981" s="12" t="s">
        <v>2187</v>
      </c>
      <c r="W981" s="12">
        <v>0</v>
      </c>
      <c r="X981" s="12">
        <v>1</v>
      </c>
      <c r="Y981" s="12">
        <v>0</v>
      </c>
      <c r="Z981" s="12">
        <v>0</v>
      </c>
      <c r="AA981" s="12">
        <v>0</v>
      </c>
      <c r="AB981" s="12">
        <v>0</v>
      </c>
      <c r="AC981" s="12">
        <v>0</v>
      </c>
      <c r="AD981" s="12">
        <v>0</v>
      </c>
      <c r="AE981" s="12">
        <v>0</v>
      </c>
      <c r="AF981" s="12">
        <v>0</v>
      </c>
      <c r="AG981" s="12">
        <v>0</v>
      </c>
      <c r="AH981" s="12">
        <v>0</v>
      </c>
      <c r="AI981" s="12">
        <v>0</v>
      </c>
      <c r="AJ981" s="12">
        <v>0</v>
      </c>
      <c r="AK981" s="12">
        <v>0</v>
      </c>
      <c r="AL981" s="12">
        <v>0</v>
      </c>
      <c r="AM981" s="12"/>
      <c r="AN981" s="12">
        <v>0</v>
      </c>
      <c r="AO981" s="12">
        <v>0</v>
      </c>
      <c r="AP981" s="12">
        <v>0</v>
      </c>
      <c r="AQ981" s="12">
        <v>0</v>
      </c>
      <c r="AR981" s="12">
        <v>0</v>
      </c>
      <c r="AS981" s="12">
        <v>0</v>
      </c>
      <c r="AT981" s="12">
        <v>0</v>
      </c>
      <c r="AU981" s="12">
        <v>0</v>
      </c>
      <c r="AV981" s="12">
        <v>0</v>
      </c>
      <c r="AW981" s="12">
        <v>0</v>
      </c>
      <c r="AX981" s="12">
        <v>0</v>
      </c>
      <c r="AY981" s="12">
        <v>0</v>
      </c>
      <c r="AZ981"/>
      <c r="BA981"/>
      <c r="BB981" s="12">
        <v>0</v>
      </c>
      <c r="BC981" s="12">
        <v>0</v>
      </c>
      <c r="BD981" s="12">
        <v>0</v>
      </c>
      <c r="BE981" s="12">
        <v>0</v>
      </c>
      <c r="BF981" s="12">
        <v>0</v>
      </c>
      <c r="BI981" s="12">
        <v>0</v>
      </c>
      <c r="BJ981" s="12">
        <v>0</v>
      </c>
    </row>
    <row r="982" spans="1:62" x14ac:dyDescent="0.15">
      <c r="A982" s="12"/>
      <c r="B982" t="s">
        <v>1974</v>
      </c>
      <c r="C982" s="27" t="s">
        <v>1975</v>
      </c>
      <c r="D982" t="s">
        <v>6596</v>
      </c>
      <c r="E982" t="s">
        <v>2182</v>
      </c>
      <c r="F982"/>
      <c r="G982"/>
      <c r="H982"/>
      <c r="I982"/>
      <c r="J982"/>
      <c r="K982"/>
      <c r="L982" s="10">
        <v>3931440</v>
      </c>
      <c r="M982" s="10">
        <v>698380</v>
      </c>
      <c r="N982" s="12">
        <v>15</v>
      </c>
      <c r="O982" s="12" t="s">
        <v>6992</v>
      </c>
      <c r="P982" t="s">
        <v>2183</v>
      </c>
      <c r="R982"/>
      <c r="S982" t="s">
        <v>2184</v>
      </c>
      <c r="T982" s="12" t="s">
        <v>2185</v>
      </c>
      <c r="U982" s="12" t="s">
        <v>2186</v>
      </c>
      <c r="V982" s="12" t="s">
        <v>2187</v>
      </c>
      <c r="W982" s="12">
        <v>0</v>
      </c>
      <c r="X982" s="12">
        <v>1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2">
        <v>0</v>
      </c>
      <c r="AK982" s="12">
        <v>0</v>
      </c>
      <c r="AL982" s="12">
        <v>0</v>
      </c>
      <c r="AM982" s="12"/>
      <c r="AN982" s="12">
        <v>0</v>
      </c>
      <c r="AO982" s="12">
        <v>0</v>
      </c>
      <c r="AP982" s="12">
        <v>0</v>
      </c>
      <c r="AQ982" s="12">
        <v>0</v>
      </c>
      <c r="AR982" s="12">
        <v>0</v>
      </c>
      <c r="AS982" s="12">
        <v>0</v>
      </c>
      <c r="AT982" s="12">
        <v>0</v>
      </c>
      <c r="AU982" s="12">
        <v>0</v>
      </c>
      <c r="AV982" s="12">
        <v>0</v>
      </c>
      <c r="AW982" s="12">
        <v>0</v>
      </c>
      <c r="AX982" s="12">
        <v>0</v>
      </c>
      <c r="AY982" s="12">
        <v>0</v>
      </c>
      <c r="AZ982"/>
      <c r="BA982"/>
      <c r="BB982" s="12">
        <v>0</v>
      </c>
      <c r="BC982" s="12">
        <v>0</v>
      </c>
      <c r="BD982" s="12">
        <v>0</v>
      </c>
      <c r="BE982" s="12">
        <v>0</v>
      </c>
      <c r="BF982" s="12">
        <v>0</v>
      </c>
      <c r="BI982" s="12">
        <v>0</v>
      </c>
      <c r="BJ982" s="12">
        <v>0</v>
      </c>
    </row>
    <row r="983" spans="1:62" x14ac:dyDescent="0.15">
      <c r="A983" s="12"/>
      <c r="B983" t="s">
        <v>1976</v>
      </c>
      <c r="C983" s="27" t="s">
        <v>1977</v>
      </c>
      <c r="D983" t="s">
        <v>6596</v>
      </c>
      <c r="E983" t="s">
        <v>2182</v>
      </c>
      <c r="F983"/>
      <c r="G983"/>
      <c r="H983"/>
      <c r="I983"/>
      <c r="J983"/>
      <c r="K983"/>
      <c r="L983" s="10">
        <v>3927400</v>
      </c>
      <c r="M983" s="10">
        <v>698380</v>
      </c>
      <c r="N983" s="12">
        <v>15</v>
      </c>
      <c r="O983" s="12" t="s">
        <v>6992</v>
      </c>
      <c r="P983" t="s">
        <v>2183</v>
      </c>
      <c r="R983"/>
      <c r="S983" t="s">
        <v>2184</v>
      </c>
      <c r="T983" s="12" t="s">
        <v>2185</v>
      </c>
      <c r="U983" s="12" t="s">
        <v>2186</v>
      </c>
      <c r="V983" s="12" t="s">
        <v>2187</v>
      </c>
      <c r="W983" s="12">
        <v>0</v>
      </c>
      <c r="X983" s="12">
        <v>1</v>
      </c>
      <c r="Y983" s="12">
        <v>0</v>
      </c>
      <c r="Z983" s="12">
        <v>0</v>
      </c>
      <c r="AA983" s="12">
        <v>0</v>
      </c>
      <c r="AB983" s="12">
        <v>0</v>
      </c>
      <c r="AC983" s="12">
        <v>0</v>
      </c>
      <c r="AD983" s="12">
        <v>0</v>
      </c>
      <c r="AE983" s="12">
        <v>0</v>
      </c>
      <c r="AF983" s="12">
        <v>0</v>
      </c>
      <c r="AG983" s="12">
        <v>0</v>
      </c>
      <c r="AH983" s="12">
        <v>0</v>
      </c>
      <c r="AI983" s="12">
        <v>0</v>
      </c>
      <c r="AJ983" s="12">
        <v>0</v>
      </c>
      <c r="AK983" s="12">
        <v>0</v>
      </c>
      <c r="AL983" s="12">
        <v>0</v>
      </c>
      <c r="AM983" s="12"/>
      <c r="AN983" s="12">
        <v>0</v>
      </c>
      <c r="AO983" s="12">
        <v>0</v>
      </c>
      <c r="AP983" s="12">
        <v>0</v>
      </c>
      <c r="AQ983" s="12">
        <v>0</v>
      </c>
      <c r="AR983" s="12">
        <v>0</v>
      </c>
      <c r="AS983" s="12">
        <v>0</v>
      </c>
      <c r="AT983" s="12">
        <v>0</v>
      </c>
      <c r="AU983" s="12">
        <v>0</v>
      </c>
      <c r="AV983" s="12">
        <v>0</v>
      </c>
      <c r="AW983" s="12">
        <v>0</v>
      </c>
      <c r="AX983" s="12">
        <v>0</v>
      </c>
      <c r="AY983" s="12">
        <v>0</v>
      </c>
      <c r="AZ983"/>
      <c r="BA983"/>
      <c r="BB983" s="12">
        <v>0</v>
      </c>
      <c r="BC983" s="12">
        <v>0</v>
      </c>
      <c r="BD983" s="12">
        <v>0</v>
      </c>
      <c r="BE983" s="12">
        <v>0</v>
      </c>
      <c r="BF983" s="12">
        <v>0</v>
      </c>
      <c r="BI983" s="12">
        <v>0</v>
      </c>
      <c r="BJ983" s="12">
        <v>0</v>
      </c>
    </row>
    <row r="984" spans="1:62" x14ac:dyDescent="0.15">
      <c r="A984" s="12"/>
      <c r="B984" t="s">
        <v>1978</v>
      </c>
      <c r="C984" s="27" t="s">
        <v>1979</v>
      </c>
      <c r="D984" t="s">
        <v>6596</v>
      </c>
      <c r="E984" t="s">
        <v>2182</v>
      </c>
      <c r="F984"/>
      <c r="G984"/>
      <c r="H984"/>
      <c r="I984"/>
      <c r="J984"/>
      <c r="K984"/>
      <c r="L984" s="10">
        <v>3929530</v>
      </c>
      <c r="M984" s="10">
        <v>715960</v>
      </c>
      <c r="N984" s="12">
        <v>15</v>
      </c>
      <c r="O984" s="12" t="s">
        <v>6992</v>
      </c>
      <c r="P984" t="s">
        <v>2183</v>
      </c>
      <c r="R984"/>
      <c r="S984" t="s">
        <v>2184</v>
      </c>
      <c r="T984" s="12" t="s">
        <v>2185</v>
      </c>
      <c r="U984" s="12" t="s">
        <v>2186</v>
      </c>
      <c r="V984" s="12" t="s">
        <v>2187</v>
      </c>
      <c r="W984" s="12">
        <v>0</v>
      </c>
      <c r="X984" s="12">
        <v>1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2">
        <v>0</v>
      </c>
      <c r="AK984" s="12">
        <v>0</v>
      </c>
      <c r="AL984" s="12">
        <v>0</v>
      </c>
      <c r="AM984" s="12"/>
      <c r="AN984" s="12">
        <v>0</v>
      </c>
      <c r="AO984" s="12">
        <v>0</v>
      </c>
      <c r="AP984" s="12">
        <v>0</v>
      </c>
      <c r="AQ984" s="12">
        <v>0</v>
      </c>
      <c r="AR984" s="12">
        <v>0</v>
      </c>
      <c r="AS984" s="12">
        <v>0</v>
      </c>
      <c r="AT984" s="12">
        <v>0</v>
      </c>
      <c r="AU984" s="12">
        <v>0</v>
      </c>
      <c r="AV984" s="12">
        <v>0</v>
      </c>
      <c r="AW984" s="12">
        <v>0</v>
      </c>
      <c r="AX984" s="12">
        <v>0</v>
      </c>
      <c r="AY984" s="12">
        <v>0</v>
      </c>
      <c r="AZ984"/>
      <c r="BA984"/>
      <c r="BB984" s="12">
        <v>0</v>
      </c>
      <c r="BC984" s="12">
        <v>0</v>
      </c>
      <c r="BD984" s="12">
        <v>0</v>
      </c>
      <c r="BE984" s="12">
        <v>0</v>
      </c>
      <c r="BF984" s="12">
        <v>0</v>
      </c>
      <c r="BI984" s="12">
        <v>0</v>
      </c>
      <c r="BJ984" s="12">
        <v>0</v>
      </c>
    </row>
    <row r="985" spans="1:62" x14ac:dyDescent="0.15">
      <c r="A985" s="12"/>
      <c r="B985" t="s">
        <v>1980</v>
      </c>
      <c r="C985" s="27" t="s">
        <v>1981</v>
      </c>
      <c r="D985" t="s">
        <v>6596</v>
      </c>
      <c r="E985" t="s">
        <v>2182</v>
      </c>
      <c r="F985"/>
      <c r="G985"/>
      <c r="H985"/>
      <c r="I985"/>
      <c r="J985"/>
      <c r="K985"/>
      <c r="L985" s="10">
        <v>3952290</v>
      </c>
      <c r="M985" s="10">
        <v>695350</v>
      </c>
      <c r="N985" s="12">
        <v>15</v>
      </c>
      <c r="O985" s="12" t="s">
        <v>6992</v>
      </c>
      <c r="P985" t="s">
        <v>2183</v>
      </c>
      <c r="R985"/>
      <c r="S985" t="s">
        <v>2184</v>
      </c>
      <c r="T985" s="12" t="s">
        <v>2185</v>
      </c>
      <c r="U985" s="12" t="s">
        <v>2186</v>
      </c>
      <c r="V985" s="12" t="s">
        <v>2187</v>
      </c>
      <c r="W985" s="12">
        <v>0</v>
      </c>
      <c r="X985" s="12">
        <v>1</v>
      </c>
      <c r="Y985" s="12">
        <v>0</v>
      </c>
      <c r="Z985" s="12">
        <v>0</v>
      </c>
      <c r="AA985" s="12">
        <v>0</v>
      </c>
      <c r="AB985" s="12">
        <v>0</v>
      </c>
      <c r="AC985" s="12">
        <v>0</v>
      </c>
      <c r="AD985" s="12">
        <v>0</v>
      </c>
      <c r="AE985" s="12">
        <v>0</v>
      </c>
      <c r="AF985" s="12">
        <v>0</v>
      </c>
      <c r="AG985" s="12">
        <v>0</v>
      </c>
      <c r="AH985" s="12">
        <v>0</v>
      </c>
      <c r="AI985" s="12">
        <v>0</v>
      </c>
      <c r="AJ985" s="12">
        <v>0</v>
      </c>
      <c r="AK985" s="12">
        <v>0</v>
      </c>
      <c r="AL985" s="12">
        <v>0</v>
      </c>
      <c r="AM985" s="12"/>
      <c r="AN985" s="12">
        <v>0</v>
      </c>
      <c r="AO985" s="12">
        <v>0</v>
      </c>
      <c r="AP985" s="12">
        <v>0</v>
      </c>
      <c r="AQ985" s="12">
        <v>0</v>
      </c>
      <c r="AR985" s="12">
        <v>0</v>
      </c>
      <c r="AS985" s="12">
        <v>0</v>
      </c>
      <c r="AT985" s="12">
        <v>0</v>
      </c>
      <c r="AU985" s="12">
        <v>0</v>
      </c>
      <c r="AV985" s="12">
        <v>0</v>
      </c>
      <c r="AW985" s="12">
        <v>0</v>
      </c>
      <c r="AX985" s="12">
        <v>0</v>
      </c>
      <c r="AY985" s="12">
        <v>0</v>
      </c>
      <c r="AZ985"/>
      <c r="BA985"/>
      <c r="BB985" s="12">
        <v>0</v>
      </c>
      <c r="BC985" s="12">
        <v>0</v>
      </c>
      <c r="BD985" s="12">
        <v>0</v>
      </c>
      <c r="BE985" s="12">
        <v>0</v>
      </c>
      <c r="BF985" s="12">
        <v>0</v>
      </c>
      <c r="BI985" s="12">
        <v>0</v>
      </c>
      <c r="BJ985" s="12">
        <v>0</v>
      </c>
    </row>
    <row r="986" spans="1:62" x14ac:dyDescent="0.15">
      <c r="A986" s="12"/>
      <c r="B986" t="s">
        <v>1982</v>
      </c>
      <c r="C986" s="27" t="s">
        <v>1983</v>
      </c>
      <c r="D986" t="s">
        <v>6596</v>
      </c>
      <c r="E986" t="s">
        <v>2182</v>
      </c>
      <c r="F986"/>
      <c r="G986"/>
      <c r="H986"/>
      <c r="I986"/>
      <c r="J986"/>
      <c r="K986"/>
      <c r="L986" s="10">
        <v>3946850</v>
      </c>
      <c r="M986" s="10">
        <v>715800</v>
      </c>
      <c r="N986" s="12">
        <v>15</v>
      </c>
      <c r="O986" s="12" t="s">
        <v>6992</v>
      </c>
      <c r="P986" t="s">
        <v>2183</v>
      </c>
      <c r="R986"/>
      <c r="S986" t="s">
        <v>2184</v>
      </c>
      <c r="T986" s="12" t="s">
        <v>2185</v>
      </c>
      <c r="U986" s="12" t="s">
        <v>2186</v>
      </c>
      <c r="V986" s="12" t="s">
        <v>2187</v>
      </c>
      <c r="W986" s="12">
        <v>0</v>
      </c>
      <c r="X986" s="12">
        <v>1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2">
        <v>0</v>
      </c>
      <c r="AK986" s="12">
        <v>0</v>
      </c>
      <c r="AL986" s="12">
        <v>0</v>
      </c>
      <c r="AM986" s="12"/>
      <c r="AN986" s="12">
        <v>0</v>
      </c>
      <c r="AO986" s="12">
        <v>0</v>
      </c>
      <c r="AP986" s="12">
        <v>0</v>
      </c>
      <c r="AQ986" s="12">
        <v>0</v>
      </c>
      <c r="AR986" s="12">
        <v>0</v>
      </c>
      <c r="AS986" s="12">
        <v>0</v>
      </c>
      <c r="AT986" s="12">
        <v>0</v>
      </c>
      <c r="AU986" s="12">
        <v>0</v>
      </c>
      <c r="AV986" s="12">
        <v>0</v>
      </c>
      <c r="AW986" s="12">
        <v>0</v>
      </c>
      <c r="AX986" s="12">
        <v>0</v>
      </c>
      <c r="AY986" s="12">
        <v>0</v>
      </c>
      <c r="AZ986"/>
      <c r="BA986"/>
      <c r="BB986" s="12">
        <v>0</v>
      </c>
      <c r="BC986" s="12">
        <v>0</v>
      </c>
      <c r="BD986" s="12">
        <v>0</v>
      </c>
      <c r="BE986" s="12">
        <v>0</v>
      </c>
      <c r="BF986" s="12">
        <v>0</v>
      </c>
      <c r="BI986" s="12">
        <v>0</v>
      </c>
      <c r="BJ986" s="12">
        <v>0</v>
      </c>
    </row>
    <row r="987" spans="1:62" x14ac:dyDescent="0.15">
      <c r="A987" s="12"/>
      <c r="B987" t="s">
        <v>1984</v>
      </c>
      <c r="C987" s="27" t="s">
        <v>1985</v>
      </c>
      <c r="D987" t="s">
        <v>6596</v>
      </c>
      <c r="E987" t="s">
        <v>2182</v>
      </c>
      <c r="F987"/>
      <c r="G987"/>
      <c r="H987"/>
      <c r="I987"/>
      <c r="J987"/>
      <c r="K987"/>
      <c r="L987" s="10">
        <v>3928360</v>
      </c>
      <c r="M987" s="10">
        <v>715460</v>
      </c>
      <c r="N987" s="12">
        <v>15</v>
      </c>
      <c r="O987" s="12" t="s">
        <v>6992</v>
      </c>
      <c r="P987" t="s">
        <v>2183</v>
      </c>
      <c r="R987"/>
      <c r="S987" t="s">
        <v>2184</v>
      </c>
      <c r="T987" s="12" t="s">
        <v>2185</v>
      </c>
      <c r="U987" s="12" t="s">
        <v>2186</v>
      </c>
      <c r="V987" s="12" t="s">
        <v>2187</v>
      </c>
      <c r="W987" s="12">
        <v>0</v>
      </c>
      <c r="X987" s="12">
        <v>1</v>
      </c>
      <c r="Y987" s="12">
        <v>0</v>
      </c>
      <c r="Z987" s="12">
        <v>0</v>
      </c>
      <c r="AA987" s="12">
        <v>0</v>
      </c>
      <c r="AB987" s="12">
        <v>0</v>
      </c>
      <c r="AC987" s="12">
        <v>0</v>
      </c>
      <c r="AD987" s="12">
        <v>0</v>
      </c>
      <c r="AE987" s="12">
        <v>0</v>
      </c>
      <c r="AF987" s="12">
        <v>0</v>
      </c>
      <c r="AG987" s="12">
        <v>0</v>
      </c>
      <c r="AH987" s="12">
        <v>0</v>
      </c>
      <c r="AI987" s="12">
        <v>0</v>
      </c>
      <c r="AJ987" s="12">
        <v>0</v>
      </c>
      <c r="AK987" s="12">
        <v>0</v>
      </c>
      <c r="AL987" s="12">
        <v>0</v>
      </c>
      <c r="AM987" s="12"/>
      <c r="AN987" s="12">
        <v>0</v>
      </c>
      <c r="AO987" s="12">
        <v>0</v>
      </c>
      <c r="AP987" s="12">
        <v>0</v>
      </c>
      <c r="AQ987" s="12">
        <v>0</v>
      </c>
      <c r="AR987" s="12">
        <v>0</v>
      </c>
      <c r="AS987" s="12">
        <v>0</v>
      </c>
      <c r="AT987" s="12">
        <v>0</v>
      </c>
      <c r="AU987" s="12">
        <v>0</v>
      </c>
      <c r="AV987" s="12">
        <v>0</v>
      </c>
      <c r="AW987" s="12">
        <v>0</v>
      </c>
      <c r="AX987" s="12">
        <v>0</v>
      </c>
      <c r="AY987" s="12">
        <v>0</v>
      </c>
      <c r="AZ987"/>
      <c r="BA987"/>
      <c r="BB987" s="12">
        <v>0</v>
      </c>
      <c r="BC987" s="12">
        <v>0</v>
      </c>
      <c r="BD987" s="12">
        <v>0</v>
      </c>
      <c r="BE987" s="12">
        <v>0</v>
      </c>
      <c r="BF987" s="12">
        <v>0</v>
      </c>
      <c r="BI987" s="12">
        <v>0</v>
      </c>
      <c r="BJ987" s="12">
        <v>0</v>
      </c>
    </row>
    <row r="988" spans="1:62" x14ac:dyDescent="0.15">
      <c r="A988" s="12"/>
      <c r="B988" t="s">
        <v>1986</v>
      </c>
      <c r="C988" s="27" t="s">
        <v>1987</v>
      </c>
      <c r="D988" t="s">
        <v>6596</v>
      </c>
      <c r="E988" t="s">
        <v>2182</v>
      </c>
      <c r="F988"/>
      <c r="G988"/>
      <c r="H988"/>
      <c r="I988"/>
      <c r="J988"/>
      <c r="K988"/>
      <c r="L988" s="10">
        <v>3949950</v>
      </c>
      <c r="M988" s="10">
        <v>718900</v>
      </c>
      <c r="N988" s="12">
        <v>15</v>
      </c>
      <c r="O988" s="12" t="s">
        <v>6992</v>
      </c>
      <c r="P988" t="s">
        <v>2183</v>
      </c>
      <c r="R988"/>
      <c r="S988" t="s">
        <v>2184</v>
      </c>
      <c r="T988" s="12" t="s">
        <v>2185</v>
      </c>
      <c r="U988" s="12" t="s">
        <v>2186</v>
      </c>
      <c r="V988" s="12" t="s">
        <v>2187</v>
      </c>
      <c r="W988" s="12">
        <v>0</v>
      </c>
      <c r="X988" s="12">
        <v>1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2">
        <v>0</v>
      </c>
      <c r="AK988" s="12">
        <v>0</v>
      </c>
      <c r="AL988" s="12">
        <v>0</v>
      </c>
      <c r="AM988" s="12"/>
      <c r="AN988" s="12">
        <v>0</v>
      </c>
      <c r="AO988" s="12">
        <v>0</v>
      </c>
      <c r="AP988" s="12">
        <v>0</v>
      </c>
      <c r="AQ988" s="12">
        <v>0</v>
      </c>
      <c r="AR988" s="12">
        <v>0</v>
      </c>
      <c r="AS988" s="12">
        <v>0</v>
      </c>
      <c r="AT988" s="12">
        <v>0</v>
      </c>
      <c r="AU988" s="12">
        <v>0</v>
      </c>
      <c r="AV988" s="12">
        <v>0</v>
      </c>
      <c r="AW988" s="12">
        <v>0</v>
      </c>
      <c r="AX988" s="12">
        <v>0</v>
      </c>
      <c r="AY988" s="12">
        <v>0</v>
      </c>
      <c r="AZ988"/>
      <c r="BA988"/>
      <c r="BB988" s="12">
        <v>0</v>
      </c>
      <c r="BC988" s="12">
        <v>0</v>
      </c>
      <c r="BD988" s="12">
        <v>0</v>
      </c>
      <c r="BE988" s="12">
        <v>0</v>
      </c>
      <c r="BF988" s="12">
        <v>0</v>
      </c>
      <c r="BI988" s="12">
        <v>0</v>
      </c>
      <c r="BJ988" s="12">
        <v>0</v>
      </c>
    </row>
    <row r="989" spans="1:62" x14ac:dyDescent="0.15">
      <c r="A989" s="12"/>
      <c r="B989" t="s">
        <v>1988</v>
      </c>
      <c r="C989" s="27" t="s">
        <v>1989</v>
      </c>
      <c r="D989" t="s">
        <v>6596</v>
      </c>
      <c r="E989" t="s">
        <v>2182</v>
      </c>
      <c r="F989"/>
      <c r="G989"/>
      <c r="H989"/>
      <c r="I989"/>
      <c r="J989"/>
      <c r="K989"/>
      <c r="L989" s="10">
        <v>3952460</v>
      </c>
      <c r="M989" s="10">
        <v>688390</v>
      </c>
      <c r="N989" s="12">
        <v>15</v>
      </c>
      <c r="O989" s="12" t="s">
        <v>6992</v>
      </c>
      <c r="P989" t="s">
        <v>2183</v>
      </c>
      <c r="R989"/>
      <c r="S989" t="s">
        <v>2184</v>
      </c>
      <c r="T989" s="12" t="s">
        <v>2185</v>
      </c>
      <c r="U989" s="12" t="s">
        <v>2186</v>
      </c>
      <c r="V989" s="12" t="s">
        <v>2187</v>
      </c>
      <c r="W989" s="12">
        <v>0</v>
      </c>
      <c r="X989" s="12">
        <v>1</v>
      </c>
      <c r="Y989" s="12">
        <v>0</v>
      </c>
      <c r="Z989" s="12">
        <v>0</v>
      </c>
      <c r="AA989" s="12">
        <v>0</v>
      </c>
      <c r="AB989" s="12">
        <v>0</v>
      </c>
      <c r="AC989" s="12">
        <v>0</v>
      </c>
      <c r="AD989" s="12">
        <v>0</v>
      </c>
      <c r="AE989" s="12">
        <v>0</v>
      </c>
      <c r="AF989" s="12">
        <v>0</v>
      </c>
      <c r="AG989" s="12">
        <v>0</v>
      </c>
      <c r="AH989" s="12">
        <v>0</v>
      </c>
      <c r="AI989" s="12">
        <v>0</v>
      </c>
      <c r="AJ989" s="12">
        <v>0</v>
      </c>
      <c r="AK989" s="12">
        <v>0</v>
      </c>
      <c r="AL989" s="12">
        <v>0</v>
      </c>
      <c r="AM989" s="12"/>
      <c r="AN989" s="12">
        <v>0</v>
      </c>
      <c r="AO989" s="12">
        <v>0</v>
      </c>
      <c r="AP989" s="12">
        <v>0</v>
      </c>
      <c r="AQ989" s="12">
        <v>0</v>
      </c>
      <c r="AR989" s="12">
        <v>0</v>
      </c>
      <c r="AS989" s="12">
        <v>0</v>
      </c>
      <c r="AT989" s="12">
        <v>0</v>
      </c>
      <c r="AU989" s="12">
        <v>0</v>
      </c>
      <c r="AV989" s="12">
        <v>0</v>
      </c>
      <c r="AW989" s="12">
        <v>0</v>
      </c>
      <c r="AX989" s="12">
        <v>0</v>
      </c>
      <c r="AY989" s="12">
        <v>0</v>
      </c>
      <c r="AZ989"/>
      <c r="BA989"/>
      <c r="BB989" s="12">
        <v>0</v>
      </c>
      <c r="BC989" s="12">
        <v>0</v>
      </c>
      <c r="BD989" s="12">
        <v>0</v>
      </c>
      <c r="BE989" s="12">
        <v>0</v>
      </c>
      <c r="BF989" s="12">
        <v>0</v>
      </c>
      <c r="BI989" s="12">
        <v>0</v>
      </c>
      <c r="BJ989" s="12">
        <v>0</v>
      </c>
    </row>
    <row r="990" spans="1:62" x14ac:dyDescent="0.15">
      <c r="A990" s="12"/>
      <c r="B990" t="s">
        <v>1990</v>
      </c>
      <c r="C990" s="27" t="s">
        <v>1991</v>
      </c>
      <c r="D990" t="s">
        <v>6596</v>
      </c>
      <c r="E990" t="s">
        <v>2182</v>
      </c>
      <c r="F990"/>
      <c r="G990"/>
      <c r="H990"/>
      <c r="I990"/>
      <c r="J990"/>
      <c r="K990"/>
      <c r="L990" s="10">
        <v>3944000</v>
      </c>
      <c r="M990" s="10">
        <v>711600</v>
      </c>
      <c r="N990" s="12">
        <v>15</v>
      </c>
      <c r="O990" s="12" t="s">
        <v>6992</v>
      </c>
      <c r="P990" t="s">
        <v>2183</v>
      </c>
      <c r="R990"/>
      <c r="S990" t="s">
        <v>2184</v>
      </c>
      <c r="T990" s="12" t="s">
        <v>2185</v>
      </c>
      <c r="U990" s="12" t="s">
        <v>2186</v>
      </c>
      <c r="V990" s="12" t="s">
        <v>2187</v>
      </c>
      <c r="W990" s="12">
        <v>0</v>
      </c>
      <c r="X990" s="12">
        <v>1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2">
        <v>0</v>
      </c>
      <c r="AK990" s="12">
        <v>0</v>
      </c>
      <c r="AL990" s="12">
        <v>0</v>
      </c>
      <c r="AM990" s="12"/>
      <c r="AN990" s="12">
        <v>0</v>
      </c>
      <c r="AO990" s="12">
        <v>0</v>
      </c>
      <c r="AP990" s="12">
        <v>0</v>
      </c>
      <c r="AQ990" s="12">
        <v>0</v>
      </c>
      <c r="AR990" s="12">
        <v>0</v>
      </c>
      <c r="AS990" s="12">
        <v>0</v>
      </c>
      <c r="AT990" s="12">
        <v>0</v>
      </c>
      <c r="AU990" s="12">
        <v>0</v>
      </c>
      <c r="AV990" s="12">
        <v>0</v>
      </c>
      <c r="AW990" s="12">
        <v>0</v>
      </c>
      <c r="AX990" s="12">
        <v>0</v>
      </c>
      <c r="AY990" s="12">
        <v>0</v>
      </c>
      <c r="AZ990"/>
      <c r="BA990"/>
      <c r="BB990" s="12">
        <v>0</v>
      </c>
      <c r="BC990" s="12">
        <v>0</v>
      </c>
      <c r="BD990" s="12">
        <v>0</v>
      </c>
      <c r="BE990" s="12">
        <v>0</v>
      </c>
      <c r="BF990" s="12">
        <v>0</v>
      </c>
      <c r="BI990" s="12">
        <v>0</v>
      </c>
      <c r="BJ990" s="12">
        <v>0</v>
      </c>
    </row>
    <row r="991" spans="1:62" x14ac:dyDescent="0.15">
      <c r="A991" s="12"/>
      <c r="B991" t="s">
        <v>1992</v>
      </c>
      <c r="C991" s="27" t="s">
        <v>1993</v>
      </c>
      <c r="D991" t="s">
        <v>6596</v>
      </c>
      <c r="E991" t="s">
        <v>2182</v>
      </c>
      <c r="F991"/>
      <c r="G991"/>
      <c r="H991"/>
      <c r="I991"/>
      <c r="J991"/>
      <c r="K991"/>
      <c r="L991" s="10">
        <v>3944100</v>
      </c>
      <c r="M991" s="10">
        <v>714360</v>
      </c>
      <c r="N991" s="12">
        <v>15</v>
      </c>
      <c r="O991" s="12" t="s">
        <v>6992</v>
      </c>
      <c r="P991" t="s">
        <v>2183</v>
      </c>
      <c r="R991"/>
      <c r="S991" t="s">
        <v>2184</v>
      </c>
      <c r="T991" s="12" t="s">
        <v>2185</v>
      </c>
      <c r="U991" s="12" t="s">
        <v>2186</v>
      </c>
      <c r="V991" s="12" t="s">
        <v>2187</v>
      </c>
      <c r="W991" s="12">
        <v>0</v>
      </c>
      <c r="X991" s="12">
        <v>1</v>
      </c>
      <c r="Y991" s="12">
        <v>0</v>
      </c>
      <c r="Z991" s="12">
        <v>0</v>
      </c>
      <c r="AA991" s="12">
        <v>0</v>
      </c>
      <c r="AB991" s="12">
        <v>0</v>
      </c>
      <c r="AC991" s="12">
        <v>0</v>
      </c>
      <c r="AD991" s="12">
        <v>0</v>
      </c>
      <c r="AE991" s="12">
        <v>0</v>
      </c>
      <c r="AF991" s="12">
        <v>0</v>
      </c>
      <c r="AG991" s="12">
        <v>0</v>
      </c>
      <c r="AH991" s="12">
        <v>0</v>
      </c>
      <c r="AI991" s="12">
        <v>0</v>
      </c>
      <c r="AJ991" s="12">
        <v>0</v>
      </c>
      <c r="AK991" s="12">
        <v>0</v>
      </c>
      <c r="AL991" s="12">
        <v>0</v>
      </c>
      <c r="AM991" s="12"/>
      <c r="AN991" s="12">
        <v>0</v>
      </c>
      <c r="AO991" s="12">
        <v>0</v>
      </c>
      <c r="AP991" s="12">
        <v>0</v>
      </c>
      <c r="AQ991" s="12">
        <v>0</v>
      </c>
      <c r="AR991" s="12">
        <v>0</v>
      </c>
      <c r="AS991" s="12">
        <v>0</v>
      </c>
      <c r="AT991" s="12">
        <v>0</v>
      </c>
      <c r="AU991" s="12">
        <v>0</v>
      </c>
      <c r="AV991" s="12">
        <v>0</v>
      </c>
      <c r="AW991" s="12">
        <v>0</v>
      </c>
      <c r="AX991" s="12">
        <v>0</v>
      </c>
      <c r="AY991" s="12">
        <v>0</v>
      </c>
      <c r="AZ991"/>
      <c r="BA991"/>
      <c r="BB991" s="12">
        <v>0</v>
      </c>
      <c r="BC991" s="12">
        <v>0</v>
      </c>
      <c r="BD991" s="12">
        <v>0</v>
      </c>
      <c r="BE991" s="12">
        <v>0</v>
      </c>
      <c r="BF991" s="12">
        <v>0</v>
      </c>
      <c r="BI991" s="12">
        <v>0</v>
      </c>
      <c r="BJ991" s="12">
        <v>0</v>
      </c>
    </row>
    <row r="992" spans="1:62" x14ac:dyDescent="0.15">
      <c r="A992" s="12"/>
      <c r="B992" t="s">
        <v>1994</v>
      </c>
      <c r="C992" t="s">
        <v>1994</v>
      </c>
      <c r="D992" t="s">
        <v>6596</v>
      </c>
      <c r="E992" t="s">
        <v>2182</v>
      </c>
      <c r="F992"/>
      <c r="G992"/>
      <c r="H992"/>
      <c r="I992"/>
      <c r="J992"/>
      <c r="K992"/>
      <c r="L992" s="10">
        <v>3946750</v>
      </c>
      <c r="M992" s="10">
        <v>712800</v>
      </c>
      <c r="N992" s="12">
        <v>15</v>
      </c>
      <c r="O992" s="12" t="s">
        <v>6992</v>
      </c>
      <c r="P992" t="s">
        <v>2183</v>
      </c>
      <c r="R992"/>
      <c r="S992" t="s">
        <v>2184</v>
      </c>
      <c r="T992" s="12" t="s">
        <v>2185</v>
      </c>
      <c r="U992" s="12" t="s">
        <v>2186</v>
      </c>
      <c r="V992" s="12" t="s">
        <v>2187</v>
      </c>
      <c r="W992" s="12">
        <v>0</v>
      </c>
      <c r="X992" s="12">
        <v>1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2">
        <v>0</v>
      </c>
      <c r="AK992" s="12">
        <v>0</v>
      </c>
      <c r="AL992" s="12">
        <v>0</v>
      </c>
      <c r="AM992" s="12"/>
      <c r="AN992" s="12">
        <v>0</v>
      </c>
      <c r="AO992" s="12">
        <v>0</v>
      </c>
      <c r="AP992" s="12">
        <v>0</v>
      </c>
      <c r="AQ992" s="12">
        <v>0</v>
      </c>
      <c r="AR992" s="12">
        <v>0</v>
      </c>
      <c r="AS992" s="12">
        <v>0</v>
      </c>
      <c r="AT992" s="12">
        <v>0</v>
      </c>
      <c r="AU992" s="12">
        <v>0</v>
      </c>
      <c r="AV992" s="12">
        <v>0</v>
      </c>
      <c r="AW992" s="12">
        <v>0</v>
      </c>
      <c r="AX992" s="12">
        <v>0</v>
      </c>
      <c r="AY992" s="12">
        <v>0</v>
      </c>
      <c r="AZ992"/>
      <c r="BA992"/>
      <c r="BB992" s="12">
        <v>0</v>
      </c>
      <c r="BC992" s="12">
        <v>0</v>
      </c>
      <c r="BD992" s="12">
        <v>0</v>
      </c>
      <c r="BE992" s="12">
        <v>0</v>
      </c>
      <c r="BF992" s="12">
        <v>0</v>
      </c>
      <c r="BI992" s="12">
        <v>0</v>
      </c>
      <c r="BJ992" s="12">
        <v>0</v>
      </c>
    </row>
    <row r="993" spans="1:62" x14ac:dyDescent="0.15">
      <c r="A993" s="12"/>
      <c r="B993" t="s">
        <v>1995</v>
      </c>
      <c r="C993" t="s">
        <v>1995</v>
      </c>
      <c r="D993" t="s">
        <v>6596</v>
      </c>
      <c r="E993" t="s">
        <v>2182</v>
      </c>
      <c r="F993"/>
      <c r="G993"/>
      <c r="H993"/>
      <c r="I993"/>
      <c r="J993"/>
      <c r="K993"/>
      <c r="L993" s="10">
        <v>3940960</v>
      </c>
      <c r="M993" s="10">
        <v>732550</v>
      </c>
      <c r="N993" s="12">
        <v>15</v>
      </c>
      <c r="O993" s="12" t="s">
        <v>6992</v>
      </c>
      <c r="P993" t="s">
        <v>2183</v>
      </c>
      <c r="R993"/>
      <c r="S993" t="s">
        <v>2184</v>
      </c>
      <c r="T993" s="12" t="s">
        <v>2185</v>
      </c>
      <c r="U993" s="12" t="s">
        <v>2186</v>
      </c>
      <c r="V993" s="12" t="s">
        <v>2187</v>
      </c>
      <c r="W993" s="12">
        <v>0</v>
      </c>
      <c r="X993" s="12">
        <v>1</v>
      </c>
      <c r="Y993" s="12">
        <v>0</v>
      </c>
      <c r="Z993" s="12">
        <v>0</v>
      </c>
      <c r="AA993" s="12">
        <v>0</v>
      </c>
      <c r="AB993" s="12">
        <v>0</v>
      </c>
      <c r="AC993" s="12">
        <v>0</v>
      </c>
      <c r="AD993" s="12">
        <v>0</v>
      </c>
      <c r="AE993" s="12">
        <v>0</v>
      </c>
      <c r="AF993" s="12">
        <v>0</v>
      </c>
      <c r="AG993" s="12">
        <v>0</v>
      </c>
      <c r="AH993" s="12">
        <v>0</v>
      </c>
      <c r="AI993" s="12">
        <v>0</v>
      </c>
      <c r="AJ993" s="12">
        <v>0</v>
      </c>
      <c r="AK993" s="12">
        <v>0</v>
      </c>
      <c r="AL993" s="12">
        <v>0</v>
      </c>
      <c r="AM993" s="12"/>
      <c r="AN993" s="12">
        <v>0</v>
      </c>
      <c r="AO993" s="12">
        <v>0</v>
      </c>
      <c r="AP993" s="12">
        <v>0</v>
      </c>
      <c r="AQ993" s="12">
        <v>0</v>
      </c>
      <c r="AR993" s="12">
        <v>0</v>
      </c>
      <c r="AS993" s="12">
        <v>0</v>
      </c>
      <c r="AT993" s="12">
        <v>0</v>
      </c>
      <c r="AU993" s="12">
        <v>0</v>
      </c>
      <c r="AV993" s="12">
        <v>0</v>
      </c>
      <c r="AW993" s="12">
        <v>0</v>
      </c>
      <c r="AX993" s="12">
        <v>0</v>
      </c>
      <c r="AY993" s="12">
        <v>0</v>
      </c>
      <c r="AZ993"/>
      <c r="BA993"/>
      <c r="BB993" s="12">
        <v>0</v>
      </c>
      <c r="BC993" s="12">
        <v>0</v>
      </c>
      <c r="BD993" s="12">
        <v>0</v>
      </c>
      <c r="BE993" s="12">
        <v>0</v>
      </c>
      <c r="BF993" s="12">
        <v>0</v>
      </c>
      <c r="BI993" s="12">
        <v>0</v>
      </c>
      <c r="BJ993" s="12">
        <v>0</v>
      </c>
    </row>
    <row r="994" spans="1:62" x14ac:dyDescent="0.15">
      <c r="A994" s="12"/>
      <c r="B994" t="s">
        <v>1996</v>
      </c>
      <c r="C994" t="s">
        <v>1996</v>
      </c>
      <c r="D994" t="s">
        <v>6596</v>
      </c>
      <c r="E994" t="s">
        <v>2182</v>
      </c>
      <c r="F994"/>
      <c r="G994"/>
      <c r="H994"/>
      <c r="I994"/>
      <c r="J994"/>
      <c r="K994"/>
      <c r="L994" s="10">
        <v>3952420</v>
      </c>
      <c r="M994" s="10">
        <v>679000</v>
      </c>
      <c r="N994" s="12">
        <v>15</v>
      </c>
      <c r="O994" s="12" t="s">
        <v>6992</v>
      </c>
      <c r="P994" t="s">
        <v>2183</v>
      </c>
      <c r="R994"/>
      <c r="S994" t="s">
        <v>2184</v>
      </c>
      <c r="T994" s="12" t="s">
        <v>2185</v>
      </c>
      <c r="U994" s="12" t="s">
        <v>2186</v>
      </c>
      <c r="V994" s="12" t="s">
        <v>2187</v>
      </c>
      <c r="W994" s="12">
        <v>0</v>
      </c>
      <c r="X994" s="12">
        <v>1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2">
        <v>0</v>
      </c>
      <c r="AK994" s="12">
        <v>0</v>
      </c>
      <c r="AL994" s="12">
        <v>0</v>
      </c>
      <c r="AM994" s="12"/>
      <c r="AN994" s="12">
        <v>0</v>
      </c>
      <c r="AO994" s="12">
        <v>0</v>
      </c>
      <c r="AP994" s="12">
        <v>0</v>
      </c>
      <c r="AQ994" s="12">
        <v>0</v>
      </c>
      <c r="AR994" s="12">
        <v>0</v>
      </c>
      <c r="AS994" s="12">
        <v>0</v>
      </c>
      <c r="AT994" s="12">
        <v>0</v>
      </c>
      <c r="AU994" s="12">
        <v>0</v>
      </c>
      <c r="AV994" s="12">
        <v>0</v>
      </c>
      <c r="AW994" s="12">
        <v>0</v>
      </c>
      <c r="AX994" s="12">
        <v>0</v>
      </c>
      <c r="AY994" s="12">
        <v>0</v>
      </c>
      <c r="AZ994"/>
      <c r="BA994"/>
      <c r="BB994" s="12">
        <v>0</v>
      </c>
      <c r="BC994" s="12">
        <v>0</v>
      </c>
      <c r="BD994" s="12">
        <v>0</v>
      </c>
      <c r="BE994" s="12">
        <v>0</v>
      </c>
      <c r="BF994" s="12">
        <v>0</v>
      </c>
      <c r="BI994" s="12">
        <v>0</v>
      </c>
      <c r="BJ994" s="12">
        <v>0</v>
      </c>
    </row>
    <row r="995" spans="1:62" x14ac:dyDescent="0.15">
      <c r="A995" s="12"/>
      <c r="B995" t="s">
        <v>1997</v>
      </c>
      <c r="C995" s="27" t="s">
        <v>1704</v>
      </c>
      <c r="D995" t="s">
        <v>6596</v>
      </c>
      <c r="E995" t="s">
        <v>2182</v>
      </c>
      <c r="F995"/>
      <c r="G995"/>
      <c r="H995"/>
      <c r="I995"/>
      <c r="J995"/>
      <c r="K995"/>
      <c r="L995" s="10">
        <v>3977000</v>
      </c>
      <c r="M995" s="10">
        <v>721760</v>
      </c>
      <c r="N995" s="12">
        <v>15</v>
      </c>
      <c r="O995" s="12" t="s">
        <v>6992</v>
      </c>
      <c r="P995" t="s">
        <v>2183</v>
      </c>
      <c r="R995"/>
      <c r="S995" t="s">
        <v>2184</v>
      </c>
      <c r="T995" s="12" t="s">
        <v>2185</v>
      </c>
      <c r="U995" s="12" t="s">
        <v>2186</v>
      </c>
      <c r="V995" s="12" t="s">
        <v>2187</v>
      </c>
      <c r="W995" s="12">
        <v>0</v>
      </c>
      <c r="X995" s="12">
        <v>1</v>
      </c>
      <c r="Y995" s="12">
        <v>0</v>
      </c>
      <c r="Z995" s="12">
        <v>0</v>
      </c>
      <c r="AA995" s="12">
        <v>0</v>
      </c>
      <c r="AB995" s="12">
        <v>0</v>
      </c>
      <c r="AC995" s="12">
        <v>0</v>
      </c>
      <c r="AD995" s="12">
        <v>0</v>
      </c>
      <c r="AE995" s="12">
        <v>0</v>
      </c>
      <c r="AF995" s="12">
        <v>0</v>
      </c>
      <c r="AG995" s="12">
        <v>0</v>
      </c>
      <c r="AH995" s="12">
        <v>0</v>
      </c>
      <c r="AI995" s="12">
        <v>0</v>
      </c>
      <c r="AJ995" s="12">
        <v>0</v>
      </c>
      <c r="AK995" s="12">
        <v>0</v>
      </c>
      <c r="AL995" s="12">
        <v>0</v>
      </c>
      <c r="AM995" s="12"/>
      <c r="AN995" s="12">
        <v>0</v>
      </c>
      <c r="AO995" s="12">
        <v>0</v>
      </c>
      <c r="AP995" s="12">
        <v>0</v>
      </c>
      <c r="AQ995" s="12">
        <v>0</v>
      </c>
      <c r="AR995" s="12">
        <v>0</v>
      </c>
      <c r="AS995" s="12">
        <v>0</v>
      </c>
      <c r="AT995" s="12">
        <v>0</v>
      </c>
      <c r="AU995" s="12">
        <v>0</v>
      </c>
      <c r="AV995" s="12">
        <v>0</v>
      </c>
      <c r="AW995" s="12">
        <v>0</v>
      </c>
      <c r="AX995" s="12">
        <v>0</v>
      </c>
      <c r="AY995" s="12">
        <v>0</v>
      </c>
      <c r="AZ995"/>
      <c r="BA995"/>
      <c r="BB995" s="12">
        <v>0</v>
      </c>
      <c r="BC995" s="12">
        <v>0</v>
      </c>
      <c r="BD995" s="12">
        <v>0</v>
      </c>
      <c r="BE995" s="12">
        <v>0</v>
      </c>
      <c r="BF995" s="12">
        <v>0</v>
      </c>
      <c r="BI995" s="12">
        <v>0</v>
      </c>
      <c r="BJ995" s="12">
        <v>0</v>
      </c>
    </row>
    <row r="996" spans="1:62" x14ac:dyDescent="0.15">
      <c r="A996" s="12"/>
      <c r="B996" t="s">
        <v>1705</v>
      </c>
      <c r="C996" s="27" t="s">
        <v>1706</v>
      </c>
      <c r="D996" t="s">
        <v>6596</v>
      </c>
      <c r="E996" t="s">
        <v>2182</v>
      </c>
      <c r="F996"/>
      <c r="G996"/>
      <c r="H996"/>
      <c r="I996"/>
      <c r="J996"/>
      <c r="K996"/>
      <c r="L996" s="10">
        <v>3969100</v>
      </c>
      <c r="M996" s="10">
        <v>716370</v>
      </c>
      <c r="N996" s="12">
        <v>15</v>
      </c>
      <c r="O996" s="12" t="s">
        <v>6992</v>
      </c>
      <c r="P996" t="s">
        <v>2183</v>
      </c>
      <c r="R996"/>
      <c r="S996" t="s">
        <v>2184</v>
      </c>
      <c r="T996" s="12" t="s">
        <v>2185</v>
      </c>
      <c r="U996" s="12" t="s">
        <v>2186</v>
      </c>
      <c r="V996" s="12" t="s">
        <v>2187</v>
      </c>
      <c r="W996" s="12">
        <v>0</v>
      </c>
      <c r="X996" s="12">
        <v>1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2">
        <v>0</v>
      </c>
      <c r="AK996" s="12">
        <v>0</v>
      </c>
      <c r="AL996" s="12">
        <v>0</v>
      </c>
      <c r="AM996" s="12"/>
      <c r="AN996" s="12">
        <v>0</v>
      </c>
      <c r="AO996" s="12">
        <v>0</v>
      </c>
      <c r="AP996" s="12">
        <v>0</v>
      </c>
      <c r="AQ996" s="12">
        <v>0</v>
      </c>
      <c r="AR996" s="12">
        <v>0</v>
      </c>
      <c r="AS996" s="12">
        <v>0</v>
      </c>
      <c r="AT996" s="12">
        <v>0</v>
      </c>
      <c r="AU996" s="12">
        <v>0</v>
      </c>
      <c r="AV996" s="12">
        <v>0</v>
      </c>
      <c r="AW996" s="12">
        <v>0</v>
      </c>
      <c r="AX996" s="12">
        <v>0</v>
      </c>
      <c r="AY996" s="12">
        <v>0</v>
      </c>
      <c r="AZ996"/>
      <c r="BA996"/>
      <c r="BB996" s="12">
        <v>0</v>
      </c>
      <c r="BC996" s="12">
        <v>0</v>
      </c>
      <c r="BD996" s="12">
        <v>0</v>
      </c>
      <c r="BE996" s="12">
        <v>0</v>
      </c>
      <c r="BF996" s="12">
        <v>0</v>
      </c>
      <c r="BI996" s="12">
        <v>0</v>
      </c>
      <c r="BJ996" s="12">
        <v>0</v>
      </c>
    </row>
    <row r="997" spans="1:62" x14ac:dyDescent="0.15">
      <c r="A997" s="12"/>
      <c r="B997" t="s">
        <v>1707</v>
      </c>
      <c r="C997" s="27" t="s">
        <v>1708</v>
      </c>
      <c r="D997" t="s">
        <v>6596</v>
      </c>
      <c r="E997" t="s">
        <v>2182</v>
      </c>
      <c r="F997"/>
      <c r="G997"/>
      <c r="H997"/>
      <c r="I997"/>
      <c r="J997"/>
      <c r="K997"/>
      <c r="L997" s="10">
        <v>3973180</v>
      </c>
      <c r="M997" s="10">
        <v>721740</v>
      </c>
      <c r="N997" s="12">
        <v>15</v>
      </c>
      <c r="O997" s="12" t="s">
        <v>6992</v>
      </c>
      <c r="P997" t="s">
        <v>2183</v>
      </c>
      <c r="R997"/>
      <c r="S997" t="s">
        <v>2184</v>
      </c>
      <c r="T997" s="12" t="s">
        <v>2185</v>
      </c>
      <c r="U997" s="12" t="s">
        <v>2186</v>
      </c>
      <c r="V997" s="12" t="s">
        <v>2187</v>
      </c>
      <c r="W997" s="12">
        <v>0</v>
      </c>
      <c r="X997" s="12">
        <v>1</v>
      </c>
      <c r="Y997" s="12">
        <v>0</v>
      </c>
      <c r="Z997" s="12">
        <v>0</v>
      </c>
      <c r="AA997" s="12">
        <v>0</v>
      </c>
      <c r="AB997" s="12">
        <v>0</v>
      </c>
      <c r="AC997" s="12">
        <v>0</v>
      </c>
      <c r="AD997" s="12">
        <v>0</v>
      </c>
      <c r="AE997" s="12">
        <v>0</v>
      </c>
      <c r="AF997" s="12">
        <v>0</v>
      </c>
      <c r="AG997" s="12">
        <v>0</v>
      </c>
      <c r="AH997" s="12">
        <v>0</v>
      </c>
      <c r="AI997" s="12">
        <v>0</v>
      </c>
      <c r="AJ997" s="12">
        <v>0</v>
      </c>
      <c r="AK997" s="12">
        <v>0</v>
      </c>
      <c r="AL997" s="12">
        <v>0</v>
      </c>
      <c r="AM997" s="12"/>
      <c r="AN997" s="12">
        <v>0</v>
      </c>
      <c r="AO997" s="12">
        <v>0</v>
      </c>
      <c r="AP997" s="12">
        <v>0</v>
      </c>
      <c r="AQ997" s="12">
        <v>0</v>
      </c>
      <c r="AR997" s="12">
        <v>0</v>
      </c>
      <c r="AS997" s="12">
        <v>0</v>
      </c>
      <c r="AT997" s="12">
        <v>0</v>
      </c>
      <c r="AU997" s="12">
        <v>0</v>
      </c>
      <c r="AV997" s="12">
        <v>0</v>
      </c>
      <c r="AW997" s="12">
        <v>0</v>
      </c>
      <c r="AX997" s="12">
        <v>0</v>
      </c>
      <c r="AY997" s="12">
        <v>0</v>
      </c>
      <c r="AZ997"/>
      <c r="BA997"/>
      <c r="BB997" s="12">
        <v>0</v>
      </c>
      <c r="BC997" s="12">
        <v>0</v>
      </c>
      <c r="BD997" s="12">
        <v>0</v>
      </c>
      <c r="BE997" s="12">
        <v>0</v>
      </c>
      <c r="BF997" s="12">
        <v>0</v>
      </c>
      <c r="BI997" s="12">
        <v>0</v>
      </c>
      <c r="BJ997" s="12">
        <v>0</v>
      </c>
    </row>
    <row r="998" spans="1:62" x14ac:dyDescent="0.15">
      <c r="A998" s="12"/>
      <c r="B998" t="s">
        <v>1709</v>
      </c>
      <c r="C998" s="27" t="s">
        <v>1710</v>
      </c>
      <c r="D998" t="s">
        <v>6596</v>
      </c>
      <c r="E998" t="s">
        <v>2182</v>
      </c>
      <c r="F998"/>
      <c r="G998"/>
      <c r="H998"/>
      <c r="I998"/>
      <c r="J998"/>
      <c r="K998"/>
      <c r="L998" s="10">
        <v>3979730</v>
      </c>
      <c r="M998" s="10">
        <v>724320</v>
      </c>
      <c r="N998" s="12">
        <v>15</v>
      </c>
      <c r="O998" s="12" t="s">
        <v>6992</v>
      </c>
      <c r="P998" t="s">
        <v>2183</v>
      </c>
      <c r="R998"/>
      <c r="S998" t="s">
        <v>2184</v>
      </c>
      <c r="T998" s="12" t="s">
        <v>2185</v>
      </c>
      <c r="U998" s="12" t="s">
        <v>2186</v>
      </c>
      <c r="V998" s="12" t="s">
        <v>2187</v>
      </c>
      <c r="W998" s="12">
        <v>0</v>
      </c>
      <c r="X998" s="12">
        <v>1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2">
        <v>0</v>
      </c>
      <c r="AK998" s="12">
        <v>0</v>
      </c>
      <c r="AL998" s="12">
        <v>0</v>
      </c>
      <c r="AM998" s="12"/>
      <c r="AN998" s="12">
        <v>0</v>
      </c>
      <c r="AO998" s="12">
        <v>0</v>
      </c>
      <c r="AP998" s="12">
        <v>0</v>
      </c>
      <c r="AQ998" s="12">
        <v>0</v>
      </c>
      <c r="AR998" s="12">
        <v>0</v>
      </c>
      <c r="AS998" s="12">
        <v>0</v>
      </c>
      <c r="AT998" s="12">
        <v>0</v>
      </c>
      <c r="AU998" s="12">
        <v>0</v>
      </c>
      <c r="AV998" s="12">
        <v>0</v>
      </c>
      <c r="AW998" s="12">
        <v>0</v>
      </c>
      <c r="AX998" s="12">
        <v>0</v>
      </c>
      <c r="AY998" s="12">
        <v>0</v>
      </c>
      <c r="AZ998"/>
      <c r="BA998"/>
      <c r="BB998" s="12">
        <v>0</v>
      </c>
      <c r="BC998" s="12">
        <v>0</v>
      </c>
      <c r="BD998" s="12">
        <v>0</v>
      </c>
      <c r="BE998" s="12">
        <v>0</v>
      </c>
      <c r="BF998" s="12">
        <v>0</v>
      </c>
      <c r="BI998" s="12">
        <v>0</v>
      </c>
      <c r="BJ998" s="12">
        <v>0</v>
      </c>
    </row>
    <row r="999" spans="1:62" x14ac:dyDescent="0.15">
      <c r="A999" s="12"/>
      <c r="B999" t="s">
        <v>1711</v>
      </c>
      <c r="C999" s="27" t="s">
        <v>1712</v>
      </c>
      <c r="D999" t="s">
        <v>6596</v>
      </c>
      <c r="E999" t="s">
        <v>2182</v>
      </c>
      <c r="F999"/>
      <c r="G999"/>
      <c r="H999"/>
      <c r="I999"/>
      <c r="J999"/>
      <c r="K999"/>
      <c r="L999" s="10">
        <v>3966320</v>
      </c>
      <c r="M999" s="10">
        <v>726620</v>
      </c>
      <c r="N999" s="12">
        <v>15</v>
      </c>
      <c r="O999" s="12" t="s">
        <v>6992</v>
      </c>
      <c r="P999" t="s">
        <v>2183</v>
      </c>
      <c r="R999"/>
      <c r="S999" t="s">
        <v>2184</v>
      </c>
      <c r="T999" s="12" t="s">
        <v>2185</v>
      </c>
      <c r="U999" s="12" t="s">
        <v>2186</v>
      </c>
      <c r="V999" s="12" t="s">
        <v>2187</v>
      </c>
      <c r="W999" s="12">
        <v>0</v>
      </c>
      <c r="X999" s="12">
        <v>1</v>
      </c>
      <c r="Y999" s="12">
        <v>0</v>
      </c>
      <c r="Z999" s="12">
        <v>0</v>
      </c>
      <c r="AA999" s="12">
        <v>0</v>
      </c>
      <c r="AB999" s="12">
        <v>0</v>
      </c>
      <c r="AC999" s="12">
        <v>0</v>
      </c>
      <c r="AD999" s="12">
        <v>0</v>
      </c>
      <c r="AE999" s="12">
        <v>0</v>
      </c>
      <c r="AF999" s="12">
        <v>0</v>
      </c>
      <c r="AG999" s="12">
        <v>0</v>
      </c>
      <c r="AH999" s="12">
        <v>0</v>
      </c>
      <c r="AI999" s="12">
        <v>0</v>
      </c>
      <c r="AJ999" s="12">
        <v>0</v>
      </c>
      <c r="AK999" s="12">
        <v>0</v>
      </c>
      <c r="AL999" s="12">
        <v>0</v>
      </c>
      <c r="AM999" s="12"/>
      <c r="AN999" s="12">
        <v>0</v>
      </c>
      <c r="AO999" s="12">
        <v>0</v>
      </c>
      <c r="AP999" s="12">
        <v>0</v>
      </c>
      <c r="AQ999" s="12">
        <v>0</v>
      </c>
      <c r="AR999" s="12">
        <v>0</v>
      </c>
      <c r="AS999" s="12">
        <v>0</v>
      </c>
      <c r="AT999" s="12">
        <v>0</v>
      </c>
      <c r="AU999" s="12">
        <v>0</v>
      </c>
      <c r="AV999" s="12">
        <v>0</v>
      </c>
      <c r="AW999" s="12">
        <v>0</v>
      </c>
      <c r="AX999" s="12">
        <v>0</v>
      </c>
      <c r="AY999" s="12">
        <v>0</v>
      </c>
      <c r="AZ999"/>
      <c r="BA999"/>
      <c r="BB999" s="12">
        <v>0</v>
      </c>
      <c r="BC999" s="12">
        <v>0</v>
      </c>
      <c r="BD999" s="12">
        <v>0</v>
      </c>
      <c r="BE999" s="12">
        <v>0</v>
      </c>
      <c r="BF999" s="12">
        <v>0</v>
      </c>
      <c r="BI999" s="12">
        <v>0</v>
      </c>
      <c r="BJ999" s="12">
        <v>0</v>
      </c>
    </row>
    <row r="1000" spans="1:62" x14ac:dyDescent="0.15">
      <c r="A1000" s="12"/>
      <c r="B1000" t="s">
        <v>1713</v>
      </c>
      <c r="C1000" t="s">
        <v>1713</v>
      </c>
      <c r="D1000" t="s">
        <v>6596</v>
      </c>
      <c r="E1000" t="s">
        <v>2182</v>
      </c>
      <c r="F1000"/>
      <c r="G1000"/>
      <c r="H1000"/>
      <c r="I1000"/>
      <c r="J1000"/>
      <c r="K1000"/>
      <c r="L1000" s="10">
        <v>3959520</v>
      </c>
      <c r="M1000" s="10">
        <v>684150</v>
      </c>
      <c r="N1000" s="12">
        <v>15</v>
      </c>
      <c r="O1000" s="12" t="s">
        <v>6992</v>
      </c>
      <c r="P1000" t="s">
        <v>2183</v>
      </c>
      <c r="R1000"/>
      <c r="S1000" t="s">
        <v>2184</v>
      </c>
      <c r="T1000" s="12" t="s">
        <v>2185</v>
      </c>
      <c r="U1000" s="12" t="s">
        <v>2186</v>
      </c>
      <c r="V1000" s="12" t="s">
        <v>2187</v>
      </c>
      <c r="W1000" s="12">
        <v>0</v>
      </c>
      <c r="X1000" s="12">
        <v>1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2">
        <v>0</v>
      </c>
      <c r="AK1000" s="12">
        <v>0</v>
      </c>
      <c r="AL1000" s="12">
        <v>0</v>
      </c>
      <c r="AM1000" s="12"/>
      <c r="AN1000" s="12">
        <v>0</v>
      </c>
      <c r="AO1000" s="12">
        <v>0</v>
      </c>
      <c r="AP1000" s="12">
        <v>0</v>
      </c>
      <c r="AQ1000" s="12">
        <v>0</v>
      </c>
      <c r="AR1000" s="12">
        <v>0</v>
      </c>
      <c r="AS1000" s="12">
        <v>0</v>
      </c>
      <c r="AT1000" s="12">
        <v>0</v>
      </c>
      <c r="AU1000" s="12">
        <v>0</v>
      </c>
      <c r="AV1000" s="12">
        <v>0</v>
      </c>
      <c r="AW1000" s="12">
        <v>0</v>
      </c>
      <c r="AX1000" s="12">
        <v>0</v>
      </c>
      <c r="AY1000" s="12">
        <v>0</v>
      </c>
      <c r="AZ1000"/>
      <c r="BA1000"/>
      <c r="BB1000" s="12">
        <v>0</v>
      </c>
      <c r="BC1000" s="12">
        <v>0</v>
      </c>
      <c r="BD1000" s="12">
        <v>0</v>
      </c>
      <c r="BE1000" s="12">
        <v>0</v>
      </c>
      <c r="BF1000" s="12">
        <v>0</v>
      </c>
      <c r="BI1000" s="12">
        <v>0</v>
      </c>
      <c r="BJ1000" s="12">
        <v>0</v>
      </c>
    </row>
    <row r="1001" spans="1:62" x14ac:dyDescent="0.15">
      <c r="A1001" s="12"/>
      <c r="B1001" t="s">
        <v>1714</v>
      </c>
      <c r="C1001" t="s">
        <v>1714</v>
      </c>
      <c r="D1001" t="s">
        <v>6596</v>
      </c>
      <c r="E1001" t="s">
        <v>2182</v>
      </c>
      <c r="F1001"/>
      <c r="G1001"/>
      <c r="H1001"/>
      <c r="I1001"/>
      <c r="J1001"/>
      <c r="K1001"/>
      <c r="L1001" s="10">
        <v>3971520</v>
      </c>
      <c r="M1001" s="10">
        <v>693250</v>
      </c>
      <c r="N1001" s="12">
        <v>15</v>
      </c>
      <c r="O1001" s="12" t="s">
        <v>6992</v>
      </c>
      <c r="P1001" t="s">
        <v>2183</v>
      </c>
      <c r="R1001"/>
      <c r="S1001" t="s">
        <v>2184</v>
      </c>
      <c r="T1001" s="12" t="s">
        <v>2185</v>
      </c>
      <c r="U1001" s="12" t="s">
        <v>2186</v>
      </c>
      <c r="V1001" s="12" t="s">
        <v>2187</v>
      </c>
      <c r="W1001" s="12">
        <v>0</v>
      </c>
      <c r="X1001" s="12">
        <v>1</v>
      </c>
      <c r="Y1001" s="12">
        <v>0</v>
      </c>
      <c r="Z1001" s="12">
        <v>0</v>
      </c>
      <c r="AA1001" s="12">
        <v>0</v>
      </c>
      <c r="AB1001" s="12">
        <v>0</v>
      </c>
      <c r="AC1001" s="12">
        <v>0</v>
      </c>
      <c r="AD1001" s="12">
        <v>0</v>
      </c>
      <c r="AE1001" s="12">
        <v>0</v>
      </c>
      <c r="AF1001" s="12">
        <v>0</v>
      </c>
      <c r="AG1001" s="12">
        <v>0</v>
      </c>
      <c r="AH1001" s="12">
        <v>0</v>
      </c>
      <c r="AI1001" s="12">
        <v>0</v>
      </c>
      <c r="AJ1001" s="12">
        <v>0</v>
      </c>
      <c r="AK1001" s="12">
        <v>0</v>
      </c>
      <c r="AL1001" s="12">
        <v>0</v>
      </c>
      <c r="AM1001" s="12"/>
      <c r="AN1001" s="12">
        <v>0</v>
      </c>
      <c r="AO1001" s="12">
        <v>0</v>
      </c>
      <c r="AP1001" s="12">
        <v>0</v>
      </c>
      <c r="AQ1001" s="12">
        <v>0</v>
      </c>
      <c r="AR1001" s="12">
        <v>0</v>
      </c>
      <c r="AS1001" s="12">
        <v>0</v>
      </c>
      <c r="AT1001" s="12">
        <v>0</v>
      </c>
      <c r="AU1001" s="12">
        <v>0</v>
      </c>
      <c r="AV1001" s="12">
        <v>0</v>
      </c>
      <c r="AW1001" s="12">
        <v>0</v>
      </c>
      <c r="AX1001" s="12">
        <v>0</v>
      </c>
      <c r="AY1001" s="12">
        <v>0</v>
      </c>
      <c r="AZ1001"/>
      <c r="BA1001"/>
      <c r="BB1001" s="12">
        <v>0</v>
      </c>
      <c r="BC1001" s="12">
        <v>0</v>
      </c>
      <c r="BD1001" s="12">
        <v>0</v>
      </c>
      <c r="BE1001" s="12">
        <v>0</v>
      </c>
      <c r="BF1001" s="12">
        <v>0</v>
      </c>
      <c r="BI1001" s="12">
        <v>0</v>
      </c>
      <c r="BJ1001" s="12">
        <v>0</v>
      </c>
    </row>
    <row r="1002" spans="1:62" x14ac:dyDescent="0.15">
      <c r="A1002" s="12"/>
      <c r="B1002" t="s">
        <v>1715</v>
      </c>
      <c r="C1002" s="27" t="s">
        <v>1716</v>
      </c>
      <c r="D1002" t="s">
        <v>6596</v>
      </c>
      <c r="E1002" t="s">
        <v>2182</v>
      </c>
      <c r="F1002"/>
      <c r="G1002"/>
      <c r="H1002"/>
      <c r="I1002"/>
      <c r="J1002"/>
      <c r="K1002"/>
      <c r="L1002" s="10">
        <v>3976380</v>
      </c>
      <c r="M1002" s="10">
        <v>694440</v>
      </c>
      <c r="N1002" s="12">
        <v>15</v>
      </c>
      <c r="O1002" s="12" t="s">
        <v>6992</v>
      </c>
      <c r="P1002" t="s">
        <v>2183</v>
      </c>
      <c r="R1002"/>
      <c r="S1002" t="s">
        <v>2184</v>
      </c>
      <c r="T1002" s="12" t="s">
        <v>2185</v>
      </c>
      <c r="U1002" s="12" t="s">
        <v>2186</v>
      </c>
      <c r="V1002" s="12" t="s">
        <v>2187</v>
      </c>
      <c r="W1002" s="12">
        <v>0</v>
      </c>
      <c r="X1002" s="12">
        <v>1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2">
        <v>0</v>
      </c>
      <c r="AK1002" s="12">
        <v>0</v>
      </c>
      <c r="AL1002" s="12">
        <v>0</v>
      </c>
      <c r="AM1002" s="12"/>
      <c r="AN1002" s="12">
        <v>0</v>
      </c>
      <c r="AO1002" s="12">
        <v>0</v>
      </c>
      <c r="AP1002" s="12">
        <v>0</v>
      </c>
      <c r="AQ1002" s="12">
        <v>0</v>
      </c>
      <c r="AR1002" s="12">
        <v>0</v>
      </c>
      <c r="AS1002" s="12">
        <v>0</v>
      </c>
      <c r="AT1002" s="12">
        <v>0</v>
      </c>
      <c r="AU1002" s="12">
        <v>0</v>
      </c>
      <c r="AV1002" s="12">
        <v>0</v>
      </c>
      <c r="AW1002" s="12">
        <v>0</v>
      </c>
      <c r="AX1002" s="12">
        <v>0</v>
      </c>
      <c r="AY1002" s="12">
        <v>0</v>
      </c>
      <c r="AZ1002"/>
      <c r="BA1002"/>
      <c r="BB1002" s="12">
        <v>0</v>
      </c>
      <c r="BC1002" s="12">
        <v>0</v>
      </c>
      <c r="BD1002" s="12">
        <v>0</v>
      </c>
      <c r="BE1002" s="12">
        <v>0</v>
      </c>
      <c r="BF1002" s="12">
        <v>0</v>
      </c>
      <c r="BI1002" s="12">
        <v>0</v>
      </c>
      <c r="BJ1002" s="12">
        <v>0</v>
      </c>
    </row>
    <row r="1003" spans="1:62" x14ac:dyDescent="0.15">
      <c r="A1003" s="12"/>
      <c r="B1003" t="s">
        <v>1717</v>
      </c>
      <c r="C1003" s="27" t="s">
        <v>1718</v>
      </c>
      <c r="D1003" t="s">
        <v>6596</v>
      </c>
      <c r="E1003" t="s">
        <v>2182</v>
      </c>
      <c r="F1003"/>
      <c r="G1003"/>
      <c r="H1003"/>
      <c r="I1003"/>
      <c r="J1003"/>
      <c r="K1003"/>
      <c r="L1003" s="10">
        <v>3976980</v>
      </c>
      <c r="M1003" s="10">
        <v>700250</v>
      </c>
      <c r="N1003" s="12">
        <v>15</v>
      </c>
      <c r="O1003" s="12" t="s">
        <v>6992</v>
      </c>
      <c r="P1003" t="s">
        <v>2183</v>
      </c>
      <c r="R1003"/>
      <c r="S1003" t="s">
        <v>2184</v>
      </c>
      <c r="T1003" s="12" t="s">
        <v>2185</v>
      </c>
      <c r="U1003" s="12" t="s">
        <v>2186</v>
      </c>
      <c r="V1003" s="12" t="s">
        <v>2187</v>
      </c>
      <c r="W1003" s="12">
        <v>0</v>
      </c>
      <c r="X1003" s="12">
        <v>1</v>
      </c>
      <c r="Y1003" s="12">
        <v>0</v>
      </c>
      <c r="Z1003" s="12">
        <v>0</v>
      </c>
      <c r="AA1003" s="12">
        <v>0</v>
      </c>
      <c r="AB1003" s="12">
        <v>0</v>
      </c>
      <c r="AC1003" s="12">
        <v>0</v>
      </c>
      <c r="AD1003" s="12">
        <v>0</v>
      </c>
      <c r="AE1003" s="12">
        <v>0</v>
      </c>
      <c r="AF1003" s="12">
        <v>0</v>
      </c>
      <c r="AG1003" s="12">
        <v>0</v>
      </c>
      <c r="AH1003" s="12">
        <v>0</v>
      </c>
      <c r="AI1003" s="12">
        <v>0</v>
      </c>
      <c r="AJ1003" s="12">
        <v>0</v>
      </c>
      <c r="AK1003" s="12">
        <v>0</v>
      </c>
      <c r="AL1003" s="12">
        <v>0</v>
      </c>
      <c r="AM1003" s="12"/>
      <c r="AN1003" s="12">
        <v>0</v>
      </c>
      <c r="AO1003" s="12">
        <v>0</v>
      </c>
      <c r="AP1003" s="12">
        <v>0</v>
      </c>
      <c r="AQ1003" s="12">
        <v>0</v>
      </c>
      <c r="AR1003" s="12">
        <v>0</v>
      </c>
      <c r="AS1003" s="12">
        <v>0</v>
      </c>
      <c r="AT1003" s="12">
        <v>0</v>
      </c>
      <c r="AU1003" s="12">
        <v>0</v>
      </c>
      <c r="AV1003" s="12">
        <v>0</v>
      </c>
      <c r="AW1003" s="12">
        <v>0</v>
      </c>
      <c r="AX1003" s="12">
        <v>0</v>
      </c>
      <c r="AY1003" s="12">
        <v>0</v>
      </c>
      <c r="AZ1003"/>
      <c r="BA1003"/>
      <c r="BB1003" s="12">
        <v>0</v>
      </c>
      <c r="BC1003" s="12">
        <v>0</v>
      </c>
      <c r="BD1003" s="12">
        <v>0</v>
      </c>
      <c r="BE1003" s="12">
        <v>0</v>
      </c>
      <c r="BF1003" s="12">
        <v>0</v>
      </c>
      <c r="BI1003" s="12">
        <v>0</v>
      </c>
      <c r="BJ1003" s="12">
        <v>0</v>
      </c>
    </row>
    <row r="1004" spans="1:62" x14ac:dyDescent="0.15">
      <c r="A1004" s="12"/>
      <c r="B1004" t="s">
        <v>1719</v>
      </c>
      <c r="C1004" s="27" t="s">
        <v>1720</v>
      </c>
      <c r="D1004" t="s">
        <v>6596</v>
      </c>
      <c r="E1004" t="s">
        <v>2182</v>
      </c>
      <c r="F1004"/>
      <c r="G1004"/>
      <c r="H1004"/>
      <c r="I1004"/>
      <c r="J1004"/>
      <c r="K1004"/>
      <c r="L1004" s="10">
        <v>3961080</v>
      </c>
      <c r="M1004" s="10">
        <v>717100</v>
      </c>
      <c r="N1004" s="12">
        <v>15</v>
      </c>
      <c r="O1004" s="12" t="s">
        <v>6992</v>
      </c>
      <c r="P1004" t="s">
        <v>2183</v>
      </c>
      <c r="R1004"/>
      <c r="S1004" t="s">
        <v>2184</v>
      </c>
      <c r="T1004" s="12" t="s">
        <v>2185</v>
      </c>
      <c r="U1004" s="12" t="s">
        <v>2186</v>
      </c>
      <c r="V1004" s="12" t="s">
        <v>2187</v>
      </c>
      <c r="W1004" s="12">
        <v>0</v>
      </c>
      <c r="X1004" s="12">
        <v>1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2">
        <v>0</v>
      </c>
      <c r="AK1004" s="12">
        <v>0</v>
      </c>
      <c r="AL1004" s="12">
        <v>0</v>
      </c>
      <c r="AM1004" s="12"/>
      <c r="AN1004" s="12">
        <v>0</v>
      </c>
      <c r="AO1004" s="12">
        <v>0</v>
      </c>
      <c r="AP1004" s="12">
        <v>0</v>
      </c>
      <c r="AQ1004" s="12">
        <v>0</v>
      </c>
      <c r="AR1004" s="12">
        <v>0</v>
      </c>
      <c r="AS1004" s="12">
        <v>0</v>
      </c>
      <c r="AT1004" s="12">
        <v>0</v>
      </c>
      <c r="AU1004" s="12">
        <v>0</v>
      </c>
      <c r="AV1004" s="12">
        <v>0</v>
      </c>
      <c r="AW1004" s="12">
        <v>0</v>
      </c>
      <c r="AX1004" s="12">
        <v>0</v>
      </c>
      <c r="AY1004" s="12">
        <v>0</v>
      </c>
      <c r="AZ1004"/>
      <c r="BA1004"/>
      <c r="BB1004" s="12">
        <v>0</v>
      </c>
      <c r="BC1004" s="12">
        <v>0</v>
      </c>
      <c r="BD1004" s="12">
        <v>0</v>
      </c>
      <c r="BE1004" s="12">
        <v>0</v>
      </c>
      <c r="BF1004" s="12">
        <v>0</v>
      </c>
      <c r="BI1004" s="12">
        <v>0</v>
      </c>
      <c r="BJ1004" s="12">
        <v>0</v>
      </c>
    </row>
    <row r="1005" spans="1:62" x14ac:dyDescent="0.15">
      <c r="A1005" s="12"/>
      <c r="B1005" t="s">
        <v>1721</v>
      </c>
      <c r="C1005" s="27" t="s">
        <v>1722</v>
      </c>
      <c r="D1005" t="s">
        <v>6596</v>
      </c>
      <c r="E1005" t="s">
        <v>2182</v>
      </c>
      <c r="F1005"/>
      <c r="G1005"/>
      <c r="H1005"/>
      <c r="I1005"/>
      <c r="J1005"/>
      <c r="K1005"/>
      <c r="L1005" s="10">
        <v>3981480</v>
      </c>
      <c r="M1005" s="10">
        <v>699100</v>
      </c>
      <c r="N1005" s="12">
        <v>15</v>
      </c>
      <c r="O1005" s="12" t="s">
        <v>6992</v>
      </c>
      <c r="P1005" t="s">
        <v>2183</v>
      </c>
      <c r="R1005"/>
      <c r="S1005" t="s">
        <v>2184</v>
      </c>
      <c r="T1005" s="12" t="s">
        <v>2185</v>
      </c>
      <c r="U1005" s="12" t="s">
        <v>2186</v>
      </c>
      <c r="V1005" s="12" t="s">
        <v>2187</v>
      </c>
      <c r="W1005" s="12">
        <v>0</v>
      </c>
      <c r="X1005" s="12">
        <v>1</v>
      </c>
      <c r="Y1005" s="12">
        <v>0</v>
      </c>
      <c r="Z1005" s="12">
        <v>0</v>
      </c>
      <c r="AA1005" s="12">
        <v>0</v>
      </c>
      <c r="AB1005" s="12">
        <v>0</v>
      </c>
      <c r="AC1005" s="12">
        <v>0</v>
      </c>
      <c r="AD1005" s="12">
        <v>0</v>
      </c>
      <c r="AE1005" s="12">
        <v>0</v>
      </c>
      <c r="AF1005" s="12">
        <v>0</v>
      </c>
      <c r="AG1005" s="12">
        <v>0</v>
      </c>
      <c r="AH1005" s="12">
        <v>0</v>
      </c>
      <c r="AI1005" s="12">
        <v>0</v>
      </c>
      <c r="AJ1005" s="12">
        <v>0</v>
      </c>
      <c r="AK1005" s="12">
        <v>0</v>
      </c>
      <c r="AL1005" s="12">
        <v>0</v>
      </c>
      <c r="AM1005" s="12"/>
      <c r="AN1005" s="12">
        <v>0</v>
      </c>
      <c r="AO1005" s="12">
        <v>0</v>
      </c>
      <c r="AP1005" s="12">
        <v>0</v>
      </c>
      <c r="AQ1005" s="12">
        <v>0</v>
      </c>
      <c r="AR1005" s="12">
        <v>0</v>
      </c>
      <c r="AS1005" s="12">
        <v>0</v>
      </c>
      <c r="AT1005" s="12">
        <v>0</v>
      </c>
      <c r="AU1005" s="12">
        <v>0</v>
      </c>
      <c r="AV1005" s="12">
        <v>0</v>
      </c>
      <c r="AW1005" s="12">
        <v>0</v>
      </c>
      <c r="AX1005" s="12">
        <v>0</v>
      </c>
      <c r="AY1005" s="12">
        <v>0</v>
      </c>
      <c r="AZ1005"/>
      <c r="BA1005"/>
      <c r="BB1005" s="12">
        <v>0</v>
      </c>
      <c r="BC1005" s="12">
        <v>0</v>
      </c>
      <c r="BD1005" s="12">
        <v>0</v>
      </c>
      <c r="BE1005" s="12">
        <v>0</v>
      </c>
      <c r="BF1005" s="12">
        <v>0</v>
      </c>
      <c r="BI1005" s="12">
        <v>0</v>
      </c>
      <c r="BJ1005" s="12">
        <v>0</v>
      </c>
    </row>
    <row r="1006" spans="1:62" x14ac:dyDescent="0.15">
      <c r="A1006" s="12"/>
      <c r="B1006" t="s">
        <v>1723</v>
      </c>
      <c r="C1006" t="s">
        <v>1723</v>
      </c>
      <c r="D1006" t="s">
        <v>6596</v>
      </c>
      <c r="E1006" t="s">
        <v>2182</v>
      </c>
      <c r="F1006"/>
      <c r="G1006"/>
      <c r="H1006"/>
      <c r="I1006"/>
      <c r="J1006"/>
      <c r="K1006"/>
      <c r="L1006" s="10">
        <v>3969580</v>
      </c>
      <c r="M1006" s="10">
        <v>704320</v>
      </c>
      <c r="N1006" s="12">
        <v>15</v>
      </c>
      <c r="O1006" s="12" t="s">
        <v>6992</v>
      </c>
      <c r="P1006" t="s">
        <v>2183</v>
      </c>
      <c r="R1006"/>
      <c r="S1006" t="s">
        <v>2184</v>
      </c>
      <c r="T1006" s="12" t="s">
        <v>2185</v>
      </c>
      <c r="U1006" s="12" t="s">
        <v>2186</v>
      </c>
      <c r="V1006" s="12" t="s">
        <v>2187</v>
      </c>
      <c r="W1006" s="12">
        <v>0</v>
      </c>
      <c r="X1006" s="12">
        <v>1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2">
        <v>0</v>
      </c>
      <c r="AK1006" s="12">
        <v>0</v>
      </c>
      <c r="AL1006" s="12">
        <v>0</v>
      </c>
      <c r="AM1006" s="12"/>
      <c r="AN1006" s="12">
        <v>0</v>
      </c>
      <c r="AO1006" s="12">
        <v>0</v>
      </c>
      <c r="AP1006" s="12">
        <v>0</v>
      </c>
      <c r="AQ1006" s="12">
        <v>0</v>
      </c>
      <c r="AR1006" s="12">
        <v>0</v>
      </c>
      <c r="AS1006" s="12">
        <v>0</v>
      </c>
      <c r="AT1006" s="12">
        <v>0</v>
      </c>
      <c r="AU1006" s="12">
        <v>0</v>
      </c>
      <c r="AV1006" s="12">
        <v>0</v>
      </c>
      <c r="AW1006" s="12">
        <v>0</v>
      </c>
      <c r="AX1006" s="12">
        <v>0</v>
      </c>
      <c r="AY1006" s="12">
        <v>0</v>
      </c>
      <c r="AZ1006"/>
      <c r="BA1006"/>
      <c r="BB1006" s="12">
        <v>0</v>
      </c>
      <c r="BC1006" s="12">
        <v>0</v>
      </c>
      <c r="BD1006" s="12">
        <v>0</v>
      </c>
      <c r="BE1006" s="12">
        <v>0</v>
      </c>
      <c r="BF1006" s="12">
        <v>0</v>
      </c>
      <c r="BI1006" s="12">
        <v>0</v>
      </c>
      <c r="BJ1006" s="12">
        <v>0</v>
      </c>
    </row>
    <row r="1007" spans="1:62" x14ac:dyDescent="0.15">
      <c r="A1007" s="12"/>
      <c r="B1007" t="s">
        <v>1724</v>
      </c>
      <c r="C1007" t="s">
        <v>1724</v>
      </c>
      <c r="D1007" t="s">
        <v>6596</v>
      </c>
      <c r="E1007" t="s">
        <v>2182</v>
      </c>
      <c r="F1007"/>
      <c r="G1007"/>
      <c r="H1007"/>
      <c r="I1007"/>
      <c r="J1007"/>
      <c r="K1007"/>
      <c r="L1007" s="10">
        <v>3969740</v>
      </c>
      <c r="M1007" s="10">
        <v>704600</v>
      </c>
      <c r="N1007" s="12">
        <v>15</v>
      </c>
      <c r="O1007" s="12" t="s">
        <v>6992</v>
      </c>
      <c r="P1007" t="s">
        <v>2183</v>
      </c>
      <c r="R1007"/>
      <c r="S1007" t="s">
        <v>2184</v>
      </c>
      <c r="T1007" s="12" t="s">
        <v>2185</v>
      </c>
      <c r="U1007" s="12" t="s">
        <v>2186</v>
      </c>
      <c r="V1007" s="12" t="s">
        <v>2187</v>
      </c>
      <c r="W1007" s="12">
        <v>0</v>
      </c>
      <c r="X1007" s="12">
        <v>1</v>
      </c>
      <c r="Y1007" s="12">
        <v>0</v>
      </c>
      <c r="Z1007" s="12">
        <v>0</v>
      </c>
      <c r="AA1007" s="12">
        <v>0</v>
      </c>
      <c r="AB1007" s="12">
        <v>0</v>
      </c>
      <c r="AC1007" s="12">
        <v>0</v>
      </c>
      <c r="AD1007" s="12">
        <v>0</v>
      </c>
      <c r="AE1007" s="12">
        <v>0</v>
      </c>
      <c r="AF1007" s="12">
        <v>0</v>
      </c>
      <c r="AG1007" s="12">
        <v>0</v>
      </c>
      <c r="AH1007" s="12">
        <v>0</v>
      </c>
      <c r="AI1007" s="12">
        <v>0</v>
      </c>
      <c r="AJ1007" s="12">
        <v>0</v>
      </c>
      <c r="AK1007" s="12">
        <v>0</v>
      </c>
      <c r="AL1007" s="12">
        <v>0</v>
      </c>
      <c r="AM1007" s="12"/>
      <c r="AN1007" s="12">
        <v>0</v>
      </c>
      <c r="AO1007" s="12">
        <v>0</v>
      </c>
      <c r="AP1007" s="12">
        <v>0</v>
      </c>
      <c r="AQ1007" s="12">
        <v>0</v>
      </c>
      <c r="AR1007" s="12">
        <v>0</v>
      </c>
      <c r="AS1007" s="12">
        <v>0</v>
      </c>
      <c r="AT1007" s="12">
        <v>0</v>
      </c>
      <c r="AU1007" s="12">
        <v>0</v>
      </c>
      <c r="AV1007" s="12">
        <v>0</v>
      </c>
      <c r="AW1007" s="12">
        <v>0</v>
      </c>
      <c r="AX1007" s="12">
        <v>0</v>
      </c>
      <c r="AY1007" s="12">
        <v>0</v>
      </c>
      <c r="AZ1007"/>
      <c r="BA1007"/>
      <c r="BB1007" s="12">
        <v>0</v>
      </c>
      <c r="BC1007" s="12">
        <v>0</v>
      </c>
      <c r="BD1007" s="12">
        <v>0</v>
      </c>
      <c r="BE1007" s="12">
        <v>0</v>
      </c>
      <c r="BF1007" s="12">
        <v>0</v>
      </c>
      <c r="BI1007" s="12">
        <v>0</v>
      </c>
      <c r="BJ1007" s="12">
        <v>0</v>
      </c>
    </row>
    <row r="1008" spans="1:62" x14ac:dyDescent="0.15">
      <c r="A1008" s="12"/>
      <c r="B1008" t="s">
        <v>1725</v>
      </c>
      <c r="C1008" t="s">
        <v>1725</v>
      </c>
      <c r="D1008" t="s">
        <v>6596</v>
      </c>
      <c r="E1008" t="s">
        <v>2182</v>
      </c>
      <c r="F1008"/>
      <c r="G1008"/>
      <c r="H1008"/>
      <c r="I1008"/>
      <c r="J1008"/>
      <c r="K1008"/>
      <c r="L1008" s="10">
        <v>3981170</v>
      </c>
      <c r="M1008" s="10">
        <v>693840</v>
      </c>
      <c r="N1008" s="12">
        <v>15</v>
      </c>
      <c r="O1008" s="12" t="s">
        <v>6992</v>
      </c>
      <c r="P1008" t="s">
        <v>2183</v>
      </c>
      <c r="R1008"/>
      <c r="S1008" t="s">
        <v>2184</v>
      </c>
      <c r="T1008" s="12" t="s">
        <v>2185</v>
      </c>
      <c r="U1008" s="12" t="s">
        <v>2186</v>
      </c>
      <c r="V1008" s="12" t="s">
        <v>2187</v>
      </c>
      <c r="W1008" s="12">
        <v>0</v>
      </c>
      <c r="X1008" s="12">
        <v>1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2">
        <v>0</v>
      </c>
      <c r="AK1008" s="12">
        <v>0</v>
      </c>
      <c r="AL1008" s="12">
        <v>0</v>
      </c>
      <c r="AM1008" s="12"/>
      <c r="AN1008" s="12">
        <v>0</v>
      </c>
      <c r="AO1008" s="12">
        <v>0</v>
      </c>
      <c r="AP1008" s="12">
        <v>0</v>
      </c>
      <c r="AQ1008" s="12">
        <v>0</v>
      </c>
      <c r="AR1008" s="12">
        <v>0</v>
      </c>
      <c r="AS1008" s="12">
        <v>0</v>
      </c>
      <c r="AT1008" s="12">
        <v>0</v>
      </c>
      <c r="AU1008" s="12">
        <v>0</v>
      </c>
      <c r="AV1008" s="12">
        <v>0</v>
      </c>
      <c r="AW1008" s="12">
        <v>0</v>
      </c>
      <c r="AX1008" s="12">
        <v>0</v>
      </c>
      <c r="AY1008" s="12">
        <v>0</v>
      </c>
      <c r="AZ1008"/>
      <c r="BA1008"/>
      <c r="BB1008" s="12">
        <v>0</v>
      </c>
      <c r="BC1008" s="12">
        <v>0</v>
      </c>
      <c r="BD1008" s="12">
        <v>0</v>
      </c>
      <c r="BE1008" s="12">
        <v>0</v>
      </c>
      <c r="BF1008" s="12">
        <v>0</v>
      </c>
      <c r="BI1008" s="12">
        <v>0</v>
      </c>
      <c r="BJ1008" s="12">
        <v>0</v>
      </c>
    </row>
    <row r="1009" spans="1:62" x14ac:dyDescent="0.15">
      <c r="A1009" s="12"/>
      <c r="B1009" t="s">
        <v>1726</v>
      </c>
      <c r="C1009" t="s">
        <v>1726</v>
      </c>
      <c r="D1009" t="s">
        <v>6596</v>
      </c>
      <c r="E1009" t="s">
        <v>2182</v>
      </c>
      <c r="F1009"/>
      <c r="G1009"/>
      <c r="H1009"/>
      <c r="I1009"/>
      <c r="J1009"/>
      <c r="K1009"/>
      <c r="L1009" s="10">
        <v>3980620</v>
      </c>
      <c r="M1009" s="10">
        <v>693830</v>
      </c>
      <c r="N1009" s="12">
        <v>15</v>
      </c>
      <c r="O1009" s="12" t="s">
        <v>6992</v>
      </c>
      <c r="P1009" t="s">
        <v>2183</v>
      </c>
      <c r="R1009"/>
      <c r="S1009" t="s">
        <v>2184</v>
      </c>
      <c r="T1009" s="12" t="s">
        <v>2185</v>
      </c>
      <c r="U1009" s="12" t="s">
        <v>2186</v>
      </c>
      <c r="V1009" s="12" t="s">
        <v>2187</v>
      </c>
      <c r="W1009" s="12">
        <v>0</v>
      </c>
      <c r="X1009" s="12">
        <v>1</v>
      </c>
      <c r="Y1009" s="12">
        <v>0</v>
      </c>
      <c r="Z1009" s="12">
        <v>0</v>
      </c>
      <c r="AA1009" s="12">
        <v>0</v>
      </c>
      <c r="AB1009" s="12">
        <v>0</v>
      </c>
      <c r="AC1009" s="12">
        <v>0</v>
      </c>
      <c r="AD1009" s="12">
        <v>0</v>
      </c>
      <c r="AE1009" s="12">
        <v>0</v>
      </c>
      <c r="AF1009" s="12">
        <v>0</v>
      </c>
      <c r="AG1009" s="12">
        <v>0</v>
      </c>
      <c r="AH1009" s="12">
        <v>0</v>
      </c>
      <c r="AI1009" s="12">
        <v>0</v>
      </c>
      <c r="AJ1009" s="12">
        <v>0</v>
      </c>
      <c r="AK1009" s="12">
        <v>0</v>
      </c>
      <c r="AL1009" s="12">
        <v>0</v>
      </c>
      <c r="AM1009" s="12"/>
      <c r="AN1009" s="12">
        <v>0</v>
      </c>
      <c r="AO1009" s="12">
        <v>0</v>
      </c>
      <c r="AP1009" s="12">
        <v>0</v>
      </c>
      <c r="AQ1009" s="12">
        <v>0</v>
      </c>
      <c r="AR1009" s="12">
        <v>0</v>
      </c>
      <c r="AS1009" s="12">
        <v>0</v>
      </c>
      <c r="AT1009" s="12">
        <v>0</v>
      </c>
      <c r="AU1009" s="12">
        <v>0</v>
      </c>
      <c r="AV1009" s="12">
        <v>0</v>
      </c>
      <c r="AW1009" s="12">
        <v>0</v>
      </c>
      <c r="AX1009" s="12">
        <v>0</v>
      </c>
      <c r="AY1009" s="12">
        <v>0</v>
      </c>
      <c r="AZ1009"/>
      <c r="BA1009"/>
      <c r="BB1009" s="12">
        <v>0</v>
      </c>
      <c r="BC1009" s="12">
        <v>0</v>
      </c>
      <c r="BD1009" s="12">
        <v>0</v>
      </c>
      <c r="BE1009" s="12">
        <v>0</v>
      </c>
      <c r="BF1009" s="12">
        <v>0</v>
      </c>
      <c r="BI1009" s="12">
        <v>0</v>
      </c>
      <c r="BJ1009" s="12">
        <v>0</v>
      </c>
    </row>
    <row r="1010" spans="1:62" x14ac:dyDescent="0.15">
      <c r="A1010" s="12"/>
      <c r="B1010" t="s">
        <v>1727</v>
      </c>
      <c r="C1010" s="27" t="s">
        <v>1728</v>
      </c>
      <c r="D1010" t="s">
        <v>6596</v>
      </c>
      <c r="E1010" t="s">
        <v>2182</v>
      </c>
      <c r="F1010"/>
      <c r="G1010"/>
      <c r="H1010"/>
      <c r="I1010"/>
      <c r="J1010"/>
      <c r="K1010"/>
      <c r="L1010" s="10">
        <v>3976420</v>
      </c>
      <c r="M1010" s="10">
        <v>694570</v>
      </c>
      <c r="N1010" s="12">
        <v>15</v>
      </c>
      <c r="O1010" s="12" t="s">
        <v>6992</v>
      </c>
      <c r="P1010" t="s">
        <v>2183</v>
      </c>
      <c r="R1010"/>
      <c r="S1010" t="s">
        <v>2184</v>
      </c>
      <c r="T1010" s="12" t="s">
        <v>2185</v>
      </c>
      <c r="U1010" s="12" t="s">
        <v>2186</v>
      </c>
      <c r="V1010" s="12" t="s">
        <v>2187</v>
      </c>
      <c r="W1010" s="12">
        <v>0</v>
      </c>
      <c r="X1010" s="12">
        <v>1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2">
        <v>0</v>
      </c>
      <c r="AK1010" s="12">
        <v>0</v>
      </c>
      <c r="AL1010" s="12">
        <v>0</v>
      </c>
      <c r="AM1010" s="12"/>
      <c r="AN1010" s="12">
        <v>0</v>
      </c>
      <c r="AO1010" s="12">
        <v>0</v>
      </c>
      <c r="AP1010" s="12">
        <v>0</v>
      </c>
      <c r="AQ1010" s="12">
        <v>0</v>
      </c>
      <c r="AR1010" s="12">
        <v>0</v>
      </c>
      <c r="AS1010" s="12">
        <v>0</v>
      </c>
      <c r="AT1010" s="12">
        <v>0</v>
      </c>
      <c r="AU1010" s="12">
        <v>0</v>
      </c>
      <c r="AV1010" s="12">
        <v>0</v>
      </c>
      <c r="AW1010" s="12">
        <v>0</v>
      </c>
      <c r="AX1010" s="12">
        <v>0</v>
      </c>
      <c r="AY1010" s="12">
        <v>0</v>
      </c>
      <c r="AZ1010"/>
      <c r="BA1010"/>
      <c r="BB1010" s="12">
        <v>0</v>
      </c>
      <c r="BC1010" s="12">
        <v>0</v>
      </c>
      <c r="BD1010" s="12">
        <v>0</v>
      </c>
      <c r="BE1010" s="12">
        <v>0</v>
      </c>
      <c r="BF1010" s="12">
        <v>0</v>
      </c>
      <c r="BI1010" s="12">
        <v>0</v>
      </c>
      <c r="BJ1010" s="12">
        <v>0</v>
      </c>
    </row>
    <row r="1011" spans="1:62" x14ac:dyDescent="0.15">
      <c r="A1011" s="12"/>
      <c r="B1011" t="s">
        <v>1729</v>
      </c>
      <c r="C1011" s="27" t="s">
        <v>1730</v>
      </c>
      <c r="D1011" t="s">
        <v>6596</v>
      </c>
      <c r="E1011" t="s">
        <v>2182</v>
      </c>
      <c r="F1011"/>
      <c r="G1011"/>
      <c r="H1011"/>
      <c r="I1011"/>
      <c r="J1011"/>
      <c r="K1011"/>
      <c r="L1011" s="10">
        <v>3976130</v>
      </c>
      <c r="M1011" s="10">
        <v>694470</v>
      </c>
      <c r="N1011" s="12">
        <v>15</v>
      </c>
      <c r="O1011" s="12" t="s">
        <v>6992</v>
      </c>
      <c r="P1011" t="s">
        <v>2183</v>
      </c>
      <c r="R1011"/>
      <c r="S1011" t="s">
        <v>2184</v>
      </c>
      <c r="T1011" s="12" t="s">
        <v>2185</v>
      </c>
      <c r="U1011" s="12" t="s">
        <v>2186</v>
      </c>
      <c r="V1011" s="12" t="s">
        <v>2187</v>
      </c>
      <c r="W1011" s="12">
        <v>0</v>
      </c>
      <c r="X1011" s="12">
        <v>1</v>
      </c>
      <c r="Y1011" s="12">
        <v>0</v>
      </c>
      <c r="Z1011" s="12">
        <v>0</v>
      </c>
      <c r="AA1011" s="12">
        <v>0</v>
      </c>
      <c r="AB1011" s="12">
        <v>0</v>
      </c>
      <c r="AC1011" s="12">
        <v>0</v>
      </c>
      <c r="AD1011" s="12">
        <v>0</v>
      </c>
      <c r="AE1011" s="12">
        <v>0</v>
      </c>
      <c r="AF1011" s="12">
        <v>0</v>
      </c>
      <c r="AG1011" s="12">
        <v>0</v>
      </c>
      <c r="AH1011" s="12">
        <v>0</v>
      </c>
      <c r="AI1011" s="12">
        <v>0</v>
      </c>
      <c r="AJ1011" s="12">
        <v>0</v>
      </c>
      <c r="AK1011" s="12">
        <v>0</v>
      </c>
      <c r="AL1011" s="12">
        <v>0</v>
      </c>
      <c r="AM1011" s="12"/>
      <c r="AN1011" s="12">
        <v>0</v>
      </c>
      <c r="AO1011" s="12">
        <v>0</v>
      </c>
      <c r="AP1011" s="12">
        <v>0</v>
      </c>
      <c r="AQ1011" s="12">
        <v>0</v>
      </c>
      <c r="AR1011" s="12">
        <v>0</v>
      </c>
      <c r="AS1011" s="12">
        <v>0</v>
      </c>
      <c r="AT1011" s="12">
        <v>0</v>
      </c>
      <c r="AU1011" s="12">
        <v>0</v>
      </c>
      <c r="AV1011" s="12">
        <v>0</v>
      </c>
      <c r="AW1011" s="12">
        <v>0</v>
      </c>
      <c r="AX1011" s="12">
        <v>0</v>
      </c>
      <c r="AY1011" s="12">
        <v>0</v>
      </c>
      <c r="AZ1011"/>
      <c r="BA1011"/>
      <c r="BB1011" s="12">
        <v>0</v>
      </c>
      <c r="BC1011" s="12">
        <v>0</v>
      </c>
      <c r="BD1011" s="12">
        <v>0</v>
      </c>
      <c r="BE1011" s="12">
        <v>0</v>
      </c>
      <c r="BF1011" s="12">
        <v>0</v>
      </c>
      <c r="BI1011" s="12">
        <v>0</v>
      </c>
      <c r="BJ1011" s="12">
        <v>0</v>
      </c>
    </row>
    <row r="1012" spans="1:62" x14ac:dyDescent="0.15">
      <c r="A1012" s="12"/>
      <c r="B1012" t="s">
        <v>1731</v>
      </c>
      <c r="C1012" s="27" t="s">
        <v>1732</v>
      </c>
      <c r="D1012" t="s">
        <v>6596</v>
      </c>
      <c r="E1012" t="s">
        <v>2182</v>
      </c>
      <c r="F1012"/>
      <c r="G1012"/>
      <c r="H1012"/>
      <c r="I1012"/>
      <c r="J1012"/>
      <c r="K1012"/>
      <c r="L1012" s="10">
        <v>3965210</v>
      </c>
      <c r="M1012" s="10">
        <v>708870</v>
      </c>
      <c r="N1012" s="12">
        <v>15</v>
      </c>
      <c r="O1012" s="12" t="s">
        <v>6992</v>
      </c>
      <c r="P1012" t="s">
        <v>2183</v>
      </c>
      <c r="R1012"/>
      <c r="S1012" t="s">
        <v>2184</v>
      </c>
      <c r="T1012" s="12" t="s">
        <v>2185</v>
      </c>
      <c r="U1012" s="12" t="s">
        <v>2186</v>
      </c>
      <c r="V1012" s="12" t="s">
        <v>2187</v>
      </c>
      <c r="W1012" s="12">
        <v>0</v>
      </c>
      <c r="X1012" s="12">
        <v>1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2">
        <v>0</v>
      </c>
      <c r="AK1012" s="12">
        <v>0</v>
      </c>
      <c r="AL1012" s="12">
        <v>0</v>
      </c>
      <c r="AM1012" s="12"/>
      <c r="AN1012" s="12">
        <v>0</v>
      </c>
      <c r="AO1012" s="12">
        <v>0</v>
      </c>
      <c r="AP1012" s="12">
        <v>0</v>
      </c>
      <c r="AQ1012" s="12">
        <v>0</v>
      </c>
      <c r="AR1012" s="12">
        <v>0</v>
      </c>
      <c r="AS1012" s="12">
        <v>0</v>
      </c>
      <c r="AT1012" s="12">
        <v>0</v>
      </c>
      <c r="AU1012" s="12">
        <v>0</v>
      </c>
      <c r="AV1012" s="12">
        <v>0</v>
      </c>
      <c r="AW1012" s="12">
        <v>0</v>
      </c>
      <c r="AX1012" s="12">
        <v>0</v>
      </c>
      <c r="AY1012" s="12">
        <v>0</v>
      </c>
      <c r="AZ1012"/>
      <c r="BA1012"/>
      <c r="BB1012" s="12">
        <v>0</v>
      </c>
      <c r="BC1012" s="12">
        <v>0</v>
      </c>
      <c r="BD1012" s="12">
        <v>0</v>
      </c>
      <c r="BE1012" s="12">
        <v>0</v>
      </c>
      <c r="BF1012" s="12">
        <v>0</v>
      </c>
      <c r="BI1012" s="12">
        <v>0</v>
      </c>
      <c r="BJ1012" s="12">
        <v>0</v>
      </c>
    </row>
    <row r="1013" spans="1:62" x14ac:dyDescent="0.15">
      <c r="A1013" s="12"/>
      <c r="B1013" t="s">
        <v>1733</v>
      </c>
      <c r="C1013" s="27" t="s">
        <v>1734</v>
      </c>
      <c r="D1013" t="s">
        <v>6596</v>
      </c>
      <c r="E1013" t="s">
        <v>2182</v>
      </c>
      <c r="F1013"/>
      <c r="G1013"/>
      <c r="H1013"/>
      <c r="I1013"/>
      <c r="J1013"/>
      <c r="K1013"/>
      <c r="L1013" s="10">
        <v>3981420</v>
      </c>
      <c r="M1013" s="10">
        <v>742340</v>
      </c>
      <c r="N1013" s="12">
        <v>15</v>
      </c>
      <c r="O1013" s="12" t="s">
        <v>6992</v>
      </c>
      <c r="P1013" t="s">
        <v>2183</v>
      </c>
      <c r="R1013"/>
      <c r="S1013" t="s">
        <v>2184</v>
      </c>
      <c r="T1013" s="12" t="s">
        <v>2185</v>
      </c>
      <c r="U1013" s="12" t="s">
        <v>2186</v>
      </c>
      <c r="V1013" s="12" t="s">
        <v>2187</v>
      </c>
      <c r="W1013" s="12">
        <v>0</v>
      </c>
      <c r="X1013" s="12">
        <v>1</v>
      </c>
      <c r="Y1013" s="12">
        <v>0</v>
      </c>
      <c r="Z1013" s="12">
        <v>0</v>
      </c>
      <c r="AA1013" s="12">
        <v>0</v>
      </c>
      <c r="AB1013" s="12">
        <v>0</v>
      </c>
      <c r="AC1013" s="12">
        <v>0</v>
      </c>
      <c r="AD1013" s="12">
        <v>0</v>
      </c>
      <c r="AE1013" s="12">
        <v>0</v>
      </c>
      <c r="AF1013" s="12">
        <v>0</v>
      </c>
      <c r="AG1013" s="12">
        <v>0</v>
      </c>
      <c r="AH1013" s="12">
        <v>0</v>
      </c>
      <c r="AI1013" s="12">
        <v>0</v>
      </c>
      <c r="AJ1013" s="12">
        <v>0</v>
      </c>
      <c r="AK1013" s="12">
        <v>0</v>
      </c>
      <c r="AL1013" s="12">
        <v>0</v>
      </c>
      <c r="AM1013" s="12"/>
      <c r="AN1013" s="12">
        <v>0</v>
      </c>
      <c r="AO1013" s="12">
        <v>0</v>
      </c>
      <c r="AP1013" s="12">
        <v>0</v>
      </c>
      <c r="AQ1013" s="12">
        <v>0</v>
      </c>
      <c r="AR1013" s="12">
        <v>0</v>
      </c>
      <c r="AS1013" s="12">
        <v>0</v>
      </c>
      <c r="AT1013" s="12">
        <v>0</v>
      </c>
      <c r="AU1013" s="12">
        <v>0</v>
      </c>
      <c r="AV1013" s="12">
        <v>0</v>
      </c>
      <c r="AW1013" s="12">
        <v>0</v>
      </c>
      <c r="AX1013" s="12">
        <v>0</v>
      </c>
      <c r="AY1013" s="12">
        <v>0</v>
      </c>
      <c r="AZ1013"/>
      <c r="BA1013"/>
      <c r="BB1013" s="12">
        <v>0</v>
      </c>
      <c r="BC1013" s="12">
        <v>0</v>
      </c>
      <c r="BD1013" s="12">
        <v>0</v>
      </c>
      <c r="BE1013" s="12">
        <v>0</v>
      </c>
      <c r="BF1013" s="12">
        <v>0</v>
      </c>
      <c r="BI1013" s="12">
        <v>0</v>
      </c>
      <c r="BJ1013" s="12">
        <v>0</v>
      </c>
    </row>
    <row r="1014" spans="1:62" x14ac:dyDescent="0.15">
      <c r="A1014" s="12"/>
      <c r="B1014" t="s">
        <v>1735</v>
      </c>
      <c r="C1014" t="s">
        <v>1735</v>
      </c>
      <c r="D1014" t="s">
        <v>6596</v>
      </c>
      <c r="E1014" t="s">
        <v>2182</v>
      </c>
      <c r="F1014"/>
      <c r="G1014"/>
      <c r="H1014"/>
      <c r="I1014"/>
      <c r="J1014"/>
      <c r="K1014"/>
      <c r="L1014" s="10">
        <v>3965440</v>
      </c>
      <c r="M1014" s="10">
        <v>722640</v>
      </c>
      <c r="N1014" s="12">
        <v>15</v>
      </c>
      <c r="O1014" s="12" t="s">
        <v>6992</v>
      </c>
      <c r="P1014" t="s">
        <v>2183</v>
      </c>
      <c r="R1014"/>
      <c r="S1014" t="s">
        <v>2184</v>
      </c>
      <c r="T1014" s="12" t="s">
        <v>2185</v>
      </c>
      <c r="U1014" s="12" t="s">
        <v>2186</v>
      </c>
      <c r="V1014" s="12" t="s">
        <v>2187</v>
      </c>
      <c r="W1014" s="12">
        <v>0</v>
      </c>
      <c r="X1014" s="12">
        <v>1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2">
        <v>0</v>
      </c>
      <c r="AK1014" s="12">
        <v>0</v>
      </c>
      <c r="AL1014" s="12">
        <v>0</v>
      </c>
      <c r="AM1014" s="12"/>
      <c r="AN1014" s="12">
        <v>0</v>
      </c>
      <c r="AO1014" s="12">
        <v>0</v>
      </c>
      <c r="AP1014" s="12">
        <v>0</v>
      </c>
      <c r="AQ1014" s="12">
        <v>0</v>
      </c>
      <c r="AR1014" s="12">
        <v>0</v>
      </c>
      <c r="AS1014" s="12">
        <v>0</v>
      </c>
      <c r="AT1014" s="12">
        <v>0</v>
      </c>
      <c r="AU1014" s="12">
        <v>0</v>
      </c>
      <c r="AV1014" s="12">
        <v>0</v>
      </c>
      <c r="AW1014" s="12">
        <v>0</v>
      </c>
      <c r="AX1014" s="12">
        <v>0</v>
      </c>
      <c r="AY1014" s="12">
        <v>0</v>
      </c>
      <c r="AZ1014"/>
      <c r="BA1014"/>
      <c r="BB1014" s="12">
        <v>0</v>
      </c>
      <c r="BC1014" s="12">
        <v>0</v>
      </c>
      <c r="BD1014" s="12">
        <v>0</v>
      </c>
      <c r="BE1014" s="12">
        <v>0</v>
      </c>
      <c r="BF1014" s="12">
        <v>0</v>
      </c>
      <c r="BI1014" s="12">
        <v>0</v>
      </c>
      <c r="BJ1014" s="12">
        <v>0</v>
      </c>
    </row>
    <row r="1015" spans="1:62" x14ac:dyDescent="0.15">
      <c r="A1015" s="12"/>
      <c r="B1015" t="s">
        <v>1736</v>
      </c>
      <c r="C1015" t="s">
        <v>1736</v>
      </c>
      <c r="D1015" t="s">
        <v>6596</v>
      </c>
      <c r="E1015" t="s">
        <v>2182</v>
      </c>
      <c r="F1015"/>
      <c r="G1015"/>
      <c r="H1015"/>
      <c r="I1015"/>
      <c r="J1015"/>
      <c r="K1015"/>
      <c r="L1015" s="10">
        <v>3973180</v>
      </c>
      <c r="M1015" s="10">
        <v>721740</v>
      </c>
      <c r="N1015" s="12">
        <v>15</v>
      </c>
      <c r="O1015" s="12" t="s">
        <v>6992</v>
      </c>
      <c r="P1015" t="s">
        <v>2183</v>
      </c>
      <c r="R1015"/>
      <c r="S1015" t="s">
        <v>2184</v>
      </c>
      <c r="T1015" s="12" t="s">
        <v>2185</v>
      </c>
      <c r="U1015" s="12" t="s">
        <v>2186</v>
      </c>
      <c r="V1015" s="12" t="s">
        <v>2187</v>
      </c>
      <c r="W1015" s="12">
        <v>0</v>
      </c>
      <c r="X1015" s="12">
        <v>1</v>
      </c>
      <c r="Y1015" s="12">
        <v>0</v>
      </c>
      <c r="Z1015" s="12">
        <v>0</v>
      </c>
      <c r="AA1015" s="12">
        <v>0</v>
      </c>
      <c r="AB1015" s="12">
        <v>0</v>
      </c>
      <c r="AC1015" s="12">
        <v>0</v>
      </c>
      <c r="AD1015" s="12">
        <v>0</v>
      </c>
      <c r="AE1015" s="12">
        <v>0</v>
      </c>
      <c r="AF1015" s="12">
        <v>0</v>
      </c>
      <c r="AG1015" s="12">
        <v>0</v>
      </c>
      <c r="AH1015" s="12">
        <v>0</v>
      </c>
      <c r="AI1015" s="12">
        <v>0</v>
      </c>
      <c r="AJ1015" s="12">
        <v>0</v>
      </c>
      <c r="AK1015" s="12">
        <v>0</v>
      </c>
      <c r="AL1015" s="12">
        <v>0</v>
      </c>
      <c r="AM1015" s="12"/>
      <c r="AN1015" s="12">
        <v>0</v>
      </c>
      <c r="AO1015" s="12">
        <v>0</v>
      </c>
      <c r="AP1015" s="12">
        <v>0</v>
      </c>
      <c r="AQ1015" s="12">
        <v>0</v>
      </c>
      <c r="AR1015" s="12">
        <v>0</v>
      </c>
      <c r="AS1015" s="12">
        <v>0</v>
      </c>
      <c r="AT1015" s="12">
        <v>0</v>
      </c>
      <c r="AU1015" s="12">
        <v>0</v>
      </c>
      <c r="AV1015" s="12">
        <v>0</v>
      </c>
      <c r="AW1015" s="12">
        <v>0</v>
      </c>
      <c r="AX1015" s="12">
        <v>0</v>
      </c>
      <c r="AY1015" s="12">
        <v>0</v>
      </c>
      <c r="AZ1015"/>
      <c r="BA1015"/>
      <c r="BB1015" s="12">
        <v>0</v>
      </c>
      <c r="BC1015" s="12">
        <v>0</v>
      </c>
      <c r="BD1015" s="12">
        <v>0</v>
      </c>
      <c r="BE1015" s="12">
        <v>0</v>
      </c>
      <c r="BF1015" s="12">
        <v>0</v>
      </c>
      <c r="BI1015" s="12">
        <v>0</v>
      </c>
      <c r="BJ1015" s="12">
        <v>0</v>
      </c>
    </row>
    <row r="1016" spans="1:62" x14ac:dyDescent="0.15">
      <c r="A1016" s="12"/>
      <c r="B1016" t="s">
        <v>1737</v>
      </c>
      <c r="C1016" s="27" t="s">
        <v>1738</v>
      </c>
      <c r="D1016" t="s">
        <v>6596</v>
      </c>
      <c r="E1016" t="s">
        <v>2182</v>
      </c>
      <c r="F1016"/>
      <c r="G1016"/>
      <c r="H1016"/>
      <c r="I1016"/>
      <c r="J1016"/>
      <c r="K1016"/>
      <c r="L1016" s="10">
        <v>3981990</v>
      </c>
      <c r="M1016" s="10">
        <v>694380</v>
      </c>
      <c r="N1016" s="12">
        <v>15</v>
      </c>
      <c r="O1016" s="12" t="s">
        <v>6992</v>
      </c>
      <c r="P1016" t="s">
        <v>2183</v>
      </c>
      <c r="R1016"/>
      <c r="S1016" t="s">
        <v>2184</v>
      </c>
      <c r="T1016" s="12" t="s">
        <v>2185</v>
      </c>
      <c r="U1016" s="12" t="s">
        <v>2186</v>
      </c>
      <c r="V1016" s="12" t="s">
        <v>2187</v>
      </c>
      <c r="W1016" s="12">
        <v>0</v>
      </c>
      <c r="X1016" s="12">
        <v>1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2">
        <v>0</v>
      </c>
      <c r="AK1016" s="12">
        <v>0</v>
      </c>
      <c r="AL1016" s="12">
        <v>0</v>
      </c>
      <c r="AM1016" s="12"/>
      <c r="AN1016" s="12">
        <v>0</v>
      </c>
      <c r="AO1016" s="12">
        <v>0</v>
      </c>
      <c r="AP1016" s="12">
        <v>0</v>
      </c>
      <c r="AQ1016" s="12">
        <v>0</v>
      </c>
      <c r="AR1016" s="12">
        <v>0</v>
      </c>
      <c r="AS1016" s="12">
        <v>0</v>
      </c>
      <c r="AT1016" s="12">
        <v>0</v>
      </c>
      <c r="AU1016" s="12">
        <v>0</v>
      </c>
      <c r="AV1016" s="12">
        <v>0</v>
      </c>
      <c r="AW1016" s="12">
        <v>0</v>
      </c>
      <c r="AX1016" s="12">
        <v>0</v>
      </c>
      <c r="AY1016" s="12">
        <v>0</v>
      </c>
      <c r="AZ1016"/>
      <c r="BA1016"/>
      <c r="BB1016" s="12">
        <v>0</v>
      </c>
      <c r="BC1016" s="12">
        <v>0</v>
      </c>
      <c r="BD1016" s="12">
        <v>0</v>
      </c>
      <c r="BE1016" s="12">
        <v>0</v>
      </c>
      <c r="BF1016" s="12">
        <v>0</v>
      </c>
      <c r="BI1016" s="12">
        <v>0</v>
      </c>
      <c r="BJ1016" s="12">
        <v>0</v>
      </c>
    </row>
    <row r="1017" spans="1:62" x14ac:dyDescent="0.15">
      <c r="A1017" s="12"/>
      <c r="B1017" t="s">
        <v>1739</v>
      </c>
      <c r="C1017" s="27" t="s">
        <v>1740</v>
      </c>
      <c r="D1017" t="s">
        <v>6596</v>
      </c>
      <c r="E1017" t="s">
        <v>2182</v>
      </c>
      <c r="F1017"/>
      <c r="G1017"/>
      <c r="H1017"/>
      <c r="I1017"/>
      <c r="J1017"/>
      <c r="K1017"/>
      <c r="L1017" s="10">
        <v>3981720</v>
      </c>
      <c r="M1017" s="10">
        <v>727610</v>
      </c>
      <c r="N1017" s="12">
        <v>15</v>
      </c>
      <c r="O1017" s="12" t="s">
        <v>6992</v>
      </c>
      <c r="P1017" t="s">
        <v>2183</v>
      </c>
      <c r="R1017"/>
      <c r="S1017" t="s">
        <v>2184</v>
      </c>
      <c r="T1017" s="12" t="s">
        <v>2185</v>
      </c>
      <c r="U1017" s="12" t="s">
        <v>2186</v>
      </c>
      <c r="V1017" s="12" t="s">
        <v>2187</v>
      </c>
      <c r="W1017" s="12">
        <v>0</v>
      </c>
      <c r="X1017" s="12">
        <v>1</v>
      </c>
      <c r="Y1017" s="12">
        <v>0</v>
      </c>
      <c r="Z1017" s="12">
        <v>0</v>
      </c>
      <c r="AA1017" s="12">
        <v>0</v>
      </c>
      <c r="AB1017" s="12">
        <v>0</v>
      </c>
      <c r="AC1017" s="12">
        <v>0</v>
      </c>
      <c r="AD1017" s="12">
        <v>0</v>
      </c>
      <c r="AE1017" s="12">
        <v>0</v>
      </c>
      <c r="AF1017" s="12">
        <v>0</v>
      </c>
      <c r="AG1017" s="12">
        <v>0</v>
      </c>
      <c r="AH1017" s="12">
        <v>0</v>
      </c>
      <c r="AI1017" s="12">
        <v>0</v>
      </c>
      <c r="AJ1017" s="12">
        <v>0</v>
      </c>
      <c r="AK1017" s="12">
        <v>0</v>
      </c>
      <c r="AL1017" s="12">
        <v>0</v>
      </c>
      <c r="AM1017" s="12"/>
      <c r="AN1017" s="12">
        <v>0</v>
      </c>
      <c r="AO1017" s="12">
        <v>0</v>
      </c>
      <c r="AP1017" s="12">
        <v>0</v>
      </c>
      <c r="AQ1017" s="12">
        <v>0</v>
      </c>
      <c r="AR1017" s="12">
        <v>0</v>
      </c>
      <c r="AS1017" s="12">
        <v>0</v>
      </c>
      <c r="AT1017" s="12">
        <v>0</v>
      </c>
      <c r="AU1017" s="12">
        <v>0</v>
      </c>
      <c r="AV1017" s="12">
        <v>0</v>
      </c>
      <c r="AW1017" s="12">
        <v>0</v>
      </c>
      <c r="AX1017" s="12">
        <v>0</v>
      </c>
      <c r="AY1017" s="12">
        <v>0</v>
      </c>
      <c r="AZ1017"/>
      <c r="BA1017"/>
      <c r="BB1017" s="12">
        <v>0</v>
      </c>
      <c r="BC1017" s="12">
        <v>0</v>
      </c>
      <c r="BD1017" s="12">
        <v>0</v>
      </c>
      <c r="BE1017" s="12">
        <v>0</v>
      </c>
      <c r="BF1017" s="12">
        <v>0</v>
      </c>
      <c r="BI1017" s="12">
        <v>0</v>
      </c>
      <c r="BJ1017" s="12">
        <v>0</v>
      </c>
    </row>
    <row r="1018" spans="1:62" x14ac:dyDescent="0.15">
      <c r="A1018" s="12"/>
      <c r="B1018" t="s">
        <v>1741</v>
      </c>
      <c r="C1018" s="27" t="s">
        <v>1742</v>
      </c>
      <c r="D1018" t="s">
        <v>6596</v>
      </c>
      <c r="E1018" t="s">
        <v>2182</v>
      </c>
      <c r="F1018"/>
      <c r="G1018"/>
      <c r="H1018"/>
      <c r="I1018"/>
      <c r="J1018"/>
      <c r="K1018"/>
      <c r="L1018" s="10">
        <v>3967640</v>
      </c>
      <c r="M1018" s="10">
        <v>688500</v>
      </c>
      <c r="N1018" s="12">
        <v>15</v>
      </c>
      <c r="O1018" s="12" t="s">
        <v>6992</v>
      </c>
      <c r="P1018" t="s">
        <v>2183</v>
      </c>
      <c r="R1018"/>
      <c r="S1018" t="s">
        <v>2184</v>
      </c>
      <c r="T1018" s="12" t="s">
        <v>2185</v>
      </c>
      <c r="U1018" s="12" t="s">
        <v>2186</v>
      </c>
      <c r="V1018" s="12" t="s">
        <v>2187</v>
      </c>
      <c r="W1018" s="12">
        <v>0</v>
      </c>
      <c r="X1018" s="12">
        <v>1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2">
        <v>0</v>
      </c>
      <c r="AK1018" s="12">
        <v>0</v>
      </c>
      <c r="AL1018" s="12">
        <v>0</v>
      </c>
      <c r="AM1018" s="12"/>
      <c r="AN1018" s="12">
        <v>0</v>
      </c>
      <c r="AO1018" s="12">
        <v>0</v>
      </c>
      <c r="AP1018" s="12">
        <v>0</v>
      </c>
      <c r="AQ1018" s="12">
        <v>0</v>
      </c>
      <c r="AR1018" s="12">
        <v>0</v>
      </c>
      <c r="AS1018" s="12">
        <v>0</v>
      </c>
      <c r="AT1018" s="12">
        <v>0</v>
      </c>
      <c r="AU1018" s="12">
        <v>0</v>
      </c>
      <c r="AV1018" s="12">
        <v>0</v>
      </c>
      <c r="AW1018" s="12">
        <v>0</v>
      </c>
      <c r="AX1018" s="12">
        <v>0</v>
      </c>
      <c r="AY1018" s="12">
        <v>0</v>
      </c>
      <c r="AZ1018"/>
      <c r="BA1018"/>
      <c r="BB1018" s="12">
        <v>0</v>
      </c>
      <c r="BC1018" s="12">
        <v>0</v>
      </c>
      <c r="BD1018" s="12">
        <v>0</v>
      </c>
      <c r="BE1018" s="12">
        <v>0</v>
      </c>
      <c r="BF1018" s="12">
        <v>0</v>
      </c>
      <c r="BI1018" s="12">
        <v>0</v>
      </c>
      <c r="BJ1018" s="12">
        <v>0</v>
      </c>
    </row>
    <row r="1019" spans="1:62" x14ac:dyDescent="0.15">
      <c r="A1019" s="12"/>
      <c r="B1019" t="s">
        <v>1743</v>
      </c>
      <c r="C1019" t="s">
        <v>1743</v>
      </c>
      <c r="D1019" t="s">
        <v>6596</v>
      </c>
      <c r="E1019" t="s">
        <v>2182</v>
      </c>
      <c r="F1019"/>
      <c r="G1019"/>
      <c r="H1019"/>
      <c r="I1019"/>
      <c r="J1019"/>
      <c r="K1019"/>
      <c r="L1019" s="10">
        <v>3972610</v>
      </c>
      <c r="M1019" s="10">
        <v>724040</v>
      </c>
      <c r="N1019" s="12">
        <v>15</v>
      </c>
      <c r="O1019" s="12" t="s">
        <v>6992</v>
      </c>
      <c r="P1019" t="s">
        <v>2183</v>
      </c>
      <c r="R1019"/>
      <c r="S1019" t="s">
        <v>2184</v>
      </c>
      <c r="T1019" s="12" t="s">
        <v>2185</v>
      </c>
      <c r="U1019" s="12" t="s">
        <v>2186</v>
      </c>
      <c r="V1019" s="12" t="s">
        <v>2187</v>
      </c>
      <c r="W1019" s="12">
        <v>0</v>
      </c>
      <c r="X1019" s="12">
        <v>1</v>
      </c>
      <c r="Y1019" s="12">
        <v>0</v>
      </c>
      <c r="Z1019" s="12">
        <v>0</v>
      </c>
      <c r="AA1019" s="12">
        <v>0</v>
      </c>
      <c r="AB1019" s="12">
        <v>0</v>
      </c>
      <c r="AC1019" s="12">
        <v>0</v>
      </c>
      <c r="AD1019" s="12">
        <v>0</v>
      </c>
      <c r="AE1019" s="12">
        <v>0</v>
      </c>
      <c r="AF1019" s="12">
        <v>0</v>
      </c>
      <c r="AG1019" s="12">
        <v>0</v>
      </c>
      <c r="AH1019" s="12">
        <v>0</v>
      </c>
      <c r="AI1019" s="12">
        <v>0</v>
      </c>
      <c r="AJ1019" s="12">
        <v>0</v>
      </c>
      <c r="AK1019" s="12">
        <v>0</v>
      </c>
      <c r="AL1019" s="12">
        <v>0</v>
      </c>
      <c r="AM1019" s="12"/>
      <c r="AN1019" s="12">
        <v>0</v>
      </c>
      <c r="AO1019" s="12">
        <v>0</v>
      </c>
      <c r="AP1019" s="12">
        <v>0</v>
      </c>
      <c r="AQ1019" s="12">
        <v>0</v>
      </c>
      <c r="AR1019" s="12">
        <v>0</v>
      </c>
      <c r="AS1019" s="12">
        <v>0</v>
      </c>
      <c r="AT1019" s="12">
        <v>0</v>
      </c>
      <c r="AU1019" s="12">
        <v>0</v>
      </c>
      <c r="AV1019" s="12">
        <v>0</v>
      </c>
      <c r="AW1019" s="12">
        <v>0</v>
      </c>
      <c r="AX1019" s="12">
        <v>0</v>
      </c>
      <c r="AY1019" s="12">
        <v>0</v>
      </c>
      <c r="AZ1019"/>
      <c r="BA1019"/>
      <c r="BB1019" s="12">
        <v>0</v>
      </c>
      <c r="BC1019" s="12">
        <v>0</v>
      </c>
      <c r="BD1019" s="12">
        <v>0</v>
      </c>
      <c r="BE1019" s="12">
        <v>0</v>
      </c>
      <c r="BF1019" s="12">
        <v>0</v>
      </c>
      <c r="BI1019" s="12">
        <v>0</v>
      </c>
      <c r="BJ1019" s="12">
        <v>0</v>
      </c>
    </row>
    <row r="1020" spans="1:62" x14ac:dyDescent="0.15">
      <c r="A1020" s="12"/>
      <c r="B1020" t="s">
        <v>1744</v>
      </c>
      <c r="C1020" t="s">
        <v>1744</v>
      </c>
      <c r="D1020" t="s">
        <v>6596</v>
      </c>
      <c r="E1020" t="s">
        <v>2182</v>
      </c>
      <c r="F1020"/>
      <c r="G1020"/>
      <c r="H1020"/>
      <c r="I1020"/>
      <c r="J1020"/>
      <c r="K1020"/>
      <c r="L1020" s="10">
        <v>3975540</v>
      </c>
      <c r="M1020" s="10">
        <v>705280</v>
      </c>
      <c r="N1020" s="12">
        <v>15</v>
      </c>
      <c r="O1020" s="12" t="s">
        <v>6992</v>
      </c>
      <c r="P1020" t="s">
        <v>2183</v>
      </c>
      <c r="R1020"/>
      <c r="S1020" t="s">
        <v>2184</v>
      </c>
      <c r="T1020" s="12" t="s">
        <v>2185</v>
      </c>
      <c r="U1020" s="12" t="s">
        <v>2186</v>
      </c>
      <c r="V1020" s="12" t="s">
        <v>2187</v>
      </c>
      <c r="W1020" s="12">
        <v>0</v>
      </c>
      <c r="X1020" s="12">
        <v>1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2">
        <v>0</v>
      </c>
      <c r="AK1020" s="12">
        <v>0</v>
      </c>
      <c r="AL1020" s="12">
        <v>0</v>
      </c>
      <c r="AM1020" s="12"/>
      <c r="AN1020" s="12">
        <v>0</v>
      </c>
      <c r="AO1020" s="12">
        <v>0</v>
      </c>
      <c r="AP1020" s="12">
        <v>0</v>
      </c>
      <c r="AQ1020" s="12">
        <v>0</v>
      </c>
      <c r="AR1020" s="12">
        <v>0</v>
      </c>
      <c r="AS1020" s="12">
        <v>0</v>
      </c>
      <c r="AT1020" s="12">
        <v>0</v>
      </c>
      <c r="AU1020" s="12">
        <v>0</v>
      </c>
      <c r="AV1020" s="12">
        <v>0</v>
      </c>
      <c r="AW1020" s="12">
        <v>0</v>
      </c>
      <c r="AX1020" s="12">
        <v>0</v>
      </c>
      <c r="AY1020" s="12">
        <v>0</v>
      </c>
      <c r="AZ1020"/>
      <c r="BA1020"/>
      <c r="BB1020" s="12">
        <v>0</v>
      </c>
      <c r="BC1020" s="12">
        <v>0</v>
      </c>
      <c r="BD1020" s="12">
        <v>0</v>
      </c>
      <c r="BE1020" s="12">
        <v>0</v>
      </c>
      <c r="BF1020" s="12">
        <v>0</v>
      </c>
      <c r="BI1020" s="12">
        <v>0</v>
      </c>
      <c r="BJ1020" s="12">
        <v>0</v>
      </c>
    </row>
    <row r="1021" spans="1:62" x14ac:dyDescent="0.15">
      <c r="A1021" s="12"/>
      <c r="B1021" t="s">
        <v>1745</v>
      </c>
      <c r="C1021" s="27" t="s">
        <v>1746</v>
      </c>
      <c r="D1021" t="s">
        <v>6596</v>
      </c>
      <c r="E1021" t="s">
        <v>2182</v>
      </c>
      <c r="F1021"/>
      <c r="G1021"/>
      <c r="H1021"/>
      <c r="I1021"/>
      <c r="J1021"/>
      <c r="K1021"/>
      <c r="L1021" s="10">
        <v>3970500</v>
      </c>
      <c r="M1021" s="10">
        <v>683900</v>
      </c>
      <c r="N1021" s="12">
        <v>15</v>
      </c>
      <c r="O1021" s="12" t="s">
        <v>6992</v>
      </c>
      <c r="P1021" t="s">
        <v>2183</v>
      </c>
      <c r="R1021"/>
      <c r="S1021" t="s">
        <v>2184</v>
      </c>
      <c r="T1021" s="12" t="s">
        <v>2185</v>
      </c>
      <c r="U1021" s="12" t="s">
        <v>2186</v>
      </c>
      <c r="V1021" s="12" t="s">
        <v>2187</v>
      </c>
      <c r="W1021" s="12">
        <v>0</v>
      </c>
      <c r="X1021" s="12">
        <v>1</v>
      </c>
      <c r="Y1021" s="12">
        <v>0</v>
      </c>
      <c r="Z1021" s="12">
        <v>0</v>
      </c>
      <c r="AA1021" s="12">
        <v>0</v>
      </c>
      <c r="AB1021" s="12">
        <v>0</v>
      </c>
      <c r="AC1021" s="12">
        <v>0</v>
      </c>
      <c r="AD1021" s="12">
        <v>0</v>
      </c>
      <c r="AE1021" s="12">
        <v>0</v>
      </c>
      <c r="AF1021" s="12">
        <v>0</v>
      </c>
      <c r="AG1021" s="12">
        <v>0</v>
      </c>
      <c r="AH1021" s="12">
        <v>0</v>
      </c>
      <c r="AI1021" s="12">
        <v>0</v>
      </c>
      <c r="AJ1021" s="12">
        <v>0</v>
      </c>
      <c r="AK1021" s="12">
        <v>0</v>
      </c>
      <c r="AL1021" s="12">
        <v>0</v>
      </c>
      <c r="AM1021" s="12"/>
      <c r="AN1021" s="12">
        <v>0</v>
      </c>
      <c r="AO1021" s="12">
        <v>0</v>
      </c>
      <c r="AP1021" s="12">
        <v>0</v>
      </c>
      <c r="AQ1021" s="12">
        <v>0</v>
      </c>
      <c r="AR1021" s="12">
        <v>0</v>
      </c>
      <c r="AS1021" s="12">
        <v>0</v>
      </c>
      <c r="AT1021" s="12">
        <v>0</v>
      </c>
      <c r="AU1021" s="12">
        <v>0</v>
      </c>
      <c r="AV1021" s="12">
        <v>0</v>
      </c>
      <c r="AW1021" s="12">
        <v>0</v>
      </c>
      <c r="AX1021" s="12">
        <v>0</v>
      </c>
      <c r="AY1021" s="12">
        <v>0</v>
      </c>
      <c r="AZ1021"/>
      <c r="BA1021"/>
      <c r="BB1021" s="12">
        <v>0</v>
      </c>
      <c r="BC1021" s="12">
        <v>0</v>
      </c>
      <c r="BD1021" s="12">
        <v>0</v>
      </c>
      <c r="BE1021" s="12">
        <v>0</v>
      </c>
      <c r="BF1021" s="12">
        <v>0</v>
      </c>
      <c r="BI1021" s="12">
        <v>0</v>
      </c>
      <c r="BJ1021" s="12">
        <v>0</v>
      </c>
    </row>
    <row r="1022" spans="1:62" x14ac:dyDescent="0.15">
      <c r="A1022" s="12"/>
      <c r="B1022" t="s">
        <v>1747</v>
      </c>
      <c r="C1022" s="27" t="s">
        <v>1748</v>
      </c>
      <c r="D1022" t="s">
        <v>6596</v>
      </c>
      <c r="E1022" t="s">
        <v>2182</v>
      </c>
      <c r="F1022"/>
      <c r="G1022"/>
      <c r="H1022"/>
      <c r="I1022"/>
      <c r="J1022"/>
      <c r="K1022"/>
      <c r="L1022" s="10">
        <v>3972850</v>
      </c>
      <c r="M1022" s="10">
        <v>692000</v>
      </c>
      <c r="N1022" s="12">
        <v>15</v>
      </c>
      <c r="O1022" s="12" t="s">
        <v>6992</v>
      </c>
      <c r="P1022" t="s">
        <v>2183</v>
      </c>
      <c r="R1022"/>
      <c r="S1022" t="s">
        <v>2184</v>
      </c>
      <c r="T1022" s="12" t="s">
        <v>2185</v>
      </c>
      <c r="U1022" s="12" t="s">
        <v>2186</v>
      </c>
      <c r="V1022" s="12" t="s">
        <v>2187</v>
      </c>
      <c r="W1022" s="12">
        <v>0</v>
      </c>
      <c r="X1022" s="12">
        <v>1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2">
        <v>0</v>
      </c>
      <c r="AK1022" s="12">
        <v>0</v>
      </c>
      <c r="AL1022" s="12">
        <v>0</v>
      </c>
      <c r="AM1022" s="12"/>
      <c r="AN1022" s="12">
        <v>0</v>
      </c>
      <c r="AO1022" s="12">
        <v>0</v>
      </c>
      <c r="AP1022" s="12">
        <v>0</v>
      </c>
      <c r="AQ1022" s="12">
        <v>0</v>
      </c>
      <c r="AR1022" s="12">
        <v>0</v>
      </c>
      <c r="AS1022" s="12">
        <v>0</v>
      </c>
      <c r="AT1022" s="12">
        <v>0</v>
      </c>
      <c r="AU1022" s="12">
        <v>0</v>
      </c>
      <c r="AV1022" s="12">
        <v>0</v>
      </c>
      <c r="AW1022" s="12">
        <v>0</v>
      </c>
      <c r="AX1022" s="12">
        <v>0</v>
      </c>
      <c r="AY1022" s="12">
        <v>0</v>
      </c>
      <c r="AZ1022"/>
      <c r="BA1022"/>
      <c r="BB1022" s="12">
        <v>0</v>
      </c>
      <c r="BC1022" s="12">
        <v>0</v>
      </c>
      <c r="BD1022" s="12">
        <v>0</v>
      </c>
      <c r="BE1022" s="12">
        <v>0</v>
      </c>
      <c r="BF1022" s="12">
        <v>0</v>
      </c>
      <c r="BI1022" s="12">
        <v>0</v>
      </c>
      <c r="BJ1022" s="12">
        <v>0</v>
      </c>
    </row>
    <row r="1023" spans="1:62" x14ac:dyDescent="0.15">
      <c r="A1023" s="12"/>
      <c r="B1023" t="s">
        <v>1749</v>
      </c>
      <c r="C1023" t="s">
        <v>1749</v>
      </c>
      <c r="D1023" t="s">
        <v>6596</v>
      </c>
      <c r="E1023" t="s">
        <v>2182</v>
      </c>
      <c r="F1023"/>
      <c r="G1023"/>
      <c r="H1023"/>
      <c r="I1023"/>
      <c r="J1023"/>
      <c r="K1023"/>
      <c r="L1023" s="10">
        <v>3969520</v>
      </c>
      <c r="M1023" s="10">
        <v>700190</v>
      </c>
      <c r="N1023" s="12">
        <v>15</v>
      </c>
      <c r="O1023" s="12" t="s">
        <v>6992</v>
      </c>
      <c r="P1023" t="s">
        <v>2183</v>
      </c>
      <c r="R1023"/>
      <c r="S1023" t="s">
        <v>2184</v>
      </c>
      <c r="T1023" s="12" t="s">
        <v>2185</v>
      </c>
      <c r="U1023" s="12" t="s">
        <v>2186</v>
      </c>
      <c r="V1023" s="12" t="s">
        <v>2187</v>
      </c>
      <c r="W1023" s="12">
        <v>0</v>
      </c>
      <c r="X1023" s="12">
        <v>1</v>
      </c>
      <c r="Y1023" s="12">
        <v>0</v>
      </c>
      <c r="Z1023" s="12">
        <v>0</v>
      </c>
      <c r="AA1023" s="12">
        <v>0</v>
      </c>
      <c r="AB1023" s="12">
        <v>0</v>
      </c>
      <c r="AC1023" s="12">
        <v>0</v>
      </c>
      <c r="AD1023" s="12">
        <v>0</v>
      </c>
      <c r="AE1023" s="12">
        <v>0</v>
      </c>
      <c r="AF1023" s="12">
        <v>0</v>
      </c>
      <c r="AG1023" s="12">
        <v>0</v>
      </c>
      <c r="AH1023" s="12">
        <v>0</v>
      </c>
      <c r="AI1023" s="12">
        <v>0</v>
      </c>
      <c r="AJ1023" s="12">
        <v>0</v>
      </c>
      <c r="AK1023" s="12">
        <v>0</v>
      </c>
      <c r="AL1023" s="12">
        <v>0</v>
      </c>
      <c r="AM1023" s="12"/>
      <c r="AN1023" s="12">
        <v>0</v>
      </c>
      <c r="AO1023" s="12">
        <v>0</v>
      </c>
      <c r="AP1023" s="12">
        <v>0</v>
      </c>
      <c r="AQ1023" s="12">
        <v>0</v>
      </c>
      <c r="AR1023" s="12">
        <v>0</v>
      </c>
      <c r="AS1023" s="12">
        <v>0</v>
      </c>
      <c r="AT1023" s="12">
        <v>0</v>
      </c>
      <c r="AU1023" s="12">
        <v>0</v>
      </c>
      <c r="AV1023" s="12">
        <v>0</v>
      </c>
      <c r="AW1023" s="12">
        <v>0</v>
      </c>
      <c r="AX1023" s="12">
        <v>0</v>
      </c>
      <c r="AY1023" s="12">
        <v>0</v>
      </c>
      <c r="AZ1023"/>
      <c r="BA1023"/>
      <c r="BB1023" s="12">
        <v>0</v>
      </c>
      <c r="BC1023" s="12">
        <v>0</v>
      </c>
      <c r="BD1023" s="12">
        <v>0</v>
      </c>
      <c r="BE1023" s="12">
        <v>0</v>
      </c>
      <c r="BF1023" s="12">
        <v>0</v>
      </c>
      <c r="BI1023" s="12">
        <v>0</v>
      </c>
      <c r="BJ1023" s="12">
        <v>0</v>
      </c>
    </row>
    <row r="1024" spans="1:62" x14ac:dyDescent="0.15">
      <c r="A1024" s="12"/>
      <c r="B1024" t="s">
        <v>1750</v>
      </c>
      <c r="C1024" t="s">
        <v>1750</v>
      </c>
      <c r="D1024" t="s">
        <v>6596</v>
      </c>
      <c r="E1024" t="s">
        <v>2182</v>
      </c>
      <c r="F1024"/>
      <c r="G1024"/>
      <c r="H1024"/>
      <c r="I1024"/>
      <c r="J1024"/>
      <c r="K1024"/>
      <c r="L1024" s="10">
        <v>3968860</v>
      </c>
      <c r="M1024" s="10">
        <v>699270</v>
      </c>
      <c r="N1024" s="12">
        <v>15</v>
      </c>
      <c r="O1024" s="12" t="s">
        <v>6992</v>
      </c>
      <c r="P1024" t="s">
        <v>2183</v>
      </c>
      <c r="R1024"/>
      <c r="S1024" t="s">
        <v>2184</v>
      </c>
      <c r="T1024" s="12" t="s">
        <v>2185</v>
      </c>
      <c r="U1024" s="12" t="s">
        <v>2186</v>
      </c>
      <c r="V1024" s="12" t="s">
        <v>2187</v>
      </c>
      <c r="W1024" s="12">
        <v>0</v>
      </c>
      <c r="X1024" s="12">
        <v>1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2">
        <v>0</v>
      </c>
      <c r="AK1024" s="12">
        <v>0</v>
      </c>
      <c r="AL1024" s="12">
        <v>0</v>
      </c>
      <c r="AM1024" s="12"/>
      <c r="AN1024" s="12">
        <v>0</v>
      </c>
      <c r="AO1024" s="12">
        <v>0</v>
      </c>
      <c r="AP1024" s="12">
        <v>0</v>
      </c>
      <c r="AQ1024" s="12">
        <v>0</v>
      </c>
      <c r="AR1024" s="12">
        <v>0</v>
      </c>
      <c r="AS1024" s="12">
        <v>0</v>
      </c>
      <c r="AT1024" s="12">
        <v>0</v>
      </c>
      <c r="AU1024" s="12">
        <v>0</v>
      </c>
      <c r="AV1024" s="12">
        <v>0</v>
      </c>
      <c r="AW1024" s="12">
        <v>0</v>
      </c>
      <c r="AX1024" s="12">
        <v>0</v>
      </c>
      <c r="AY1024" s="12">
        <v>0</v>
      </c>
      <c r="AZ1024"/>
      <c r="BA1024"/>
      <c r="BB1024" s="12">
        <v>0</v>
      </c>
      <c r="BC1024" s="12">
        <v>0</v>
      </c>
      <c r="BD1024" s="12">
        <v>0</v>
      </c>
      <c r="BE1024" s="12">
        <v>0</v>
      </c>
      <c r="BF1024" s="12">
        <v>0</v>
      </c>
      <c r="BI1024" s="12">
        <v>0</v>
      </c>
      <c r="BJ1024" s="12">
        <v>0</v>
      </c>
    </row>
    <row r="1025" spans="1:62" x14ac:dyDescent="0.15">
      <c r="A1025" s="12"/>
      <c r="B1025" t="s">
        <v>1751</v>
      </c>
      <c r="C1025" t="s">
        <v>1751</v>
      </c>
      <c r="D1025" t="s">
        <v>6596</v>
      </c>
      <c r="E1025" t="s">
        <v>2182</v>
      </c>
      <c r="F1025"/>
      <c r="G1025"/>
      <c r="H1025"/>
      <c r="I1025"/>
      <c r="J1025"/>
      <c r="K1025"/>
      <c r="L1025" s="10">
        <v>3968840</v>
      </c>
      <c r="M1025" s="10">
        <v>699720</v>
      </c>
      <c r="N1025" s="12">
        <v>15</v>
      </c>
      <c r="O1025" s="12" t="s">
        <v>6992</v>
      </c>
      <c r="P1025" t="s">
        <v>2183</v>
      </c>
      <c r="R1025"/>
      <c r="S1025" t="s">
        <v>2184</v>
      </c>
      <c r="T1025" s="12" t="s">
        <v>2185</v>
      </c>
      <c r="U1025" s="12" t="s">
        <v>2186</v>
      </c>
      <c r="V1025" s="12" t="s">
        <v>2187</v>
      </c>
      <c r="W1025" s="12">
        <v>0</v>
      </c>
      <c r="X1025" s="12">
        <v>1</v>
      </c>
      <c r="Y1025" s="12">
        <v>0</v>
      </c>
      <c r="Z1025" s="12">
        <v>0</v>
      </c>
      <c r="AA1025" s="12">
        <v>0</v>
      </c>
      <c r="AB1025" s="12">
        <v>0</v>
      </c>
      <c r="AC1025" s="12">
        <v>0</v>
      </c>
      <c r="AD1025" s="12">
        <v>0</v>
      </c>
      <c r="AE1025" s="12">
        <v>0</v>
      </c>
      <c r="AF1025" s="12">
        <v>0</v>
      </c>
      <c r="AG1025" s="12">
        <v>0</v>
      </c>
      <c r="AH1025" s="12">
        <v>0</v>
      </c>
      <c r="AI1025" s="12">
        <v>0</v>
      </c>
      <c r="AJ1025" s="12">
        <v>0</v>
      </c>
      <c r="AK1025" s="12">
        <v>0</v>
      </c>
      <c r="AL1025" s="12">
        <v>0</v>
      </c>
      <c r="AM1025" s="12"/>
      <c r="AN1025" s="12">
        <v>0</v>
      </c>
      <c r="AO1025" s="12">
        <v>0</v>
      </c>
      <c r="AP1025" s="12">
        <v>0</v>
      </c>
      <c r="AQ1025" s="12">
        <v>0</v>
      </c>
      <c r="AR1025" s="12">
        <v>0</v>
      </c>
      <c r="AS1025" s="12">
        <v>0</v>
      </c>
      <c r="AT1025" s="12">
        <v>0</v>
      </c>
      <c r="AU1025" s="12">
        <v>0</v>
      </c>
      <c r="AV1025" s="12">
        <v>0</v>
      </c>
      <c r="AW1025" s="12">
        <v>0</v>
      </c>
      <c r="AX1025" s="12">
        <v>0</v>
      </c>
      <c r="AY1025" s="12">
        <v>0</v>
      </c>
      <c r="AZ1025"/>
      <c r="BA1025"/>
      <c r="BB1025" s="12">
        <v>0</v>
      </c>
      <c r="BC1025" s="12">
        <v>0</v>
      </c>
      <c r="BD1025" s="12">
        <v>0</v>
      </c>
      <c r="BE1025" s="12">
        <v>0</v>
      </c>
      <c r="BF1025" s="12">
        <v>0</v>
      </c>
      <c r="BI1025" s="12">
        <v>0</v>
      </c>
      <c r="BJ1025" s="12">
        <v>0</v>
      </c>
    </row>
    <row r="1026" spans="1:62" x14ac:dyDescent="0.15">
      <c r="A1026" s="12"/>
      <c r="B1026" t="s">
        <v>1752</v>
      </c>
      <c r="C1026" t="s">
        <v>1752</v>
      </c>
      <c r="D1026" t="s">
        <v>6596</v>
      </c>
      <c r="E1026" t="s">
        <v>2182</v>
      </c>
      <c r="F1026"/>
      <c r="G1026"/>
      <c r="H1026"/>
      <c r="I1026"/>
      <c r="J1026"/>
      <c r="K1026"/>
      <c r="L1026" s="10">
        <v>3956350</v>
      </c>
      <c r="M1026" s="10">
        <v>708500</v>
      </c>
      <c r="N1026" s="12">
        <v>15</v>
      </c>
      <c r="O1026" s="12" t="s">
        <v>6992</v>
      </c>
      <c r="P1026" t="s">
        <v>2183</v>
      </c>
      <c r="R1026"/>
      <c r="S1026" t="s">
        <v>2184</v>
      </c>
      <c r="T1026" s="12" t="s">
        <v>2185</v>
      </c>
      <c r="U1026" s="12" t="s">
        <v>2186</v>
      </c>
      <c r="V1026" s="12" t="s">
        <v>2187</v>
      </c>
      <c r="W1026" s="12">
        <v>0</v>
      </c>
      <c r="X1026" s="12">
        <v>1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2">
        <v>0</v>
      </c>
      <c r="AK1026" s="12">
        <v>0</v>
      </c>
      <c r="AL1026" s="12">
        <v>0</v>
      </c>
      <c r="AM1026" s="12"/>
      <c r="AN1026" s="12">
        <v>0</v>
      </c>
      <c r="AO1026" s="12">
        <v>0</v>
      </c>
      <c r="AP1026" s="12">
        <v>0</v>
      </c>
      <c r="AQ1026" s="12">
        <v>0</v>
      </c>
      <c r="AR1026" s="12">
        <v>0</v>
      </c>
      <c r="AS1026" s="12">
        <v>0</v>
      </c>
      <c r="AT1026" s="12">
        <v>0</v>
      </c>
      <c r="AU1026" s="12">
        <v>0</v>
      </c>
      <c r="AV1026" s="12">
        <v>0</v>
      </c>
      <c r="AW1026" s="12">
        <v>0</v>
      </c>
      <c r="AX1026" s="12">
        <v>0</v>
      </c>
      <c r="AY1026" s="12">
        <v>0</v>
      </c>
      <c r="AZ1026"/>
      <c r="BA1026"/>
      <c r="BB1026" s="12">
        <v>0</v>
      </c>
      <c r="BC1026" s="12">
        <v>0</v>
      </c>
      <c r="BD1026" s="12">
        <v>0</v>
      </c>
      <c r="BE1026" s="12">
        <v>0</v>
      </c>
      <c r="BF1026" s="12">
        <v>0</v>
      </c>
      <c r="BI1026" s="12">
        <v>0</v>
      </c>
      <c r="BJ1026" s="12">
        <v>0</v>
      </c>
    </row>
    <row r="1027" spans="1:62" x14ac:dyDescent="0.15">
      <c r="A1027" s="12"/>
      <c r="B1027" t="s">
        <v>1753</v>
      </c>
      <c r="C1027" t="s">
        <v>1753</v>
      </c>
      <c r="D1027" t="s">
        <v>6596</v>
      </c>
      <c r="E1027" t="s">
        <v>2182</v>
      </c>
      <c r="F1027"/>
      <c r="G1027"/>
      <c r="H1027"/>
      <c r="I1027"/>
      <c r="J1027"/>
      <c r="K1027"/>
      <c r="L1027" s="10">
        <v>3980860</v>
      </c>
      <c r="M1027" s="10">
        <v>694070</v>
      </c>
      <c r="N1027" s="12">
        <v>15</v>
      </c>
      <c r="O1027" s="12" t="s">
        <v>6992</v>
      </c>
      <c r="P1027" t="s">
        <v>2183</v>
      </c>
      <c r="R1027"/>
      <c r="S1027" t="s">
        <v>2184</v>
      </c>
      <c r="T1027" s="12" t="s">
        <v>2185</v>
      </c>
      <c r="U1027" s="12" t="s">
        <v>2186</v>
      </c>
      <c r="V1027" s="12" t="s">
        <v>2187</v>
      </c>
      <c r="W1027" s="12">
        <v>0</v>
      </c>
      <c r="X1027" s="12">
        <v>1</v>
      </c>
      <c r="Y1027" s="12">
        <v>0</v>
      </c>
      <c r="Z1027" s="12">
        <v>0</v>
      </c>
      <c r="AA1027" s="12">
        <v>0</v>
      </c>
      <c r="AB1027" s="12">
        <v>0</v>
      </c>
      <c r="AC1027" s="12">
        <v>0</v>
      </c>
      <c r="AD1027" s="12">
        <v>0</v>
      </c>
      <c r="AE1027" s="12">
        <v>0</v>
      </c>
      <c r="AF1027" s="12">
        <v>0</v>
      </c>
      <c r="AG1027" s="12">
        <v>0</v>
      </c>
      <c r="AH1027" s="12">
        <v>0</v>
      </c>
      <c r="AI1027" s="12">
        <v>0</v>
      </c>
      <c r="AJ1027" s="12">
        <v>0</v>
      </c>
      <c r="AK1027" s="12">
        <v>0</v>
      </c>
      <c r="AL1027" s="12">
        <v>0</v>
      </c>
      <c r="AM1027" s="12"/>
      <c r="AN1027" s="12">
        <v>0</v>
      </c>
      <c r="AO1027" s="12">
        <v>0</v>
      </c>
      <c r="AP1027" s="12">
        <v>0</v>
      </c>
      <c r="AQ1027" s="12">
        <v>0</v>
      </c>
      <c r="AR1027" s="12">
        <v>0</v>
      </c>
      <c r="AS1027" s="12">
        <v>0</v>
      </c>
      <c r="AT1027" s="12">
        <v>0</v>
      </c>
      <c r="AU1027" s="12">
        <v>0</v>
      </c>
      <c r="AV1027" s="12">
        <v>0</v>
      </c>
      <c r="AW1027" s="12">
        <v>0</v>
      </c>
      <c r="AX1027" s="12">
        <v>0</v>
      </c>
      <c r="AY1027" s="12">
        <v>0</v>
      </c>
      <c r="AZ1027"/>
      <c r="BA1027"/>
      <c r="BB1027" s="12">
        <v>0</v>
      </c>
      <c r="BC1027" s="12">
        <v>0</v>
      </c>
      <c r="BD1027" s="12">
        <v>0</v>
      </c>
      <c r="BE1027" s="12">
        <v>0</v>
      </c>
      <c r="BF1027" s="12">
        <v>0</v>
      </c>
      <c r="BI1027" s="12">
        <v>0</v>
      </c>
      <c r="BJ1027" s="12">
        <v>0</v>
      </c>
    </row>
    <row r="1028" spans="1:62" x14ac:dyDescent="0.15">
      <c r="A1028" s="12"/>
      <c r="B1028" t="s">
        <v>1754</v>
      </c>
      <c r="C1028" s="27" t="s">
        <v>1755</v>
      </c>
      <c r="D1028" t="s">
        <v>6596</v>
      </c>
      <c r="E1028" t="s">
        <v>2182</v>
      </c>
      <c r="F1028"/>
      <c r="G1028"/>
      <c r="H1028"/>
      <c r="I1028"/>
      <c r="J1028"/>
      <c r="K1028"/>
      <c r="L1028" s="10">
        <v>3954080</v>
      </c>
      <c r="M1028" s="10">
        <v>707860</v>
      </c>
      <c r="N1028" s="12">
        <v>15</v>
      </c>
      <c r="O1028" s="12" t="s">
        <v>6992</v>
      </c>
      <c r="P1028" t="s">
        <v>2183</v>
      </c>
      <c r="R1028"/>
      <c r="S1028" t="s">
        <v>2184</v>
      </c>
      <c r="T1028" s="12" t="s">
        <v>2185</v>
      </c>
      <c r="U1028" s="12" t="s">
        <v>2186</v>
      </c>
      <c r="V1028" s="12" t="s">
        <v>2187</v>
      </c>
      <c r="W1028" s="12">
        <v>0</v>
      </c>
      <c r="X1028" s="12">
        <v>1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2">
        <v>0</v>
      </c>
      <c r="AK1028" s="12">
        <v>0</v>
      </c>
      <c r="AL1028" s="12">
        <v>0</v>
      </c>
      <c r="AM1028" s="12"/>
      <c r="AN1028" s="12">
        <v>0</v>
      </c>
      <c r="AO1028" s="12">
        <v>0</v>
      </c>
      <c r="AP1028" s="12">
        <v>0</v>
      </c>
      <c r="AQ1028" s="12">
        <v>0</v>
      </c>
      <c r="AR1028" s="12">
        <v>0</v>
      </c>
      <c r="AS1028" s="12">
        <v>0</v>
      </c>
      <c r="AT1028" s="12">
        <v>0</v>
      </c>
      <c r="AU1028" s="12">
        <v>0</v>
      </c>
      <c r="AV1028" s="12">
        <v>0</v>
      </c>
      <c r="AW1028" s="12">
        <v>0</v>
      </c>
      <c r="AX1028" s="12">
        <v>0</v>
      </c>
      <c r="AY1028" s="12">
        <v>0</v>
      </c>
      <c r="AZ1028"/>
      <c r="BA1028"/>
      <c r="BB1028" s="12">
        <v>0</v>
      </c>
      <c r="BC1028" s="12">
        <v>0</v>
      </c>
      <c r="BD1028" s="12">
        <v>0</v>
      </c>
      <c r="BE1028" s="12">
        <v>0</v>
      </c>
      <c r="BF1028" s="12">
        <v>0</v>
      </c>
      <c r="BI1028" s="12">
        <v>0</v>
      </c>
      <c r="BJ1028" s="12">
        <v>0</v>
      </c>
    </row>
    <row r="1029" spans="1:62" x14ac:dyDescent="0.15">
      <c r="A1029" s="12"/>
      <c r="B1029" t="s">
        <v>1756</v>
      </c>
      <c r="C1029" s="27" t="s">
        <v>912</v>
      </c>
      <c r="D1029" t="s">
        <v>6596</v>
      </c>
      <c r="E1029" t="s">
        <v>2182</v>
      </c>
      <c r="F1029"/>
      <c r="G1029"/>
      <c r="H1029"/>
      <c r="I1029"/>
      <c r="J1029"/>
      <c r="K1029"/>
      <c r="L1029" s="10">
        <v>3970610</v>
      </c>
      <c r="M1029" s="10">
        <v>691550</v>
      </c>
      <c r="N1029" s="12">
        <v>15</v>
      </c>
      <c r="O1029" s="12" t="s">
        <v>6992</v>
      </c>
      <c r="P1029" t="s">
        <v>2183</v>
      </c>
      <c r="R1029"/>
      <c r="S1029" t="s">
        <v>2184</v>
      </c>
      <c r="T1029" s="12" t="s">
        <v>2185</v>
      </c>
      <c r="U1029" s="12" t="s">
        <v>2186</v>
      </c>
      <c r="V1029" s="12" t="s">
        <v>2187</v>
      </c>
      <c r="W1029" s="12">
        <v>0</v>
      </c>
      <c r="X1029" s="12">
        <v>1</v>
      </c>
      <c r="Y1029" s="12">
        <v>0</v>
      </c>
      <c r="Z1029" s="12">
        <v>0</v>
      </c>
      <c r="AA1029" s="12">
        <v>0</v>
      </c>
      <c r="AB1029" s="12">
        <v>0</v>
      </c>
      <c r="AC1029" s="12">
        <v>0</v>
      </c>
      <c r="AD1029" s="12">
        <v>0</v>
      </c>
      <c r="AE1029" s="12">
        <v>0</v>
      </c>
      <c r="AF1029" s="12">
        <v>0</v>
      </c>
      <c r="AG1029" s="12">
        <v>0</v>
      </c>
      <c r="AH1029" s="12">
        <v>0</v>
      </c>
      <c r="AI1029" s="12">
        <v>0</v>
      </c>
      <c r="AJ1029" s="12">
        <v>0</v>
      </c>
      <c r="AK1029" s="12">
        <v>0</v>
      </c>
      <c r="AL1029" s="12">
        <v>0</v>
      </c>
      <c r="AM1029" s="12"/>
      <c r="AN1029" s="12">
        <v>0</v>
      </c>
      <c r="AO1029" s="12">
        <v>0</v>
      </c>
      <c r="AP1029" s="12">
        <v>0</v>
      </c>
      <c r="AQ1029" s="12">
        <v>0</v>
      </c>
      <c r="AR1029" s="12">
        <v>0</v>
      </c>
      <c r="AS1029" s="12">
        <v>0</v>
      </c>
      <c r="AT1029" s="12">
        <v>0</v>
      </c>
      <c r="AU1029" s="12">
        <v>0</v>
      </c>
      <c r="AV1029" s="12">
        <v>0</v>
      </c>
      <c r="AW1029" s="12">
        <v>0</v>
      </c>
      <c r="AX1029" s="12">
        <v>0</v>
      </c>
      <c r="AY1029" s="12">
        <v>0</v>
      </c>
      <c r="AZ1029"/>
      <c r="BA1029"/>
      <c r="BB1029" s="12">
        <v>0</v>
      </c>
      <c r="BC1029" s="12">
        <v>0</v>
      </c>
      <c r="BD1029" s="12">
        <v>0</v>
      </c>
      <c r="BE1029" s="12">
        <v>0</v>
      </c>
      <c r="BF1029" s="12">
        <v>0</v>
      </c>
      <c r="BI1029" s="12">
        <v>0</v>
      </c>
      <c r="BJ1029" s="12">
        <v>0</v>
      </c>
    </row>
    <row r="1030" spans="1:62" x14ac:dyDescent="0.15">
      <c r="A1030" s="12"/>
      <c r="B1030" t="s">
        <v>1757</v>
      </c>
      <c r="C1030" t="s">
        <v>1757</v>
      </c>
      <c r="D1030" t="s">
        <v>6596</v>
      </c>
      <c r="E1030" t="s">
        <v>2182</v>
      </c>
      <c r="F1030"/>
      <c r="G1030"/>
      <c r="H1030"/>
      <c r="I1030"/>
      <c r="J1030"/>
      <c r="K1030"/>
      <c r="L1030" s="10">
        <v>3976440</v>
      </c>
      <c r="M1030" s="10">
        <v>721160</v>
      </c>
      <c r="N1030" s="12">
        <v>15</v>
      </c>
      <c r="O1030" s="12" t="s">
        <v>6992</v>
      </c>
      <c r="P1030" t="s">
        <v>2183</v>
      </c>
      <c r="R1030"/>
      <c r="S1030" t="s">
        <v>2184</v>
      </c>
      <c r="T1030" s="12" t="s">
        <v>2185</v>
      </c>
      <c r="U1030" s="12" t="s">
        <v>2186</v>
      </c>
      <c r="V1030" s="12" t="s">
        <v>2187</v>
      </c>
      <c r="W1030" s="12">
        <v>0</v>
      </c>
      <c r="X1030" s="12">
        <v>1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2">
        <v>0</v>
      </c>
      <c r="AK1030" s="12">
        <v>0</v>
      </c>
      <c r="AL1030" s="12">
        <v>0</v>
      </c>
      <c r="AM1030" s="12"/>
      <c r="AN1030" s="12">
        <v>0</v>
      </c>
      <c r="AO1030" s="12">
        <v>0</v>
      </c>
      <c r="AP1030" s="12">
        <v>0</v>
      </c>
      <c r="AQ1030" s="12">
        <v>0</v>
      </c>
      <c r="AR1030" s="12">
        <v>0</v>
      </c>
      <c r="AS1030" s="12">
        <v>0</v>
      </c>
      <c r="AT1030" s="12">
        <v>0</v>
      </c>
      <c r="AU1030" s="12">
        <v>0</v>
      </c>
      <c r="AV1030" s="12">
        <v>0</v>
      </c>
      <c r="AW1030" s="12">
        <v>0</v>
      </c>
      <c r="AX1030" s="12">
        <v>0</v>
      </c>
      <c r="AY1030" s="12">
        <v>0</v>
      </c>
      <c r="AZ1030"/>
      <c r="BA1030"/>
      <c r="BB1030" s="12">
        <v>0</v>
      </c>
      <c r="BC1030" s="12">
        <v>0</v>
      </c>
      <c r="BD1030" s="12">
        <v>0</v>
      </c>
      <c r="BE1030" s="12">
        <v>0</v>
      </c>
      <c r="BF1030" s="12">
        <v>0</v>
      </c>
      <c r="BI1030" s="12">
        <v>0</v>
      </c>
      <c r="BJ1030" s="12">
        <v>0</v>
      </c>
    </row>
    <row r="1031" spans="1:62" x14ac:dyDescent="0.15">
      <c r="A1031" s="12"/>
      <c r="B1031" t="s">
        <v>1758</v>
      </c>
      <c r="C1031" s="27" t="s">
        <v>1759</v>
      </c>
      <c r="D1031" t="s">
        <v>6596</v>
      </c>
      <c r="E1031" t="s">
        <v>2182</v>
      </c>
      <c r="F1031"/>
      <c r="G1031"/>
      <c r="H1031"/>
      <c r="I1031"/>
      <c r="J1031"/>
      <c r="K1031"/>
      <c r="L1031" s="10">
        <v>3975330</v>
      </c>
      <c r="M1031" s="10">
        <v>704820</v>
      </c>
      <c r="N1031" s="12">
        <v>15</v>
      </c>
      <c r="O1031" s="12" t="s">
        <v>6992</v>
      </c>
      <c r="P1031" t="s">
        <v>2183</v>
      </c>
      <c r="R1031"/>
      <c r="S1031" t="s">
        <v>2184</v>
      </c>
      <c r="T1031" s="12" t="s">
        <v>2185</v>
      </c>
      <c r="U1031" s="12" t="s">
        <v>2186</v>
      </c>
      <c r="V1031" s="12" t="s">
        <v>2187</v>
      </c>
      <c r="W1031" s="12">
        <v>0</v>
      </c>
      <c r="X1031" s="12">
        <v>1</v>
      </c>
      <c r="Y1031" s="12">
        <v>0</v>
      </c>
      <c r="Z1031" s="12">
        <v>0</v>
      </c>
      <c r="AA1031" s="12">
        <v>0</v>
      </c>
      <c r="AB1031" s="12">
        <v>0</v>
      </c>
      <c r="AC1031" s="12">
        <v>0</v>
      </c>
      <c r="AD1031" s="12">
        <v>0</v>
      </c>
      <c r="AE1031" s="12">
        <v>0</v>
      </c>
      <c r="AF1031" s="12">
        <v>0</v>
      </c>
      <c r="AG1031" s="12">
        <v>0</v>
      </c>
      <c r="AH1031" s="12">
        <v>0</v>
      </c>
      <c r="AI1031" s="12">
        <v>0</v>
      </c>
      <c r="AJ1031" s="12">
        <v>0</v>
      </c>
      <c r="AK1031" s="12">
        <v>0</v>
      </c>
      <c r="AL1031" s="12">
        <v>0</v>
      </c>
      <c r="AM1031" s="12"/>
      <c r="AN1031" s="12">
        <v>0</v>
      </c>
      <c r="AO1031" s="12">
        <v>0</v>
      </c>
      <c r="AP1031" s="12">
        <v>0</v>
      </c>
      <c r="AQ1031" s="12">
        <v>0</v>
      </c>
      <c r="AR1031" s="12">
        <v>0</v>
      </c>
      <c r="AS1031" s="12">
        <v>0</v>
      </c>
      <c r="AT1031" s="12">
        <v>0</v>
      </c>
      <c r="AU1031" s="12">
        <v>0</v>
      </c>
      <c r="AV1031" s="12">
        <v>0</v>
      </c>
      <c r="AW1031" s="12">
        <v>0</v>
      </c>
      <c r="AX1031" s="12">
        <v>0</v>
      </c>
      <c r="AY1031" s="12">
        <v>0</v>
      </c>
      <c r="AZ1031"/>
      <c r="BA1031"/>
      <c r="BB1031" s="12">
        <v>0</v>
      </c>
      <c r="BC1031" s="12">
        <v>0</v>
      </c>
      <c r="BD1031" s="12">
        <v>0</v>
      </c>
      <c r="BE1031" s="12">
        <v>0</v>
      </c>
      <c r="BF1031" s="12">
        <v>0</v>
      </c>
      <c r="BI1031" s="12">
        <v>0</v>
      </c>
      <c r="BJ1031" s="12">
        <v>0</v>
      </c>
    </row>
    <row r="1032" spans="1:62" x14ac:dyDescent="0.15">
      <c r="A1032" s="12"/>
      <c r="B1032" t="s">
        <v>1760</v>
      </c>
      <c r="C1032" s="27" t="s">
        <v>1761</v>
      </c>
      <c r="D1032" t="s">
        <v>6596</v>
      </c>
      <c r="E1032" t="s">
        <v>2182</v>
      </c>
      <c r="F1032"/>
      <c r="G1032"/>
      <c r="H1032"/>
      <c r="I1032"/>
      <c r="J1032"/>
      <c r="K1032"/>
      <c r="L1032" s="10">
        <v>3976780</v>
      </c>
      <c r="M1032" s="10">
        <v>705600</v>
      </c>
      <c r="N1032" s="12">
        <v>15</v>
      </c>
      <c r="O1032" s="12" t="s">
        <v>6992</v>
      </c>
      <c r="P1032" t="s">
        <v>2183</v>
      </c>
      <c r="R1032"/>
      <c r="S1032" t="s">
        <v>2184</v>
      </c>
      <c r="T1032" s="12" t="s">
        <v>2185</v>
      </c>
      <c r="U1032" s="12" t="s">
        <v>2186</v>
      </c>
      <c r="V1032" s="12" t="s">
        <v>2187</v>
      </c>
      <c r="W1032" s="12">
        <v>0</v>
      </c>
      <c r="X1032" s="12">
        <v>1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2">
        <v>0</v>
      </c>
      <c r="AK1032" s="12">
        <v>0</v>
      </c>
      <c r="AL1032" s="12">
        <v>0</v>
      </c>
      <c r="AM1032" s="12"/>
      <c r="AN1032" s="12">
        <v>0</v>
      </c>
      <c r="AO1032" s="12">
        <v>0</v>
      </c>
      <c r="AP1032" s="12">
        <v>0</v>
      </c>
      <c r="AQ1032" s="12">
        <v>0</v>
      </c>
      <c r="AR1032" s="12">
        <v>0</v>
      </c>
      <c r="AS1032" s="12">
        <v>0</v>
      </c>
      <c r="AT1032" s="12">
        <v>0</v>
      </c>
      <c r="AU1032" s="12">
        <v>0</v>
      </c>
      <c r="AV1032" s="12">
        <v>0</v>
      </c>
      <c r="AW1032" s="12">
        <v>0</v>
      </c>
      <c r="AX1032" s="12">
        <v>0</v>
      </c>
      <c r="AY1032" s="12">
        <v>0</v>
      </c>
      <c r="AZ1032"/>
      <c r="BA1032"/>
      <c r="BB1032" s="12">
        <v>0</v>
      </c>
      <c r="BC1032" s="12">
        <v>0</v>
      </c>
      <c r="BD1032" s="12">
        <v>0</v>
      </c>
      <c r="BE1032" s="12">
        <v>0</v>
      </c>
      <c r="BF1032" s="12">
        <v>0</v>
      </c>
      <c r="BI1032" s="12">
        <v>0</v>
      </c>
      <c r="BJ1032" s="12">
        <v>0</v>
      </c>
    </row>
    <row r="1033" spans="1:62" x14ac:dyDescent="0.15">
      <c r="A1033" s="12"/>
      <c r="B1033" t="s">
        <v>1762</v>
      </c>
      <c r="C1033" t="s">
        <v>1762</v>
      </c>
      <c r="D1033" t="s">
        <v>6596</v>
      </c>
      <c r="E1033" t="s">
        <v>2182</v>
      </c>
      <c r="F1033"/>
      <c r="G1033"/>
      <c r="H1033"/>
      <c r="I1033"/>
      <c r="J1033"/>
      <c r="K1033"/>
      <c r="L1033" s="10">
        <v>3972300</v>
      </c>
      <c r="M1033" s="10">
        <v>721530</v>
      </c>
      <c r="N1033" s="12">
        <v>15</v>
      </c>
      <c r="O1033" s="12" t="s">
        <v>6992</v>
      </c>
      <c r="P1033" t="s">
        <v>2183</v>
      </c>
      <c r="R1033"/>
      <c r="S1033" t="s">
        <v>2184</v>
      </c>
      <c r="T1033" s="12" t="s">
        <v>2185</v>
      </c>
      <c r="U1033" s="12" t="s">
        <v>2186</v>
      </c>
      <c r="V1033" s="12" t="s">
        <v>2187</v>
      </c>
      <c r="W1033" s="12">
        <v>0</v>
      </c>
      <c r="X1033" s="12">
        <v>1</v>
      </c>
      <c r="Y1033" s="12">
        <v>0</v>
      </c>
      <c r="Z1033" s="12">
        <v>0</v>
      </c>
      <c r="AA1033" s="12">
        <v>0</v>
      </c>
      <c r="AB1033" s="12">
        <v>0</v>
      </c>
      <c r="AC1033" s="12">
        <v>0</v>
      </c>
      <c r="AD1033" s="12">
        <v>0</v>
      </c>
      <c r="AE1033" s="12">
        <v>0</v>
      </c>
      <c r="AF1033" s="12">
        <v>0</v>
      </c>
      <c r="AG1033" s="12">
        <v>0</v>
      </c>
      <c r="AH1033" s="12">
        <v>0</v>
      </c>
      <c r="AI1033" s="12">
        <v>0</v>
      </c>
      <c r="AJ1033" s="12">
        <v>0</v>
      </c>
      <c r="AK1033" s="12">
        <v>0</v>
      </c>
      <c r="AL1033" s="12">
        <v>0</v>
      </c>
      <c r="AM1033" s="12"/>
      <c r="AN1033" s="12">
        <v>0</v>
      </c>
      <c r="AO1033" s="12">
        <v>0</v>
      </c>
      <c r="AP1033" s="12">
        <v>0</v>
      </c>
      <c r="AQ1033" s="12">
        <v>0</v>
      </c>
      <c r="AR1033" s="12">
        <v>0</v>
      </c>
      <c r="AS1033" s="12">
        <v>0</v>
      </c>
      <c r="AT1033" s="12">
        <v>0</v>
      </c>
      <c r="AU1033" s="12">
        <v>0</v>
      </c>
      <c r="AV1033" s="12">
        <v>0</v>
      </c>
      <c r="AW1033" s="12">
        <v>0</v>
      </c>
      <c r="AX1033" s="12">
        <v>0</v>
      </c>
      <c r="AY1033" s="12">
        <v>0</v>
      </c>
      <c r="AZ1033"/>
      <c r="BA1033"/>
      <c r="BB1033" s="12">
        <v>0</v>
      </c>
      <c r="BC1033" s="12">
        <v>0</v>
      </c>
      <c r="BD1033" s="12">
        <v>0</v>
      </c>
      <c r="BE1033" s="12">
        <v>0</v>
      </c>
      <c r="BF1033" s="12">
        <v>0</v>
      </c>
      <c r="BI1033" s="12">
        <v>0</v>
      </c>
      <c r="BJ1033" s="12">
        <v>0</v>
      </c>
    </row>
    <row r="1034" spans="1:62" x14ac:dyDescent="0.15">
      <c r="A1034" s="12"/>
      <c r="B1034" t="s">
        <v>1763</v>
      </c>
      <c r="C1034" s="27" t="s">
        <v>1764</v>
      </c>
      <c r="D1034" t="s">
        <v>6596</v>
      </c>
      <c r="E1034" t="s">
        <v>2182</v>
      </c>
      <c r="F1034"/>
      <c r="G1034"/>
      <c r="H1034"/>
      <c r="I1034"/>
      <c r="J1034"/>
      <c r="K1034"/>
      <c r="L1034" s="10">
        <v>3959240</v>
      </c>
      <c r="M1034" s="10">
        <v>712920</v>
      </c>
      <c r="N1034" s="12">
        <v>15</v>
      </c>
      <c r="O1034" s="12" t="s">
        <v>6992</v>
      </c>
      <c r="P1034" t="s">
        <v>2183</v>
      </c>
      <c r="R1034"/>
      <c r="S1034" t="s">
        <v>2184</v>
      </c>
      <c r="T1034" s="12" t="s">
        <v>2185</v>
      </c>
      <c r="U1034" s="12" t="s">
        <v>2186</v>
      </c>
      <c r="V1034" s="12" t="s">
        <v>2187</v>
      </c>
      <c r="W1034" s="12">
        <v>0</v>
      </c>
      <c r="X1034" s="12">
        <v>1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2">
        <v>0</v>
      </c>
      <c r="AK1034" s="12">
        <v>0</v>
      </c>
      <c r="AL1034" s="12">
        <v>0</v>
      </c>
      <c r="AM1034" s="12"/>
      <c r="AN1034" s="12">
        <v>0</v>
      </c>
      <c r="AO1034" s="12">
        <v>0</v>
      </c>
      <c r="AP1034" s="12">
        <v>0</v>
      </c>
      <c r="AQ1034" s="12">
        <v>0</v>
      </c>
      <c r="AR1034" s="12">
        <v>0</v>
      </c>
      <c r="AS1034" s="12">
        <v>0</v>
      </c>
      <c r="AT1034" s="12">
        <v>0</v>
      </c>
      <c r="AU1034" s="12">
        <v>0</v>
      </c>
      <c r="AV1034" s="12">
        <v>0</v>
      </c>
      <c r="AW1034" s="12">
        <v>0</v>
      </c>
      <c r="AX1034" s="12">
        <v>0</v>
      </c>
      <c r="AY1034" s="12">
        <v>0</v>
      </c>
      <c r="AZ1034"/>
      <c r="BA1034"/>
      <c r="BB1034" s="12">
        <v>0</v>
      </c>
      <c r="BC1034" s="12">
        <v>0</v>
      </c>
      <c r="BD1034" s="12">
        <v>0</v>
      </c>
      <c r="BE1034" s="12">
        <v>0</v>
      </c>
      <c r="BF1034" s="12">
        <v>0</v>
      </c>
      <c r="BI1034" s="12">
        <v>0</v>
      </c>
      <c r="BJ1034" s="12">
        <v>0</v>
      </c>
    </row>
    <row r="1035" spans="1:62" x14ac:dyDescent="0.15">
      <c r="A1035" s="12"/>
      <c r="B1035" t="s">
        <v>1765</v>
      </c>
      <c r="C1035" t="s">
        <v>1765</v>
      </c>
      <c r="D1035" t="s">
        <v>6596</v>
      </c>
      <c r="E1035" t="s">
        <v>2182</v>
      </c>
      <c r="F1035"/>
      <c r="G1035"/>
      <c r="H1035"/>
      <c r="I1035"/>
      <c r="J1035"/>
      <c r="K1035"/>
      <c r="L1035" s="10">
        <v>3960620</v>
      </c>
      <c r="M1035" s="10">
        <v>686190</v>
      </c>
      <c r="N1035" s="12">
        <v>15</v>
      </c>
      <c r="O1035" s="12" t="s">
        <v>6992</v>
      </c>
      <c r="P1035" t="s">
        <v>2183</v>
      </c>
      <c r="R1035"/>
      <c r="S1035" t="s">
        <v>2184</v>
      </c>
      <c r="T1035" s="12" t="s">
        <v>2185</v>
      </c>
      <c r="U1035" s="12" t="s">
        <v>2186</v>
      </c>
      <c r="V1035" s="12" t="s">
        <v>2187</v>
      </c>
      <c r="W1035" s="12">
        <v>0</v>
      </c>
      <c r="X1035" s="12">
        <v>1</v>
      </c>
      <c r="Y1035" s="12">
        <v>0</v>
      </c>
      <c r="Z1035" s="12">
        <v>0</v>
      </c>
      <c r="AA1035" s="12">
        <v>0</v>
      </c>
      <c r="AB1035" s="12">
        <v>0</v>
      </c>
      <c r="AC1035" s="12">
        <v>0</v>
      </c>
      <c r="AD1035" s="12">
        <v>0</v>
      </c>
      <c r="AE1035" s="12">
        <v>0</v>
      </c>
      <c r="AF1035" s="12">
        <v>0</v>
      </c>
      <c r="AG1035" s="12">
        <v>0</v>
      </c>
      <c r="AH1035" s="12">
        <v>0</v>
      </c>
      <c r="AI1035" s="12">
        <v>0</v>
      </c>
      <c r="AJ1035" s="12">
        <v>0</v>
      </c>
      <c r="AK1035" s="12">
        <v>0</v>
      </c>
      <c r="AL1035" s="12">
        <v>0</v>
      </c>
      <c r="AM1035" s="12"/>
      <c r="AN1035" s="12">
        <v>0</v>
      </c>
      <c r="AO1035" s="12">
        <v>0</v>
      </c>
      <c r="AP1035" s="12">
        <v>0</v>
      </c>
      <c r="AQ1035" s="12">
        <v>0</v>
      </c>
      <c r="AR1035" s="12">
        <v>0</v>
      </c>
      <c r="AS1035" s="12">
        <v>0</v>
      </c>
      <c r="AT1035" s="12">
        <v>0</v>
      </c>
      <c r="AU1035" s="12">
        <v>0</v>
      </c>
      <c r="AV1035" s="12">
        <v>0</v>
      </c>
      <c r="AW1035" s="12">
        <v>0</v>
      </c>
      <c r="AX1035" s="12">
        <v>0</v>
      </c>
      <c r="AY1035" s="12">
        <v>0</v>
      </c>
      <c r="AZ1035"/>
      <c r="BA1035"/>
      <c r="BB1035" s="12">
        <v>0</v>
      </c>
      <c r="BC1035" s="12">
        <v>0</v>
      </c>
      <c r="BD1035" s="12">
        <v>0</v>
      </c>
      <c r="BE1035" s="12">
        <v>0</v>
      </c>
      <c r="BF1035" s="12">
        <v>0</v>
      </c>
      <c r="BI1035" s="12">
        <v>0</v>
      </c>
      <c r="BJ1035" s="12">
        <v>0</v>
      </c>
    </row>
    <row r="1036" spans="1:62" x14ac:dyDescent="0.15">
      <c r="A1036" s="12"/>
      <c r="B1036" t="s">
        <v>1766</v>
      </c>
      <c r="C1036" t="s">
        <v>1766</v>
      </c>
      <c r="D1036" t="s">
        <v>6596</v>
      </c>
      <c r="E1036" t="s">
        <v>2182</v>
      </c>
      <c r="F1036"/>
      <c r="G1036"/>
      <c r="H1036"/>
      <c r="I1036"/>
      <c r="J1036"/>
      <c r="K1036"/>
      <c r="L1036" s="10">
        <v>3970360</v>
      </c>
      <c r="M1036" s="10">
        <v>686200</v>
      </c>
      <c r="N1036" s="12">
        <v>15</v>
      </c>
      <c r="O1036" s="12" t="s">
        <v>6992</v>
      </c>
      <c r="P1036" t="s">
        <v>2183</v>
      </c>
      <c r="R1036"/>
      <c r="S1036" t="s">
        <v>2184</v>
      </c>
      <c r="T1036" s="12" t="s">
        <v>2185</v>
      </c>
      <c r="U1036" s="12" t="s">
        <v>2186</v>
      </c>
      <c r="V1036" s="12" t="s">
        <v>2187</v>
      </c>
      <c r="W1036" s="12">
        <v>0</v>
      </c>
      <c r="X1036" s="12">
        <v>1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2">
        <v>0</v>
      </c>
      <c r="AK1036" s="12">
        <v>0</v>
      </c>
      <c r="AL1036" s="12">
        <v>0</v>
      </c>
      <c r="AM1036" s="12"/>
      <c r="AN1036" s="12">
        <v>0</v>
      </c>
      <c r="AO1036" s="12">
        <v>0</v>
      </c>
      <c r="AP1036" s="12">
        <v>0</v>
      </c>
      <c r="AQ1036" s="12">
        <v>0</v>
      </c>
      <c r="AR1036" s="12">
        <v>0</v>
      </c>
      <c r="AS1036" s="12">
        <v>0</v>
      </c>
      <c r="AT1036" s="12">
        <v>0</v>
      </c>
      <c r="AU1036" s="12">
        <v>0</v>
      </c>
      <c r="AV1036" s="12">
        <v>0</v>
      </c>
      <c r="AW1036" s="12">
        <v>0</v>
      </c>
      <c r="AX1036" s="12">
        <v>0</v>
      </c>
      <c r="AY1036" s="12">
        <v>0</v>
      </c>
      <c r="AZ1036"/>
      <c r="BA1036"/>
      <c r="BB1036" s="12">
        <v>0</v>
      </c>
      <c r="BC1036" s="12">
        <v>0</v>
      </c>
      <c r="BD1036" s="12">
        <v>0</v>
      </c>
      <c r="BE1036" s="12">
        <v>0</v>
      </c>
      <c r="BF1036" s="12">
        <v>0</v>
      </c>
      <c r="BI1036" s="12">
        <v>0</v>
      </c>
      <c r="BJ1036" s="12">
        <v>0</v>
      </c>
    </row>
    <row r="1037" spans="1:62" x14ac:dyDescent="0.15">
      <c r="A1037" s="12"/>
      <c r="B1037" t="s">
        <v>1767</v>
      </c>
      <c r="C1037" s="27" t="s">
        <v>1768</v>
      </c>
      <c r="D1037" t="s">
        <v>6596</v>
      </c>
      <c r="E1037" t="s">
        <v>2182</v>
      </c>
      <c r="F1037"/>
      <c r="G1037"/>
      <c r="H1037"/>
      <c r="I1037"/>
      <c r="J1037"/>
      <c r="K1037"/>
      <c r="L1037" s="10">
        <v>3975710</v>
      </c>
      <c r="M1037" s="10">
        <v>699820</v>
      </c>
      <c r="N1037" s="12">
        <v>15</v>
      </c>
      <c r="O1037" s="12" t="s">
        <v>6992</v>
      </c>
      <c r="P1037" t="s">
        <v>2183</v>
      </c>
      <c r="R1037"/>
      <c r="S1037" t="s">
        <v>2184</v>
      </c>
      <c r="T1037" s="12" t="s">
        <v>2185</v>
      </c>
      <c r="U1037" s="12" t="s">
        <v>2186</v>
      </c>
      <c r="V1037" s="12" t="s">
        <v>2187</v>
      </c>
      <c r="W1037" s="12">
        <v>0</v>
      </c>
      <c r="X1037" s="12">
        <v>1</v>
      </c>
      <c r="Y1037" s="12">
        <v>0</v>
      </c>
      <c r="Z1037" s="12">
        <v>0</v>
      </c>
      <c r="AA1037" s="12">
        <v>0</v>
      </c>
      <c r="AB1037" s="12">
        <v>0</v>
      </c>
      <c r="AC1037" s="12">
        <v>0</v>
      </c>
      <c r="AD1037" s="12">
        <v>0</v>
      </c>
      <c r="AE1037" s="12">
        <v>0</v>
      </c>
      <c r="AF1037" s="12">
        <v>0</v>
      </c>
      <c r="AG1037" s="12">
        <v>0</v>
      </c>
      <c r="AH1037" s="12">
        <v>0</v>
      </c>
      <c r="AI1037" s="12">
        <v>0</v>
      </c>
      <c r="AJ1037" s="12">
        <v>0</v>
      </c>
      <c r="AK1037" s="12">
        <v>0</v>
      </c>
      <c r="AL1037" s="12">
        <v>0</v>
      </c>
      <c r="AM1037" s="12"/>
      <c r="AN1037" s="12">
        <v>0</v>
      </c>
      <c r="AO1037" s="12">
        <v>0</v>
      </c>
      <c r="AP1037" s="12">
        <v>0</v>
      </c>
      <c r="AQ1037" s="12">
        <v>0</v>
      </c>
      <c r="AR1037" s="12">
        <v>0</v>
      </c>
      <c r="AS1037" s="12">
        <v>0</v>
      </c>
      <c r="AT1037" s="12">
        <v>0</v>
      </c>
      <c r="AU1037" s="12">
        <v>0</v>
      </c>
      <c r="AV1037" s="12">
        <v>0</v>
      </c>
      <c r="AW1037" s="12">
        <v>0</v>
      </c>
      <c r="AX1037" s="12">
        <v>0</v>
      </c>
      <c r="AY1037" s="12">
        <v>0</v>
      </c>
      <c r="AZ1037"/>
      <c r="BA1037"/>
      <c r="BB1037" s="12">
        <v>0</v>
      </c>
      <c r="BC1037" s="12">
        <v>0</v>
      </c>
      <c r="BD1037" s="12">
        <v>0</v>
      </c>
      <c r="BE1037" s="12">
        <v>0</v>
      </c>
      <c r="BF1037" s="12">
        <v>0</v>
      </c>
      <c r="BI1037" s="12">
        <v>0</v>
      </c>
      <c r="BJ1037" s="12">
        <v>0</v>
      </c>
    </row>
    <row r="1038" spans="1:62" x14ac:dyDescent="0.15">
      <c r="A1038" s="12"/>
      <c r="B1038" t="s">
        <v>1769</v>
      </c>
      <c r="C1038" t="s">
        <v>1769</v>
      </c>
      <c r="D1038" t="s">
        <v>6596</v>
      </c>
      <c r="E1038" t="s">
        <v>2182</v>
      </c>
      <c r="F1038"/>
      <c r="G1038"/>
      <c r="H1038"/>
      <c r="I1038"/>
      <c r="J1038"/>
      <c r="K1038"/>
      <c r="L1038" s="10">
        <v>3969540</v>
      </c>
      <c r="M1038" s="10">
        <v>704950</v>
      </c>
      <c r="N1038" s="12">
        <v>15</v>
      </c>
      <c r="O1038" s="12" t="s">
        <v>6992</v>
      </c>
      <c r="P1038" t="s">
        <v>2183</v>
      </c>
      <c r="R1038"/>
      <c r="S1038" t="s">
        <v>2184</v>
      </c>
      <c r="T1038" s="12" t="s">
        <v>2185</v>
      </c>
      <c r="U1038" s="12" t="s">
        <v>2186</v>
      </c>
      <c r="V1038" s="12" t="s">
        <v>2187</v>
      </c>
      <c r="W1038" s="12">
        <v>0</v>
      </c>
      <c r="X1038" s="12">
        <v>1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2">
        <v>0</v>
      </c>
      <c r="AK1038" s="12">
        <v>0</v>
      </c>
      <c r="AL1038" s="12">
        <v>0</v>
      </c>
      <c r="AM1038" s="12"/>
      <c r="AN1038" s="12">
        <v>0</v>
      </c>
      <c r="AO1038" s="12">
        <v>0</v>
      </c>
      <c r="AP1038" s="12">
        <v>0</v>
      </c>
      <c r="AQ1038" s="12">
        <v>0</v>
      </c>
      <c r="AR1038" s="12">
        <v>0</v>
      </c>
      <c r="AS1038" s="12">
        <v>0</v>
      </c>
      <c r="AT1038" s="12">
        <v>0</v>
      </c>
      <c r="AU1038" s="12">
        <v>0</v>
      </c>
      <c r="AV1038" s="12">
        <v>0</v>
      </c>
      <c r="AW1038" s="12">
        <v>0</v>
      </c>
      <c r="AX1038" s="12">
        <v>0</v>
      </c>
      <c r="AY1038" s="12">
        <v>0</v>
      </c>
      <c r="AZ1038"/>
      <c r="BA1038"/>
      <c r="BB1038" s="12">
        <v>0</v>
      </c>
      <c r="BC1038" s="12">
        <v>0</v>
      </c>
      <c r="BD1038" s="12">
        <v>0</v>
      </c>
      <c r="BE1038" s="12">
        <v>0</v>
      </c>
      <c r="BF1038" s="12">
        <v>0</v>
      </c>
      <c r="BI1038" s="12">
        <v>0</v>
      </c>
      <c r="BJ1038" s="12">
        <v>0</v>
      </c>
    </row>
    <row r="1039" spans="1:62" x14ac:dyDescent="0.15">
      <c r="A1039" s="12"/>
      <c r="B1039" t="s">
        <v>1770</v>
      </c>
      <c r="C1039" s="27" t="s">
        <v>1771</v>
      </c>
      <c r="D1039" t="s">
        <v>6596</v>
      </c>
      <c r="E1039" t="s">
        <v>2182</v>
      </c>
      <c r="F1039"/>
      <c r="G1039"/>
      <c r="H1039"/>
      <c r="I1039"/>
      <c r="J1039"/>
      <c r="K1039"/>
      <c r="L1039" s="10">
        <v>3980140</v>
      </c>
      <c r="M1039" s="10">
        <v>695010</v>
      </c>
      <c r="N1039" s="12">
        <v>15</v>
      </c>
      <c r="O1039" s="12" t="s">
        <v>6992</v>
      </c>
      <c r="P1039" t="s">
        <v>2183</v>
      </c>
      <c r="R1039"/>
      <c r="S1039" t="s">
        <v>2184</v>
      </c>
      <c r="T1039" s="12" t="s">
        <v>2185</v>
      </c>
      <c r="U1039" s="12" t="s">
        <v>2186</v>
      </c>
      <c r="V1039" s="12" t="s">
        <v>2187</v>
      </c>
      <c r="W1039" s="12">
        <v>0</v>
      </c>
      <c r="X1039" s="12">
        <v>1</v>
      </c>
      <c r="Y1039" s="12">
        <v>0</v>
      </c>
      <c r="Z1039" s="12">
        <v>0</v>
      </c>
      <c r="AA1039" s="12">
        <v>0</v>
      </c>
      <c r="AB1039" s="12">
        <v>0</v>
      </c>
      <c r="AC1039" s="12">
        <v>0</v>
      </c>
      <c r="AD1039" s="12">
        <v>0</v>
      </c>
      <c r="AE1039" s="12">
        <v>0</v>
      </c>
      <c r="AF1039" s="12">
        <v>0</v>
      </c>
      <c r="AG1039" s="12">
        <v>0</v>
      </c>
      <c r="AH1039" s="12">
        <v>0</v>
      </c>
      <c r="AI1039" s="12">
        <v>0</v>
      </c>
      <c r="AJ1039" s="12">
        <v>0</v>
      </c>
      <c r="AK1039" s="12">
        <v>0</v>
      </c>
      <c r="AL1039" s="12">
        <v>0</v>
      </c>
      <c r="AM1039" s="12"/>
      <c r="AN1039" s="12">
        <v>0</v>
      </c>
      <c r="AO1039" s="12">
        <v>0</v>
      </c>
      <c r="AP1039" s="12">
        <v>0</v>
      </c>
      <c r="AQ1039" s="12">
        <v>0</v>
      </c>
      <c r="AR1039" s="12">
        <v>0</v>
      </c>
      <c r="AS1039" s="12">
        <v>0</v>
      </c>
      <c r="AT1039" s="12">
        <v>0</v>
      </c>
      <c r="AU1039" s="12">
        <v>0</v>
      </c>
      <c r="AV1039" s="12">
        <v>0</v>
      </c>
      <c r="AW1039" s="12">
        <v>0</v>
      </c>
      <c r="AX1039" s="12">
        <v>0</v>
      </c>
      <c r="AY1039" s="12">
        <v>0</v>
      </c>
      <c r="AZ1039"/>
      <c r="BA1039"/>
      <c r="BB1039" s="12">
        <v>0</v>
      </c>
      <c r="BC1039" s="12">
        <v>0</v>
      </c>
      <c r="BD1039" s="12">
        <v>0</v>
      </c>
      <c r="BE1039" s="12">
        <v>0</v>
      </c>
      <c r="BF1039" s="12">
        <v>0</v>
      </c>
      <c r="BI1039" s="12">
        <v>0</v>
      </c>
      <c r="BJ1039" s="12">
        <v>0</v>
      </c>
    </row>
    <row r="1040" spans="1:62" x14ac:dyDescent="0.15">
      <c r="A1040" s="12"/>
      <c r="B1040" t="s">
        <v>1772</v>
      </c>
      <c r="C1040" s="27" t="s">
        <v>1773</v>
      </c>
      <c r="D1040" t="s">
        <v>6596</v>
      </c>
      <c r="E1040" t="s">
        <v>2182</v>
      </c>
      <c r="F1040"/>
      <c r="G1040"/>
      <c r="H1040"/>
      <c r="I1040"/>
      <c r="J1040"/>
      <c r="K1040"/>
      <c r="L1040" s="10">
        <v>3954030</v>
      </c>
      <c r="M1040" s="10">
        <v>707700</v>
      </c>
      <c r="N1040" s="12">
        <v>15</v>
      </c>
      <c r="O1040" s="12" t="s">
        <v>6992</v>
      </c>
      <c r="P1040" t="s">
        <v>2183</v>
      </c>
      <c r="R1040"/>
      <c r="S1040" t="s">
        <v>2184</v>
      </c>
      <c r="T1040" s="12" t="s">
        <v>2185</v>
      </c>
      <c r="U1040" s="12" t="s">
        <v>2186</v>
      </c>
      <c r="V1040" s="12" t="s">
        <v>2187</v>
      </c>
      <c r="W1040" s="12">
        <v>0</v>
      </c>
      <c r="X1040" s="12">
        <v>1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2">
        <v>0</v>
      </c>
      <c r="AK1040" s="12">
        <v>0</v>
      </c>
      <c r="AL1040" s="12">
        <v>0</v>
      </c>
      <c r="AM1040" s="12"/>
      <c r="AN1040" s="12">
        <v>0</v>
      </c>
      <c r="AO1040" s="12">
        <v>0</v>
      </c>
      <c r="AP1040" s="12">
        <v>0</v>
      </c>
      <c r="AQ1040" s="12">
        <v>0</v>
      </c>
      <c r="AR1040" s="12">
        <v>0</v>
      </c>
      <c r="AS1040" s="12">
        <v>0</v>
      </c>
      <c r="AT1040" s="12">
        <v>0</v>
      </c>
      <c r="AU1040" s="12">
        <v>0</v>
      </c>
      <c r="AV1040" s="12">
        <v>0</v>
      </c>
      <c r="AW1040" s="12">
        <v>0</v>
      </c>
      <c r="AX1040" s="12">
        <v>0</v>
      </c>
      <c r="AY1040" s="12">
        <v>0</v>
      </c>
      <c r="AZ1040"/>
      <c r="BA1040"/>
      <c r="BB1040" s="12">
        <v>0</v>
      </c>
      <c r="BC1040" s="12">
        <v>0</v>
      </c>
      <c r="BD1040" s="12">
        <v>0</v>
      </c>
      <c r="BE1040" s="12">
        <v>0</v>
      </c>
      <c r="BF1040" s="12">
        <v>0</v>
      </c>
      <c r="BI1040" s="12">
        <v>0</v>
      </c>
      <c r="BJ1040" s="12">
        <v>0</v>
      </c>
    </row>
    <row r="1041" spans="1:62" x14ac:dyDescent="0.15">
      <c r="A1041" s="12"/>
      <c r="B1041" t="s">
        <v>1774</v>
      </c>
      <c r="C1041" t="s">
        <v>1774</v>
      </c>
      <c r="D1041" t="s">
        <v>6596</v>
      </c>
      <c r="E1041" t="s">
        <v>2182</v>
      </c>
      <c r="F1041"/>
      <c r="G1041"/>
      <c r="H1041"/>
      <c r="I1041"/>
      <c r="J1041"/>
      <c r="K1041"/>
      <c r="L1041" s="10">
        <v>3980330</v>
      </c>
      <c r="M1041" s="10">
        <v>693540</v>
      </c>
      <c r="N1041" s="12">
        <v>15</v>
      </c>
      <c r="O1041" s="12" t="s">
        <v>6992</v>
      </c>
      <c r="P1041" t="s">
        <v>2183</v>
      </c>
      <c r="R1041"/>
      <c r="S1041" t="s">
        <v>2184</v>
      </c>
      <c r="T1041" s="12" t="s">
        <v>2185</v>
      </c>
      <c r="U1041" s="12" t="s">
        <v>2186</v>
      </c>
      <c r="V1041" s="12" t="s">
        <v>2187</v>
      </c>
      <c r="W1041" s="12">
        <v>0</v>
      </c>
      <c r="X1041" s="12">
        <v>1</v>
      </c>
      <c r="Y1041" s="12">
        <v>0</v>
      </c>
      <c r="Z1041" s="12">
        <v>0</v>
      </c>
      <c r="AA1041" s="12">
        <v>0</v>
      </c>
      <c r="AB1041" s="12">
        <v>0</v>
      </c>
      <c r="AC1041" s="12">
        <v>0</v>
      </c>
      <c r="AD1041" s="12">
        <v>0</v>
      </c>
      <c r="AE1041" s="12">
        <v>0</v>
      </c>
      <c r="AF1041" s="12">
        <v>0</v>
      </c>
      <c r="AG1041" s="12">
        <v>0</v>
      </c>
      <c r="AH1041" s="12">
        <v>0</v>
      </c>
      <c r="AI1041" s="12">
        <v>0</v>
      </c>
      <c r="AJ1041" s="12">
        <v>0</v>
      </c>
      <c r="AK1041" s="12">
        <v>0</v>
      </c>
      <c r="AL1041" s="12">
        <v>0</v>
      </c>
      <c r="AM1041" s="12"/>
      <c r="AN1041" s="12">
        <v>0</v>
      </c>
      <c r="AO1041" s="12">
        <v>0</v>
      </c>
      <c r="AP1041" s="12">
        <v>0</v>
      </c>
      <c r="AQ1041" s="12">
        <v>0</v>
      </c>
      <c r="AR1041" s="12">
        <v>0</v>
      </c>
      <c r="AS1041" s="12">
        <v>0</v>
      </c>
      <c r="AT1041" s="12">
        <v>0</v>
      </c>
      <c r="AU1041" s="12">
        <v>0</v>
      </c>
      <c r="AV1041" s="12">
        <v>0</v>
      </c>
      <c r="AW1041" s="12">
        <v>0</v>
      </c>
      <c r="AX1041" s="12">
        <v>0</v>
      </c>
      <c r="AY1041" s="12">
        <v>0</v>
      </c>
      <c r="AZ1041"/>
      <c r="BA1041"/>
      <c r="BB1041" s="12">
        <v>0</v>
      </c>
      <c r="BC1041" s="12">
        <v>0</v>
      </c>
      <c r="BD1041" s="12">
        <v>0</v>
      </c>
      <c r="BE1041" s="12">
        <v>0</v>
      </c>
      <c r="BF1041" s="12">
        <v>0</v>
      </c>
      <c r="BI1041" s="12">
        <v>0</v>
      </c>
      <c r="BJ1041" s="12">
        <v>0</v>
      </c>
    </row>
    <row r="1042" spans="1:62" x14ac:dyDescent="0.15">
      <c r="A1042" s="12"/>
      <c r="B1042" t="s">
        <v>1775</v>
      </c>
      <c r="C1042" t="s">
        <v>1775</v>
      </c>
      <c r="D1042" t="s">
        <v>6596</v>
      </c>
      <c r="E1042" t="s">
        <v>2182</v>
      </c>
      <c r="F1042"/>
      <c r="G1042"/>
      <c r="H1042"/>
      <c r="I1042"/>
      <c r="J1042"/>
      <c r="K1042"/>
      <c r="L1042" s="10">
        <v>3980500</v>
      </c>
      <c r="M1042" s="10">
        <v>693730</v>
      </c>
      <c r="N1042" s="12">
        <v>15</v>
      </c>
      <c r="O1042" s="12" t="s">
        <v>6992</v>
      </c>
      <c r="P1042" t="s">
        <v>2183</v>
      </c>
      <c r="R1042"/>
      <c r="S1042" t="s">
        <v>2184</v>
      </c>
      <c r="T1042" s="12" t="s">
        <v>2185</v>
      </c>
      <c r="U1042" s="12" t="s">
        <v>2186</v>
      </c>
      <c r="V1042" s="12" t="s">
        <v>2187</v>
      </c>
      <c r="W1042" s="12">
        <v>0</v>
      </c>
      <c r="X1042" s="12">
        <v>1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2">
        <v>0</v>
      </c>
      <c r="AK1042" s="12">
        <v>0</v>
      </c>
      <c r="AL1042" s="12">
        <v>0</v>
      </c>
      <c r="AM1042" s="12"/>
      <c r="AN1042" s="12">
        <v>0</v>
      </c>
      <c r="AO1042" s="12">
        <v>0</v>
      </c>
      <c r="AP1042" s="12">
        <v>0</v>
      </c>
      <c r="AQ1042" s="12">
        <v>0</v>
      </c>
      <c r="AR1042" s="12">
        <v>0</v>
      </c>
      <c r="AS1042" s="12">
        <v>0</v>
      </c>
      <c r="AT1042" s="12">
        <v>0</v>
      </c>
      <c r="AU1042" s="12">
        <v>0</v>
      </c>
      <c r="AV1042" s="12">
        <v>0</v>
      </c>
      <c r="AW1042" s="12">
        <v>0</v>
      </c>
      <c r="AX1042" s="12">
        <v>0</v>
      </c>
      <c r="AY1042" s="12">
        <v>0</v>
      </c>
      <c r="AZ1042"/>
      <c r="BA1042"/>
      <c r="BB1042" s="12">
        <v>0</v>
      </c>
      <c r="BC1042" s="12">
        <v>0</v>
      </c>
      <c r="BD1042" s="12">
        <v>0</v>
      </c>
      <c r="BE1042" s="12">
        <v>0</v>
      </c>
      <c r="BF1042" s="12">
        <v>0</v>
      </c>
      <c r="BI1042" s="12">
        <v>0</v>
      </c>
      <c r="BJ1042" s="12">
        <v>0</v>
      </c>
    </row>
    <row r="1043" spans="1:62" x14ac:dyDescent="0.15">
      <c r="A1043" s="12"/>
      <c r="B1043" t="s">
        <v>1776</v>
      </c>
      <c r="C1043" t="s">
        <v>1776</v>
      </c>
      <c r="D1043" t="s">
        <v>6596</v>
      </c>
      <c r="E1043" t="s">
        <v>2182</v>
      </c>
      <c r="F1043"/>
      <c r="G1043"/>
      <c r="H1043"/>
      <c r="I1043"/>
      <c r="J1043"/>
      <c r="K1043"/>
      <c r="L1043" s="10">
        <v>3980250</v>
      </c>
      <c r="M1043" s="10">
        <v>693900</v>
      </c>
      <c r="N1043" s="12">
        <v>15</v>
      </c>
      <c r="O1043" s="12" t="s">
        <v>6992</v>
      </c>
      <c r="P1043" t="s">
        <v>2183</v>
      </c>
      <c r="R1043"/>
      <c r="S1043" t="s">
        <v>2184</v>
      </c>
      <c r="T1043" s="12" t="s">
        <v>2185</v>
      </c>
      <c r="U1043" s="12" t="s">
        <v>2186</v>
      </c>
      <c r="V1043" s="12" t="s">
        <v>2187</v>
      </c>
      <c r="W1043" s="12">
        <v>0</v>
      </c>
      <c r="X1043" s="12">
        <v>1</v>
      </c>
      <c r="Y1043" s="12">
        <v>0</v>
      </c>
      <c r="Z1043" s="12">
        <v>0</v>
      </c>
      <c r="AA1043" s="12">
        <v>0</v>
      </c>
      <c r="AB1043" s="12">
        <v>0</v>
      </c>
      <c r="AC1043" s="12">
        <v>0</v>
      </c>
      <c r="AD1043" s="12">
        <v>0</v>
      </c>
      <c r="AE1043" s="12">
        <v>0</v>
      </c>
      <c r="AF1043" s="12">
        <v>0</v>
      </c>
      <c r="AG1043" s="12">
        <v>0</v>
      </c>
      <c r="AH1043" s="12">
        <v>0</v>
      </c>
      <c r="AI1043" s="12">
        <v>0</v>
      </c>
      <c r="AJ1043" s="12">
        <v>0</v>
      </c>
      <c r="AK1043" s="12">
        <v>0</v>
      </c>
      <c r="AL1043" s="12">
        <v>0</v>
      </c>
      <c r="AM1043" s="12"/>
      <c r="AN1043" s="12">
        <v>0</v>
      </c>
      <c r="AO1043" s="12">
        <v>0</v>
      </c>
      <c r="AP1043" s="12">
        <v>0</v>
      </c>
      <c r="AQ1043" s="12">
        <v>0</v>
      </c>
      <c r="AR1043" s="12">
        <v>0</v>
      </c>
      <c r="AS1043" s="12">
        <v>0</v>
      </c>
      <c r="AT1043" s="12">
        <v>0</v>
      </c>
      <c r="AU1043" s="12">
        <v>0</v>
      </c>
      <c r="AV1043" s="12">
        <v>0</v>
      </c>
      <c r="AW1043" s="12">
        <v>0</v>
      </c>
      <c r="AX1043" s="12">
        <v>0</v>
      </c>
      <c r="AY1043" s="12">
        <v>0</v>
      </c>
      <c r="AZ1043"/>
      <c r="BA1043"/>
      <c r="BB1043" s="12">
        <v>0</v>
      </c>
      <c r="BC1043" s="12">
        <v>0</v>
      </c>
      <c r="BD1043" s="12">
        <v>0</v>
      </c>
      <c r="BE1043" s="12">
        <v>0</v>
      </c>
      <c r="BF1043" s="12">
        <v>0</v>
      </c>
      <c r="BI1043" s="12">
        <v>0</v>
      </c>
      <c r="BJ1043" s="12">
        <v>0</v>
      </c>
    </row>
    <row r="1044" spans="1:62" x14ac:dyDescent="0.15">
      <c r="A1044" s="12"/>
      <c r="B1044" t="s">
        <v>1777</v>
      </c>
      <c r="C1044" t="s">
        <v>1777</v>
      </c>
      <c r="D1044" t="s">
        <v>6596</v>
      </c>
      <c r="E1044" t="s">
        <v>2182</v>
      </c>
      <c r="F1044"/>
      <c r="G1044"/>
      <c r="H1044"/>
      <c r="I1044"/>
      <c r="J1044"/>
      <c r="K1044"/>
      <c r="L1044" s="10">
        <v>3953820</v>
      </c>
      <c r="M1044" s="10">
        <v>679240</v>
      </c>
      <c r="N1044" s="12">
        <v>15</v>
      </c>
      <c r="O1044" s="12" t="s">
        <v>6992</v>
      </c>
      <c r="P1044" t="s">
        <v>2183</v>
      </c>
      <c r="R1044"/>
      <c r="S1044" t="s">
        <v>2184</v>
      </c>
      <c r="T1044" s="12" t="s">
        <v>2185</v>
      </c>
      <c r="U1044" s="12" t="s">
        <v>2186</v>
      </c>
      <c r="V1044" s="12" t="s">
        <v>2187</v>
      </c>
      <c r="W1044" s="12">
        <v>0</v>
      </c>
      <c r="X1044" s="12">
        <v>1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2">
        <v>0</v>
      </c>
      <c r="AK1044" s="12">
        <v>0</v>
      </c>
      <c r="AL1044" s="12">
        <v>0</v>
      </c>
      <c r="AM1044" s="12"/>
      <c r="AN1044" s="12">
        <v>0</v>
      </c>
      <c r="AO1044" s="12">
        <v>0</v>
      </c>
      <c r="AP1044" s="12">
        <v>0</v>
      </c>
      <c r="AQ1044" s="12">
        <v>0</v>
      </c>
      <c r="AR1044" s="12">
        <v>0</v>
      </c>
      <c r="AS1044" s="12">
        <v>0</v>
      </c>
      <c r="AT1044" s="12">
        <v>0</v>
      </c>
      <c r="AU1044" s="12">
        <v>0</v>
      </c>
      <c r="AV1044" s="12">
        <v>0</v>
      </c>
      <c r="AW1044" s="12">
        <v>0</v>
      </c>
      <c r="AX1044" s="12">
        <v>0</v>
      </c>
      <c r="AY1044" s="12">
        <v>0</v>
      </c>
      <c r="AZ1044"/>
      <c r="BA1044"/>
      <c r="BB1044" s="12">
        <v>0</v>
      </c>
      <c r="BC1044" s="12">
        <v>0</v>
      </c>
      <c r="BD1044" s="12">
        <v>0</v>
      </c>
      <c r="BE1044" s="12">
        <v>0</v>
      </c>
      <c r="BF1044" s="12">
        <v>0</v>
      </c>
      <c r="BI1044" s="12">
        <v>0</v>
      </c>
      <c r="BJ1044" s="12">
        <v>0</v>
      </c>
    </row>
    <row r="1045" spans="1:62" x14ac:dyDescent="0.15">
      <c r="A1045" s="12"/>
      <c r="B1045" t="s">
        <v>1778</v>
      </c>
      <c r="C1045" t="s">
        <v>1778</v>
      </c>
      <c r="D1045" t="s">
        <v>6596</v>
      </c>
      <c r="E1045" t="s">
        <v>2182</v>
      </c>
      <c r="F1045"/>
      <c r="G1045"/>
      <c r="H1045"/>
      <c r="I1045"/>
      <c r="J1045"/>
      <c r="K1045"/>
      <c r="L1045" s="10">
        <v>3953580</v>
      </c>
      <c r="M1045" s="10">
        <v>679440</v>
      </c>
      <c r="N1045" s="12">
        <v>15</v>
      </c>
      <c r="O1045" s="12" t="s">
        <v>6992</v>
      </c>
      <c r="P1045" t="s">
        <v>2183</v>
      </c>
      <c r="R1045"/>
      <c r="S1045" t="s">
        <v>2184</v>
      </c>
      <c r="T1045" s="12" t="s">
        <v>2185</v>
      </c>
      <c r="U1045" s="12" t="s">
        <v>2186</v>
      </c>
      <c r="V1045" s="12" t="s">
        <v>2187</v>
      </c>
      <c r="W1045" s="12">
        <v>0</v>
      </c>
      <c r="X1045" s="12">
        <v>1</v>
      </c>
      <c r="Y1045" s="12">
        <v>0</v>
      </c>
      <c r="Z1045" s="12">
        <v>0</v>
      </c>
      <c r="AA1045" s="12">
        <v>0</v>
      </c>
      <c r="AB1045" s="12">
        <v>0</v>
      </c>
      <c r="AC1045" s="12">
        <v>0</v>
      </c>
      <c r="AD1045" s="12">
        <v>0</v>
      </c>
      <c r="AE1045" s="12">
        <v>0</v>
      </c>
      <c r="AF1045" s="12">
        <v>0</v>
      </c>
      <c r="AG1045" s="12">
        <v>0</v>
      </c>
      <c r="AH1045" s="12">
        <v>0</v>
      </c>
      <c r="AI1045" s="12">
        <v>0</v>
      </c>
      <c r="AJ1045" s="12">
        <v>0</v>
      </c>
      <c r="AK1045" s="12">
        <v>0</v>
      </c>
      <c r="AL1045" s="12">
        <v>0</v>
      </c>
      <c r="AM1045" s="12"/>
      <c r="AN1045" s="12">
        <v>0</v>
      </c>
      <c r="AO1045" s="12">
        <v>0</v>
      </c>
      <c r="AP1045" s="12">
        <v>0</v>
      </c>
      <c r="AQ1045" s="12">
        <v>0</v>
      </c>
      <c r="AR1045" s="12">
        <v>0</v>
      </c>
      <c r="AS1045" s="12">
        <v>0</v>
      </c>
      <c r="AT1045" s="12">
        <v>0</v>
      </c>
      <c r="AU1045" s="12">
        <v>0</v>
      </c>
      <c r="AV1045" s="12">
        <v>0</v>
      </c>
      <c r="AW1045" s="12">
        <v>0</v>
      </c>
      <c r="AX1045" s="12">
        <v>0</v>
      </c>
      <c r="AY1045" s="12">
        <v>0</v>
      </c>
      <c r="AZ1045"/>
      <c r="BA1045"/>
      <c r="BB1045" s="12">
        <v>0</v>
      </c>
      <c r="BC1045" s="12">
        <v>0</v>
      </c>
      <c r="BD1045" s="12">
        <v>0</v>
      </c>
      <c r="BE1045" s="12">
        <v>0</v>
      </c>
      <c r="BF1045" s="12">
        <v>0</v>
      </c>
      <c r="BI1045" s="12">
        <v>0</v>
      </c>
      <c r="BJ1045" s="12">
        <v>0</v>
      </c>
    </row>
    <row r="1046" spans="1:62" x14ac:dyDescent="0.15">
      <c r="A1046" s="12"/>
      <c r="B1046" t="s">
        <v>1779</v>
      </c>
      <c r="C1046" t="s">
        <v>1779</v>
      </c>
      <c r="D1046" t="s">
        <v>6596</v>
      </c>
      <c r="E1046" t="s">
        <v>2182</v>
      </c>
      <c r="F1046"/>
      <c r="G1046"/>
      <c r="H1046"/>
      <c r="I1046"/>
      <c r="J1046"/>
      <c r="K1046"/>
      <c r="L1046" s="10">
        <v>3954130</v>
      </c>
      <c r="M1046" s="10">
        <v>679560</v>
      </c>
      <c r="N1046" s="12">
        <v>15</v>
      </c>
      <c r="O1046" s="12" t="s">
        <v>6992</v>
      </c>
      <c r="P1046" t="s">
        <v>2183</v>
      </c>
      <c r="R1046"/>
      <c r="S1046" t="s">
        <v>2184</v>
      </c>
      <c r="T1046" s="12" t="s">
        <v>2185</v>
      </c>
      <c r="U1046" s="12" t="s">
        <v>2186</v>
      </c>
      <c r="V1046" s="12" t="s">
        <v>2187</v>
      </c>
      <c r="W1046" s="12">
        <v>0</v>
      </c>
      <c r="X1046" s="12">
        <v>1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2">
        <v>0</v>
      </c>
      <c r="AK1046" s="12">
        <v>0</v>
      </c>
      <c r="AL1046" s="12">
        <v>0</v>
      </c>
      <c r="AM1046" s="12"/>
      <c r="AN1046" s="12">
        <v>0</v>
      </c>
      <c r="AO1046" s="12">
        <v>0</v>
      </c>
      <c r="AP1046" s="12">
        <v>0</v>
      </c>
      <c r="AQ1046" s="12">
        <v>0</v>
      </c>
      <c r="AR1046" s="12">
        <v>0</v>
      </c>
      <c r="AS1046" s="12">
        <v>0</v>
      </c>
      <c r="AT1046" s="12">
        <v>0</v>
      </c>
      <c r="AU1046" s="12">
        <v>0</v>
      </c>
      <c r="AV1046" s="12">
        <v>0</v>
      </c>
      <c r="AW1046" s="12">
        <v>0</v>
      </c>
      <c r="AX1046" s="12">
        <v>0</v>
      </c>
      <c r="AY1046" s="12">
        <v>0</v>
      </c>
      <c r="AZ1046"/>
      <c r="BA1046"/>
      <c r="BB1046" s="12">
        <v>0</v>
      </c>
      <c r="BC1046" s="12">
        <v>0</v>
      </c>
      <c r="BD1046" s="12">
        <v>0</v>
      </c>
      <c r="BE1046" s="12">
        <v>0</v>
      </c>
      <c r="BF1046" s="12">
        <v>0</v>
      </c>
      <c r="BI1046" s="12">
        <v>0</v>
      </c>
      <c r="BJ1046" s="12">
        <v>0</v>
      </c>
    </row>
    <row r="1047" spans="1:62" x14ac:dyDescent="0.15">
      <c r="A1047" s="12"/>
      <c r="B1047" t="s">
        <v>1780</v>
      </c>
      <c r="C1047" s="27" t="s">
        <v>1781</v>
      </c>
      <c r="D1047" t="s">
        <v>6596</v>
      </c>
      <c r="E1047" t="s">
        <v>2182</v>
      </c>
      <c r="F1047"/>
      <c r="G1047"/>
      <c r="H1047"/>
      <c r="I1047"/>
      <c r="J1047"/>
      <c r="K1047"/>
      <c r="L1047" s="10">
        <v>3981000</v>
      </c>
      <c r="M1047" s="10">
        <v>698520</v>
      </c>
      <c r="N1047" s="12">
        <v>15</v>
      </c>
      <c r="O1047" s="12" t="s">
        <v>6992</v>
      </c>
      <c r="P1047" t="s">
        <v>2183</v>
      </c>
      <c r="R1047"/>
      <c r="S1047" t="s">
        <v>2184</v>
      </c>
      <c r="T1047" s="12" t="s">
        <v>2185</v>
      </c>
      <c r="U1047" s="12" t="s">
        <v>2186</v>
      </c>
      <c r="V1047" s="12" t="s">
        <v>2187</v>
      </c>
      <c r="W1047" s="12">
        <v>0</v>
      </c>
      <c r="X1047" s="12">
        <v>1</v>
      </c>
      <c r="Y1047" s="12">
        <v>0</v>
      </c>
      <c r="Z1047" s="12">
        <v>0</v>
      </c>
      <c r="AA1047" s="12">
        <v>0</v>
      </c>
      <c r="AB1047" s="12">
        <v>0</v>
      </c>
      <c r="AC1047" s="12">
        <v>0</v>
      </c>
      <c r="AD1047" s="12">
        <v>0</v>
      </c>
      <c r="AE1047" s="12">
        <v>0</v>
      </c>
      <c r="AF1047" s="12">
        <v>0</v>
      </c>
      <c r="AG1047" s="12">
        <v>0</v>
      </c>
      <c r="AH1047" s="12">
        <v>0</v>
      </c>
      <c r="AI1047" s="12">
        <v>0</v>
      </c>
      <c r="AJ1047" s="12">
        <v>0</v>
      </c>
      <c r="AK1047" s="12">
        <v>0</v>
      </c>
      <c r="AL1047" s="12">
        <v>0</v>
      </c>
      <c r="AM1047" s="12"/>
      <c r="AN1047" s="12">
        <v>0</v>
      </c>
      <c r="AO1047" s="12">
        <v>0</v>
      </c>
      <c r="AP1047" s="12">
        <v>0</v>
      </c>
      <c r="AQ1047" s="12">
        <v>0</v>
      </c>
      <c r="AR1047" s="12">
        <v>0</v>
      </c>
      <c r="AS1047" s="12">
        <v>0</v>
      </c>
      <c r="AT1047" s="12">
        <v>0</v>
      </c>
      <c r="AU1047" s="12">
        <v>0</v>
      </c>
      <c r="AV1047" s="12">
        <v>0</v>
      </c>
      <c r="AW1047" s="12">
        <v>0</v>
      </c>
      <c r="AX1047" s="12">
        <v>0</v>
      </c>
      <c r="AY1047" s="12">
        <v>0</v>
      </c>
      <c r="AZ1047"/>
      <c r="BA1047"/>
      <c r="BB1047" s="12">
        <v>0</v>
      </c>
      <c r="BC1047" s="12">
        <v>0</v>
      </c>
      <c r="BD1047" s="12">
        <v>0</v>
      </c>
      <c r="BE1047" s="12">
        <v>0</v>
      </c>
      <c r="BF1047" s="12">
        <v>0</v>
      </c>
      <c r="BI1047" s="12">
        <v>0</v>
      </c>
      <c r="BJ1047" s="12">
        <v>0</v>
      </c>
    </row>
    <row r="1048" spans="1:62" x14ac:dyDescent="0.15">
      <c r="A1048" s="12"/>
      <c r="B1048" t="s">
        <v>1782</v>
      </c>
      <c r="C1048" s="27" t="s">
        <v>1783</v>
      </c>
      <c r="D1048" t="s">
        <v>6596</v>
      </c>
      <c r="E1048" t="s">
        <v>2182</v>
      </c>
      <c r="F1048"/>
      <c r="G1048"/>
      <c r="H1048"/>
      <c r="I1048"/>
      <c r="J1048"/>
      <c r="K1048"/>
      <c r="L1048" s="10">
        <v>3971200</v>
      </c>
      <c r="M1048" s="10">
        <v>692780</v>
      </c>
      <c r="N1048" s="12">
        <v>15</v>
      </c>
      <c r="O1048" s="12" t="s">
        <v>6992</v>
      </c>
      <c r="P1048" t="s">
        <v>2183</v>
      </c>
      <c r="R1048"/>
      <c r="S1048" t="s">
        <v>2184</v>
      </c>
      <c r="T1048" s="12" t="s">
        <v>2185</v>
      </c>
      <c r="U1048" s="12" t="s">
        <v>2186</v>
      </c>
      <c r="V1048" s="12" t="s">
        <v>2187</v>
      </c>
      <c r="W1048" s="12">
        <v>0</v>
      </c>
      <c r="X1048" s="12">
        <v>1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2">
        <v>0</v>
      </c>
      <c r="AK1048" s="12">
        <v>0</v>
      </c>
      <c r="AL1048" s="12">
        <v>0</v>
      </c>
      <c r="AM1048" s="12"/>
      <c r="AN1048" s="12">
        <v>0</v>
      </c>
      <c r="AO1048" s="12">
        <v>0</v>
      </c>
      <c r="AP1048" s="12">
        <v>0</v>
      </c>
      <c r="AQ1048" s="12">
        <v>0</v>
      </c>
      <c r="AR1048" s="12">
        <v>0</v>
      </c>
      <c r="AS1048" s="12">
        <v>0</v>
      </c>
      <c r="AT1048" s="12">
        <v>0</v>
      </c>
      <c r="AU1048" s="12">
        <v>0</v>
      </c>
      <c r="AV1048" s="12">
        <v>0</v>
      </c>
      <c r="AW1048" s="12">
        <v>0</v>
      </c>
      <c r="AX1048" s="12">
        <v>0</v>
      </c>
      <c r="AY1048" s="12">
        <v>0</v>
      </c>
      <c r="AZ1048"/>
      <c r="BA1048"/>
      <c r="BB1048" s="12">
        <v>0</v>
      </c>
      <c r="BC1048" s="12">
        <v>0</v>
      </c>
      <c r="BD1048" s="12">
        <v>0</v>
      </c>
      <c r="BE1048" s="12">
        <v>0</v>
      </c>
      <c r="BF1048" s="12">
        <v>0</v>
      </c>
      <c r="BI1048" s="12">
        <v>0</v>
      </c>
      <c r="BJ1048" s="12">
        <v>0</v>
      </c>
    </row>
    <row r="1049" spans="1:62" x14ac:dyDescent="0.15">
      <c r="A1049" s="12"/>
      <c r="B1049" t="s">
        <v>1784</v>
      </c>
      <c r="C1049" s="27" t="s">
        <v>1785</v>
      </c>
      <c r="D1049" t="s">
        <v>6596</v>
      </c>
      <c r="E1049" t="s">
        <v>2182</v>
      </c>
      <c r="F1049"/>
      <c r="G1049"/>
      <c r="H1049"/>
      <c r="I1049"/>
      <c r="J1049"/>
      <c r="K1049"/>
      <c r="L1049" s="10">
        <v>3973280</v>
      </c>
      <c r="M1049" s="10">
        <v>693730</v>
      </c>
      <c r="N1049" s="12">
        <v>15</v>
      </c>
      <c r="O1049" s="12" t="s">
        <v>6992</v>
      </c>
      <c r="P1049" t="s">
        <v>2183</v>
      </c>
      <c r="R1049"/>
      <c r="S1049" t="s">
        <v>2184</v>
      </c>
      <c r="T1049" s="12" t="s">
        <v>2185</v>
      </c>
      <c r="U1049" s="12" t="s">
        <v>2186</v>
      </c>
      <c r="V1049" s="12" t="s">
        <v>2187</v>
      </c>
      <c r="W1049" s="12">
        <v>0</v>
      </c>
      <c r="X1049" s="12">
        <v>1</v>
      </c>
      <c r="Y1049" s="12">
        <v>0</v>
      </c>
      <c r="Z1049" s="12">
        <v>0</v>
      </c>
      <c r="AA1049" s="12">
        <v>0</v>
      </c>
      <c r="AB1049" s="12">
        <v>0</v>
      </c>
      <c r="AC1049" s="12">
        <v>0</v>
      </c>
      <c r="AD1049" s="12">
        <v>0</v>
      </c>
      <c r="AE1049" s="12">
        <v>0</v>
      </c>
      <c r="AF1049" s="12">
        <v>0</v>
      </c>
      <c r="AG1049" s="12">
        <v>0</v>
      </c>
      <c r="AH1049" s="12">
        <v>0</v>
      </c>
      <c r="AI1049" s="12">
        <v>0</v>
      </c>
      <c r="AJ1049" s="12">
        <v>0</v>
      </c>
      <c r="AK1049" s="12">
        <v>0</v>
      </c>
      <c r="AL1049" s="12">
        <v>0</v>
      </c>
      <c r="AM1049" s="12"/>
      <c r="AN1049" s="12">
        <v>0</v>
      </c>
      <c r="AO1049" s="12">
        <v>0</v>
      </c>
      <c r="AP1049" s="12">
        <v>0</v>
      </c>
      <c r="AQ1049" s="12">
        <v>0</v>
      </c>
      <c r="AR1049" s="12">
        <v>0</v>
      </c>
      <c r="AS1049" s="12">
        <v>0</v>
      </c>
      <c r="AT1049" s="12">
        <v>0</v>
      </c>
      <c r="AU1049" s="12">
        <v>0</v>
      </c>
      <c r="AV1049" s="12">
        <v>0</v>
      </c>
      <c r="AW1049" s="12">
        <v>0</v>
      </c>
      <c r="AX1049" s="12">
        <v>0</v>
      </c>
      <c r="AY1049" s="12">
        <v>0</v>
      </c>
      <c r="AZ1049"/>
      <c r="BA1049"/>
      <c r="BB1049" s="12">
        <v>0</v>
      </c>
      <c r="BC1049" s="12">
        <v>0</v>
      </c>
      <c r="BD1049" s="12">
        <v>0</v>
      </c>
      <c r="BE1049" s="12">
        <v>0</v>
      </c>
      <c r="BF1049" s="12">
        <v>0</v>
      </c>
      <c r="BI1049" s="12">
        <v>0</v>
      </c>
      <c r="BJ1049" s="12">
        <v>0</v>
      </c>
    </row>
    <row r="1050" spans="1:62" x14ac:dyDescent="0.15">
      <c r="A1050" s="12"/>
      <c r="B1050" t="s">
        <v>1786</v>
      </c>
      <c r="C1050" s="27" t="s">
        <v>1787</v>
      </c>
      <c r="D1050" t="s">
        <v>6596</v>
      </c>
      <c r="E1050" t="s">
        <v>2182</v>
      </c>
      <c r="F1050"/>
      <c r="G1050"/>
      <c r="H1050"/>
      <c r="I1050"/>
      <c r="J1050"/>
      <c r="K1050"/>
      <c r="L1050" s="10">
        <v>3973450</v>
      </c>
      <c r="M1050" s="10">
        <v>694030</v>
      </c>
      <c r="N1050" s="12">
        <v>15</v>
      </c>
      <c r="O1050" s="12" t="s">
        <v>6992</v>
      </c>
      <c r="P1050" t="s">
        <v>2183</v>
      </c>
      <c r="R1050"/>
      <c r="S1050" t="s">
        <v>2184</v>
      </c>
      <c r="T1050" s="12" t="s">
        <v>2185</v>
      </c>
      <c r="U1050" s="12" t="s">
        <v>2186</v>
      </c>
      <c r="V1050" s="12" t="s">
        <v>2187</v>
      </c>
      <c r="W1050" s="12">
        <v>0</v>
      </c>
      <c r="X1050" s="12">
        <v>1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2">
        <v>0</v>
      </c>
      <c r="AK1050" s="12">
        <v>0</v>
      </c>
      <c r="AL1050" s="12">
        <v>0</v>
      </c>
      <c r="AM1050" s="12"/>
      <c r="AN1050" s="12">
        <v>0</v>
      </c>
      <c r="AO1050" s="12">
        <v>0</v>
      </c>
      <c r="AP1050" s="12">
        <v>0</v>
      </c>
      <c r="AQ1050" s="12">
        <v>0</v>
      </c>
      <c r="AR1050" s="12">
        <v>0</v>
      </c>
      <c r="AS1050" s="12">
        <v>0</v>
      </c>
      <c r="AT1050" s="12">
        <v>0</v>
      </c>
      <c r="AU1050" s="12">
        <v>0</v>
      </c>
      <c r="AV1050" s="12">
        <v>0</v>
      </c>
      <c r="AW1050" s="12">
        <v>0</v>
      </c>
      <c r="AX1050" s="12">
        <v>0</v>
      </c>
      <c r="AY1050" s="12">
        <v>0</v>
      </c>
      <c r="AZ1050"/>
      <c r="BA1050"/>
      <c r="BB1050" s="12">
        <v>0</v>
      </c>
      <c r="BC1050" s="12">
        <v>0</v>
      </c>
      <c r="BD1050" s="12">
        <v>0</v>
      </c>
      <c r="BE1050" s="12">
        <v>0</v>
      </c>
      <c r="BF1050" s="12">
        <v>0</v>
      </c>
      <c r="BI1050" s="12">
        <v>0</v>
      </c>
      <c r="BJ1050" s="12">
        <v>0</v>
      </c>
    </row>
    <row r="1051" spans="1:62" x14ac:dyDescent="0.15">
      <c r="A1051" s="12"/>
      <c r="B1051" t="s">
        <v>1788</v>
      </c>
      <c r="C1051" t="s">
        <v>1788</v>
      </c>
      <c r="D1051" t="s">
        <v>6596</v>
      </c>
      <c r="E1051" t="s">
        <v>2182</v>
      </c>
      <c r="F1051"/>
      <c r="G1051"/>
      <c r="H1051"/>
      <c r="I1051"/>
      <c r="J1051"/>
      <c r="K1051"/>
      <c r="L1051" s="10">
        <v>3980400</v>
      </c>
      <c r="M1051" s="10">
        <v>693880</v>
      </c>
      <c r="N1051" s="12">
        <v>15</v>
      </c>
      <c r="O1051" s="12" t="s">
        <v>6992</v>
      </c>
      <c r="P1051" t="s">
        <v>2183</v>
      </c>
      <c r="R1051"/>
      <c r="S1051" t="s">
        <v>2184</v>
      </c>
      <c r="T1051" s="12" t="s">
        <v>2185</v>
      </c>
      <c r="U1051" s="12" t="s">
        <v>2186</v>
      </c>
      <c r="V1051" s="12" t="s">
        <v>2187</v>
      </c>
      <c r="W1051" s="12">
        <v>0</v>
      </c>
      <c r="X1051" s="12">
        <v>1</v>
      </c>
      <c r="Y1051" s="12">
        <v>0</v>
      </c>
      <c r="Z1051" s="12">
        <v>0</v>
      </c>
      <c r="AA1051" s="12">
        <v>0</v>
      </c>
      <c r="AB1051" s="12">
        <v>0</v>
      </c>
      <c r="AC1051" s="12">
        <v>0</v>
      </c>
      <c r="AD1051" s="12">
        <v>0</v>
      </c>
      <c r="AE1051" s="12">
        <v>0</v>
      </c>
      <c r="AF1051" s="12">
        <v>0</v>
      </c>
      <c r="AG1051" s="12">
        <v>0</v>
      </c>
      <c r="AH1051" s="12">
        <v>0</v>
      </c>
      <c r="AI1051" s="12">
        <v>0</v>
      </c>
      <c r="AJ1051" s="12">
        <v>0</v>
      </c>
      <c r="AK1051" s="12">
        <v>0</v>
      </c>
      <c r="AL1051" s="12">
        <v>0</v>
      </c>
      <c r="AM1051" s="12"/>
      <c r="AN1051" s="12">
        <v>0</v>
      </c>
      <c r="AO1051" s="12">
        <v>0</v>
      </c>
      <c r="AP1051" s="12">
        <v>0</v>
      </c>
      <c r="AQ1051" s="12">
        <v>0</v>
      </c>
      <c r="AR1051" s="12">
        <v>0</v>
      </c>
      <c r="AS1051" s="12">
        <v>0</v>
      </c>
      <c r="AT1051" s="12">
        <v>0</v>
      </c>
      <c r="AU1051" s="12">
        <v>0</v>
      </c>
      <c r="AV1051" s="12">
        <v>0</v>
      </c>
      <c r="AW1051" s="12">
        <v>0</v>
      </c>
      <c r="AX1051" s="12">
        <v>0</v>
      </c>
      <c r="AY1051" s="12">
        <v>0</v>
      </c>
      <c r="AZ1051"/>
      <c r="BA1051"/>
      <c r="BB1051" s="12">
        <v>0</v>
      </c>
      <c r="BC1051" s="12">
        <v>0</v>
      </c>
      <c r="BD1051" s="12">
        <v>0</v>
      </c>
      <c r="BE1051" s="12">
        <v>0</v>
      </c>
      <c r="BF1051" s="12">
        <v>0</v>
      </c>
      <c r="BI1051" s="12">
        <v>0</v>
      </c>
      <c r="BJ1051" s="12">
        <v>0</v>
      </c>
    </row>
    <row r="1052" spans="1:62" x14ac:dyDescent="0.15">
      <c r="A1052" s="12"/>
      <c r="B1052" t="s">
        <v>1789</v>
      </c>
      <c r="C1052" t="s">
        <v>1789</v>
      </c>
      <c r="D1052" t="s">
        <v>6596</v>
      </c>
      <c r="E1052" t="s">
        <v>2182</v>
      </c>
      <c r="F1052"/>
      <c r="G1052"/>
      <c r="H1052"/>
      <c r="I1052"/>
      <c r="J1052"/>
      <c r="K1052"/>
      <c r="L1052" s="10">
        <v>3963570</v>
      </c>
      <c r="M1052" s="10">
        <v>719240</v>
      </c>
      <c r="N1052" s="12">
        <v>15</v>
      </c>
      <c r="O1052" s="12" t="s">
        <v>6992</v>
      </c>
      <c r="P1052" t="s">
        <v>2183</v>
      </c>
      <c r="R1052"/>
      <c r="S1052" t="s">
        <v>2184</v>
      </c>
      <c r="T1052" s="12" t="s">
        <v>2185</v>
      </c>
      <c r="U1052" s="12" t="s">
        <v>2186</v>
      </c>
      <c r="V1052" s="12" t="s">
        <v>2187</v>
      </c>
      <c r="W1052" s="12">
        <v>0</v>
      </c>
      <c r="X1052" s="12">
        <v>1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2">
        <v>0</v>
      </c>
      <c r="AK1052" s="12">
        <v>0</v>
      </c>
      <c r="AL1052" s="12">
        <v>0</v>
      </c>
      <c r="AM1052" s="12"/>
      <c r="AN1052" s="12">
        <v>0</v>
      </c>
      <c r="AO1052" s="12">
        <v>0</v>
      </c>
      <c r="AP1052" s="12">
        <v>0</v>
      </c>
      <c r="AQ1052" s="12">
        <v>0</v>
      </c>
      <c r="AR1052" s="12">
        <v>0</v>
      </c>
      <c r="AS1052" s="12">
        <v>0</v>
      </c>
      <c r="AT1052" s="12">
        <v>0</v>
      </c>
      <c r="AU1052" s="12">
        <v>0</v>
      </c>
      <c r="AV1052" s="12">
        <v>0</v>
      </c>
      <c r="AW1052" s="12">
        <v>0</v>
      </c>
      <c r="AX1052" s="12">
        <v>0</v>
      </c>
      <c r="AY1052" s="12">
        <v>0</v>
      </c>
      <c r="AZ1052"/>
      <c r="BA1052"/>
      <c r="BB1052" s="12">
        <v>0</v>
      </c>
      <c r="BC1052" s="12">
        <v>0</v>
      </c>
      <c r="BD1052" s="12">
        <v>0</v>
      </c>
      <c r="BE1052" s="12">
        <v>0</v>
      </c>
      <c r="BF1052" s="12">
        <v>0</v>
      </c>
      <c r="BI1052" s="12">
        <v>0</v>
      </c>
      <c r="BJ1052" s="12">
        <v>0</v>
      </c>
    </row>
    <row r="1053" spans="1:62" x14ac:dyDescent="0.15">
      <c r="A1053" s="12"/>
      <c r="B1053" t="s">
        <v>1790</v>
      </c>
      <c r="C1053" t="s">
        <v>1790</v>
      </c>
      <c r="D1053" t="s">
        <v>6596</v>
      </c>
      <c r="E1053" t="s">
        <v>2182</v>
      </c>
      <c r="F1053"/>
      <c r="G1053"/>
      <c r="H1053"/>
      <c r="I1053"/>
      <c r="J1053"/>
      <c r="K1053"/>
      <c r="L1053" s="10">
        <v>3956490</v>
      </c>
      <c r="M1053" s="10">
        <v>716520</v>
      </c>
      <c r="N1053" s="12">
        <v>15</v>
      </c>
      <c r="O1053" s="12" t="s">
        <v>6992</v>
      </c>
      <c r="P1053" t="s">
        <v>2183</v>
      </c>
      <c r="R1053"/>
      <c r="S1053" t="s">
        <v>2184</v>
      </c>
      <c r="T1053" s="12" t="s">
        <v>2185</v>
      </c>
      <c r="U1053" s="12" t="s">
        <v>2186</v>
      </c>
      <c r="V1053" s="12" t="s">
        <v>2187</v>
      </c>
      <c r="W1053" s="12">
        <v>0</v>
      </c>
      <c r="X1053" s="12">
        <v>1</v>
      </c>
      <c r="Y1053" s="12">
        <v>0</v>
      </c>
      <c r="Z1053" s="12">
        <v>0</v>
      </c>
      <c r="AA1053" s="12">
        <v>0</v>
      </c>
      <c r="AB1053" s="12">
        <v>0</v>
      </c>
      <c r="AC1053" s="12">
        <v>0</v>
      </c>
      <c r="AD1053" s="12">
        <v>0</v>
      </c>
      <c r="AE1053" s="12">
        <v>0</v>
      </c>
      <c r="AF1053" s="12">
        <v>0</v>
      </c>
      <c r="AG1053" s="12">
        <v>0</v>
      </c>
      <c r="AH1053" s="12">
        <v>0</v>
      </c>
      <c r="AI1053" s="12">
        <v>0</v>
      </c>
      <c r="AJ1053" s="12">
        <v>0</v>
      </c>
      <c r="AK1053" s="12">
        <v>0</v>
      </c>
      <c r="AL1053" s="12">
        <v>0</v>
      </c>
      <c r="AM1053" s="12"/>
      <c r="AN1053" s="12">
        <v>0</v>
      </c>
      <c r="AO1053" s="12">
        <v>0</v>
      </c>
      <c r="AP1053" s="12">
        <v>0</v>
      </c>
      <c r="AQ1053" s="12">
        <v>0</v>
      </c>
      <c r="AR1053" s="12">
        <v>0</v>
      </c>
      <c r="AS1053" s="12">
        <v>0</v>
      </c>
      <c r="AT1053" s="12">
        <v>0</v>
      </c>
      <c r="AU1053" s="12">
        <v>0</v>
      </c>
      <c r="AV1053" s="12">
        <v>0</v>
      </c>
      <c r="AW1053" s="12">
        <v>0</v>
      </c>
      <c r="AX1053" s="12">
        <v>0</v>
      </c>
      <c r="AY1053" s="12">
        <v>0</v>
      </c>
      <c r="AZ1053"/>
      <c r="BA1053"/>
      <c r="BB1053" s="12">
        <v>0</v>
      </c>
      <c r="BC1053" s="12">
        <v>0</v>
      </c>
      <c r="BD1053" s="12">
        <v>0</v>
      </c>
      <c r="BE1053" s="12">
        <v>0</v>
      </c>
      <c r="BF1053" s="12">
        <v>0</v>
      </c>
      <c r="BI1053" s="12">
        <v>0</v>
      </c>
      <c r="BJ1053" s="12">
        <v>0</v>
      </c>
    </row>
    <row r="1054" spans="1:62" x14ac:dyDescent="0.15">
      <c r="A1054" s="12"/>
      <c r="B1054" t="s">
        <v>1791</v>
      </c>
      <c r="C1054" t="s">
        <v>1791</v>
      </c>
      <c r="D1054" t="s">
        <v>6596</v>
      </c>
      <c r="E1054" t="s">
        <v>2182</v>
      </c>
      <c r="F1054"/>
      <c r="G1054"/>
      <c r="H1054"/>
      <c r="I1054"/>
      <c r="J1054"/>
      <c r="K1054"/>
      <c r="L1054" s="10">
        <v>3955260</v>
      </c>
      <c r="M1054" s="10">
        <v>716580</v>
      </c>
      <c r="N1054" s="12">
        <v>15</v>
      </c>
      <c r="O1054" s="12" t="s">
        <v>6992</v>
      </c>
      <c r="P1054" t="s">
        <v>2183</v>
      </c>
      <c r="R1054"/>
      <c r="S1054" t="s">
        <v>2184</v>
      </c>
      <c r="T1054" s="12" t="s">
        <v>2185</v>
      </c>
      <c r="U1054" s="12" t="s">
        <v>2186</v>
      </c>
      <c r="V1054" s="12" t="s">
        <v>2187</v>
      </c>
      <c r="W1054" s="12">
        <v>0</v>
      </c>
      <c r="X1054" s="12">
        <v>1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2">
        <v>0</v>
      </c>
      <c r="AK1054" s="12">
        <v>0</v>
      </c>
      <c r="AL1054" s="12">
        <v>0</v>
      </c>
      <c r="AM1054" s="12"/>
      <c r="AN1054" s="12">
        <v>0</v>
      </c>
      <c r="AO1054" s="12">
        <v>0</v>
      </c>
      <c r="AP1054" s="12">
        <v>0</v>
      </c>
      <c r="AQ1054" s="12">
        <v>0</v>
      </c>
      <c r="AR1054" s="12">
        <v>0</v>
      </c>
      <c r="AS1054" s="12">
        <v>0</v>
      </c>
      <c r="AT1054" s="12">
        <v>0</v>
      </c>
      <c r="AU1054" s="12">
        <v>0</v>
      </c>
      <c r="AV1054" s="12">
        <v>0</v>
      </c>
      <c r="AW1054" s="12">
        <v>0</v>
      </c>
      <c r="AX1054" s="12">
        <v>0</v>
      </c>
      <c r="AY1054" s="12">
        <v>0</v>
      </c>
      <c r="AZ1054"/>
      <c r="BA1054"/>
      <c r="BB1054" s="12">
        <v>0</v>
      </c>
      <c r="BC1054" s="12">
        <v>0</v>
      </c>
      <c r="BD1054" s="12">
        <v>0</v>
      </c>
      <c r="BE1054" s="12">
        <v>0</v>
      </c>
      <c r="BF1054" s="12">
        <v>0</v>
      </c>
      <c r="BI1054" s="12">
        <v>0</v>
      </c>
      <c r="BJ1054" s="12">
        <v>0</v>
      </c>
    </row>
    <row r="1055" spans="1:62" x14ac:dyDescent="0.15">
      <c r="A1055" s="12"/>
      <c r="B1055" t="s">
        <v>1792</v>
      </c>
      <c r="C1055" t="s">
        <v>1792</v>
      </c>
      <c r="D1055" t="s">
        <v>6596</v>
      </c>
      <c r="E1055" t="s">
        <v>2182</v>
      </c>
      <c r="F1055"/>
      <c r="G1055"/>
      <c r="H1055"/>
      <c r="I1055"/>
      <c r="J1055"/>
      <c r="K1055"/>
      <c r="L1055" s="10">
        <v>3954800</v>
      </c>
      <c r="M1055" s="10">
        <v>717880</v>
      </c>
      <c r="N1055" s="12">
        <v>15</v>
      </c>
      <c r="O1055" s="12" t="s">
        <v>6992</v>
      </c>
      <c r="P1055" t="s">
        <v>2183</v>
      </c>
      <c r="R1055"/>
      <c r="S1055" t="s">
        <v>2184</v>
      </c>
      <c r="T1055" s="12" t="s">
        <v>2185</v>
      </c>
      <c r="U1055" s="12" t="s">
        <v>2186</v>
      </c>
      <c r="V1055" s="12" t="s">
        <v>2187</v>
      </c>
      <c r="W1055" s="12">
        <v>0</v>
      </c>
      <c r="X1055" s="12">
        <v>1</v>
      </c>
      <c r="Y1055" s="12">
        <v>0</v>
      </c>
      <c r="Z1055" s="12">
        <v>0</v>
      </c>
      <c r="AA1055" s="12">
        <v>0</v>
      </c>
      <c r="AB1055" s="12">
        <v>0</v>
      </c>
      <c r="AC1055" s="12">
        <v>0</v>
      </c>
      <c r="AD1055" s="12">
        <v>0</v>
      </c>
      <c r="AE1055" s="12">
        <v>0</v>
      </c>
      <c r="AF1055" s="12">
        <v>0</v>
      </c>
      <c r="AG1055" s="12">
        <v>0</v>
      </c>
      <c r="AH1055" s="12">
        <v>0</v>
      </c>
      <c r="AI1055" s="12">
        <v>0</v>
      </c>
      <c r="AJ1055" s="12">
        <v>0</v>
      </c>
      <c r="AK1055" s="12">
        <v>0</v>
      </c>
      <c r="AL1055" s="12">
        <v>0</v>
      </c>
      <c r="AM1055" s="12"/>
      <c r="AN1055" s="12">
        <v>0</v>
      </c>
      <c r="AO1055" s="12">
        <v>0</v>
      </c>
      <c r="AP1055" s="12">
        <v>0</v>
      </c>
      <c r="AQ1055" s="12">
        <v>0</v>
      </c>
      <c r="AR1055" s="12">
        <v>0</v>
      </c>
      <c r="AS1055" s="12">
        <v>0</v>
      </c>
      <c r="AT1055" s="12">
        <v>0</v>
      </c>
      <c r="AU1055" s="12">
        <v>0</v>
      </c>
      <c r="AV1055" s="12">
        <v>0</v>
      </c>
      <c r="AW1055" s="12">
        <v>0</v>
      </c>
      <c r="AX1055" s="12">
        <v>0</v>
      </c>
      <c r="AY1055" s="12">
        <v>0</v>
      </c>
      <c r="AZ1055"/>
      <c r="BA1055"/>
      <c r="BB1055" s="12">
        <v>0</v>
      </c>
      <c r="BC1055" s="12">
        <v>0</v>
      </c>
      <c r="BD1055" s="12">
        <v>0</v>
      </c>
      <c r="BE1055" s="12">
        <v>0</v>
      </c>
      <c r="BF1055" s="12">
        <v>0</v>
      </c>
      <c r="BI1055" s="12">
        <v>0</v>
      </c>
      <c r="BJ1055" s="12">
        <v>0</v>
      </c>
    </row>
    <row r="1056" spans="1:62" x14ac:dyDescent="0.15">
      <c r="A1056" s="12"/>
      <c r="B1056" t="s">
        <v>1793</v>
      </c>
      <c r="C1056" t="s">
        <v>1793</v>
      </c>
      <c r="D1056" t="s">
        <v>6596</v>
      </c>
      <c r="E1056" t="s">
        <v>2182</v>
      </c>
      <c r="F1056"/>
      <c r="G1056"/>
      <c r="H1056"/>
      <c r="I1056"/>
      <c r="J1056"/>
      <c r="K1056"/>
      <c r="L1056" s="10">
        <v>3979660</v>
      </c>
      <c r="M1056" s="10">
        <v>736980</v>
      </c>
      <c r="N1056" s="12">
        <v>15</v>
      </c>
      <c r="O1056" s="12" t="s">
        <v>6992</v>
      </c>
      <c r="P1056" t="s">
        <v>2183</v>
      </c>
      <c r="R1056"/>
      <c r="S1056" t="s">
        <v>2184</v>
      </c>
      <c r="T1056" s="12" t="s">
        <v>2185</v>
      </c>
      <c r="U1056" s="12" t="s">
        <v>2186</v>
      </c>
      <c r="V1056" s="12" t="s">
        <v>2187</v>
      </c>
      <c r="W1056" s="12">
        <v>0</v>
      </c>
      <c r="X1056" s="12">
        <v>1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2">
        <v>0</v>
      </c>
      <c r="AK1056" s="12">
        <v>0</v>
      </c>
      <c r="AL1056" s="12">
        <v>0</v>
      </c>
      <c r="AM1056" s="12"/>
      <c r="AN1056" s="12">
        <v>0</v>
      </c>
      <c r="AO1056" s="12">
        <v>0</v>
      </c>
      <c r="AP1056" s="12">
        <v>0</v>
      </c>
      <c r="AQ1056" s="12">
        <v>0</v>
      </c>
      <c r="AR1056" s="12">
        <v>0</v>
      </c>
      <c r="AS1056" s="12">
        <v>0</v>
      </c>
      <c r="AT1056" s="12">
        <v>0</v>
      </c>
      <c r="AU1056" s="12">
        <v>0</v>
      </c>
      <c r="AV1056" s="12">
        <v>0</v>
      </c>
      <c r="AW1056" s="12">
        <v>0</v>
      </c>
      <c r="AX1056" s="12">
        <v>0</v>
      </c>
      <c r="AY1056" s="12">
        <v>0</v>
      </c>
      <c r="AZ1056"/>
      <c r="BA1056"/>
      <c r="BB1056" s="12">
        <v>0</v>
      </c>
      <c r="BC1056" s="12">
        <v>0</v>
      </c>
      <c r="BD1056" s="12">
        <v>0</v>
      </c>
      <c r="BE1056" s="12">
        <v>0</v>
      </c>
      <c r="BF1056" s="12">
        <v>0</v>
      </c>
      <c r="BI1056" s="12">
        <v>0</v>
      </c>
      <c r="BJ1056" s="12">
        <v>0</v>
      </c>
    </row>
    <row r="1057" spans="1:62" x14ac:dyDescent="0.15">
      <c r="A1057" s="12"/>
      <c r="B1057" t="s">
        <v>1794</v>
      </c>
      <c r="C1057" s="27" t="s">
        <v>1795</v>
      </c>
      <c r="D1057" t="s">
        <v>6596</v>
      </c>
      <c r="E1057" t="s">
        <v>2182</v>
      </c>
      <c r="F1057"/>
      <c r="G1057"/>
      <c r="H1057"/>
      <c r="I1057"/>
      <c r="J1057"/>
      <c r="K1057"/>
      <c r="L1057" s="10">
        <v>3975540</v>
      </c>
      <c r="M1057" s="10">
        <v>719620</v>
      </c>
      <c r="N1057" s="12">
        <v>15</v>
      </c>
      <c r="O1057" s="12" t="s">
        <v>6992</v>
      </c>
      <c r="P1057" t="s">
        <v>2183</v>
      </c>
      <c r="R1057"/>
      <c r="S1057" t="s">
        <v>2184</v>
      </c>
      <c r="T1057" s="12" t="s">
        <v>2185</v>
      </c>
      <c r="U1057" s="12" t="s">
        <v>2186</v>
      </c>
      <c r="V1057" s="12" t="s">
        <v>2187</v>
      </c>
      <c r="W1057" s="12">
        <v>0</v>
      </c>
      <c r="X1057" s="12">
        <v>1</v>
      </c>
      <c r="Y1057" s="12">
        <v>0</v>
      </c>
      <c r="Z1057" s="12">
        <v>0</v>
      </c>
      <c r="AA1057" s="12">
        <v>0</v>
      </c>
      <c r="AB1057" s="12">
        <v>0</v>
      </c>
      <c r="AC1057" s="12">
        <v>0</v>
      </c>
      <c r="AD1057" s="12">
        <v>0</v>
      </c>
      <c r="AE1057" s="12">
        <v>0</v>
      </c>
      <c r="AF1057" s="12">
        <v>0</v>
      </c>
      <c r="AG1057" s="12">
        <v>0</v>
      </c>
      <c r="AH1057" s="12">
        <v>0</v>
      </c>
      <c r="AI1057" s="12">
        <v>0</v>
      </c>
      <c r="AJ1057" s="12">
        <v>0</v>
      </c>
      <c r="AK1057" s="12">
        <v>0</v>
      </c>
      <c r="AL1057" s="12">
        <v>0</v>
      </c>
      <c r="AM1057" s="12"/>
      <c r="AN1057" s="12">
        <v>0</v>
      </c>
      <c r="AO1057" s="12">
        <v>0</v>
      </c>
      <c r="AP1057" s="12">
        <v>0</v>
      </c>
      <c r="AQ1057" s="12">
        <v>0</v>
      </c>
      <c r="AR1057" s="12">
        <v>0</v>
      </c>
      <c r="AS1057" s="12">
        <v>0</v>
      </c>
      <c r="AT1057" s="12">
        <v>0</v>
      </c>
      <c r="AU1057" s="12">
        <v>0</v>
      </c>
      <c r="AV1057" s="12">
        <v>0</v>
      </c>
      <c r="AW1057" s="12">
        <v>0</v>
      </c>
      <c r="AX1057" s="12">
        <v>0</v>
      </c>
      <c r="AY1057" s="12">
        <v>0</v>
      </c>
      <c r="AZ1057"/>
      <c r="BA1057"/>
      <c r="BB1057" s="12">
        <v>0</v>
      </c>
      <c r="BC1057" s="12">
        <v>0</v>
      </c>
      <c r="BD1057" s="12">
        <v>0</v>
      </c>
      <c r="BE1057" s="12">
        <v>0</v>
      </c>
      <c r="BF1057" s="12">
        <v>0</v>
      </c>
      <c r="BI1057" s="12">
        <v>0</v>
      </c>
      <c r="BJ1057" s="12">
        <v>0</v>
      </c>
    </row>
    <row r="1058" spans="1:62" x14ac:dyDescent="0.15">
      <c r="A1058" s="12"/>
      <c r="B1058" t="s">
        <v>1796</v>
      </c>
      <c r="C1058" t="s">
        <v>1796</v>
      </c>
      <c r="D1058" t="s">
        <v>6596</v>
      </c>
      <c r="E1058" t="s">
        <v>2182</v>
      </c>
      <c r="F1058"/>
      <c r="G1058"/>
      <c r="H1058"/>
      <c r="I1058"/>
      <c r="J1058"/>
      <c r="K1058"/>
      <c r="L1058" s="10">
        <v>3968670</v>
      </c>
      <c r="M1058" s="10">
        <v>685190</v>
      </c>
      <c r="N1058" s="12">
        <v>15</v>
      </c>
      <c r="O1058" s="12" t="s">
        <v>6992</v>
      </c>
      <c r="P1058" t="s">
        <v>2183</v>
      </c>
      <c r="R1058"/>
      <c r="S1058" t="s">
        <v>2184</v>
      </c>
      <c r="T1058" s="12" t="s">
        <v>2185</v>
      </c>
      <c r="U1058" s="12" t="s">
        <v>2186</v>
      </c>
      <c r="V1058" s="12" t="s">
        <v>2187</v>
      </c>
      <c r="W1058" s="12">
        <v>0</v>
      </c>
      <c r="X1058" s="12">
        <v>1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2">
        <v>0</v>
      </c>
      <c r="AK1058" s="12">
        <v>0</v>
      </c>
      <c r="AL1058" s="12">
        <v>0</v>
      </c>
      <c r="AM1058" s="12"/>
      <c r="AN1058" s="12">
        <v>0</v>
      </c>
      <c r="AO1058" s="12">
        <v>0</v>
      </c>
      <c r="AP1058" s="12">
        <v>0</v>
      </c>
      <c r="AQ1058" s="12">
        <v>0</v>
      </c>
      <c r="AR1058" s="12">
        <v>0</v>
      </c>
      <c r="AS1058" s="12">
        <v>0</v>
      </c>
      <c r="AT1058" s="12">
        <v>0</v>
      </c>
      <c r="AU1058" s="12">
        <v>0</v>
      </c>
      <c r="AV1058" s="12">
        <v>0</v>
      </c>
      <c r="AW1058" s="12">
        <v>0</v>
      </c>
      <c r="AX1058" s="12">
        <v>0</v>
      </c>
      <c r="AY1058" s="12">
        <v>0</v>
      </c>
      <c r="AZ1058"/>
      <c r="BA1058"/>
      <c r="BB1058" s="12">
        <v>0</v>
      </c>
      <c r="BC1058" s="12">
        <v>0</v>
      </c>
      <c r="BD1058" s="12">
        <v>0</v>
      </c>
      <c r="BE1058" s="12">
        <v>0</v>
      </c>
      <c r="BF1058" s="12">
        <v>0</v>
      </c>
      <c r="BI1058" s="12">
        <v>0</v>
      </c>
      <c r="BJ1058" s="12">
        <v>0</v>
      </c>
    </row>
    <row r="1059" spans="1:62" x14ac:dyDescent="0.15">
      <c r="A1059" s="12"/>
      <c r="B1059" t="s">
        <v>2960</v>
      </c>
      <c r="C1059" t="s">
        <v>2960</v>
      </c>
      <c r="D1059" t="s">
        <v>6596</v>
      </c>
      <c r="E1059" t="s">
        <v>2182</v>
      </c>
      <c r="F1059"/>
      <c r="G1059"/>
      <c r="H1059"/>
      <c r="I1059"/>
      <c r="J1059"/>
      <c r="K1059"/>
      <c r="L1059" s="10">
        <v>3976640</v>
      </c>
      <c r="M1059" s="10">
        <v>694940</v>
      </c>
      <c r="N1059" s="12">
        <v>15</v>
      </c>
      <c r="O1059" s="12" t="s">
        <v>6992</v>
      </c>
      <c r="P1059" t="s">
        <v>2183</v>
      </c>
      <c r="R1059"/>
      <c r="S1059" t="s">
        <v>2184</v>
      </c>
      <c r="T1059" s="12" t="s">
        <v>2185</v>
      </c>
      <c r="U1059" s="12" t="s">
        <v>2186</v>
      </c>
      <c r="V1059" s="12" t="s">
        <v>2187</v>
      </c>
      <c r="W1059" s="12">
        <v>0</v>
      </c>
      <c r="X1059" s="12">
        <v>1</v>
      </c>
      <c r="Y1059" s="12">
        <v>0</v>
      </c>
      <c r="Z1059" s="12">
        <v>0</v>
      </c>
      <c r="AA1059" s="12">
        <v>0</v>
      </c>
      <c r="AB1059" s="12">
        <v>0</v>
      </c>
      <c r="AC1059" s="12">
        <v>0</v>
      </c>
      <c r="AD1059" s="12">
        <v>0</v>
      </c>
      <c r="AE1059" s="12">
        <v>0</v>
      </c>
      <c r="AF1059" s="12">
        <v>0</v>
      </c>
      <c r="AG1059" s="12">
        <v>0</v>
      </c>
      <c r="AH1059" s="12">
        <v>0</v>
      </c>
      <c r="AI1059" s="12">
        <v>0</v>
      </c>
      <c r="AJ1059" s="12">
        <v>0</v>
      </c>
      <c r="AK1059" s="12">
        <v>0</v>
      </c>
      <c r="AL1059" s="12">
        <v>0</v>
      </c>
      <c r="AM1059" s="12"/>
      <c r="AN1059" s="12">
        <v>0</v>
      </c>
      <c r="AO1059" s="12">
        <v>0</v>
      </c>
      <c r="AP1059" s="12">
        <v>0</v>
      </c>
      <c r="AQ1059" s="12">
        <v>0</v>
      </c>
      <c r="AR1059" s="12">
        <v>0</v>
      </c>
      <c r="AS1059" s="12">
        <v>0</v>
      </c>
      <c r="AT1059" s="12">
        <v>0</v>
      </c>
      <c r="AU1059" s="12">
        <v>0</v>
      </c>
      <c r="AV1059" s="12">
        <v>0</v>
      </c>
      <c r="AW1059" s="12">
        <v>0</v>
      </c>
      <c r="AX1059" s="12">
        <v>0</v>
      </c>
      <c r="AY1059" s="12">
        <v>0</v>
      </c>
      <c r="AZ1059"/>
      <c r="BA1059"/>
      <c r="BB1059" s="12">
        <v>0</v>
      </c>
      <c r="BC1059" s="12">
        <v>0</v>
      </c>
      <c r="BD1059" s="12">
        <v>0</v>
      </c>
      <c r="BE1059" s="12">
        <v>0</v>
      </c>
      <c r="BF1059" s="12">
        <v>0</v>
      </c>
      <c r="BI1059" s="12">
        <v>0</v>
      </c>
      <c r="BJ1059" s="12">
        <v>0</v>
      </c>
    </row>
    <row r="1060" spans="1:62" x14ac:dyDescent="0.15">
      <c r="A1060" s="12"/>
      <c r="B1060" t="s">
        <v>2961</v>
      </c>
      <c r="C1060" t="s">
        <v>2961</v>
      </c>
      <c r="D1060" t="s">
        <v>6596</v>
      </c>
      <c r="E1060" t="s">
        <v>2182</v>
      </c>
      <c r="F1060"/>
      <c r="G1060"/>
      <c r="H1060"/>
      <c r="I1060"/>
      <c r="J1060"/>
      <c r="K1060"/>
      <c r="L1060" s="10">
        <v>3976700</v>
      </c>
      <c r="M1060" s="10">
        <v>695300</v>
      </c>
      <c r="N1060" s="12">
        <v>15</v>
      </c>
      <c r="O1060" s="12" t="s">
        <v>6992</v>
      </c>
      <c r="P1060" t="s">
        <v>2183</v>
      </c>
      <c r="R1060"/>
      <c r="S1060" t="s">
        <v>2184</v>
      </c>
      <c r="T1060" s="12" t="s">
        <v>2185</v>
      </c>
      <c r="U1060" s="12" t="s">
        <v>2186</v>
      </c>
      <c r="V1060" s="12" t="s">
        <v>2187</v>
      </c>
      <c r="W1060" s="12">
        <v>0</v>
      </c>
      <c r="X1060" s="12">
        <v>1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2">
        <v>0</v>
      </c>
      <c r="AK1060" s="12">
        <v>0</v>
      </c>
      <c r="AL1060" s="12">
        <v>0</v>
      </c>
      <c r="AM1060" s="12"/>
      <c r="AN1060" s="12">
        <v>0</v>
      </c>
      <c r="AO1060" s="12">
        <v>0</v>
      </c>
      <c r="AP1060" s="12">
        <v>0</v>
      </c>
      <c r="AQ1060" s="12">
        <v>0</v>
      </c>
      <c r="AR1060" s="12">
        <v>0</v>
      </c>
      <c r="AS1060" s="12">
        <v>0</v>
      </c>
      <c r="AT1060" s="12">
        <v>0</v>
      </c>
      <c r="AU1060" s="12">
        <v>0</v>
      </c>
      <c r="AV1060" s="12">
        <v>0</v>
      </c>
      <c r="AW1060" s="12">
        <v>0</v>
      </c>
      <c r="AX1060" s="12">
        <v>0</v>
      </c>
      <c r="AY1060" s="12">
        <v>0</v>
      </c>
      <c r="AZ1060"/>
      <c r="BA1060"/>
      <c r="BB1060" s="12">
        <v>0</v>
      </c>
      <c r="BC1060" s="12">
        <v>0</v>
      </c>
      <c r="BD1060" s="12">
        <v>0</v>
      </c>
      <c r="BE1060" s="12">
        <v>0</v>
      </c>
      <c r="BF1060" s="12">
        <v>0</v>
      </c>
      <c r="BI1060" s="12">
        <v>0</v>
      </c>
      <c r="BJ1060" s="12">
        <v>0</v>
      </c>
    </row>
    <row r="1061" spans="1:62" x14ac:dyDescent="0.15">
      <c r="A1061" s="12"/>
      <c r="B1061" t="s">
        <v>2962</v>
      </c>
      <c r="C1061" t="s">
        <v>2962</v>
      </c>
      <c r="D1061" t="s">
        <v>6596</v>
      </c>
      <c r="E1061" t="s">
        <v>2182</v>
      </c>
      <c r="F1061"/>
      <c r="G1061"/>
      <c r="H1061"/>
      <c r="I1061"/>
      <c r="J1061"/>
      <c r="K1061"/>
      <c r="L1061" s="10">
        <v>3976860</v>
      </c>
      <c r="M1061" s="10">
        <v>693980</v>
      </c>
      <c r="N1061" s="12">
        <v>15</v>
      </c>
      <c r="O1061" s="12" t="s">
        <v>6992</v>
      </c>
      <c r="P1061" t="s">
        <v>2183</v>
      </c>
      <c r="R1061"/>
      <c r="S1061" t="s">
        <v>2184</v>
      </c>
      <c r="T1061" s="12" t="s">
        <v>2185</v>
      </c>
      <c r="U1061" s="12" t="s">
        <v>2186</v>
      </c>
      <c r="V1061" s="12" t="s">
        <v>2187</v>
      </c>
      <c r="W1061" s="12">
        <v>0</v>
      </c>
      <c r="X1061" s="12">
        <v>1</v>
      </c>
      <c r="Y1061" s="12">
        <v>0</v>
      </c>
      <c r="Z1061" s="12">
        <v>0</v>
      </c>
      <c r="AA1061" s="12">
        <v>0</v>
      </c>
      <c r="AB1061" s="12">
        <v>0</v>
      </c>
      <c r="AC1061" s="12">
        <v>0</v>
      </c>
      <c r="AD1061" s="12">
        <v>0</v>
      </c>
      <c r="AE1061" s="12">
        <v>0</v>
      </c>
      <c r="AF1061" s="12">
        <v>0</v>
      </c>
      <c r="AG1061" s="12">
        <v>0</v>
      </c>
      <c r="AH1061" s="12">
        <v>0</v>
      </c>
      <c r="AI1061" s="12">
        <v>0</v>
      </c>
      <c r="AJ1061" s="12">
        <v>0</v>
      </c>
      <c r="AK1061" s="12">
        <v>0</v>
      </c>
      <c r="AL1061" s="12">
        <v>0</v>
      </c>
      <c r="AM1061" s="12"/>
      <c r="AN1061" s="12">
        <v>0</v>
      </c>
      <c r="AO1061" s="12">
        <v>0</v>
      </c>
      <c r="AP1061" s="12">
        <v>0</v>
      </c>
      <c r="AQ1061" s="12">
        <v>0</v>
      </c>
      <c r="AR1061" s="12">
        <v>0</v>
      </c>
      <c r="AS1061" s="12">
        <v>0</v>
      </c>
      <c r="AT1061" s="12">
        <v>0</v>
      </c>
      <c r="AU1061" s="12">
        <v>0</v>
      </c>
      <c r="AV1061" s="12">
        <v>0</v>
      </c>
      <c r="AW1061" s="12">
        <v>0</v>
      </c>
      <c r="AX1061" s="12">
        <v>0</v>
      </c>
      <c r="AY1061" s="12">
        <v>0</v>
      </c>
      <c r="AZ1061"/>
      <c r="BA1061"/>
      <c r="BB1061" s="12">
        <v>0</v>
      </c>
      <c r="BC1061" s="12">
        <v>0</v>
      </c>
      <c r="BD1061" s="12">
        <v>0</v>
      </c>
      <c r="BE1061" s="12">
        <v>0</v>
      </c>
      <c r="BF1061" s="12">
        <v>0</v>
      </c>
      <c r="BI1061" s="12">
        <v>0</v>
      </c>
      <c r="BJ1061" s="12">
        <v>0</v>
      </c>
    </row>
    <row r="1062" spans="1:62" x14ac:dyDescent="0.15">
      <c r="A1062" s="12"/>
      <c r="B1062" t="s">
        <v>2963</v>
      </c>
      <c r="C1062" s="27" t="s">
        <v>2964</v>
      </c>
      <c r="D1062" t="s">
        <v>6596</v>
      </c>
      <c r="E1062" t="s">
        <v>2182</v>
      </c>
      <c r="F1062"/>
      <c r="G1062"/>
      <c r="H1062"/>
      <c r="I1062"/>
      <c r="J1062"/>
      <c r="K1062"/>
      <c r="L1062" s="10">
        <v>3970100</v>
      </c>
      <c r="M1062" s="10">
        <v>690140</v>
      </c>
      <c r="N1062" s="12">
        <v>15</v>
      </c>
      <c r="O1062" s="12" t="s">
        <v>6992</v>
      </c>
      <c r="P1062" t="s">
        <v>2183</v>
      </c>
      <c r="R1062"/>
      <c r="S1062" t="s">
        <v>2184</v>
      </c>
      <c r="T1062" s="12" t="s">
        <v>2185</v>
      </c>
      <c r="U1062" s="12" t="s">
        <v>2186</v>
      </c>
      <c r="V1062" s="12" t="s">
        <v>2187</v>
      </c>
      <c r="W1062" s="12">
        <v>0</v>
      </c>
      <c r="X1062" s="12">
        <v>1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2">
        <v>0</v>
      </c>
      <c r="AK1062" s="12">
        <v>0</v>
      </c>
      <c r="AL1062" s="12">
        <v>0</v>
      </c>
      <c r="AM1062" s="12"/>
      <c r="AN1062" s="12">
        <v>0</v>
      </c>
      <c r="AO1062" s="12">
        <v>0</v>
      </c>
      <c r="AP1062" s="12">
        <v>0</v>
      </c>
      <c r="AQ1062" s="12">
        <v>0</v>
      </c>
      <c r="AR1062" s="12">
        <v>0</v>
      </c>
      <c r="AS1062" s="12">
        <v>0</v>
      </c>
      <c r="AT1062" s="12">
        <v>0</v>
      </c>
      <c r="AU1062" s="12">
        <v>0</v>
      </c>
      <c r="AV1062" s="12">
        <v>0</v>
      </c>
      <c r="AW1062" s="12">
        <v>0</v>
      </c>
      <c r="AX1062" s="12">
        <v>0</v>
      </c>
      <c r="AY1062" s="12">
        <v>0</v>
      </c>
      <c r="AZ1062"/>
      <c r="BA1062"/>
      <c r="BB1062" s="12">
        <v>0</v>
      </c>
      <c r="BC1062" s="12">
        <v>0</v>
      </c>
      <c r="BD1062" s="12">
        <v>0</v>
      </c>
      <c r="BE1062" s="12">
        <v>0</v>
      </c>
      <c r="BF1062" s="12">
        <v>0</v>
      </c>
      <c r="BI1062" s="12">
        <v>0</v>
      </c>
      <c r="BJ1062" s="12">
        <v>0</v>
      </c>
    </row>
    <row r="1063" spans="1:62" x14ac:dyDescent="0.15">
      <c r="A1063" s="12"/>
      <c r="B1063" t="s">
        <v>2965</v>
      </c>
      <c r="C1063" s="27" t="s">
        <v>2966</v>
      </c>
      <c r="D1063" t="s">
        <v>6596</v>
      </c>
      <c r="E1063" t="s">
        <v>2182</v>
      </c>
      <c r="F1063"/>
      <c r="G1063"/>
      <c r="H1063"/>
      <c r="I1063"/>
      <c r="J1063"/>
      <c r="K1063"/>
      <c r="L1063" s="10">
        <v>3965210</v>
      </c>
      <c r="M1063" s="10">
        <v>698560</v>
      </c>
      <c r="N1063" s="12">
        <v>15</v>
      </c>
      <c r="O1063" s="12" t="s">
        <v>6992</v>
      </c>
      <c r="P1063" t="s">
        <v>2183</v>
      </c>
      <c r="R1063"/>
      <c r="S1063" t="s">
        <v>2184</v>
      </c>
      <c r="T1063" s="12" t="s">
        <v>2185</v>
      </c>
      <c r="U1063" s="12" t="s">
        <v>2186</v>
      </c>
      <c r="V1063" s="12" t="s">
        <v>2187</v>
      </c>
      <c r="W1063" s="12">
        <v>0</v>
      </c>
      <c r="X1063" s="12">
        <v>1</v>
      </c>
      <c r="Y1063" s="12">
        <v>0</v>
      </c>
      <c r="Z1063" s="12">
        <v>0</v>
      </c>
      <c r="AA1063" s="12">
        <v>0</v>
      </c>
      <c r="AB1063" s="12">
        <v>0</v>
      </c>
      <c r="AC1063" s="12">
        <v>0</v>
      </c>
      <c r="AD1063" s="12">
        <v>0</v>
      </c>
      <c r="AE1063" s="12">
        <v>0</v>
      </c>
      <c r="AF1063" s="12">
        <v>0</v>
      </c>
      <c r="AG1063" s="12">
        <v>0</v>
      </c>
      <c r="AH1063" s="12">
        <v>0</v>
      </c>
      <c r="AI1063" s="12">
        <v>0</v>
      </c>
      <c r="AJ1063" s="12">
        <v>0</v>
      </c>
      <c r="AK1063" s="12">
        <v>0</v>
      </c>
      <c r="AL1063" s="12">
        <v>0</v>
      </c>
      <c r="AM1063" s="12"/>
      <c r="AN1063" s="12">
        <v>0</v>
      </c>
      <c r="AO1063" s="12">
        <v>0</v>
      </c>
      <c r="AP1063" s="12">
        <v>0</v>
      </c>
      <c r="AQ1063" s="12">
        <v>0</v>
      </c>
      <c r="AR1063" s="12">
        <v>0</v>
      </c>
      <c r="AS1063" s="12">
        <v>0</v>
      </c>
      <c r="AT1063" s="12">
        <v>0</v>
      </c>
      <c r="AU1063" s="12">
        <v>0</v>
      </c>
      <c r="AV1063" s="12">
        <v>0</v>
      </c>
      <c r="AW1063" s="12">
        <v>0</v>
      </c>
      <c r="AX1063" s="12">
        <v>0</v>
      </c>
      <c r="AY1063" s="12">
        <v>0</v>
      </c>
      <c r="AZ1063"/>
      <c r="BA1063"/>
      <c r="BB1063" s="12">
        <v>0</v>
      </c>
      <c r="BC1063" s="12">
        <v>0</v>
      </c>
      <c r="BD1063" s="12">
        <v>0</v>
      </c>
      <c r="BE1063" s="12">
        <v>0</v>
      </c>
      <c r="BF1063" s="12">
        <v>0</v>
      </c>
      <c r="BI1063" s="12">
        <v>0</v>
      </c>
      <c r="BJ1063" s="12">
        <v>0</v>
      </c>
    </row>
    <row r="1064" spans="1:62" x14ac:dyDescent="0.15">
      <c r="A1064" s="12"/>
      <c r="B1064" t="s">
        <v>2967</v>
      </c>
      <c r="C1064" t="s">
        <v>2967</v>
      </c>
      <c r="D1064" t="s">
        <v>6596</v>
      </c>
      <c r="E1064" t="s">
        <v>2182</v>
      </c>
      <c r="F1064"/>
      <c r="G1064"/>
      <c r="H1064"/>
      <c r="I1064"/>
      <c r="J1064"/>
      <c r="K1064"/>
      <c r="L1064" s="10">
        <v>3980330</v>
      </c>
      <c r="M1064" s="10">
        <v>693750</v>
      </c>
      <c r="N1064" s="12">
        <v>15</v>
      </c>
      <c r="O1064" s="12" t="s">
        <v>6992</v>
      </c>
      <c r="P1064" t="s">
        <v>2183</v>
      </c>
      <c r="R1064"/>
      <c r="S1064" t="s">
        <v>2184</v>
      </c>
      <c r="T1064" s="12" t="s">
        <v>2185</v>
      </c>
      <c r="U1064" s="12" t="s">
        <v>2186</v>
      </c>
      <c r="V1064" s="12" t="s">
        <v>2187</v>
      </c>
      <c r="W1064" s="12">
        <v>0</v>
      </c>
      <c r="X1064" s="12">
        <v>1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2">
        <v>0</v>
      </c>
      <c r="AK1064" s="12">
        <v>0</v>
      </c>
      <c r="AL1064" s="12">
        <v>0</v>
      </c>
      <c r="AM1064" s="12"/>
      <c r="AN1064" s="12">
        <v>0</v>
      </c>
      <c r="AO1064" s="12">
        <v>0</v>
      </c>
      <c r="AP1064" s="12">
        <v>0</v>
      </c>
      <c r="AQ1064" s="12">
        <v>0</v>
      </c>
      <c r="AR1064" s="12">
        <v>0</v>
      </c>
      <c r="AS1064" s="12">
        <v>0</v>
      </c>
      <c r="AT1064" s="12">
        <v>0</v>
      </c>
      <c r="AU1064" s="12">
        <v>0</v>
      </c>
      <c r="AV1064" s="12">
        <v>0</v>
      </c>
      <c r="AW1064" s="12">
        <v>0</v>
      </c>
      <c r="AX1064" s="12">
        <v>0</v>
      </c>
      <c r="AY1064" s="12">
        <v>0</v>
      </c>
      <c r="AZ1064"/>
      <c r="BA1064"/>
      <c r="BB1064" s="12">
        <v>0</v>
      </c>
      <c r="BC1064" s="12">
        <v>0</v>
      </c>
      <c r="BD1064" s="12">
        <v>0</v>
      </c>
      <c r="BE1064" s="12">
        <v>0</v>
      </c>
      <c r="BF1064" s="12">
        <v>0</v>
      </c>
      <c r="BI1064" s="12">
        <v>0</v>
      </c>
      <c r="BJ1064" s="12">
        <v>0</v>
      </c>
    </row>
    <row r="1065" spans="1:62" x14ac:dyDescent="0.15">
      <c r="A1065" s="12"/>
      <c r="B1065" t="s">
        <v>2968</v>
      </c>
      <c r="C1065" s="27" t="s">
        <v>2969</v>
      </c>
      <c r="D1065" t="s">
        <v>6596</v>
      </c>
      <c r="E1065" t="s">
        <v>2182</v>
      </c>
      <c r="F1065"/>
      <c r="G1065"/>
      <c r="H1065"/>
      <c r="I1065"/>
      <c r="J1065"/>
      <c r="K1065"/>
      <c r="L1065" s="10">
        <v>3975920</v>
      </c>
      <c r="M1065" s="10">
        <v>694910</v>
      </c>
      <c r="N1065" s="12">
        <v>15</v>
      </c>
      <c r="O1065" s="12" t="s">
        <v>6992</v>
      </c>
      <c r="P1065" t="s">
        <v>2183</v>
      </c>
      <c r="R1065"/>
      <c r="S1065" t="s">
        <v>2184</v>
      </c>
      <c r="T1065" s="12" t="s">
        <v>2185</v>
      </c>
      <c r="U1065" s="12" t="s">
        <v>2186</v>
      </c>
      <c r="V1065" s="12" t="s">
        <v>2187</v>
      </c>
      <c r="W1065" s="12">
        <v>0</v>
      </c>
      <c r="X1065" s="12">
        <v>1</v>
      </c>
      <c r="Y1065" s="12">
        <v>0</v>
      </c>
      <c r="Z1065" s="12">
        <v>0</v>
      </c>
      <c r="AA1065" s="12">
        <v>0</v>
      </c>
      <c r="AB1065" s="12">
        <v>0</v>
      </c>
      <c r="AC1065" s="12">
        <v>0</v>
      </c>
      <c r="AD1065" s="12">
        <v>0</v>
      </c>
      <c r="AE1065" s="12">
        <v>0</v>
      </c>
      <c r="AF1065" s="12">
        <v>0</v>
      </c>
      <c r="AG1065" s="12">
        <v>0</v>
      </c>
      <c r="AH1065" s="12">
        <v>0</v>
      </c>
      <c r="AI1065" s="12">
        <v>0</v>
      </c>
      <c r="AJ1065" s="12">
        <v>0</v>
      </c>
      <c r="AK1065" s="12">
        <v>0</v>
      </c>
      <c r="AL1065" s="12">
        <v>0</v>
      </c>
      <c r="AM1065" s="12"/>
      <c r="AN1065" s="12">
        <v>0</v>
      </c>
      <c r="AO1065" s="12">
        <v>0</v>
      </c>
      <c r="AP1065" s="12">
        <v>0</v>
      </c>
      <c r="AQ1065" s="12">
        <v>0</v>
      </c>
      <c r="AR1065" s="12">
        <v>0</v>
      </c>
      <c r="AS1065" s="12">
        <v>0</v>
      </c>
      <c r="AT1065" s="12">
        <v>0</v>
      </c>
      <c r="AU1065" s="12">
        <v>0</v>
      </c>
      <c r="AV1065" s="12">
        <v>0</v>
      </c>
      <c r="AW1065" s="12">
        <v>0</v>
      </c>
      <c r="AX1065" s="12">
        <v>0</v>
      </c>
      <c r="AY1065" s="12">
        <v>0</v>
      </c>
      <c r="AZ1065"/>
      <c r="BA1065"/>
      <c r="BB1065" s="12">
        <v>0</v>
      </c>
      <c r="BC1065" s="12">
        <v>0</v>
      </c>
      <c r="BD1065" s="12">
        <v>0</v>
      </c>
      <c r="BE1065" s="12">
        <v>0</v>
      </c>
      <c r="BF1065" s="12">
        <v>0</v>
      </c>
      <c r="BI1065" s="12">
        <v>0</v>
      </c>
      <c r="BJ1065" s="12">
        <v>0</v>
      </c>
    </row>
    <row r="1066" spans="1:62" x14ac:dyDescent="0.15">
      <c r="A1066" s="12"/>
      <c r="B1066" t="s">
        <v>2970</v>
      </c>
      <c r="C1066" t="s">
        <v>2970</v>
      </c>
      <c r="D1066" t="s">
        <v>6596</v>
      </c>
      <c r="E1066" t="s">
        <v>2182</v>
      </c>
      <c r="F1066"/>
      <c r="G1066"/>
      <c r="H1066"/>
      <c r="I1066"/>
      <c r="J1066"/>
      <c r="K1066"/>
      <c r="L1066" s="10">
        <v>3980420</v>
      </c>
      <c r="M1066" s="10">
        <v>694090</v>
      </c>
      <c r="N1066" s="12">
        <v>15</v>
      </c>
      <c r="O1066" s="12" t="s">
        <v>6992</v>
      </c>
      <c r="P1066" t="s">
        <v>2183</v>
      </c>
      <c r="R1066"/>
      <c r="S1066" t="s">
        <v>2184</v>
      </c>
      <c r="T1066" s="12" t="s">
        <v>2185</v>
      </c>
      <c r="U1066" s="12" t="s">
        <v>2186</v>
      </c>
      <c r="V1066" s="12" t="s">
        <v>2187</v>
      </c>
      <c r="W1066" s="12">
        <v>0</v>
      </c>
      <c r="X1066" s="12">
        <v>1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2">
        <v>0</v>
      </c>
      <c r="AK1066" s="12">
        <v>0</v>
      </c>
      <c r="AL1066" s="12">
        <v>0</v>
      </c>
      <c r="AM1066" s="12"/>
      <c r="AN1066" s="12">
        <v>0</v>
      </c>
      <c r="AO1066" s="12">
        <v>0</v>
      </c>
      <c r="AP1066" s="12">
        <v>0</v>
      </c>
      <c r="AQ1066" s="12">
        <v>0</v>
      </c>
      <c r="AR1066" s="12">
        <v>0</v>
      </c>
      <c r="AS1066" s="12">
        <v>0</v>
      </c>
      <c r="AT1066" s="12">
        <v>0</v>
      </c>
      <c r="AU1066" s="12">
        <v>0</v>
      </c>
      <c r="AV1066" s="12">
        <v>0</v>
      </c>
      <c r="AW1066" s="12">
        <v>0</v>
      </c>
      <c r="AX1066" s="12">
        <v>0</v>
      </c>
      <c r="AY1066" s="12">
        <v>0</v>
      </c>
      <c r="AZ1066"/>
      <c r="BA1066"/>
      <c r="BB1066" s="12">
        <v>0</v>
      </c>
      <c r="BC1066" s="12">
        <v>0</v>
      </c>
      <c r="BD1066" s="12">
        <v>0</v>
      </c>
      <c r="BE1066" s="12">
        <v>0</v>
      </c>
      <c r="BF1066" s="12">
        <v>0</v>
      </c>
      <c r="BI1066" s="12">
        <v>0</v>
      </c>
      <c r="BJ1066" s="12">
        <v>0</v>
      </c>
    </row>
    <row r="1067" spans="1:62" x14ac:dyDescent="0.15">
      <c r="A1067" s="12"/>
      <c r="B1067" t="s">
        <v>2971</v>
      </c>
      <c r="C1067" s="27" t="s">
        <v>2972</v>
      </c>
      <c r="D1067" t="s">
        <v>6596</v>
      </c>
      <c r="E1067" t="s">
        <v>2182</v>
      </c>
      <c r="F1067"/>
      <c r="G1067"/>
      <c r="H1067"/>
      <c r="I1067"/>
      <c r="J1067"/>
      <c r="K1067"/>
      <c r="L1067" s="10">
        <v>3969330</v>
      </c>
      <c r="M1067" s="10">
        <v>690810</v>
      </c>
      <c r="N1067" s="12">
        <v>15</v>
      </c>
      <c r="O1067" s="12" t="s">
        <v>6992</v>
      </c>
      <c r="P1067" t="s">
        <v>2183</v>
      </c>
      <c r="R1067"/>
      <c r="S1067" t="s">
        <v>2184</v>
      </c>
      <c r="T1067" s="12" t="s">
        <v>2185</v>
      </c>
      <c r="U1067" s="12" t="s">
        <v>2186</v>
      </c>
      <c r="V1067" s="12" t="s">
        <v>2187</v>
      </c>
      <c r="W1067" s="12">
        <v>0</v>
      </c>
      <c r="X1067" s="12">
        <v>1</v>
      </c>
      <c r="Y1067" s="12">
        <v>0</v>
      </c>
      <c r="Z1067" s="12">
        <v>0</v>
      </c>
      <c r="AA1067" s="12">
        <v>0</v>
      </c>
      <c r="AB1067" s="12">
        <v>0</v>
      </c>
      <c r="AC1067" s="12">
        <v>0</v>
      </c>
      <c r="AD1067" s="12">
        <v>0</v>
      </c>
      <c r="AE1067" s="12">
        <v>0</v>
      </c>
      <c r="AF1067" s="12">
        <v>0</v>
      </c>
      <c r="AG1067" s="12">
        <v>0</v>
      </c>
      <c r="AH1067" s="12">
        <v>0</v>
      </c>
      <c r="AI1067" s="12">
        <v>0</v>
      </c>
      <c r="AJ1067" s="12">
        <v>0</v>
      </c>
      <c r="AK1067" s="12">
        <v>0</v>
      </c>
      <c r="AL1067" s="12">
        <v>0</v>
      </c>
      <c r="AM1067" s="12"/>
      <c r="AN1067" s="12">
        <v>0</v>
      </c>
      <c r="AO1067" s="12">
        <v>0</v>
      </c>
      <c r="AP1067" s="12">
        <v>0</v>
      </c>
      <c r="AQ1067" s="12">
        <v>0</v>
      </c>
      <c r="AR1067" s="12">
        <v>0</v>
      </c>
      <c r="AS1067" s="12">
        <v>0</v>
      </c>
      <c r="AT1067" s="12">
        <v>0</v>
      </c>
      <c r="AU1067" s="12">
        <v>0</v>
      </c>
      <c r="AV1067" s="12">
        <v>0</v>
      </c>
      <c r="AW1067" s="12">
        <v>0</v>
      </c>
      <c r="AX1067" s="12">
        <v>0</v>
      </c>
      <c r="AY1067" s="12">
        <v>0</v>
      </c>
      <c r="AZ1067"/>
      <c r="BA1067"/>
      <c r="BB1067" s="12">
        <v>0</v>
      </c>
      <c r="BC1067" s="12">
        <v>0</v>
      </c>
      <c r="BD1067" s="12">
        <v>0</v>
      </c>
      <c r="BE1067" s="12">
        <v>0</v>
      </c>
      <c r="BF1067" s="12">
        <v>0</v>
      </c>
      <c r="BI1067" s="12">
        <v>0</v>
      </c>
      <c r="BJ1067" s="12">
        <v>0</v>
      </c>
    </row>
    <row r="1068" spans="1:62" x14ac:dyDescent="0.15">
      <c r="A1068" s="12"/>
      <c r="B1068" t="s">
        <v>2973</v>
      </c>
      <c r="C1068" t="s">
        <v>2973</v>
      </c>
      <c r="D1068" t="s">
        <v>6596</v>
      </c>
      <c r="E1068" t="s">
        <v>2182</v>
      </c>
      <c r="F1068"/>
      <c r="G1068"/>
      <c r="H1068"/>
      <c r="I1068"/>
      <c r="J1068"/>
      <c r="K1068"/>
      <c r="L1068" s="10">
        <v>3976000</v>
      </c>
      <c r="M1068" s="10">
        <v>719060</v>
      </c>
      <c r="N1068" s="12">
        <v>15</v>
      </c>
      <c r="O1068" s="12" t="s">
        <v>6992</v>
      </c>
      <c r="P1068" t="s">
        <v>2183</v>
      </c>
      <c r="R1068"/>
      <c r="S1068" t="s">
        <v>2184</v>
      </c>
      <c r="T1068" s="12" t="s">
        <v>2185</v>
      </c>
      <c r="U1068" s="12" t="s">
        <v>2186</v>
      </c>
      <c r="V1068" s="12" t="s">
        <v>2187</v>
      </c>
      <c r="W1068" s="12">
        <v>0</v>
      </c>
      <c r="X1068" s="12">
        <v>1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2">
        <v>0</v>
      </c>
      <c r="AK1068" s="12">
        <v>0</v>
      </c>
      <c r="AL1068" s="12">
        <v>0</v>
      </c>
      <c r="AM1068" s="12"/>
      <c r="AN1068" s="12">
        <v>0</v>
      </c>
      <c r="AO1068" s="12">
        <v>0</v>
      </c>
      <c r="AP1068" s="12">
        <v>0</v>
      </c>
      <c r="AQ1068" s="12">
        <v>0</v>
      </c>
      <c r="AR1068" s="12">
        <v>0</v>
      </c>
      <c r="AS1068" s="12">
        <v>0</v>
      </c>
      <c r="AT1068" s="12">
        <v>0</v>
      </c>
      <c r="AU1068" s="12">
        <v>0</v>
      </c>
      <c r="AV1068" s="12">
        <v>0</v>
      </c>
      <c r="AW1068" s="12">
        <v>0</v>
      </c>
      <c r="AX1068" s="12">
        <v>0</v>
      </c>
      <c r="AY1068" s="12">
        <v>0</v>
      </c>
      <c r="AZ1068"/>
      <c r="BA1068"/>
      <c r="BB1068" s="12">
        <v>0</v>
      </c>
      <c r="BC1068" s="12">
        <v>0</v>
      </c>
      <c r="BD1068" s="12">
        <v>0</v>
      </c>
      <c r="BE1068" s="12">
        <v>0</v>
      </c>
      <c r="BF1068" s="12">
        <v>0</v>
      </c>
      <c r="BI1068" s="12">
        <v>0</v>
      </c>
      <c r="BJ1068" s="12">
        <v>0</v>
      </c>
    </row>
    <row r="1069" spans="1:62" x14ac:dyDescent="0.15">
      <c r="A1069" s="12"/>
      <c r="B1069" t="s">
        <v>2974</v>
      </c>
      <c r="C1069" t="s">
        <v>2974</v>
      </c>
      <c r="D1069" t="s">
        <v>6596</v>
      </c>
      <c r="E1069" t="s">
        <v>2182</v>
      </c>
      <c r="F1069"/>
      <c r="G1069"/>
      <c r="H1069"/>
      <c r="I1069"/>
      <c r="J1069"/>
      <c r="K1069"/>
      <c r="L1069" s="10">
        <v>3973660</v>
      </c>
      <c r="M1069" s="10">
        <v>717820</v>
      </c>
      <c r="N1069" s="12">
        <v>15</v>
      </c>
      <c r="O1069" s="12" t="s">
        <v>6992</v>
      </c>
      <c r="P1069" t="s">
        <v>2183</v>
      </c>
      <c r="R1069"/>
      <c r="S1069" t="s">
        <v>2184</v>
      </c>
      <c r="T1069" s="12" t="s">
        <v>2185</v>
      </c>
      <c r="U1069" s="12" t="s">
        <v>2186</v>
      </c>
      <c r="V1069" s="12" t="s">
        <v>2187</v>
      </c>
      <c r="W1069" s="12">
        <v>0</v>
      </c>
      <c r="X1069" s="12">
        <v>1</v>
      </c>
      <c r="Y1069" s="12">
        <v>0</v>
      </c>
      <c r="Z1069" s="12">
        <v>0</v>
      </c>
      <c r="AA1069" s="12">
        <v>0</v>
      </c>
      <c r="AB1069" s="12">
        <v>0</v>
      </c>
      <c r="AC1069" s="12">
        <v>0</v>
      </c>
      <c r="AD1069" s="12">
        <v>0</v>
      </c>
      <c r="AE1069" s="12">
        <v>0</v>
      </c>
      <c r="AF1069" s="12">
        <v>0</v>
      </c>
      <c r="AG1069" s="12">
        <v>0</v>
      </c>
      <c r="AH1069" s="12">
        <v>0</v>
      </c>
      <c r="AI1069" s="12">
        <v>0</v>
      </c>
      <c r="AJ1069" s="12">
        <v>0</v>
      </c>
      <c r="AK1069" s="12">
        <v>0</v>
      </c>
      <c r="AL1069" s="12">
        <v>0</v>
      </c>
      <c r="AM1069" s="12"/>
      <c r="AN1069" s="12">
        <v>0</v>
      </c>
      <c r="AO1069" s="12">
        <v>0</v>
      </c>
      <c r="AP1069" s="12">
        <v>0</v>
      </c>
      <c r="AQ1069" s="12">
        <v>0</v>
      </c>
      <c r="AR1069" s="12">
        <v>0</v>
      </c>
      <c r="AS1069" s="12">
        <v>0</v>
      </c>
      <c r="AT1069" s="12">
        <v>0</v>
      </c>
      <c r="AU1069" s="12">
        <v>0</v>
      </c>
      <c r="AV1069" s="12">
        <v>0</v>
      </c>
      <c r="AW1069" s="12">
        <v>0</v>
      </c>
      <c r="AX1069" s="12">
        <v>0</v>
      </c>
      <c r="AY1069" s="12">
        <v>0</v>
      </c>
      <c r="AZ1069"/>
      <c r="BA1069"/>
      <c r="BB1069" s="12">
        <v>0</v>
      </c>
      <c r="BC1069" s="12">
        <v>0</v>
      </c>
      <c r="BD1069" s="12">
        <v>0</v>
      </c>
      <c r="BE1069" s="12">
        <v>0</v>
      </c>
      <c r="BF1069" s="12">
        <v>0</v>
      </c>
      <c r="BI1069" s="12">
        <v>0</v>
      </c>
      <c r="BJ1069" s="12">
        <v>0</v>
      </c>
    </row>
    <row r="1070" spans="1:62" x14ac:dyDescent="0.15">
      <c r="A1070" s="12"/>
      <c r="B1070" t="s">
        <v>2975</v>
      </c>
      <c r="C1070" t="s">
        <v>2975</v>
      </c>
      <c r="D1070" t="s">
        <v>6596</v>
      </c>
      <c r="E1070" t="s">
        <v>2182</v>
      </c>
      <c r="F1070"/>
      <c r="G1070"/>
      <c r="H1070"/>
      <c r="I1070"/>
      <c r="J1070"/>
      <c r="K1070"/>
      <c r="L1070" s="10">
        <v>3975320</v>
      </c>
      <c r="M1070" s="10">
        <v>719360</v>
      </c>
      <c r="N1070" s="12">
        <v>15</v>
      </c>
      <c r="O1070" s="12" t="s">
        <v>6992</v>
      </c>
      <c r="P1070" t="s">
        <v>2183</v>
      </c>
      <c r="R1070"/>
      <c r="S1070" t="s">
        <v>2184</v>
      </c>
      <c r="T1070" s="12" t="s">
        <v>2185</v>
      </c>
      <c r="U1070" s="12" t="s">
        <v>2186</v>
      </c>
      <c r="V1070" s="12" t="s">
        <v>2187</v>
      </c>
      <c r="W1070" s="12">
        <v>0</v>
      </c>
      <c r="X1070" s="12">
        <v>1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2">
        <v>0</v>
      </c>
      <c r="AK1070" s="12">
        <v>0</v>
      </c>
      <c r="AL1070" s="12">
        <v>0</v>
      </c>
      <c r="AM1070" s="12"/>
      <c r="AN1070" s="12">
        <v>0</v>
      </c>
      <c r="AO1070" s="12">
        <v>0</v>
      </c>
      <c r="AP1070" s="12">
        <v>0</v>
      </c>
      <c r="AQ1070" s="12">
        <v>0</v>
      </c>
      <c r="AR1070" s="12">
        <v>0</v>
      </c>
      <c r="AS1070" s="12">
        <v>0</v>
      </c>
      <c r="AT1070" s="12">
        <v>0</v>
      </c>
      <c r="AU1070" s="12">
        <v>0</v>
      </c>
      <c r="AV1070" s="12">
        <v>0</v>
      </c>
      <c r="AW1070" s="12">
        <v>0</v>
      </c>
      <c r="AX1070" s="12">
        <v>0</v>
      </c>
      <c r="AY1070" s="12">
        <v>0</v>
      </c>
      <c r="AZ1070"/>
      <c r="BA1070"/>
      <c r="BB1070" s="12">
        <v>0</v>
      </c>
      <c r="BC1070" s="12">
        <v>0</v>
      </c>
      <c r="BD1070" s="12">
        <v>0</v>
      </c>
      <c r="BE1070" s="12">
        <v>0</v>
      </c>
      <c r="BF1070" s="12">
        <v>0</v>
      </c>
      <c r="BI1070" s="12">
        <v>0</v>
      </c>
      <c r="BJ1070" s="12">
        <v>0</v>
      </c>
    </row>
    <row r="1071" spans="1:62" x14ac:dyDescent="0.15">
      <c r="A1071" s="12"/>
      <c r="B1071" t="s">
        <v>2976</v>
      </c>
      <c r="C1071" t="s">
        <v>2976</v>
      </c>
      <c r="D1071" t="s">
        <v>6596</v>
      </c>
      <c r="E1071" t="s">
        <v>2182</v>
      </c>
      <c r="F1071"/>
      <c r="G1071"/>
      <c r="H1071"/>
      <c r="I1071"/>
      <c r="J1071"/>
      <c r="K1071"/>
      <c r="L1071" s="10">
        <v>3978200</v>
      </c>
      <c r="M1071" s="10">
        <v>723640</v>
      </c>
      <c r="N1071" s="12">
        <v>15</v>
      </c>
      <c r="O1071" s="12" t="s">
        <v>6992</v>
      </c>
      <c r="P1071" t="s">
        <v>2183</v>
      </c>
      <c r="R1071"/>
      <c r="S1071" t="s">
        <v>2184</v>
      </c>
      <c r="T1071" s="12" t="s">
        <v>2185</v>
      </c>
      <c r="U1071" s="12" t="s">
        <v>2186</v>
      </c>
      <c r="V1071" s="12" t="s">
        <v>2187</v>
      </c>
      <c r="W1071" s="12">
        <v>0</v>
      </c>
      <c r="X1071" s="12">
        <v>1</v>
      </c>
      <c r="Y1071" s="12">
        <v>0</v>
      </c>
      <c r="Z1071" s="12">
        <v>0</v>
      </c>
      <c r="AA1071" s="12">
        <v>0</v>
      </c>
      <c r="AB1071" s="12">
        <v>0</v>
      </c>
      <c r="AC1071" s="12">
        <v>0</v>
      </c>
      <c r="AD1071" s="12">
        <v>0</v>
      </c>
      <c r="AE1071" s="12">
        <v>0</v>
      </c>
      <c r="AF1071" s="12">
        <v>0</v>
      </c>
      <c r="AG1071" s="12">
        <v>0</v>
      </c>
      <c r="AH1071" s="12">
        <v>0</v>
      </c>
      <c r="AI1071" s="12">
        <v>0</v>
      </c>
      <c r="AJ1071" s="12">
        <v>0</v>
      </c>
      <c r="AK1071" s="12">
        <v>0</v>
      </c>
      <c r="AL1071" s="12">
        <v>0</v>
      </c>
      <c r="AM1071" s="12"/>
      <c r="AN1071" s="12">
        <v>0</v>
      </c>
      <c r="AO1071" s="12">
        <v>0</v>
      </c>
      <c r="AP1071" s="12">
        <v>0</v>
      </c>
      <c r="AQ1071" s="12">
        <v>0</v>
      </c>
      <c r="AR1071" s="12">
        <v>0</v>
      </c>
      <c r="AS1071" s="12">
        <v>0</v>
      </c>
      <c r="AT1071" s="12">
        <v>0</v>
      </c>
      <c r="AU1071" s="12">
        <v>0</v>
      </c>
      <c r="AV1071" s="12">
        <v>0</v>
      </c>
      <c r="AW1071" s="12">
        <v>0</v>
      </c>
      <c r="AX1071" s="12">
        <v>0</v>
      </c>
      <c r="AY1071" s="12">
        <v>0</v>
      </c>
      <c r="AZ1071"/>
      <c r="BA1071"/>
      <c r="BB1071" s="12">
        <v>0</v>
      </c>
      <c r="BC1071" s="12">
        <v>0</v>
      </c>
      <c r="BD1071" s="12">
        <v>0</v>
      </c>
      <c r="BE1071" s="12">
        <v>0</v>
      </c>
      <c r="BF1071" s="12">
        <v>0</v>
      </c>
      <c r="BI1071" s="12">
        <v>0</v>
      </c>
      <c r="BJ1071" s="12">
        <v>0</v>
      </c>
    </row>
    <row r="1072" spans="1:62" x14ac:dyDescent="0.15">
      <c r="A1072" s="12"/>
      <c r="B1072" t="s">
        <v>2977</v>
      </c>
      <c r="C1072" t="s">
        <v>2977</v>
      </c>
      <c r="D1072" t="s">
        <v>6596</v>
      </c>
      <c r="E1072" t="s">
        <v>2182</v>
      </c>
      <c r="F1072"/>
      <c r="G1072"/>
      <c r="H1072"/>
      <c r="I1072"/>
      <c r="J1072"/>
      <c r="K1072"/>
      <c r="L1072" s="10">
        <v>3977230</v>
      </c>
      <c r="M1072" s="10">
        <v>722170</v>
      </c>
      <c r="N1072" s="12">
        <v>15</v>
      </c>
      <c r="O1072" s="12" t="s">
        <v>6992</v>
      </c>
      <c r="P1072" t="s">
        <v>2183</v>
      </c>
      <c r="R1072"/>
      <c r="S1072" t="s">
        <v>2184</v>
      </c>
      <c r="T1072" s="12" t="s">
        <v>2185</v>
      </c>
      <c r="U1072" s="12" t="s">
        <v>2186</v>
      </c>
      <c r="V1072" s="12" t="s">
        <v>2187</v>
      </c>
      <c r="W1072" s="12">
        <v>0</v>
      </c>
      <c r="X1072" s="12">
        <v>1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2">
        <v>0</v>
      </c>
      <c r="AK1072" s="12">
        <v>0</v>
      </c>
      <c r="AL1072" s="12">
        <v>0</v>
      </c>
      <c r="AM1072" s="12"/>
      <c r="AN1072" s="12">
        <v>0</v>
      </c>
      <c r="AO1072" s="12">
        <v>0</v>
      </c>
      <c r="AP1072" s="12">
        <v>0</v>
      </c>
      <c r="AQ1072" s="12">
        <v>0</v>
      </c>
      <c r="AR1072" s="12">
        <v>0</v>
      </c>
      <c r="AS1072" s="12">
        <v>0</v>
      </c>
      <c r="AT1072" s="12">
        <v>0</v>
      </c>
      <c r="AU1072" s="12">
        <v>0</v>
      </c>
      <c r="AV1072" s="12">
        <v>0</v>
      </c>
      <c r="AW1072" s="12">
        <v>0</v>
      </c>
      <c r="AX1072" s="12">
        <v>0</v>
      </c>
      <c r="AY1072" s="12">
        <v>0</v>
      </c>
      <c r="AZ1072"/>
      <c r="BA1072"/>
      <c r="BB1072" s="12">
        <v>0</v>
      </c>
      <c r="BC1072" s="12">
        <v>0</v>
      </c>
      <c r="BD1072" s="12">
        <v>0</v>
      </c>
      <c r="BE1072" s="12">
        <v>0</v>
      </c>
      <c r="BF1072" s="12">
        <v>0</v>
      </c>
      <c r="BI1072" s="12">
        <v>0</v>
      </c>
      <c r="BJ1072" s="12">
        <v>0</v>
      </c>
    </row>
    <row r="1073" spans="1:62" x14ac:dyDescent="0.15">
      <c r="A1073" s="12"/>
      <c r="B1073" t="s">
        <v>2978</v>
      </c>
      <c r="C1073" t="s">
        <v>2978</v>
      </c>
      <c r="D1073" t="s">
        <v>6596</v>
      </c>
      <c r="E1073" t="s">
        <v>2182</v>
      </c>
      <c r="F1073"/>
      <c r="G1073"/>
      <c r="H1073"/>
      <c r="I1073"/>
      <c r="J1073"/>
      <c r="K1073"/>
      <c r="L1073" s="10">
        <v>3974730</v>
      </c>
      <c r="M1073" s="10">
        <v>718370</v>
      </c>
      <c r="N1073" s="12">
        <v>15</v>
      </c>
      <c r="O1073" s="12" t="s">
        <v>6992</v>
      </c>
      <c r="P1073" t="s">
        <v>2183</v>
      </c>
      <c r="R1073"/>
      <c r="S1073" t="s">
        <v>2184</v>
      </c>
      <c r="T1073" s="12" t="s">
        <v>2185</v>
      </c>
      <c r="U1073" s="12" t="s">
        <v>2186</v>
      </c>
      <c r="V1073" s="12" t="s">
        <v>2187</v>
      </c>
      <c r="W1073" s="12">
        <v>0</v>
      </c>
      <c r="X1073" s="12">
        <v>1</v>
      </c>
      <c r="Y1073" s="12">
        <v>0</v>
      </c>
      <c r="Z1073" s="12">
        <v>0</v>
      </c>
      <c r="AA1073" s="12">
        <v>0</v>
      </c>
      <c r="AB1073" s="12">
        <v>0</v>
      </c>
      <c r="AC1073" s="12">
        <v>0</v>
      </c>
      <c r="AD1073" s="12">
        <v>0</v>
      </c>
      <c r="AE1073" s="12">
        <v>0</v>
      </c>
      <c r="AF1073" s="12">
        <v>0</v>
      </c>
      <c r="AG1073" s="12">
        <v>0</v>
      </c>
      <c r="AH1073" s="12">
        <v>0</v>
      </c>
      <c r="AI1073" s="12">
        <v>0</v>
      </c>
      <c r="AJ1073" s="12">
        <v>0</v>
      </c>
      <c r="AK1073" s="12">
        <v>0</v>
      </c>
      <c r="AL1073" s="12">
        <v>0</v>
      </c>
      <c r="AM1073" s="12"/>
      <c r="AN1073" s="12">
        <v>0</v>
      </c>
      <c r="AO1073" s="12">
        <v>0</v>
      </c>
      <c r="AP1073" s="12">
        <v>0</v>
      </c>
      <c r="AQ1073" s="12">
        <v>0</v>
      </c>
      <c r="AR1073" s="12">
        <v>0</v>
      </c>
      <c r="AS1073" s="12">
        <v>0</v>
      </c>
      <c r="AT1073" s="12">
        <v>0</v>
      </c>
      <c r="AU1073" s="12">
        <v>0</v>
      </c>
      <c r="AV1073" s="12">
        <v>0</v>
      </c>
      <c r="AW1073" s="12">
        <v>0</v>
      </c>
      <c r="AX1073" s="12">
        <v>0</v>
      </c>
      <c r="AY1073" s="12">
        <v>0</v>
      </c>
      <c r="AZ1073"/>
      <c r="BA1073"/>
      <c r="BB1073" s="12">
        <v>0</v>
      </c>
      <c r="BC1073" s="12">
        <v>0</v>
      </c>
      <c r="BD1073" s="12">
        <v>0</v>
      </c>
      <c r="BE1073" s="12">
        <v>0</v>
      </c>
      <c r="BF1073" s="12">
        <v>0</v>
      </c>
      <c r="BI1073" s="12">
        <v>0</v>
      </c>
      <c r="BJ1073" s="12">
        <v>0</v>
      </c>
    </row>
    <row r="1074" spans="1:62" x14ac:dyDescent="0.15">
      <c r="A1074" s="12"/>
      <c r="B1074" t="s">
        <v>2979</v>
      </c>
      <c r="C1074" t="s">
        <v>2979</v>
      </c>
      <c r="D1074" t="s">
        <v>6596</v>
      </c>
      <c r="E1074" t="s">
        <v>2182</v>
      </c>
      <c r="F1074"/>
      <c r="G1074"/>
      <c r="H1074"/>
      <c r="I1074"/>
      <c r="J1074"/>
      <c r="K1074"/>
      <c r="L1074" s="10">
        <v>3972800</v>
      </c>
      <c r="M1074" s="10">
        <v>727200</v>
      </c>
      <c r="N1074" s="12">
        <v>15</v>
      </c>
      <c r="O1074" s="12" t="s">
        <v>6992</v>
      </c>
      <c r="P1074" t="s">
        <v>2183</v>
      </c>
      <c r="R1074"/>
      <c r="S1074" t="s">
        <v>2184</v>
      </c>
      <c r="T1074" s="12" t="s">
        <v>2185</v>
      </c>
      <c r="U1074" s="12" t="s">
        <v>2186</v>
      </c>
      <c r="V1074" s="12" t="s">
        <v>2187</v>
      </c>
      <c r="W1074" s="12">
        <v>0</v>
      </c>
      <c r="X1074" s="12">
        <v>1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2">
        <v>0</v>
      </c>
      <c r="AK1074" s="12">
        <v>0</v>
      </c>
      <c r="AL1074" s="12">
        <v>0</v>
      </c>
      <c r="AM1074" s="12"/>
      <c r="AN1074" s="12">
        <v>0</v>
      </c>
      <c r="AO1074" s="12">
        <v>0</v>
      </c>
      <c r="AP1074" s="12">
        <v>0</v>
      </c>
      <c r="AQ1074" s="12">
        <v>0</v>
      </c>
      <c r="AR1074" s="12">
        <v>0</v>
      </c>
      <c r="AS1074" s="12">
        <v>0</v>
      </c>
      <c r="AT1074" s="12">
        <v>0</v>
      </c>
      <c r="AU1074" s="12">
        <v>0</v>
      </c>
      <c r="AV1074" s="12">
        <v>0</v>
      </c>
      <c r="AW1074" s="12">
        <v>0</v>
      </c>
      <c r="AX1074" s="12">
        <v>0</v>
      </c>
      <c r="AY1074" s="12">
        <v>0</v>
      </c>
      <c r="AZ1074"/>
      <c r="BA1074"/>
      <c r="BB1074" s="12">
        <v>0</v>
      </c>
      <c r="BC1074" s="12">
        <v>0</v>
      </c>
      <c r="BD1074" s="12">
        <v>0</v>
      </c>
      <c r="BE1074" s="12">
        <v>0</v>
      </c>
      <c r="BF1074" s="12">
        <v>0</v>
      </c>
      <c r="BI1074" s="12">
        <v>0</v>
      </c>
      <c r="BJ1074" s="12">
        <v>0</v>
      </c>
    </row>
    <row r="1075" spans="1:62" x14ac:dyDescent="0.15">
      <c r="A1075" s="12"/>
      <c r="B1075" t="s">
        <v>2980</v>
      </c>
      <c r="C1075" t="s">
        <v>2980</v>
      </c>
      <c r="D1075" t="s">
        <v>6596</v>
      </c>
      <c r="E1075" t="s">
        <v>2182</v>
      </c>
      <c r="F1075"/>
      <c r="G1075"/>
      <c r="H1075"/>
      <c r="I1075"/>
      <c r="J1075"/>
      <c r="K1075"/>
      <c r="L1075" s="10">
        <v>3980320</v>
      </c>
      <c r="M1075" s="10">
        <v>724320</v>
      </c>
      <c r="N1075" s="12">
        <v>15</v>
      </c>
      <c r="O1075" s="12" t="s">
        <v>6992</v>
      </c>
      <c r="P1075" t="s">
        <v>2183</v>
      </c>
      <c r="R1075"/>
      <c r="S1075" t="s">
        <v>2184</v>
      </c>
      <c r="T1075" s="12" t="s">
        <v>2185</v>
      </c>
      <c r="U1075" s="12" t="s">
        <v>2186</v>
      </c>
      <c r="V1075" s="12" t="s">
        <v>2187</v>
      </c>
      <c r="W1075" s="12">
        <v>0</v>
      </c>
      <c r="X1075" s="12">
        <v>1</v>
      </c>
      <c r="Y1075" s="12">
        <v>0</v>
      </c>
      <c r="Z1075" s="12">
        <v>0</v>
      </c>
      <c r="AA1075" s="12">
        <v>0</v>
      </c>
      <c r="AB1075" s="12">
        <v>0</v>
      </c>
      <c r="AC1075" s="12">
        <v>0</v>
      </c>
      <c r="AD1075" s="12">
        <v>0</v>
      </c>
      <c r="AE1075" s="12">
        <v>0</v>
      </c>
      <c r="AF1075" s="12">
        <v>0</v>
      </c>
      <c r="AG1075" s="12">
        <v>0</v>
      </c>
      <c r="AH1075" s="12">
        <v>0</v>
      </c>
      <c r="AI1075" s="12">
        <v>0</v>
      </c>
      <c r="AJ1075" s="12">
        <v>0</v>
      </c>
      <c r="AK1075" s="12">
        <v>0</v>
      </c>
      <c r="AL1075" s="12">
        <v>0</v>
      </c>
      <c r="AM1075" s="12"/>
      <c r="AN1075" s="12">
        <v>0</v>
      </c>
      <c r="AO1075" s="12">
        <v>0</v>
      </c>
      <c r="AP1075" s="12">
        <v>0</v>
      </c>
      <c r="AQ1075" s="12">
        <v>0</v>
      </c>
      <c r="AR1075" s="12">
        <v>0</v>
      </c>
      <c r="AS1075" s="12">
        <v>0</v>
      </c>
      <c r="AT1075" s="12">
        <v>0</v>
      </c>
      <c r="AU1075" s="12">
        <v>0</v>
      </c>
      <c r="AV1075" s="12">
        <v>0</v>
      </c>
      <c r="AW1075" s="12">
        <v>0</v>
      </c>
      <c r="AX1075" s="12">
        <v>0</v>
      </c>
      <c r="AY1075" s="12">
        <v>0</v>
      </c>
      <c r="AZ1075"/>
      <c r="BA1075"/>
      <c r="BB1075" s="12">
        <v>0</v>
      </c>
      <c r="BC1075" s="12">
        <v>0</v>
      </c>
      <c r="BD1075" s="12">
        <v>0</v>
      </c>
      <c r="BE1075" s="12">
        <v>0</v>
      </c>
      <c r="BF1075" s="12">
        <v>0</v>
      </c>
      <c r="BI1075" s="12">
        <v>0</v>
      </c>
      <c r="BJ1075" s="12">
        <v>0</v>
      </c>
    </row>
    <row r="1076" spans="1:62" x14ac:dyDescent="0.15">
      <c r="A1076" s="12"/>
      <c r="B1076" t="s">
        <v>2981</v>
      </c>
      <c r="C1076" t="s">
        <v>2981</v>
      </c>
      <c r="D1076" t="s">
        <v>6596</v>
      </c>
      <c r="E1076" t="s">
        <v>2182</v>
      </c>
      <c r="F1076"/>
      <c r="G1076"/>
      <c r="H1076"/>
      <c r="I1076"/>
      <c r="J1076"/>
      <c r="K1076"/>
      <c r="L1076" s="10">
        <v>3975640</v>
      </c>
      <c r="M1076" s="10">
        <v>717610</v>
      </c>
      <c r="N1076" s="12">
        <v>15</v>
      </c>
      <c r="O1076" s="12" t="s">
        <v>6992</v>
      </c>
      <c r="P1076" t="s">
        <v>2183</v>
      </c>
      <c r="R1076"/>
      <c r="S1076" t="s">
        <v>2184</v>
      </c>
      <c r="T1076" s="12" t="s">
        <v>2185</v>
      </c>
      <c r="U1076" s="12" t="s">
        <v>2186</v>
      </c>
      <c r="V1076" s="12" t="s">
        <v>2187</v>
      </c>
      <c r="W1076" s="12">
        <v>0</v>
      </c>
      <c r="X1076" s="12">
        <v>1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2">
        <v>0</v>
      </c>
      <c r="AK1076" s="12">
        <v>0</v>
      </c>
      <c r="AL1076" s="12">
        <v>0</v>
      </c>
      <c r="AM1076" s="12"/>
      <c r="AN1076" s="12">
        <v>0</v>
      </c>
      <c r="AO1076" s="12">
        <v>0</v>
      </c>
      <c r="AP1076" s="12">
        <v>0</v>
      </c>
      <c r="AQ1076" s="12">
        <v>0</v>
      </c>
      <c r="AR1076" s="12">
        <v>0</v>
      </c>
      <c r="AS1076" s="12">
        <v>0</v>
      </c>
      <c r="AT1076" s="12">
        <v>0</v>
      </c>
      <c r="AU1076" s="12">
        <v>0</v>
      </c>
      <c r="AV1076" s="12">
        <v>0</v>
      </c>
      <c r="AW1076" s="12">
        <v>0</v>
      </c>
      <c r="AX1076" s="12">
        <v>0</v>
      </c>
      <c r="AY1076" s="12">
        <v>0</v>
      </c>
      <c r="AZ1076"/>
      <c r="BA1076"/>
      <c r="BB1076" s="12">
        <v>0</v>
      </c>
      <c r="BC1076" s="12">
        <v>0</v>
      </c>
      <c r="BD1076" s="12">
        <v>0</v>
      </c>
      <c r="BE1076" s="12">
        <v>0</v>
      </c>
      <c r="BF1076" s="12">
        <v>0</v>
      </c>
      <c r="BI1076" s="12">
        <v>0</v>
      </c>
      <c r="BJ1076" s="12">
        <v>0</v>
      </c>
    </row>
    <row r="1077" spans="1:62" x14ac:dyDescent="0.15">
      <c r="A1077" s="12"/>
      <c r="B1077" t="s">
        <v>2982</v>
      </c>
      <c r="C1077" t="s">
        <v>2982</v>
      </c>
      <c r="D1077" t="s">
        <v>6596</v>
      </c>
      <c r="E1077" t="s">
        <v>2182</v>
      </c>
      <c r="F1077"/>
      <c r="G1077"/>
      <c r="H1077"/>
      <c r="I1077"/>
      <c r="J1077"/>
      <c r="K1077"/>
      <c r="L1077" s="10">
        <v>3975600</v>
      </c>
      <c r="M1077" s="10">
        <v>725700</v>
      </c>
      <c r="N1077" s="12">
        <v>15</v>
      </c>
      <c r="O1077" s="12" t="s">
        <v>6992</v>
      </c>
      <c r="P1077" t="s">
        <v>2183</v>
      </c>
      <c r="R1077"/>
      <c r="S1077" t="s">
        <v>2184</v>
      </c>
      <c r="T1077" s="12" t="s">
        <v>2185</v>
      </c>
      <c r="U1077" s="12" t="s">
        <v>2186</v>
      </c>
      <c r="V1077" s="12" t="s">
        <v>2187</v>
      </c>
      <c r="W1077" s="12">
        <v>0</v>
      </c>
      <c r="X1077" s="12">
        <v>1</v>
      </c>
      <c r="Y1077" s="12">
        <v>0</v>
      </c>
      <c r="Z1077" s="12">
        <v>0</v>
      </c>
      <c r="AA1077" s="12">
        <v>0</v>
      </c>
      <c r="AB1077" s="12">
        <v>0</v>
      </c>
      <c r="AC1077" s="12">
        <v>0</v>
      </c>
      <c r="AD1077" s="12">
        <v>0</v>
      </c>
      <c r="AE1077" s="12">
        <v>0</v>
      </c>
      <c r="AF1077" s="12">
        <v>0</v>
      </c>
      <c r="AG1077" s="12">
        <v>0</v>
      </c>
      <c r="AH1077" s="12">
        <v>0</v>
      </c>
      <c r="AI1077" s="12">
        <v>0</v>
      </c>
      <c r="AJ1077" s="12">
        <v>0</v>
      </c>
      <c r="AK1077" s="12">
        <v>0</v>
      </c>
      <c r="AL1077" s="12">
        <v>0</v>
      </c>
      <c r="AM1077" s="12"/>
      <c r="AN1077" s="12">
        <v>0</v>
      </c>
      <c r="AO1077" s="12">
        <v>0</v>
      </c>
      <c r="AP1077" s="12">
        <v>0</v>
      </c>
      <c r="AQ1077" s="12">
        <v>0</v>
      </c>
      <c r="AR1077" s="12">
        <v>0</v>
      </c>
      <c r="AS1077" s="12">
        <v>0</v>
      </c>
      <c r="AT1077" s="12">
        <v>0</v>
      </c>
      <c r="AU1077" s="12">
        <v>0</v>
      </c>
      <c r="AV1077" s="12">
        <v>0</v>
      </c>
      <c r="AW1077" s="12">
        <v>0</v>
      </c>
      <c r="AX1077" s="12">
        <v>0</v>
      </c>
      <c r="AY1077" s="12">
        <v>0</v>
      </c>
      <c r="AZ1077"/>
      <c r="BA1077"/>
      <c r="BB1077" s="12">
        <v>0</v>
      </c>
      <c r="BC1077" s="12">
        <v>0</v>
      </c>
      <c r="BD1077" s="12">
        <v>0</v>
      </c>
      <c r="BE1077" s="12">
        <v>0</v>
      </c>
      <c r="BF1077" s="12">
        <v>0</v>
      </c>
      <c r="BI1077" s="12">
        <v>0</v>
      </c>
      <c r="BJ1077" s="12">
        <v>0</v>
      </c>
    </row>
    <row r="1078" spans="1:62" x14ac:dyDescent="0.15">
      <c r="A1078" s="12"/>
      <c r="B1078" t="s">
        <v>2983</v>
      </c>
      <c r="C1078" s="27" t="s">
        <v>874</v>
      </c>
      <c r="D1078" t="s">
        <v>6596</v>
      </c>
      <c r="E1078" t="s">
        <v>2182</v>
      </c>
      <c r="F1078"/>
      <c r="G1078"/>
      <c r="H1078"/>
      <c r="I1078"/>
      <c r="J1078"/>
      <c r="K1078"/>
      <c r="L1078" s="10">
        <v>3968660</v>
      </c>
      <c r="M1078" s="10">
        <v>690310</v>
      </c>
      <c r="N1078" s="12">
        <v>15</v>
      </c>
      <c r="O1078" s="12" t="s">
        <v>6992</v>
      </c>
      <c r="P1078" t="s">
        <v>2183</v>
      </c>
      <c r="R1078"/>
      <c r="S1078" t="s">
        <v>2184</v>
      </c>
      <c r="T1078" s="12" t="s">
        <v>2185</v>
      </c>
      <c r="U1078" s="12" t="s">
        <v>2186</v>
      </c>
      <c r="V1078" s="12" t="s">
        <v>2187</v>
      </c>
      <c r="W1078" s="12">
        <v>0</v>
      </c>
      <c r="X1078" s="12">
        <v>1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2">
        <v>0</v>
      </c>
      <c r="AK1078" s="12">
        <v>0</v>
      </c>
      <c r="AL1078" s="12">
        <v>0</v>
      </c>
      <c r="AM1078" s="12"/>
      <c r="AN1078" s="12">
        <v>0</v>
      </c>
      <c r="AO1078" s="12">
        <v>0</v>
      </c>
      <c r="AP1078" s="12">
        <v>0</v>
      </c>
      <c r="AQ1078" s="12">
        <v>0</v>
      </c>
      <c r="AR1078" s="12">
        <v>0</v>
      </c>
      <c r="AS1078" s="12">
        <v>0</v>
      </c>
      <c r="AT1078" s="12">
        <v>0</v>
      </c>
      <c r="AU1078" s="12">
        <v>0</v>
      </c>
      <c r="AV1078" s="12">
        <v>0</v>
      </c>
      <c r="AW1078" s="12">
        <v>0</v>
      </c>
      <c r="AX1078" s="12">
        <v>0</v>
      </c>
      <c r="AY1078" s="12">
        <v>0</v>
      </c>
      <c r="AZ1078"/>
      <c r="BA1078"/>
      <c r="BB1078" s="12">
        <v>0</v>
      </c>
      <c r="BC1078" s="12">
        <v>0</v>
      </c>
      <c r="BD1078" s="12">
        <v>0</v>
      </c>
      <c r="BE1078" s="12">
        <v>0</v>
      </c>
      <c r="BF1078" s="12">
        <v>0</v>
      </c>
      <c r="BI1078" s="12">
        <v>0</v>
      </c>
      <c r="BJ1078" s="12">
        <v>0</v>
      </c>
    </row>
    <row r="1079" spans="1:62" x14ac:dyDescent="0.15">
      <c r="A1079" s="12"/>
      <c r="B1079" t="s">
        <v>2984</v>
      </c>
      <c r="C1079" s="27" t="s">
        <v>2985</v>
      </c>
      <c r="D1079" t="s">
        <v>6596</v>
      </c>
      <c r="E1079" t="s">
        <v>2182</v>
      </c>
      <c r="F1079"/>
      <c r="G1079"/>
      <c r="H1079"/>
      <c r="I1079"/>
      <c r="J1079"/>
      <c r="K1079"/>
      <c r="L1079" s="10">
        <v>3970030</v>
      </c>
      <c r="M1079" s="10">
        <v>691170</v>
      </c>
      <c r="N1079" s="12">
        <v>15</v>
      </c>
      <c r="O1079" s="12" t="s">
        <v>6992</v>
      </c>
      <c r="P1079" t="s">
        <v>2183</v>
      </c>
      <c r="R1079"/>
      <c r="S1079" t="s">
        <v>2184</v>
      </c>
      <c r="T1079" s="12" t="s">
        <v>2185</v>
      </c>
      <c r="U1079" s="12" t="s">
        <v>2186</v>
      </c>
      <c r="V1079" s="12" t="s">
        <v>2187</v>
      </c>
      <c r="W1079" s="12">
        <v>0</v>
      </c>
      <c r="X1079" s="12">
        <v>1</v>
      </c>
      <c r="Y1079" s="12">
        <v>0</v>
      </c>
      <c r="Z1079" s="12">
        <v>0</v>
      </c>
      <c r="AA1079" s="12">
        <v>0</v>
      </c>
      <c r="AB1079" s="12">
        <v>0</v>
      </c>
      <c r="AC1079" s="12">
        <v>0</v>
      </c>
      <c r="AD1079" s="12">
        <v>0</v>
      </c>
      <c r="AE1079" s="12">
        <v>0</v>
      </c>
      <c r="AF1079" s="12">
        <v>0</v>
      </c>
      <c r="AG1079" s="12">
        <v>0</v>
      </c>
      <c r="AH1079" s="12">
        <v>0</v>
      </c>
      <c r="AI1079" s="12">
        <v>0</v>
      </c>
      <c r="AJ1079" s="12">
        <v>0</v>
      </c>
      <c r="AK1079" s="12">
        <v>0</v>
      </c>
      <c r="AL1079" s="12">
        <v>0</v>
      </c>
      <c r="AM1079" s="12"/>
      <c r="AN1079" s="12">
        <v>0</v>
      </c>
      <c r="AO1079" s="12">
        <v>0</v>
      </c>
      <c r="AP1079" s="12">
        <v>0</v>
      </c>
      <c r="AQ1079" s="12">
        <v>0</v>
      </c>
      <c r="AR1079" s="12">
        <v>0</v>
      </c>
      <c r="AS1079" s="12">
        <v>0</v>
      </c>
      <c r="AT1079" s="12">
        <v>0</v>
      </c>
      <c r="AU1079" s="12">
        <v>0</v>
      </c>
      <c r="AV1079" s="12">
        <v>0</v>
      </c>
      <c r="AW1079" s="12">
        <v>0</v>
      </c>
      <c r="AX1079" s="12">
        <v>0</v>
      </c>
      <c r="AY1079" s="12">
        <v>0</v>
      </c>
      <c r="AZ1079"/>
      <c r="BA1079"/>
      <c r="BB1079" s="12">
        <v>0</v>
      </c>
      <c r="BC1079" s="12">
        <v>0</v>
      </c>
      <c r="BD1079" s="12">
        <v>0</v>
      </c>
      <c r="BE1079" s="12">
        <v>0</v>
      </c>
      <c r="BF1079" s="12">
        <v>0</v>
      </c>
      <c r="BI1079" s="12">
        <v>0</v>
      </c>
      <c r="BJ1079" s="12">
        <v>0</v>
      </c>
    </row>
    <row r="1080" spans="1:62" x14ac:dyDescent="0.15">
      <c r="A1080" s="12"/>
      <c r="B1080" t="s">
        <v>2986</v>
      </c>
      <c r="C1080" s="27" t="s">
        <v>2987</v>
      </c>
      <c r="D1080" t="s">
        <v>6596</v>
      </c>
      <c r="E1080" t="s">
        <v>2182</v>
      </c>
      <c r="F1080"/>
      <c r="G1080"/>
      <c r="H1080"/>
      <c r="I1080"/>
      <c r="J1080"/>
      <c r="K1080"/>
      <c r="L1080" s="10">
        <v>3977190</v>
      </c>
      <c r="M1080" s="10">
        <v>693330</v>
      </c>
      <c r="N1080" s="12">
        <v>15</v>
      </c>
      <c r="O1080" s="12" t="s">
        <v>6992</v>
      </c>
      <c r="P1080" t="s">
        <v>2183</v>
      </c>
      <c r="R1080"/>
      <c r="S1080" t="s">
        <v>2184</v>
      </c>
      <c r="T1080" s="12" t="s">
        <v>2185</v>
      </c>
      <c r="U1080" s="12" t="s">
        <v>2186</v>
      </c>
      <c r="V1080" s="12" t="s">
        <v>2187</v>
      </c>
      <c r="W1080" s="12">
        <v>0</v>
      </c>
      <c r="X1080" s="12">
        <v>1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2">
        <v>0</v>
      </c>
      <c r="AK1080" s="12">
        <v>0</v>
      </c>
      <c r="AL1080" s="12">
        <v>0</v>
      </c>
      <c r="AM1080" s="12"/>
      <c r="AN1080" s="12">
        <v>0</v>
      </c>
      <c r="AO1080" s="12">
        <v>0</v>
      </c>
      <c r="AP1080" s="12">
        <v>0</v>
      </c>
      <c r="AQ1080" s="12">
        <v>0</v>
      </c>
      <c r="AR1080" s="12">
        <v>0</v>
      </c>
      <c r="AS1080" s="12">
        <v>0</v>
      </c>
      <c r="AT1080" s="12">
        <v>0</v>
      </c>
      <c r="AU1080" s="12">
        <v>0</v>
      </c>
      <c r="AV1080" s="12">
        <v>0</v>
      </c>
      <c r="AW1080" s="12">
        <v>0</v>
      </c>
      <c r="AX1080" s="12">
        <v>0</v>
      </c>
      <c r="AY1080" s="12">
        <v>0</v>
      </c>
      <c r="AZ1080"/>
      <c r="BA1080"/>
      <c r="BB1080" s="12">
        <v>0</v>
      </c>
      <c r="BC1080" s="12">
        <v>0</v>
      </c>
      <c r="BD1080" s="12">
        <v>0</v>
      </c>
      <c r="BE1080" s="12">
        <v>0</v>
      </c>
      <c r="BF1080" s="12">
        <v>0</v>
      </c>
      <c r="BI1080" s="12">
        <v>0</v>
      </c>
      <c r="BJ1080" s="12">
        <v>0</v>
      </c>
    </row>
    <row r="1081" spans="1:62" x14ac:dyDescent="0.15">
      <c r="A1081" s="12"/>
      <c r="B1081" t="s">
        <v>2988</v>
      </c>
      <c r="C1081" s="27" t="s">
        <v>2989</v>
      </c>
      <c r="D1081" t="s">
        <v>6596</v>
      </c>
      <c r="E1081" t="s">
        <v>2182</v>
      </c>
      <c r="F1081"/>
      <c r="G1081"/>
      <c r="H1081"/>
      <c r="I1081"/>
      <c r="J1081"/>
      <c r="K1081"/>
      <c r="L1081" s="10">
        <v>3977340</v>
      </c>
      <c r="M1081" s="10">
        <v>701000</v>
      </c>
      <c r="N1081" s="12">
        <v>15</v>
      </c>
      <c r="O1081" s="12" t="s">
        <v>6992</v>
      </c>
      <c r="P1081" t="s">
        <v>2183</v>
      </c>
      <c r="R1081"/>
      <c r="S1081" t="s">
        <v>2184</v>
      </c>
      <c r="T1081" s="12" t="s">
        <v>2185</v>
      </c>
      <c r="U1081" s="12" t="s">
        <v>2186</v>
      </c>
      <c r="V1081" s="12" t="s">
        <v>2187</v>
      </c>
      <c r="W1081" s="12">
        <v>0</v>
      </c>
      <c r="X1081" s="12">
        <v>1</v>
      </c>
      <c r="Y1081" s="12">
        <v>0</v>
      </c>
      <c r="Z1081" s="12">
        <v>0</v>
      </c>
      <c r="AA1081" s="12">
        <v>0</v>
      </c>
      <c r="AB1081" s="12">
        <v>0</v>
      </c>
      <c r="AC1081" s="12">
        <v>0</v>
      </c>
      <c r="AD1081" s="12">
        <v>0</v>
      </c>
      <c r="AE1081" s="12">
        <v>0</v>
      </c>
      <c r="AF1081" s="12">
        <v>0</v>
      </c>
      <c r="AG1081" s="12">
        <v>0</v>
      </c>
      <c r="AH1081" s="12">
        <v>0</v>
      </c>
      <c r="AI1081" s="12">
        <v>0</v>
      </c>
      <c r="AJ1081" s="12">
        <v>0</v>
      </c>
      <c r="AK1081" s="12">
        <v>0</v>
      </c>
      <c r="AL1081" s="12">
        <v>0</v>
      </c>
      <c r="AM1081" s="12"/>
      <c r="AN1081" s="12">
        <v>0</v>
      </c>
      <c r="AO1081" s="12">
        <v>0</v>
      </c>
      <c r="AP1081" s="12">
        <v>0</v>
      </c>
      <c r="AQ1081" s="12">
        <v>0</v>
      </c>
      <c r="AR1081" s="12">
        <v>0</v>
      </c>
      <c r="AS1081" s="12">
        <v>0</v>
      </c>
      <c r="AT1081" s="12">
        <v>0</v>
      </c>
      <c r="AU1081" s="12">
        <v>0</v>
      </c>
      <c r="AV1081" s="12">
        <v>0</v>
      </c>
      <c r="AW1081" s="12">
        <v>0</v>
      </c>
      <c r="AX1081" s="12">
        <v>0</v>
      </c>
      <c r="AY1081" s="12">
        <v>0</v>
      </c>
      <c r="AZ1081"/>
      <c r="BA1081"/>
      <c r="BB1081" s="12">
        <v>0</v>
      </c>
      <c r="BC1081" s="12">
        <v>0</v>
      </c>
      <c r="BD1081" s="12">
        <v>0</v>
      </c>
      <c r="BE1081" s="12">
        <v>0</v>
      </c>
      <c r="BF1081" s="12">
        <v>0</v>
      </c>
      <c r="BI1081" s="12">
        <v>0</v>
      </c>
      <c r="BJ1081" s="12">
        <v>0</v>
      </c>
    </row>
    <row r="1082" spans="1:62" x14ac:dyDescent="0.15">
      <c r="A1082" s="12"/>
      <c r="B1082" t="s">
        <v>2990</v>
      </c>
      <c r="C1082" s="27" t="s">
        <v>2991</v>
      </c>
      <c r="D1082" t="s">
        <v>6596</v>
      </c>
      <c r="E1082" t="s">
        <v>2182</v>
      </c>
      <c r="F1082"/>
      <c r="G1082"/>
      <c r="H1082"/>
      <c r="I1082"/>
      <c r="J1082"/>
      <c r="K1082"/>
      <c r="L1082" s="10">
        <v>3973300</v>
      </c>
      <c r="M1082" s="10">
        <v>693950</v>
      </c>
      <c r="N1082" s="12">
        <v>15</v>
      </c>
      <c r="O1082" s="12" t="s">
        <v>6992</v>
      </c>
      <c r="P1082" t="s">
        <v>2183</v>
      </c>
      <c r="R1082"/>
      <c r="S1082" t="s">
        <v>2184</v>
      </c>
      <c r="T1082" s="12" t="s">
        <v>2185</v>
      </c>
      <c r="U1082" s="12" t="s">
        <v>2186</v>
      </c>
      <c r="V1082" s="12" t="s">
        <v>2187</v>
      </c>
      <c r="W1082" s="12">
        <v>0</v>
      </c>
      <c r="X1082" s="12">
        <v>1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2">
        <v>0</v>
      </c>
      <c r="AK1082" s="12">
        <v>0</v>
      </c>
      <c r="AL1082" s="12">
        <v>0</v>
      </c>
      <c r="AM1082" s="12"/>
      <c r="AN1082" s="12">
        <v>0</v>
      </c>
      <c r="AO1082" s="12">
        <v>0</v>
      </c>
      <c r="AP1082" s="12">
        <v>0</v>
      </c>
      <c r="AQ1082" s="12">
        <v>0</v>
      </c>
      <c r="AR1082" s="12">
        <v>0</v>
      </c>
      <c r="AS1082" s="12">
        <v>0</v>
      </c>
      <c r="AT1082" s="12">
        <v>0</v>
      </c>
      <c r="AU1082" s="12">
        <v>0</v>
      </c>
      <c r="AV1082" s="12">
        <v>0</v>
      </c>
      <c r="AW1082" s="12">
        <v>0</v>
      </c>
      <c r="AX1082" s="12">
        <v>0</v>
      </c>
      <c r="AY1082" s="12">
        <v>0</v>
      </c>
      <c r="AZ1082"/>
      <c r="BA1082"/>
      <c r="BB1082" s="12">
        <v>0</v>
      </c>
      <c r="BC1082" s="12">
        <v>0</v>
      </c>
      <c r="BD1082" s="12">
        <v>0</v>
      </c>
      <c r="BE1082" s="12">
        <v>0</v>
      </c>
      <c r="BF1082" s="12">
        <v>0</v>
      </c>
      <c r="BI1082" s="12">
        <v>0</v>
      </c>
      <c r="BJ1082" s="12">
        <v>0</v>
      </c>
    </row>
    <row r="1083" spans="1:62" x14ac:dyDescent="0.15">
      <c r="A1083" s="12"/>
      <c r="B1083" t="s">
        <v>2992</v>
      </c>
      <c r="C1083" s="27" t="s">
        <v>2993</v>
      </c>
      <c r="D1083" t="s">
        <v>6596</v>
      </c>
      <c r="E1083" t="s">
        <v>2182</v>
      </c>
      <c r="F1083"/>
      <c r="G1083"/>
      <c r="H1083"/>
      <c r="I1083"/>
      <c r="J1083"/>
      <c r="K1083"/>
      <c r="L1083" s="10">
        <v>3977690</v>
      </c>
      <c r="M1083" s="10">
        <v>693040</v>
      </c>
      <c r="N1083" s="12">
        <v>15</v>
      </c>
      <c r="O1083" s="12" t="s">
        <v>6992</v>
      </c>
      <c r="P1083" t="s">
        <v>2183</v>
      </c>
      <c r="R1083"/>
      <c r="S1083" t="s">
        <v>2184</v>
      </c>
      <c r="T1083" s="12" t="s">
        <v>2185</v>
      </c>
      <c r="U1083" s="12" t="s">
        <v>2186</v>
      </c>
      <c r="V1083" s="12" t="s">
        <v>2187</v>
      </c>
      <c r="W1083" s="12">
        <v>0</v>
      </c>
      <c r="X1083" s="12">
        <v>1</v>
      </c>
      <c r="Y1083" s="12">
        <v>0</v>
      </c>
      <c r="Z1083" s="12">
        <v>0</v>
      </c>
      <c r="AA1083" s="12">
        <v>0</v>
      </c>
      <c r="AB1083" s="12">
        <v>0</v>
      </c>
      <c r="AC1083" s="12">
        <v>0</v>
      </c>
      <c r="AD1083" s="12">
        <v>0</v>
      </c>
      <c r="AE1083" s="12">
        <v>0</v>
      </c>
      <c r="AF1083" s="12">
        <v>0</v>
      </c>
      <c r="AG1083" s="12">
        <v>0</v>
      </c>
      <c r="AH1083" s="12">
        <v>0</v>
      </c>
      <c r="AI1083" s="12">
        <v>0</v>
      </c>
      <c r="AJ1083" s="12">
        <v>0</v>
      </c>
      <c r="AK1083" s="12">
        <v>0</v>
      </c>
      <c r="AL1083" s="12">
        <v>0</v>
      </c>
      <c r="AM1083" s="12"/>
      <c r="AN1083" s="12">
        <v>0</v>
      </c>
      <c r="AO1083" s="12">
        <v>0</v>
      </c>
      <c r="AP1083" s="12">
        <v>0</v>
      </c>
      <c r="AQ1083" s="12">
        <v>0</v>
      </c>
      <c r="AR1083" s="12">
        <v>0</v>
      </c>
      <c r="AS1083" s="12">
        <v>0</v>
      </c>
      <c r="AT1083" s="12">
        <v>0</v>
      </c>
      <c r="AU1083" s="12">
        <v>0</v>
      </c>
      <c r="AV1083" s="12">
        <v>0</v>
      </c>
      <c r="AW1083" s="12">
        <v>0</v>
      </c>
      <c r="AX1083" s="12">
        <v>0</v>
      </c>
      <c r="AY1083" s="12">
        <v>0</v>
      </c>
      <c r="AZ1083"/>
      <c r="BA1083"/>
      <c r="BB1083" s="12">
        <v>0</v>
      </c>
      <c r="BC1083" s="12">
        <v>0</v>
      </c>
      <c r="BD1083" s="12">
        <v>0</v>
      </c>
      <c r="BE1083" s="12">
        <v>0</v>
      </c>
      <c r="BF1083" s="12">
        <v>0</v>
      </c>
      <c r="BI1083" s="12">
        <v>0</v>
      </c>
      <c r="BJ1083" s="12">
        <v>0</v>
      </c>
    </row>
    <row r="1084" spans="1:62" x14ac:dyDescent="0.15">
      <c r="A1084" s="12"/>
      <c r="B1084" t="s">
        <v>2994</v>
      </c>
      <c r="C1084" t="s">
        <v>2994</v>
      </c>
      <c r="D1084" t="s">
        <v>6596</v>
      </c>
      <c r="E1084" t="s">
        <v>2182</v>
      </c>
      <c r="F1084"/>
      <c r="G1084"/>
      <c r="H1084"/>
      <c r="I1084"/>
      <c r="J1084"/>
      <c r="K1084"/>
      <c r="L1084" s="10">
        <v>3969490</v>
      </c>
      <c r="M1084" s="10">
        <v>700480</v>
      </c>
      <c r="N1084" s="12">
        <v>15</v>
      </c>
      <c r="O1084" s="12" t="s">
        <v>6992</v>
      </c>
      <c r="P1084" t="s">
        <v>2183</v>
      </c>
      <c r="R1084"/>
      <c r="S1084" t="s">
        <v>2184</v>
      </c>
      <c r="T1084" s="12" t="s">
        <v>2185</v>
      </c>
      <c r="U1084" s="12" t="s">
        <v>2186</v>
      </c>
      <c r="V1084" s="12" t="s">
        <v>2187</v>
      </c>
      <c r="W1084" s="12">
        <v>0</v>
      </c>
      <c r="X1084" s="12">
        <v>1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2">
        <v>0</v>
      </c>
      <c r="AK1084" s="12">
        <v>0</v>
      </c>
      <c r="AL1084" s="12">
        <v>0</v>
      </c>
      <c r="AM1084" s="12"/>
      <c r="AN1084" s="12">
        <v>0</v>
      </c>
      <c r="AO1084" s="12">
        <v>0</v>
      </c>
      <c r="AP1084" s="12">
        <v>0</v>
      </c>
      <c r="AQ1084" s="12">
        <v>0</v>
      </c>
      <c r="AR1084" s="12">
        <v>0</v>
      </c>
      <c r="AS1084" s="12">
        <v>0</v>
      </c>
      <c r="AT1084" s="12">
        <v>0</v>
      </c>
      <c r="AU1084" s="12">
        <v>0</v>
      </c>
      <c r="AV1084" s="12">
        <v>0</v>
      </c>
      <c r="AW1084" s="12">
        <v>0</v>
      </c>
      <c r="AX1084" s="12">
        <v>0</v>
      </c>
      <c r="AY1084" s="12">
        <v>0</v>
      </c>
      <c r="AZ1084"/>
      <c r="BA1084"/>
      <c r="BB1084" s="12">
        <v>0</v>
      </c>
      <c r="BC1084" s="12">
        <v>0</v>
      </c>
      <c r="BD1084" s="12">
        <v>0</v>
      </c>
      <c r="BE1084" s="12">
        <v>0</v>
      </c>
      <c r="BF1084" s="12">
        <v>0</v>
      </c>
      <c r="BI1084" s="12">
        <v>0</v>
      </c>
      <c r="BJ1084" s="12">
        <v>0</v>
      </c>
    </row>
    <row r="1085" spans="1:62" x14ac:dyDescent="0.15">
      <c r="A1085" s="12"/>
      <c r="B1085" t="s">
        <v>2995</v>
      </c>
      <c r="C1085" s="27" t="s">
        <v>2996</v>
      </c>
      <c r="D1085" t="s">
        <v>6596</v>
      </c>
      <c r="E1085" t="s">
        <v>2182</v>
      </c>
      <c r="F1085"/>
      <c r="G1085"/>
      <c r="H1085"/>
      <c r="I1085"/>
      <c r="J1085"/>
      <c r="K1085"/>
      <c r="L1085" s="10">
        <v>3961540</v>
      </c>
      <c r="M1085" s="10">
        <v>698800</v>
      </c>
      <c r="N1085" s="12">
        <v>15</v>
      </c>
      <c r="O1085" s="12" t="s">
        <v>6992</v>
      </c>
      <c r="P1085" t="s">
        <v>2183</v>
      </c>
      <c r="R1085"/>
      <c r="S1085" t="s">
        <v>2184</v>
      </c>
      <c r="T1085" s="12" t="s">
        <v>2185</v>
      </c>
      <c r="U1085" s="12" t="s">
        <v>2186</v>
      </c>
      <c r="V1085" s="12" t="s">
        <v>2187</v>
      </c>
      <c r="W1085" s="12">
        <v>0</v>
      </c>
      <c r="X1085" s="12">
        <v>1</v>
      </c>
      <c r="Y1085" s="12">
        <v>0</v>
      </c>
      <c r="Z1085" s="12">
        <v>0</v>
      </c>
      <c r="AA1085" s="12">
        <v>0</v>
      </c>
      <c r="AB1085" s="12">
        <v>0</v>
      </c>
      <c r="AC1085" s="12">
        <v>0</v>
      </c>
      <c r="AD1085" s="12">
        <v>0</v>
      </c>
      <c r="AE1085" s="12">
        <v>0</v>
      </c>
      <c r="AF1085" s="12">
        <v>0</v>
      </c>
      <c r="AG1085" s="12">
        <v>0</v>
      </c>
      <c r="AH1085" s="12">
        <v>0</v>
      </c>
      <c r="AI1085" s="12">
        <v>0</v>
      </c>
      <c r="AJ1085" s="12">
        <v>0</v>
      </c>
      <c r="AK1085" s="12">
        <v>0</v>
      </c>
      <c r="AL1085" s="12">
        <v>0</v>
      </c>
      <c r="AM1085" s="12"/>
      <c r="AN1085" s="12">
        <v>0</v>
      </c>
      <c r="AO1085" s="12">
        <v>0</v>
      </c>
      <c r="AP1085" s="12">
        <v>0</v>
      </c>
      <c r="AQ1085" s="12">
        <v>0</v>
      </c>
      <c r="AR1085" s="12">
        <v>0</v>
      </c>
      <c r="AS1085" s="12">
        <v>0</v>
      </c>
      <c r="AT1085" s="12">
        <v>0</v>
      </c>
      <c r="AU1085" s="12">
        <v>0</v>
      </c>
      <c r="AV1085" s="12">
        <v>0</v>
      </c>
      <c r="AW1085" s="12">
        <v>0</v>
      </c>
      <c r="AX1085" s="12">
        <v>0</v>
      </c>
      <c r="AY1085" s="12">
        <v>0</v>
      </c>
      <c r="AZ1085"/>
      <c r="BA1085"/>
      <c r="BB1085" s="12">
        <v>0</v>
      </c>
      <c r="BC1085" s="12">
        <v>0</v>
      </c>
      <c r="BD1085" s="12">
        <v>0</v>
      </c>
      <c r="BE1085" s="12">
        <v>0</v>
      </c>
      <c r="BF1085" s="12">
        <v>0</v>
      </c>
      <c r="BI1085" s="12">
        <v>0</v>
      </c>
      <c r="BJ1085" s="12">
        <v>0</v>
      </c>
    </row>
    <row r="1086" spans="1:62" x14ac:dyDescent="0.15">
      <c r="A1086" s="12"/>
      <c r="B1086" t="s">
        <v>2997</v>
      </c>
      <c r="C1086" t="s">
        <v>2997</v>
      </c>
      <c r="D1086" t="s">
        <v>6596</v>
      </c>
      <c r="E1086" t="s">
        <v>2182</v>
      </c>
      <c r="F1086"/>
      <c r="G1086"/>
      <c r="H1086"/>
      <c r="I1086"/>
      <c r="J1086"/>
      <c r="K1086"/>
      <c r="L1086" s="10">
        <v>3981080</v>
      </c>
      <c r="M1086" s="10">
        <v>698600</v>
      </c>
      <c r="N1086" s="12">
        <v>15</v>
      </c>
      <c r="O1086" s="12" t="s">
        <v>6992</v>
      </c>
      <c r="P1086" t="s">
        <v>2183</v>
      </c>
      <c r="R1086"/>
      <c r="S1086" t="s">
        <v>2184</v>
      </c>
      <c r="T1086" s="12" t="s">
        <v>2185</v>
      </c>
      <c r="U1086" s="12" t="s">
        <v>2186</v>
      </c>
      <c r="V1086" s="12" t="s">
        <v>2187</v>
      </c>
      <c r="W1086" s="12">
        <v>0</v>
      </c>
      <c r="X1086" s="12">
        <v>1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2">
        <v>0</v>
      </c>
      <c r="AK1086" s="12">
        <v>0</v>
      </c>
      <c r="AL1086" s="12">
        <v>0</v>
      </c>
      <c r="AM1086" s="12"/>
      <c r="AN1086" s="12">
        <v>0</v>
      </c>
      <c r="AO1086" s="12">
        <v>0</v>
      </c>
      <c r="AP1086" s="12">
        <v>0</v>
      </c>
      <c r="AQ1086" s="12">
        <v>0</v>
      </c>
      <c r="AR1086" s="12">
        <v>0</v>
      </c>
      <c r="AS1086" s="12">
        <v>0</v>
      </c>
      <c r="AT1086" s="12">
        <v>0</v>
      </c>
      <c r="AU1086" s="12">
        <v>0</v>
      </c>
      <c r="AV1086" s="12">
        <v>0</v>
      </c>
      <c r="AW1086" s="12">
        <v>0</v>
      </c>
      <c r="AX1086" s="12">
        <v>0</v>
      </c>
      <c r="AY1086" s="12">
        <v>0</v>
      </c>
      <c r="AZ1086"/>
      <c r="BA1086"/>
      <c r="BB1086" s="12">
        <v>0</v>
      </c>
      <c r="BC1086" s="12">
        <v>0</v>
      </c>
      <c r="BD1086" s="12">
        <v>0</v>
      </c>
      <c r="BE1086" s="12">
        <v>0</v>
      </c>
      <c r="BF1086" s="12">
        <v>0</v>
      </c>
      <c r="BI1086" s="12">
        <v>0</v>
      </c>
      <c r="BJ1086" s="12">
        <v>0</v>
      </c>
    </row>
    <row r="1087" spans="1:62" x14ac:dyDescent="0.15">
      <c r="A1087" s="12"/>
      <c r="B1087" t="s">
        <v>2998</v>
      </c>
      <c r="C1087" s="27" t="s">
        <v>2999</v>
      </c>
      <c r="D1087" t="s">
        <v>6596</v>
      </c>
      <c r="E1087" t="s">
        <v>2182</v>
      </c>
      <c r="F1087"/>
      <c r="G1087"/>
      <c r="H1087"/>
      <c r="I1087"/>
      <c r="J1087"/>
      <c r="K1087"/>
      <c r="L1087" s="10">
        <v>3972180</v>
      </c>
      <c r="M1087" s="10">
        <v>692850</v>
      </c>
      <c r="N1087" s="12">
        <v>15</v>
      </c>
      <c r="O1087" s="12" t="s">
        <v>6992</v>
      </c>
      <c r="P1087" t="s">
        <v>2183</v>
      </c>
      <c r="R1087"/>
      <c r="S1087" t="s">
        <v>2184</v>
      </c>
      <c r="T1087" s="12" t="s">
        <v>2185</v>
      </c>
      <c r="U1087" s="12" t="s">
        <v>2186</v>
      </c>
      <c r="V1087" s="12" t="s">
        <v>2187</v>
      </c>
      <c r="W1087" s="12">
        <v>0</v>
      </c>
      <c r="X1087" s="12">
        <v>1</v>
      </c>
      <c r="Y1087" s="12">
        <v>0</v>
      </c>
      <c r="Z1087" s="12">
        <v>0</v>
      </c>
      <c r="AA1087" s="12">
        <v>0</v>
      </c>
      <c r="AB1087" s="12">
        <v>0</v>
      </c>
      <c r="AC1087" s="12">
        <v>0</v>
      </c>
      <c r="AD1087" s="12">
        <v>0</v>
      </c>
      <c r="AE1087" s="12">
        <v>0</v>
      </c>
      <c r="AF1087" s="12">
        <v>0</v>
      </c>
      <c r="AG1087" s="12">
        <v>0</v>
      </c>
      <c r="AH1087" s="12">
        <v>0</v>
      </c>
      <c r="AI1087" s="12">
        <v>0</v>
      </c>
      <c r="AJ1087" s="12">
        <v>0</v>
      </c>
      <c r="AK1087" s="12">
        <v>0</v>
      </c>
      <c r="AL1087" s="12">
        <v>0</v>
      </c>
      <c r="AM1087" s="12"/>
      <c r="AN1087" s="12">
        <v>0</v>
      </c>
      <c r="AO1087" s="12">
        <v>0</v>
      </c>
      <c r="AP1087" s="12">
        <v>0</v>
      </c>
      <c r="AQ1087" s="12">
        <v>0</v>
      </c>
      <c r="AR1087" s="12">
        <v>0</v>
      </c>
      <c r="AS1087" s="12">
        <v>0</v>
      </c>
      <c r="AT1087" s="12">
        <v>0</v>
      </c>
      <c r="AU1087" s="12">
        <v>0</v>
      </c>
      <c r="AV1087" s="12">
        <v>0</v>
      </c>
      <c r="AW1087" s="12">
        <v>0</v>
      </c>
      <c r="AX1087" s="12">
        <v>0</v>
      </c>
      <c r="AY1087" s="12">
        <v>0</v>
      </c>
      <c r="AZ1087"/>
      <c r="BA1087"/>
      <c r="BB1087" s="12">
        <v>0</v>
      </c>
      <c r="BC1087" s="12">
        <v>0</v>
      </c>
      <c r="BD1087" s="12">
        <v>0</v>
      </c>
      <c r="BE1087" s="12">
        <v>0</v>
      </c>
      <c r="BF1087" s="12">
        <v>0</v>
      </c>
      <c r="BI1087" s="12">
        <v>0</v>
      </c>
      <c r="BJ1087" s="12">
        <v>0</v>
      </c>
    </row>
    <row r="1088" spans="1:62" x14ac:dyDescent="0.15">
      <c r="A1088" s="12"/>
      <c r="B1088" t="s">
        <v>3000</v>
      </c>
      <c r="C1088" s="27" t="s">
        <v>3001</v>
      </c>
      <c r="D1088" t="s">
        <v>6596</v>
      </c>
      <c r="E1088" t="s">
        <v>2182</v>
      </c>
      <c r="F1088"/>
      <c r="G1088"/>
      <c r="H1088"/>
      <c r="I1088"/>
      <c r="J1088"/>
      <c r="K1088"/>
      <c r="L1088" s="10">
        <v>3975200</v>
      </c>
      <c r="M1088" s="10">
        <v>712100</v>
      </c>
      <c r="N1088" s="12">
        <v>15</v>
      </c>
      <c r="O1088" s="12" t="s">
        <v>6992</v>
      </c>
      <c r="P1088" t="s">
        <v>2183</v>
      </c>
      <c r="R1088"/>
      <c r="S1088" t="s">
        <v>2184</v>
      </c>
      <c r="T1088" s="12" t="s">
        <v>2185</v>
      </c>
      <c r="U1088" s="12" t="s">
        <v>2186</v>
      </c>
      <c r="V1088" s="12" t="s">
        <v>2187</v>
      </c>
      <c r="W1088" s="12">
        <v>0</v>
      </c>
      <c r="X1088" s="12">
        <v>1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2">
        <v>0</v>
      </c>
      <c r="AK1088" s="12">
        <v>0</v>
      </c>
      <c r="AL1088" s="12">
        <v>0</v>
      </c>
      <c r="AM1088" s="12"/>
      <c r="AN1088" s="12">
        <v>0</v>
      </c>
      <c r="AO1088" s="12">
        <v>0</v>
      </c>
      <c r="AP1088" s="12">
        <v>0</v>
      </c>
      <c r="AQ1088" s="12">
        <v>0</v>
      </c>
      <c r="AR1088" s="12">
        <v>0</v>
      </c>
      <c r="AS1088" s="12">
        <v>0</v>
      </c>
      <c r="AT1088" s="12">
        <v>0</v>
      </c>
      <c r="AU1088" s="12">
        <v>0</v>
      </c>
      <c r="AV1088" s="12">
        <v>0</v>
      </c>
      <c r="AW1088" s="12">
        <v>0</v>
      </c>
      <c r="AX1088" s="12">
        <v>0</v>
      </c>
      <c r="AY1088" s="12">
        <v>0</v>
      </c>
      <c r="AZ1088"/>
      <c r="BA1088"/>
      <c r="BB1088" s="12">
        <v>0</v>
      </c>
      <c r="BC1088" s="12">
        <v>0</v>
      </c>
      <c r="BD1088" s="12">
        <v>0</v>
      </c>
      <c r="BE1088" s="12">
        <v>0</v>
      </c>
      <c r="BF1088" s="12">
        <v>0</v>
      </c>
      <c r="BI1088" s="12">
        <v>0</v>
      </c>
      <c r="BJ1088" s="12">
        <v>0</v>
      </c>
    </row>
    <row r="1089" spans="1:62" x14ac:dyDescent="0.15">
      <c r="A1089" s="12"/>
      <c r="B1089" t="s">
        <v>3002</v>
      </c>
      <c r="C1089" s="27" t="s">
        <v>3003</v>
      </c>
      <c r="D1089" t="s">
        <v>6596</v>
      </c>
      <c r="E1089" t="s">
        <v>2182</v>
      </c>
      <c r="F1089"/>
      <c r="G1089"/>
      <c r="H1089"/>
      <c r="I1089"/>
      <c r="J1089"/>
      <c r="K1089"/>
      <c r="L1089" s="10">
        <v>3974450</v>
      </c>
      <c r="M1089" s="10">
        <v>711670</v>
      </c>
      <c r="N1089" s="12">
        <v>15</v>
      </c>
      <c r="O1089" s="12" t="s">
        <v>6992</v>
      </c>
      <c r="P1089" t="s">
        <v>2183</v>
      </c>
      <c r="R1089"/>
      <c r="S1089" t="s">
        <v>2184</v>
      </c>
      <c r="T1089" s="12" t="s">
        <v>2185</v>
      </c>
      <c r="U1089" s="12" t="s">
        <v>2186</v>
      </c>
      <c r="V1089" s="12" t="s">
        <v>2187</v>
      </c>
      <c r="W1089" s="12">
        <v>0</v>
      </c>
      <c r="X1089" s="12">
        <v>1</v>
      </c>
      <c r="Y1089" s="12">
        <v>0</v>
      </c>
      <c r="Z1089" s="12">
        <v>0</v>
      </c>
      <c r="AA1089" s="12">
        <v>0</v>
      </c>
      <c r="AB1089" s="12">
        <v>0</v>
      </c>
      <c r="AC1089" s="12">
        <v>0</v>
      </c>
      <c r="AD1089" s="12">
        <v>0</v>
      </c>
      <c r="AE1089" s="12">
        <v>0</v>
      </c>
      <c r="AF1089" s="12">
        <v>0</v>
      </c>
      <c r="AG1089" s="12">
        <v>0</v>
      </c>
      <c r="AH1089" s="12">
        <v>0</v>
      </c>
      <c r="AI1089" s="12">
        <v>0</v>
      </c>
      <c r="AJ1089" s="12">
        <v>0</v>
      </c>
      <c r="AK1089" s="12">
        <v>0</v>
      </c>
      <c r="AL1089" s="12">
        <v>0</v>
      </c>
      <c r="AM1089" s="12"/>
      <c r="AN1089" s="12">
        <v>0</v>
      </c>
      <c r="AO1089" s="12">
        <v>0</v>
      </c>
      <c r="AP1089" s="12">
        <v>0</v>
      </c>
      <c r="AQ1089" s="12">
        <v>0</v>
      </c>
      <c r="AR1089" s="12">
        <v>0</v>
      </c>
      <c r="AS1089" s="12">
        <v>0</v>
      </c>
      <c r="AT1089" s="12">
        <v>0</v>
      </c>
      <c r="AU1089" s="12">
        <v>0</v>
      </c>
      <c r="AV1089" s="12">
        <v>0</v>
      </c>
      <c r="AW1089" s="12">
        <v>0</v>
      </c>
      <c r="AX1089" s="12">
        <v>0</v>
      </c>
      <c r="AY1089" s="12">
        <v>0</v>
      </c>
      <c r="AZ1089"/>
      <c r="BA1089"/>
      <c r="BB1089" s="12">
        <v>0</v>
      </c>
      <c r="BC1089" s="12">
        <v>0</v>
      </c>
      <c r="BD1089" s="12">
        <v>0</v>
      </c>
      <c r="BE1089" s="12">
        <v>0</v>
      </c>
      <c r="BF1089" s="12">
        <v>0</v>
      </c>
      <c r="BI1089" s="12">
        <v>0</v>
      </c>
      <c r="BJ1089" s="12">
        <v>0</v>
      </c>
    </row>
    <row r="1090" spans="1:62" x14ac:dyDescent="0.15">
      <c r="A1090" s="12"/>
      <c r="B1090" t="s">
        <v>3004</v>
      </c>
      <c r="C1090" t="s">
        <v>3004</v>
      </c>
      <c r="D1090" t="s">
        <v>6596</v>
      </c>
      <c r="E1090" t="s">
        <v>2182</v>
      </c>
      <c r="F1090"/>
      <c r="G1090"/>
      <c r="H1090"/>
      <c r="I1090"/>
      <c r="J1090"/>
      <c r="K1090"/>
      <c r="L1090" s="10">
        <v>3973440</v>
      </c>
      <c r="M1090" s="10">
        <v>719560</v>
      </c>
      <c r="N1090" s="12">
        <v>15</v>
      </c>
      <c r="O1090" s="12" t="s">
        <v>6992</v>
      </c>
      <c r="P1090" t="s">
        <v>2183</v>
      </c>
      <c r="R1090"/>
      <c r="S1090" t="s">
        <v>2184</v>
      </c>
      <c r="T1090" s="12" t="s">
        <v>2185</v>
      </c>
      <c r="U1090" s="12" t="s">
        <v>2186</v>
      </c>
      <c r="V1090" s="12" t="s">
        <v>2187</v>
      </c>
      <c r="W1090" s="12">
        <v>0</v>
      </c>
      <c r="X1090" s="12">
        <v>1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2">
        <v>0</v>
      </c>
      <c r="AK1090" s="12">
        <v>0</v>
      </c>
      <c r="AL1090" s="12">
        <v>0</v>
      </c>
      <c r="AM1090" s="12"/>
      <c r="AN1090" s="12">
        <v>0</v>
      </c>
      <c r="AO1090" s="12">
        <v>0</v>
      </c>
      <c r="AP1090" s="12">
        <v>0</v>
      </c>
      <c r="AQ1090" s="12">
        <v>0</v>
      </c>
      <c r="AR1090" s="12">
        <v>0</v>
      </c>
      <c r="AS1090" s="12">
        <v>0</v>
      </c>
      <c r="AT1090" s="12">
        <v>0</v>
      </c>
      <c r="AU1090" s="12">
        <v>0</v>
      </c>
      <c r="AV1090" s="12">
        <v>0</v>
      </c>
      <c r="AW1090" s="12">
        <v>0</v>
      </c>
      <c r="AX1090" s="12">
        <v>0</v>
      </c>
      <c r="AY1090" s="12">
        <v>0</v>
      </c>
      <c r="AZ1090"/>
      <c r="BA1090"/>
      <c r="BB1090" s="12">
        <v>0</v>
      </c>
      <c r="BC1090" s="12">
        <v>0</v>
      </c>
      <c r="BD1090" s="12">
        <v>0</v>
      </c>
      <c r="BE1090" s="12">
        <v>0</v>
      </c>
      <c r="BF1090" s="12">
        <v>0</v>
      </c>
      <c r="BI1090" s="12">
        <v>0</v>
      </c>
      <c r="BJ1090" s="12">
        <v>0</v>
      </c>
    </row>
    <row r="1091" spans="1:62" x14ac:dyDescent="0.15">
      <c r="A1091" s="12"/>
      <c r="B1091" t="s">
        <v>3005</v>
      </c>
      <c r="C1091" t="s">
        <v>3005</v>
      </c>
      <c r="D1091" t="s">
        <v>6596</v>
      </c>
      <c r="E1091" t="s">
        <v>2182</v>
      </c>
      <c r="F1091"/>
      <c r="G1091"/>
      <c r="H1091"/>
      <c r="I1091"/>
      <c r="J1091"/>
      <c r="K1091"/>
      <c r="L1091" s="10">
        <v>3959910</v>
      </c>
      <c r="M1091" s="10">
        <v>684100</v>
      </c>
      <c r="N1091" s="12">
        <v>15</v>
      </c>
      <c r="O1091" s="12" t="s">
        <v>6992</v>
      </c>
      <c r="P1091" t="s">
        <v>2183</v>
      </c>
      <c r="R1091"/>
      <c r="S1091" t="s">
        <v>2184</v>
      </c>
      <c r="T1091" s="12" t="s">
        <v>2185</v>
      </c>
      <c r="U1091" s="12" t="s">
        <v>2186</v>
      </c>
      <c r="V1091" s="12" t="s">
        <v>2187</v>
      </c>
      <c r="W1091" s="12">
        <v>0</v>
      </c>
      <c r="X1091" s="12">
        <v>1</v>
      </c>
      <c r="Y1091" s="12">
        <v>0</v>
      </c>
      <c r="Z1091" s="12">
        <v>0</v>
      </c>
      <c r="AA1091" s="12">
        <v>0</v>
      </c>
      <c r="AB1091" s="12">
        <v>0</v>
      </c>
      <c r="AC1091" s="12">
        <v>0</v>
      </c>
      <c r="AD1091" s="12">
        <v>0</v>
      </c>
      <c r="AE1091" s="12">
        <v>0</v>
      </c>
      <c r="AF1091" s="12">
        <v>0</v>
      </c>
      <c r="AG1091" s="12">
        <v>0</v>
      </c>
      <c r="AH1091" s="12">
        <v>0</v>
      </c>
      <c r="AI1091" s="12">
        <v>0</v>
      </c>
      <c r="AJ1091" s="12">
        <v>0</v>
      </c>
      <c r="AK1091" s="12">
        <v>0</v>
      </c>
      <c r="AL1091" s="12">
        <v>0</v>
      </c>
      <c r="AM1091" s="12"/>
      <c r="AN1091" s="12">
        <v>0</v>
      </c>
      <c r="AO1091" s="12">
        <v>0</v>
      </c>
      <c r="AP1091" s="12">
        <v>0</v>
      </c>
      <c r="AQ1091" s="12">
        <v>0</v>
      </c>
      <c r="AR1091" s="12">
        <v>0</v>
      </c>
      <c r="AS1091" s="12">
        <v>0</v>
      </c>
      <c r="AT1091" s="12">
        <v>0</v>
      </c>
      <c r="AU1091" s="12">
        <v>0</v>
      </c>
      <c r="AV1091" s="12">
        <v>0</v>
      </c>
      <c r="AW1091" s="12">
        <v>0</v>
      </c>
      <c r="AX1091" s="12">
        <v>0</v>
      </c>
      <c r="AY1091" s="12">
        <v>0</v>
      </c>
      <c r="AZ1091"/>
      <c r="BA1091"/>
      <c r="BB1091" s="12">
        <v>0</v>
      </c>
      <c r="BC1091" s="12">
        <v>0</v>
      </c>
      <c r="BD1091" s="12">
        <v>0</v>
      </c>
      <c r="BE1091" s="12">
        <v>0</v>
      </c>
      <c r="BF1091" s="12">
        <v>0</v>
      </c>
      <c r="BI1091" s="12">
        <v>0</v>
      </c>
      <c r="BJ1091" s="12">
        <v>0</v>
      </c>
    </row>
    <row r="1092" spans="1:62" x14ac:dyDescent="0.15">
      <c r="A1092" s="12"/>
      <c r="B1092" t="s">
        <v>3006</v>
      </c>
      <c r="C1092" t="s">
        <v>3006</v>
      </c>
      <c r="D1092" t="s">
        <v>6596</v>
      </c>
      <c r="E1092" t="s">
        <v>2182</v>
      </c>
      <c r="F1092"/>
      <c r="G1092"/>
      <c r="H1092"/>
      <c r="I1092"/>
      <c r="J1092"/>
      <c r="K1092"/>
      <c r="L1092" s="10">
        <v>3975380</v>
      </c>
      <c r="M1092" s="10">
        <v>693690</v>
      </c>
      <c r="N1092" s="12">
        <v>15</v>
      </c>
      <c r="O1092" s="12" t="s">
        <v>6992</v>
      </c>
      <c r="P1092" t="s">
        <v>2183</v>
      </c>
      <c r="R1092"/>
      <c r="S1092" t="s">
        <v>2184</v>
      </c>
      <c r="T1092" s="12" t="s">
        <v>2185</v>
      </c>
      <c r="U1092" s="12" t="s">
        <v>2186</v>
      </c>
      <c r="V1092" s="12" t="s">
        <v>2187</v>
      </c>
      <c r="W1092" s="12">
        <v>0</v>
      </c>
      <c r="X1092" s="12">
        <v>1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2">
        <v>0</v>
      </c>
      <c r="AK1092" s="12">
        <v>0</v>
      </c>
      <c r="AL1092" s="12">
        <v>0</v>
      </c>
      <c r="AM1092" s="12"/>
      <c r="AN1092" s="12">
        <v>0</v>
      </c>
      <c r="AO1092" s="12">
        <v>0</v>
      </c>
      <c r="AP1092" s="12">
        <v>0</v>
      </c>
      <c r="AQ1092" s="12">
        <v>0</v>
      </c>
      <c r="AR1092" s="12">
        <v>0</v>
      </c>
      <c r="AS1092" s="12">
        <v>0</v>
      </c>
      <c r="AT1092" s="12">
        <v>0</v>
      </c>
      <c r="AU1092" s="12">
        <v>0</v>
      </c>
      <c r="AV1092" s="12">
        <v>0</v>
      </c>
      <c r="AW1092" s="12">
        <v>0</v>
      </c>
      <c r="AX1092" s="12">
        <v>0</v>
      </c>
      <c r="AY1092" s="12">
        <v>0</v>
      </c>
      <c r="AZ1092"/>
      <c r="BA1092"/>
      <c r="BB1092" s="12">
        <v>0</v>
      </c>
      <c r="BC1092" s="12">
        <v>0</v>
      </c>
      <c r="BD1092" s="12">
        <v>0</v>
      </c>
      <c r="BE1092" s="12">
        <v>0</v>
      </c>
      <c r="BF1092" s="12">
        <v>0</v>
      </c>
      <c r="BI1092" s="12">
        <v>0</v>
      </c>
      <c r="BJ1092" s="12">
        <v>0</v>
      </c>
    </row>
    <row r="1093" spans="1:62" x14ac:dyDescent="0.15">
      <c r="A1093" s="12"/>
      <c r="B1093" t="s">
        <v>3007</v>
      </c>
      <c r="C1093" s="27" t="s">
        <v>3008</v>
      </c>
      <c r="D1093" t="s">
        <v>6596</v>
      </c>
      <c r="E1093" t="s">
        <v>2182</v>
      </c>
      <c r="F1093"/>
      <c r="G1093"/>
      <c r="H1093"/>
      <c r="I1093"/>
      <c r="J1093"/>
      <c r="K1093"/>
      <c r="L1093" s="10">
        <v>3978480</v>
      </c>
      <c r="M1093" s="10">
        <v>703800</v>
      </c>
      <c r="N1093" s="12">
        <v>15</v>
      </c>
      <c r="O1093" s="12" t="s">
        <v>6992</v>
      </c>
      <c r="P1093" t="s">
        <v>2183</v>
      </c>
      <c r="R1093"/>
      <c r="S1093" t="s">
        <v>2184</v>
      </c>
      <c r="T1093" s="12" t="s">
        <v>2185</v>
      </c>
      <c r="U1093" s="12" t="s">
        <v>2186</v>
      </c>
      <c r="V1093" s="12" t="s">
        <v>2187</v>
      </c>
      <c r="W1093" s="12">
        <v>0</v>
      </c>
      <c r="X1093" s="12">
        <v>1</v>
      </c>
      <c r="Y1093" s="12">
        <v>0</v>
      </c>
      <c r="Z1093" s="12">
        <v>0</v>
      </c>
      <c r="AA1093" s="12">
        <v>0</v>
      </c>
      <c r="AB1093" s="12">
        <v>0</v>
      </c>
      <c r="AC1093" s="12">
        <v>0</v>
      </c>
      <c r="AD1093" s="12">
        <v>0</v>
      </c>
      <c r="AE1093" s="12">
        <v>0</v>
      </c>
      <c r="AF1093" s="12">
        <v>0</v>
      </c>
      <c r="AG1093" s="12">
        <v>0</v>
      </c>
      <c r="AH1093" s="12">
        <v>0</v>
      </c>
      <c r="AI1093" s="12">
        <v>0</v>
      </c>
      <c r="AJ1093" s="12">
        <v>0</v>
      </c>
      <c r="AK1093" s="12">
        <v>0</v>
      </c>
      <c r="AL1093" s="12">
        <v>0</v>
      </c>
      <c r="AM1093" s="12"/>
      <c r="AN1093" s="12">
        <v>0</v>
      </c>
      <c r="AO1093" s="12">
        <v>0</v>
      </c>
      <c r="AP1093" s="12">
        <v>0</v>
      </c>
      <c r="AQ1093" s="12">
        <v>0</v>
      </c>
      <c r="AR1093" s="12">
        <v>0</v>
      </c>
      <c r="AS1093" s="12">
        <v>0</v>
      </c>
      <c r="AT1093" s="12">
        <v>0</v>
      </c>
      <c r="AU1093" s="12">
        <v>0</v>
      </c>
      <c r="AV1093" s="12">
        <v>0</v>
      </c>
      <c r="AW1093" s="12">
        <v>0</v>
      </c>
      <c r="AX1093" s="12">
        <v>0</v>
      </c>
      <c r="AY1093" s="12">
        <v>0</v>
      </c>
      <c r="AZ1093"/>
      <c r="BA1093"/>
      <c r="BB1093" s="12">
        <v>0</v>
      </c>
      <c r="BC1093" s="12">
        <v>0</v>
      </c>
      <c r="BD1093" s="12">
        <v>0</v>
      </c>
      <c r="BE1093" s="12">
        <v>0</v>
      </c>
      <c r="BF1093" s="12">
        <v>0</v>
      </c>
      <c r="BI1093" s="12">
        <v>0</v>
      </c>
      <c r="BJ1093" s="12">
        <v>0</v>
      </c>
    </row>
    <row r="1094" spans="1:62" x14ac:dyDescent="0.15">
      <c r="A1094" s="12"/>
      <c r="B1094" t="s">
        <v>3009</v>
      </c>
      <c r="C1094" s="27" t="s">
        <v>3010</v>
      </c>
      <c r="D1094" t="s">
        <v>6596</v>
      </c>
      <c r="E1094" t="s">
        <v>2182</v>
      </c>
      <c r="F1094"/>
      <c r="G1094"/>
      <c r="H1094"/>
      <c r="I1094"/>
      <c r="J1094"/>
      <c r="K1094"/>
      <c r="L1094" s="10">
        <v>3978590</v>
      </c>
      <c r="M1094" s="10">
        <v>703430</v>
      </c>
      <c r="N1094" s="12">
        <v>15</v>
      </c>
      <c r="O1094" s="12" t="s">
        <v>6992</v>
      </c>
      <c r="P1094" t="s">
        <v>2183</v>
      </c>
      <c r="R1094"/>
      <c r="S1094" t="s">
        <v>2184</v>
      </c>
      <c r="T1094" s="12" t="s">
        <v>2185</v>
      </c>
      <c r="U1094" s="12" t="s">
        <v>2186</v>
      </c>
      <c r="V1094" s="12" t="s">
        <v>2187</v>
      </c>
      <c r="W1094" s="12">
        <v>0</v>
      </c>
      <c r="X1094" s="12">
        <v>1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2">
        <v>0</v>
      </c>
      <c r="AK1094" s="12">
        <v>0</v>
      </c>
      <c r="AL1094" s="12">
        <v>0</v>
      </c>
      <c r="AM1094" s="12"/>
      <c r="AN1094" s="12">
        <v>0</v>
      </c>
      <c r="AO1094" s="12">
        <v>0</v>
      </c>
      <c r="AP1094" s="12">
        <v>0</v>
      </c>
      <c r="AQ1094" s="12">
        <v>0</v>
      </c>
      <c r="AR1094" s="12">
        <v>0</v>
      </c>
      <c r="AS1094" s="12">
        <v>0</v>
      </c>
      <c r="AT1094" s="12">
        <v>0</v>
      </c>
      <c r="AU1094" s="12">
        <v>0</v>
      </c>
      <c r="AV1094" s="12">
        <v>0</v>
      </c>
      <c r="AW1094" s="12">
        <v>0</v>
      </c>
      <c r="AX1094" s="12">
        <v>0</v>
      </c>
      <c r="AY1094" s="12">
        <v>0</v>
      </c>
      <c r="AZ1094"/>
      <c r="BA1094"/>
      <c r="BB1094" s="12">
        <v>0</v>
      </c>
      <c r="BC1094" s="12">
        <v>0</v>
      </c>
      <c r="BD1094" s="12">
        <v>0</v>
      </c>
      <c r="BE1094" s="12">
        <v>0</v>
      </c>
      <c r="BF1094" s="12">
        <v>0</v>
      </c>
      <c r="BI1094" s="12">
        <v>0</v>
      </c>
      <c r="BJ1094" s="12">
        <v>0</v>
      </c>
    </row>
    <row r="1095" spans="1:62" x14ac:dyDescent="0.15">
      <c r="A1095" s="12"/>
      <c r="B1095" t="s">
        <v>3011</v>
      </c>
      <c r="C1095" s="27" t="s">
        <v>3012</v>
      </c>
      <c r="D1095" t="s">
        <v>6596</v>
      </c>
      <c r="E1095" t="s">
        <v>2182</v>
      </c>
      <c r="F1095"/>
      <c r="G1095"/>
      <c r="H1095"/>
      <c r="I1095"/>
      <c r="J1095"/>
      <c r="K1095"/>
      <c r="L1095" s="10">
        <v>3972060</v>
      </c>
      <c r="M1095" s="10">
        <v>687580</v>
      </c>
      <c r="N1095" s="12">
        <v>15</v>
      </c>
      <c r="O1095" s="12" t="s">
        <v>6992</v>
      </c>
      <c r="P1095" t="s">
        <v>2183</v>
      </c>
      <c r="R1095"/>
      <c r="S1095" t="s">
        <v>2184</v>
      </c>
      <c r="T1095" s="12" t="s">
        <v>2185</v>
      </c>
      <c r="U1095" s="12" t="s">
        <v>2186</v>
      </c>
      <c r="V1095" s="12" t="s">
        <v>2187</v>
      </c>
      <c r="W1095" s="12">
        <v>0</v>
      </c>
      <c r="X1095" s="12">
        <v>1</v>
      </c>
      <c r="Y1095" s="12">
        <v>0</v>
      </c>
      <c r="Z1095" s="12">
        <v>0</v>
      </c>
      <c r="AA1095" s="12">
        <v>0</v>
      </c>
      <c r="AB1095" s="12">
        <v>0</v>
      </c>
      <c r="AC1095" s="12">
        <v>0</v>
      </c>
      <c r="AD1095" s="12">
        <v>0</v>
      </c>
      <c r="AE1095" s="12">
        <v>0</v>
      </c>
      <c r="AF1095" s="12">
        <v>0</v>
      </c>
      <c r="AG1095" s="12">
        <v>0</v>
      </c>
      <c r="AH1095" s="12">
        <v>0</v>
      </c>
      <c r="AI1095" s="12">
        <v>0</v>
      </c>
      <c r="AJ1095" s="12">
        <v>0</v>
      </c>
      <c r="AK1095" s="12">
        <v>0</v>
      </c>
      <c r="AL1095" s="12">
        <v>0</v>
      </c>
      <c r="AM1095" s="12"/>
      <c r="AN1095" s="12">
        <v>0</v>
      </c>
      <c r="AO1095" s="12">
        <v>0</v>
      </c>
      <c r="AP1095" s="12">
        <v>0</v>
      </c>
      <c r="AQ1095" s="12">
        <v>0</v>
      </c>
      <c r="AR1095" s="12">
        <v>0</v>
      </c>
      <c r="AS1095" s="12">
        <v>0</v>
      </c>
      <c r="AT1095" s="12">
        <v>0</v>
      </c>
      <c r="AU1095" s="12">
        <v>0</v>
      </c>
      <c r="AV1095" s="12">
        <v>0</v>
      </c>
      <c r="AW1095" s="12">
        <v>0</v>
      </c>
      <c r="AX1095" s="12">
        <v>0</v>
      </c>
      <c r="AY1095" s="12">
        <v>0</v>
      </c>
      <c r="AZ1095"/>
      <c r="BA1095"/>
      <c r="BB1095" s="12">
        <v>0</v>
      </c>
      <c r="BC1095" s="12">
        <v>0</v>
      </c>
      <c r="BD1095" s="12">
        <v>0</v>
      </c>
      <c r="BE1095" s="12">
        <v>0</v>
      </c>
      <c r="BF1095" s="12">
        <v>0</v>
      </c>
      <c r="BI1095" s="12">
        <v>0</v>
      </c>
      <c r="BJ1095" s="12">
        <v>0</v>
      </c>
    </row>
    <row r="1096" spans="1:62" x14ac:dyDescent="0.15">
      <c r="A1096" s="12"/>
      <c r="B1096" t="s">
        <v>3013</v>
      </c>
      <c r="C1096" t="s">
        <v>3013</v>
      </c>
      <c r="D1096" t="s">
        <v>6596</v>
      </c>
      <c r="E1096" t="s">
        <v>2182</v>
      </c>
      <c r="F1096"/>
      <c r="G1096"/>
      <c r="H1096"/>
      <c r="I1096"/>
      <c r="J1096"/>
      <c r="K1096"/>
      <c r="L1096" s="10">
        <v>3967380</v>
      </c>
      <c r="M1096" s="10">
        <v>683700</v>
      </c>
      <c r="N1096" s="12">
        <v>15</v>
      </c>
      <c r="O1096" s="12" t="s">
        <v>6992</v>
      </c>
      <c r="P1096" t="s">
        <v>2183</v>
      </c>
      <c r="R1096"/>
      <c r="S1096" t="s">
        <v>2184</v>
      </c>
      <c r="T1096" s="12" t="s">
        <v>2185</v>
      </c>
      <c r="U1096" s="12" t="s">
        <v>2186</v>
      </c>
      <c r="V1096" s="12" t="s">
        <v>2187</v>
      </c>
      <c r="W1096" s="12">
        <v>0</v>
      </c>
      <c r="X1096" s="12">
        <v>1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2">
        <v>0</v>
      </c>
      <c r="AK1096" s="12">
        <v>0</v>
      </c>
      <c r="AL1096" s="12">
        <v>0</v>
      </c>
      <c r="AM1096" s="12"/>
      <c r="AN1096" s="12">
        <v>0</v>
      </c>
      <c r="AO1096" s="12">
        <v>0</v>
      </c>
      <c r="AP1096" s="12">
        <v>0</v>
      </c>
      <c r="AQ1096" s="12">
        <v>0</v>
      </c>
      <c r="AR1096" s="12">
        <v>0</v>
      </c>
      <c r="AS1096" s="12">
        <v>0</v>
      </c>
      <c r="AT1096" s="12">
        <v>0</v>
      </c>
      <c r="AU1096" s="12">
        <v>0</v>
      </c>
      <c r="AV1096" s="12">
        <v>0</v>
      </c>
      <c r="AW1096" s="12">
        <v>0</v>
      </c>
      <c r="AX1096" s="12">
        <v>0</v>
      </c>
      <c r="AY1096" s="12">
        <v>0</v>
      </c>
      <c r="AZ1096"/>
      <c r="BA1096"/>
      <c r="BB1096" s="12">
        <v>0</v>
      </c>
      <c r="BC1096" s="12">
        <v>0</v>
      </c>
      <c r="BD1096" s="12">
        <v>0</v>
      </c>
      <c r="BE1096" s="12">
        <v>0</v>
      </c>
      <c r="BF1096" s="12">
        <v>0</v>
      </c>
      <c r="BI1096" s="12">
        <v>0</v>
      </c>
      <c r="BJ1096" s="12">
        <v>0</v>
      </c>
    </row>
    <row r="1097" spans="1:62" x14ac:dyDescent="0.15">
      <c r="A1097" s="12"/>
      <c r="B1097" t="s">
        <v>3014</v>
      </c>
      <c r="C1097" t="s">
        <v>3014</v>
      </c>
      <c r="D1097" t="s">
        <v>6596</v>
      </c>
      <c r="E1097" t="s">
        <v>2182</v>
      </c>
      <c r="F1097"/>
      <c r="G1097"/>
      <c r="H1097"/>
      <c r="I1097"/>
      <c r="J1097"/>
      <c r="K1097"/>
      <c r="L1097" s="10">
        <v>3962960</v>
      </c>
      <c r="M1097" s="10">
        <v>719380</v>
      </c>
      <c r="N1097" s="12">
        <v>15</v>
      </c>
      <c r="O1097" s="12" t="s">
        <v>6992</v>
      </c>
      <c r="P1097" t="s">
        <v>2183</v>
      </c>
      <c r="R1097"/>
      <c r="S1097" t="s">
        <v>2184</v>
      </c>
      <c r="T1097" s="12" t="s">
        <v>2185</v>
      </c>
      <c r="U1097" s="12" t="s">
        <v>2186</v>
      </c>
      <c r="V1097" s="12" t="s">
        <v>2187</v>
      </c>
      <c r="W1097" s="12">
        <v>0</v>
      </c>
      <c r="X1097" s="12">
        <v>1</v>
      </c>
      <c r="Y1097" s="12">
        <v>0</v>
      </c>
      <c r="Z1097" s="12">
        <v>0</v>
      </c>
      <c r="AA1097" s="12">
        <v>0</v>
      </c>
      <c r="AB1097" s="12">
        <v>0</v>
      </c>
      <c r="AC1097" s="12">
        <v>0</v>
      </c>
      <c r="AD1097" s="12">
        <v>0</v>
      </c>
      <c r="AE1097" s="12">
        <v>0</v>
      </c>
      <c r="AF1097" s="12">
        <v>0</v>
      </c>
      <c r="AG1097" s="12">
        <v>0</v>
      </c>
      <c r="AH1097" s="12">
        <v>0</v>
      </c>
      <c r="AI1097" s="12">
        <v>0</v>
      </c>
      <c r="AJ1097" s="12">
        <v>0</v>
      </c>
      <c r="AK1097" s="12">
        <v>0</v>
      </c>
      <c r="AL1097" s="12">
        <v>0</v>
      </c>
      <c r="AM1097" s="12"/>
      <c r="AN1097" s="12">
        <v>0</v>
      </c>
      <c r="AO1097" s="12">
        <v>0</v>
      </c>
      <c r="AP1097" s="12">
        <v>0</v>
      </c>
      <c r="AQ1097" s="12">
        <v>0</v>
      </c>
      <c r="AR1097" s="12">
        <v>0</v>
      </c>
      <c r="AS1097" s="12">
        <v>0</v>
      </c>
      <c r="AT1097" s="12">
        <v>0</v>
      </c>
      <c r="AU1097" s="12">
        <v>0</v>
      </c>
      <c r="AV1097" s="12">
        <v>0</v>
      </c>
      <c r="AW1097" s="12">
        <v>0</v>
      </c>
      <c r="AX1097" s="12">
        <v>0</v>
      </c>
      <c r="AY1097" s="12">
        <v>0</v>
      </c>
      <c r="AZ1097"/>
      <c r="BA1097"/>
      <c r="BB1097" s="12">
        <v>0</v>
      </c>
      <c r="BC1097" s="12">
        <v>0</v>
      </c>
      <c r="BD1097" s="12">
        <v>0</v>
      </c>
      <c r="BE1097" s="12">
        <v>0</v>
      </c>
      <c r="BF1097" s="12">
        <v>0</v>
      </c>
      <c r="BI1097" s="12">
        <v>0</v>
      </c>
      <c r="BJ1097" s="12">
        <v>0</v>
      </c>
    </row>
    <row r="1098" spans="1:62" x14ac:dyDescent="0.15">
      <c r="A1098" s="12"/>
      <c r="B1098" t="s">
        <v>3015</v>
      </c>
      <c r="C1098" t="s">
        <v>3015</v>
      </c>
      <c r="D1098" t="s">
        <v>6596</v>
      </c>
      <c r="E1098" t="s">
        <v>2182</v>
      </c>
      <c r="F1098"/>
      <c r="G1098"/>
      <c r="H1098"/>
      <c r="I1098"/>
      <c r="J1098"/>
      <c r="K1098"/>
      <c r="L1098" s="10">
        <v>3976800</v>
      </c>
      <c r="M1098" s="10">
        <v>695520</v>
      </c>
      <c r="N1098" s="12">
        <v>15</v>
      </c>
      <c r="O1098" s="12" t="s">
        <v>6992</v>
      </c>
      <c r="P1098" t="s">
        <v>2183</v>
      </c>
      <c r="R1098"/>
      <c r="S1098" t="s">
        <v>2184</v>
      </c>
      <c r="T1098" s="12" t="s">
        <v>2185</v>
      </c>
      <c r="U1098" s="12" t="s">
        <v>2186</v>
      </c>
      <c r="V1098" s="12" t="s">
        <v>2187</v>
      </c>
      <c r="W1098" s="12">
        <v>0</v>
      </c>
      <c r="X1098" s="12">
        <v>1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2">
        <v>0</v>
      </c>
      <c r="AK1098" s="12">
        <v>0</v>
      </c>
      <c r="AL1098" s="12">
        <v>0</v>
      </c>
      <c r="AM1098" s="12"/>
      <c r="AN1098" s="12">
        <v>0</v>
      </c>
      <c r="AO1098" s="12">
        <v>0</v>
      </c>
      <c r="AP1098" s="12">
        <v>0</v>
      </c>
      <c r="AQ1098" s="12">
        <v>0</v>
      </c>
      <c r="AR1098" s="12">
        <v>0</v>
      </c>
      <c r="AS1098" s="12">
        <v>0</v>
      </c>
      <c r="AT1098" s="12">
        <v>0</v>
      </c>
      <c r="AU1098" s="12">
        <v>0</v>
      </c>
      <c r="AV1098" s="12">
        <v>0</v>
      </c>
      <c r="AW1098" s="12">
        <v>0</v>
      </c>
      <c r="AX1098" s="12">
        <v>0</v>
      </c>
      <c r="AY1098" s="12">
        <v>0</v>
      </c>
      <c r="AZ1098"/>
      <c r="BA1098"/>
      <c r="BB1098" s="12">
        <v>0</v>
      </c>
      <c r="BC1098" s="12">
        <v>0</v>
      </c>
      <c r="BD1098" s="12">
        <v>0</v>
      </c>
      <c r="BE1098" s="12">
        <v>0</v>
      </c>
      <c r="BF1098" s="12">
        <v>0</v>
      </c>
      <c r="BI1098" s="12">
        <v>0</v>
      </c>
      <c r="BJ1098" s="12">
        <v>0</v>
      </c>
    </row>
    <row r="1099" spans="1:62" x14ac:dyDescent="0.15">
      <c r="A1099" s="12"/>
      <c r="B1099" t="s">
        <v>3016</v>
      </c>
      <c r="C1099" t="s">
        <v>3016</v>
      </c>
      <c r="D1099" t="s">
        <v>6596</v>
      </c>
      <c r="E1099" t="s">
        <v>2182</v>
      </c>
      <c r="F1099"/>
      <c r="G1099"/>
      <c r="H1099"/>
      <c r="I1099"/>
      <c r="J1099"/>
      <c r="K1099"/>
      <c r="L1099" s="10">
        <v>3977660</v>
      </c>
      <c r="M1099" s="10">
        <v>694290</v>
      </c>
      <c r="N1099" s="12">
        <v>15</v>
      </c>
      <c r="O1099" s="12" t="s">
        <v>6992</v>
      </c>
      <c r="P1099" t="s">
        <v>2183</v>
      </c>
      <c r="R1099"/>
      <c r="S1099" t="s">
        <v>2184</v>
      </c>
      <c r="T1099" s="12" t="s">
        <v>2185</v>
      </c>
      <c r="U1099" s="12" t="s">
        <v>2186</v>
      </c>
      <c r="V1099" s="12" t="s">
        <v>2187</v>
      </c>
      <c r="W1099" s="12">
        <v>0</v>
      </c>
      <c r="X1099" s="12">
        <v>1</v>
      </c>
      <c r="Y1099" s="12">
        <v>0</v>
      </c>
      <c r="Z1099" s="12">
        <v>0</v>
      </c>
      <c r="AA1099" s="12">
        <v>0</v>
      </c>
      <c r="AB1099" s="12">
        <v>0</v>
      </c>
      <c r="AC1099" s="12">
        <v>0</v>
      </c>
      <c r="AD1099" s="12">
        <v>0</v>
      </c>
      <c r="AE1099" s="12">
        <v>0</v>
      </c>
      <c r="AF1099" s="12">
        <v>0</v>
      </c>
      <c r="AG1099" s="12">
        <v>0</v>
      </c>
      <c r="AH1099" s="12">
        <v>0</v>
      </c>
      <c r="AI1099" s="12">
        <v>0</v>
      </c>
      <c r="AJ1099" s="12">
        <v>0</v>
      </c>
      <c r="AK1099" s="12">
        <v>0</v>
      </c>
      <c r="AL1099" s="12">
        <v>0</v>
      </c>
      <c r="AM1099" s="12"/>
      <c r="AN1099" s="12">
        <v>0</v>
      </c>
      <c r="AO1099" s="12">
        <v>0</v>
      </c>
      <c r="AP1099" s="12">
        <v>0</v>
      </c>
      <c r="AQ1099" s="12">
        <v>0</v>
      </c>
      <c r="AR1099" s="12">
        <v>0</v>
      </c>
      <c r="AS1099" s="12">
        <v>0</v>
      </c>
      <c r="AT1099" s="12">
        <v>0</v>
      </c>
      <c r="AU1099" s="12">
        <v>0</v>
      </c>
      <c r="AV1099" s="12">
        <v>0</v>
      </c>
      <c r="AW1099" s="12">
        <v>0</v>
      </c>
      <c r="AX1099" s="12">
        <v>0</v>
      </c>
      <c r="AY1099" s="12">
        <v>0</v>
      </c>
      <c r="AZ1099"/>
      <c r="BA1099"/>
      <c r="BB1099" s="12">
        <v>0</v>
      </c>
      <c r="BC1099" s="12">
        <v>0</v>
      </c>
      <c r="BD1099" s="12">
        <v>0</v>
      </c>
      <c r="BE1099" s="12">
        <v>0</v>
      </c>
      <c r="BF1099" s="12">
        <v>0</v>
      </c>
      <c r="BI1099" s="12">
        <v>0</v>
      </c>
      <c r="BJ1099" s="12">
        <v>0</v>
      </c>
    </row>
    <row r="1100" spans="1:62" x14ac:dyDescent="0.15">
      <c r="A1100" s="12"/>
      <c r="B1100" t="s">
        <v>3017</v>
      </c>
      <c r="C1100" t="s">
        <v>3017</v>
      </c>
      <c r="D1100" t="s">
        <v>6596</v>
      </c>
      <c r="E1100" t="s">
        <v>2182</v>
      </c>
      <c r="F1100"/>
      <c r="G1100"/>
      <c r="H1100"/>
      <c r="I1100"/>
      <c r="J1100"/>
      <c r="K1100"/>
      <c r="L1100" s="10">
        <v>3964080</v>
      </c>
      <c r="M1100" s="10">
        <v>720450</v>
      </c>
      <c r="N1100" s="12">
        <v>15</v>
      </c>
      <c r="O1100" s="12" t="s">
        <v>6992</v>
      </c>
      <c r="P1100" t="s">
        <v>2183</v>
      </c>
      <c r="R1100"/>
      <c r="S1100" t="s">
        <v>2184</v>
      </c>
      <c r="T1100" s="12" t="s">
        <v>2185</v>
      </c>
      <c r="U1100" s="12" t="s">
        <v>2186</v>
      </c>
      <c r="V1100" s="12" t="s">
        <v>2187</v>
      </c>
      <c r="W1100" s="12">
        <v>0</v>
      </c>
      <c r="X1100" s="12">
        <v>1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2">
        <v>0</v>
      </c>
      <c r="AK1100" s="12">
        <v>0</v>
      </c>
      <c r="AL1100" s="12">
        <v>0</v>
      </c>
      <c r="AM1100" s="12"/>
      <c r="AN1100" s="12">
        <v>0</v>
      </c>
      <c r="AO1100" s="12">
        <v>0</v>
      </c>
      <c r="AP1100" s="12">
        <v>0</v>
      </c>
      <c r="AQ1100" s="12">
        <v>0</v>
      </c>
      <c r="AR1100" s="12">
        <v>0</v>
      </c>
      <c r="AS1100" s="12">
        <v>0</v>
      </c>
      <c r="AT1100" s="12">
        <v>0</v>
      </c>
      <c r="AU1100" s="12">
        <v>0</v>
      </c>
      <c r="AV1100" s="12">
        <v>0</v>
      </c>
      <c r="AW1100" s="12">
        <v>0</v>
      </c>
      <c r="AX1100" s="12">
        <v>0</v>
      </c>
      <c r="AY1100" s="12">
        <v>0</v>
      </c>
      <c r="AZ1100"/>
      <c r="BA1100"/>
      <c r="BB1100" s="12">
        <v>0</v>
      </c>
      <c r="BC1100" s="12">
        <v>0</v>
      </c>
      <c r="BD1100" s="12">
        <v>0</v>
      </c>
      <c r="BE1100" s="12">
        <v>0</v>
      </c>
      <c r="BF1100" s="12">
        <v>0</v>
      </c>
      <c r="BI1100" s="12">
        <v>0</v>
      </c>
      <c r="BJ1100" s="12">
        <v>0</v>
      </c>
    </row>
    <row r="1101" spans="1:62" x14ac:dyDescent="0.15">
      <c r="A1101" s="12"/>
      <c r="B1101" t="s">
        <v>3018</v>
      </c>
      <c r="C1101" t="s">
        <v>3018</v>
      </c>
      <c r="D1101" t="s">
        <v>6596</v>
      </c>
      <c r="E1101" t="s">
        <v>2182</v>
      </c>
      <c r="F1101"/>
      <c r="G1101"/>
      <c r="H1101"/>
      <c r="I1101"/>
      <c r="J1101"/>
      <c r="K1101"/>
      <c r="L1101" s="10">
        <v>3977380</v>
      </c>
      <c r="M1101" s="10">
        <v>741820</v>
      </c>
      <c r="N1101" s="12">
        <v>15</v>
      </c>
      <c r="O1101" s="12" t="s">
        <v>6992</v>
      </c>
      <c r="P1101" t="s">
        <v>2183</v>
      </c>
      <c r="R1101"/>
      <c r="S1101" t="s">
        <v>2184</v>
      </c>
      <c r="T1101" s="12" t="s">
        <v>2185</v>
      </c>
      <c r="U1101" s="12" t="s">
        <v>2186</v>
      </c>
      <c r="V1101" s="12" t="s">
        <v>2187</v>
      </c>
      <c r="W1101" s="12">
        <v>0</v>
      </c>
      <c r="X1101" s="12">
        <v>1</v>
      </c>
      <c r="Y1101" s="12">
        <v>0</v>
      </c>
      <c r="Z1101" s="12">
        <v>0</v>
      </c>
      <c r="AA1101" s="12">
        <v>0</v>
      </c>
      <c r="AB1101" s="12">
        <v>0</v>
      </c>
      <c r="AC1101" s="12">
        <v>0</v>
      </c>
      <c r="AD1101" s="12">
        <v>0</v>
      </c>
      <c r="AE1101" s="12">
        <v>0</v>
      </c>
      <c r="AF1101" s="12">
        <v>0</v>
      </c>
      <c r="AG1101" s="12">
        <v>0</v>
      </c>
      <c r="AH1101" s="12">
        <v>0</v>
      </c>
      <c r="AI1101" s="12">
        <v>0</v>
      </c>
      <c r="AJ1101" s="12">
        <v>0</v>
      </c>
      <c r="AK1101" s="12">
        <v>0</v>
      </c>
      <c r="AL1101" s="12">
        <v>0</v>
      </c>
      <c r="AM1101" s="12"/>
      <c r="AN1101" s="12">
        <v>0</v>
      </c>
      <c r="AO1101" s="12">
        <v>0</v>
      </c>
      <c r="AP1101" s="12">
        <v>0</v>
      </c>
      <c r="AQ1101" s="12">
        <v>0</v>
      </c>
      <c r="AR1101" s="12">
        <v>0</v>
      </c>
      <c r="AS1101" s="12">
        <v>0</v>
      </c>
      <c r="AT1101" s="12">
        <v>0</v>
      </c>
      <c r="AU1101" s="12">
        <v>0</v>
      </c>
      <c r="AV1101" s="12">
        <v>0</v>
      </c>
      <c r="AW1101" s="12">
        <v>0</v>
      </c>
      <c r="AX1101" s="12">
        <v>0</v>
      </c>
      <c r="AY1101" s="12">
        <v>0</v>
      </c>
      <c r="AZ1101"/>
      <c r="BA1101"/>
      <c r="BB1101" s="12">
        <v>0</v>
      </c>
      <c r="BC1101" s="12">
        <v>0</v>
      </c>
      <c r="BD1101" s="12">
        <v>0</v>
      </c>
      <c r="BE1101" s="12">
        <v>0</v>
      </c>
      <c r="BF1101" s="12">
        <v>0</v>
      </c>
      <c r="BI1101" s="12">
        <v>0</v>
      </c>
      <c r="BJ1101" s="12">
        <v>0</v>
      </c>
    </row>
    <row r="1102" spans="1:62" x14ac:dyDescent="0.15">
      <c r="A1102" s="12"/>
      <c r="B1102" t="s">
        <v>3019</v>
      </c>
      <c r="C1102" t="s">
        <v>3019</v>
      </c>
      <c r="D1102" t="s">
        <v>6596</v>
      </c>
      <c r="E1102" t="s">
        <v>2182</v>
      </c>
      <c r="F1102"/>
      <c r="G1102"/>
      <c r="H1102"/>
      <c r="I1102"/>
      <c r="J1102"/>
      <c r="K1102"/>
      <c r="L1102" s="10">
        <v>3975940</v>
      </c>
      <c r="M1102" s="10">
        <v>741630</v>
      </c>
      <c r="N1102" s="12">
        <v>15</v>
      </c>
      <c r="O1102" s="12" t="s">
        <v>6992</v>
      </c>
      <c r="P1102" t="s">
        <v>2183</v>
      </c>
      <c r="R1102"/>
      <c r="S1102" t="s">
        <v>2184</v>
      </c>
      <c r="T1102" s="12" t="s">
        <v>2185</v>
      </c>
      <c r="U1102" s="12" t="s">
        <v>2186</v>
      </c>
      <c r="V1102" s="12" t="s">
        <v>2187</v>
      </c>
      <c r="W1102" s="12">
        <v>0</v>
      </c>
      <c r="X1102" s="12">
        <v>1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2">
        <v>0</v>
      </c>
      <c r="AK1102" s="12">
        <v>0</v>
      </c>
      <c r="AL1102" s="12">
        <v>0</v>
      </c>
      <c r="AM1102" s="12"/>
      <c r="AN1102" s="12">
        <v>0</v>
      </c>
      <c r="AO1102" s="12">
        <v>0</v>
      </c>
      <c r="AP1102" s="12">
        <v>0</v>
      </c>
      <c r="AQ1102" s="12">
        <v>0</v>
      </c>
      <c r="AR1102" s="12">
        <v>0</v>
      </c>
      <c r="AS1102" s="12">
        <v>0</v>
      </c>
      <c r="AT1102" s="12">
        <v>0</v>
      </c>
      <c r="AU1102" s="12">
        <v>0</v>
      </c>
      <c r="AV1102" s="12">
        <v>0</v>
      </c>
      <c r="AW1102" s="12">
        <v>0</v>
      </c>
      <c r="AX1102" s="12">
        <v>0</v>
      </c>
      <c r="AY1102" s="12">
        <v>0</v>
      </c>
      <c r="AZ1102"/>
      <c r="BA1102"/>
      <c r="BB1102" s="12">
        <v>0</v>
      </c>
      <c r="BC1102" s="12">
        <v>0</v>
      </c>
      <c r="BD1102" s="12">
        <v>0</v>
      </c>
      <c r="BE1102" s="12">
        <v>0</v>
      </c>
      <c r="BF1102" s="12">
        <v>0</v>
      </c>
      <c r="BI1102" s="12">
        <v>0</v>
      </c>
      <c r="BJ1102" s="12">
        <v>0</v>
      </c>
    </row>
    <row r="1103" spans="1:62" x14ac:dyDescent="0.15">
      <c r="A1103" s="12"/>
      <c r="B1103" t="s">
        <v>3020</v>
      </c>
      <c r="C1103" t="s">
        <v>3020</v>
      </c>
      <c r="D1103" t="s">
        <v>6596</v>
      </c>
      <c r="E1103" t="s">
        <v>2182</v>
      </c>
      <c r="F1103"/>
      <c r="G1103"/>
      <c r="H1103"/>
      <c r="I1103"/>
      <c r="J1103"/>
      <c r="K1103"/>
      <c r="L1103" s="10">
        <v>3964940</v>
      </c>
      <c r="M1103" s="10">
        <v>721060</v>
      </c>
      <c r="N1103" s="12">
        <v>15</v>
      </c>
      <c r="O1103" s="12" t="s">
        <v>6992</v>
      </c>
      <c r="P1103" t="s">
        <v>2183</v>
      </c>
      <c r="R1103"/>
      <c r="S1103" t="s">
        <v>2184</v>
      </c>
      <c r="T1103" s="12" t="s">
        <v>2185</v>
      </c>
      <c r="U1103" s="12" t="s">
        <v>2186</v>
      </c>
      <c r="V1103" s="12" t="s">
        <v>2187</v>
      </c>
      <c r="W1103" s="12">
        <v>0</v>
      </c>
      <c r="X1103" s="12">
        <v>1</v>
      </c>
      <c r="Y1103" s="12">
        <v>0</v>
      </c>
      <c r="Z1103" s="12">
        <v>0</v>
      </c>
      <c r="AA1103" s="12">
        <v>0</v>
      </c>
      <c r="AB1103" s="12">
        <v>0</v>
      </c>
      <c r="AC1103" s="12">
        <v>0</v>
      </c>
      <c r="AD1103" s="12">
        <v>0</v>
      </c>
      <c r="AE1103" s="12">
        <v>0</v>
      </c>
      <c r="AF1103" s="12">
        <v>0</v>
      </c>
      <c r="AG1103" s="12">
        <v>0</v>
      </c>
      <c r="AH1103" s="12">
        <v>0</v>
      </c>
      <c r="AI1103" s="12">
        <v>0</v>
      </c>
      <c r="AJ1103" s="12">
        <v>0</v>
      </c>
      <c r="AK1103" s="12">
        <v>0</v>
      </c>
      <c r="AL1103" s="12">
        <v>0</v>
      </c>
      <c r="AM1103" s="12"/>
      <c r="AN1103" s="12">
        <v>0</v>
      </c>
      <c r="AO1103" s="12">
        <v>0</v>
      </c>
      <c r="AP1103" s="12">
        <v>0</v>
      </c>
      <c r="AQ1103" s="12">
        <v>0</v>
      </c>
      <c r="AR1103" s="12">
        <v>0</v>
      </c>
      <c r="AS1103" s="12">
        <v>0</v>
      </c>
      <c r="AT1103" s="12">
        <v>0</v>
      </c>
      <c r="AU1103" s="12">
        <v>0</v>
      </c>
      <c r="AV1103" s="12">
        <v>0</v>
      </c>
      <c r="AW1103" s="12">
        <v>0</v>
      </c>
      <c r="AX1103" s="12">
        <v>0</v>
      </c>
      <c r="AY1103" s="12">
        <v>0</v>
      </c>
      <c r="AZ1103"/>
      <c r="BA1103"/>
      <c r="BB1103" s="12">
        <v>0</v>
      </c>
      <c r="BC1103" s="12">
        <v>0</v>
      </c>
      <c r="BD1103" s="12">
        <v>0</v>
      </c>
      <c r="BE1103" s="12">
        <v>0</v>
      </c>
      <c r="BF1103" s="12">
        <v>0</v>
      </c>
      <c r="BI1103" s="12">
        <v>0</v>
      </c>
      <c r="BJ1103" s="12">
        <v>0</v>
      </c>
    </row>
    <row r="1104" spans="1:62" x14ac:dyDescent="0.15">
      <c r="A1104" s="12"/>
      <c r="B1104" t="s">
        <v>3021</v>
      </c>
      <c r="C1104" t="s">
        <v>3021</v>
      </c>
      <c r="D1104" t="s">
        <v>6596</v>
      </c>
      <c r="E1104" t="s">
        <v>2182</v>
      </c>
      <c r="F1104"/>
      <c r="G1104"/>
      <c r="H1104"/>
      <c r="I1104"/>
      <c r="J1104"/>
      <c r="K1104"/>
      <c r="L1104" s="10">
        <v>3906500</v>
      </c>
      <c r="M1104" s="10">
        <v>690830</v>
      </c>
      <c r="N1104" s="12">
        <v>15</v>
      </c>
      <c r="O1104" s="12" t="s">
        <v>6992</v>
      </c>
      <c r="P1104" t="s">
        <v>2183</v>
      </c>
      <c r="R1104"/>
      <c r="S1104" t="s">
        <v>2184</v>
      </c>
      <c r="T1104" s="12" t="s">
        <v>2185</v>
      </c>
      <c r="U1104" s="12" t="s">
        <v>2186</v>
      </c>
      <c r="V1104" s="12" t="s">
        <v>2187</v>
      </c>
      <c r="W1104" s="12">
        <v>0</v>
      </c>
      <c r="X1104" s="12">
        <v>1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2">
        <v>0</v>
      </c>
      <c r="AK1104" s="12">
        <v>0</v>
      </c>
      <c r="AL1104" s="12">
        <v>0</v>
      </c>
      <c r="AM1104" s="12"/>
      <c r="AN1104" s="12">
        <v>0</v>
      </c>
      <c r="AO1104" s="12">
        <v>0</v>
      </c>
      <c r="AP1104" s="12">
        <v>0</v>
      </c>
      <c r="AQ1104" s="12">
        <v>0</v>
      </c>
      <c r="AR1104" s="12">
        <v>0</v>
      </c>
      <c r="AS1104" s="12">
        <v>0</v>
      </c>
      <c r="AT1104" s="12">
        <v>0</v>
      </c>
      <c r="AU1104" s="12">
        <v>0</v>
      </c>
      <c r="AV1104" s="12">
        <v>0</v>
      </c>
      <c r="AW1104" s="12">
        <v>0</v>
      </c>
      <c r="AX1104" s="12">
        <v>0</v>
      </c>
      <c r="AY1104" s="12">
        <v>0</v>
      </c>
      <c r="AZ1104"/>
      <c r="BA1104"/>
      <c r="BB1104" s="12">
        <v>0</v>
      </c>
      <c r="BC1104" s="12">
        <v>0</v>
      </c>
      <c r="BD1104" s="12">
        <v>0</v>
      </c>
      <c r="BE1104" s="12">
        <v>0</v>
      </c>
      <c r="BF1104" s="12">
        <v>0</v>
      </c>
      <c r="BI1104" s="12">
        <v>0</v>
      </c>
      <c r="BJ1104" s="12">
        <v>0</v>
      </c>
    </row>
    <row r="1105" spans="1:62" x14ac:dyDescent="0.15">
      <c r="A1105" s="12"/>
      <c r="B1105" t="s">
        <v>3022</v>
      </c>
      <c r="C1105" t="s">
        <v>3022</v>
      </c>
      <c r="D1105" t="s">
        <v>6596</v>
      </c>
      <c r="E1105" t="s">
        <v>2182</v>
      </c>
      <c r="F1105"/>
      <c r="G1105"/>
      <c r="H1105"/>
      <c r="I1105"/>
      <c r="J1105"/>
      <c r="K1105"/>
      <c r="L1105" s="10">
        <v>3965370</v>
      </c>
      <c r="M1105" s="10">
        <v>700250</v>
      </c>
      <c r="N1105" s="12">
        <v>15</v>
      </c>
      <c r="O1105" s="12" t="s">
        <v>6992</v>
      </c>
      <c r="P1105" t="s">
        <v>2183</v>
      </c>
      <c r="R1105"/>
      <c r="S1105" t="s">
        <v>2184</v>
      </c>
      <c r="T1105" s="12" t="s">
        <v>2185</v>
      </c>
      <c r="U1105" s="12" t="s">
        <v>2186</v>
      </c>
      <c r="V1105" s="12" t="s">
        <v>2187</v>
      </c>
      <c r="W1105" s="12">
        <v>0</v>
      </c>
      <c r="X1105" s="12">
        <v>1</v>
      </c>
      <c r="Y1105" s="12">
        <v>0</v>
      </c>
      <c r="Z1105" s="12">
        <v>0</v>
      </c>
      <c r="AA1105" s="12">
        <v>0</v>
      </c>
      <c r="AB1105" s="12">
        <v>0</v>
      </c>
      <c r="AC1105" s="12">
        <v>0</v>
      </c>
      <c r="AD1105" s="12">
        <v>0</v>
      </c>
      <c r="AE1105" s="12">
        <v>0</v>
      </c>
      <c r="AF1105" s="12">
        <v>0</v>
      </c>
      <c r="AG1105" s="12">
        <v>0</v>
      </c>
      <c r="AH1105" s="12">
        <v>0</v>
      </c>
      <c r="AI1105" s="12">
        <v>0</v>
      </c>
      <c r="AJ1105" s="12">
        <v>0</v>
      </c>
      <c r="AK1105" s="12">
        <v>0</v>
      </c>
      <c r="AL1105" s="12">
        <v>0</v>
      </c>
      <c r="AM1105" s="12"/>
      <c r="AN1105" s="12">
        <v>0</v>
      </c>
      <c r="AO1105" s="12">
        <v>0</v>
      </c>
      <c r="AP1105" s="12">
        <v>0</v>
      </c>
      <c r="AQ1105" s="12">
        <v>0</v>
      </c>
      <c r="AR1105" s="12">
        <v>0</v>
      </c>
      <c r="AS1105" s="12">
        <v>0</v>
      </c>
      <c r="AT1105" s="12">
        <v>0</v>
      </c>
      <c r="AU1105" s="12">
        <v>0</v>
      </c>
      <c r="AV1105" s="12">
        <v>0</v>
      </c>
      <c r="AW1105" s="12">
        <v>0</v>
      </c>
      <c r="AX1105" s="12">
        <v>0</v>
      </c>
      <c r="AY1105" s="12">
        <v>0</v>
      </c>
      <c r="AZ1105"/>
      <c r="BA1105"/>
      <c r="BB1105" s="12">
        <v>0</v>
      </c>
      <c r="BC1105" s="12">
        <v>0</v>
      </c>
      <c r="BD1105" s="12">
        <v>0</v>
      </c>
      <c r="BE1105" s="12">
        <v>0</v>
      </c>
      <c r="BF1105" s="12">
        <v>0</v>
      </c>
      <c r="BI1105" s="12">
        <v>0</v>
      </c>
      <c r="BJ1105" s="12">
        <v>0</v>
      </c>
    </row>
    <row r="1106" spans="1:62" x14ac:dyDescent="0.15">
      <c r="A1106" s="12"/>
      <c r="B1106" t="s">
        <v>3023</v>
      </c>
      <c r="C1106" t="s">
        <v>3023</v>
      </c>
      <c r="D1106" t="s">
        <v>6596</v>
      </c>
      <c r="E1106" t="s">
        <v>2182</v>
      </c>
      <c r="F1106"/>
      <c r="G1106"/>
      <c r="H1106"/>
      <c r="I1106"/>
      <c r="J1106"/>
      <c r="K1106"/>
      <c r="L1106" s="10">
        <v>3965100</v>
      </c>
      <c r="M1106" s="10">
        <v>729220</v>
      </c>
      <c r="N1106" s="12">
        <v>15</v>
      </c>
      <c r="O1106" s="12" t="s">
        <v>6992</v>
      </c>
      <c r="P1106" t="s">
        <v>2183</v>
      </c>
      <c r="R1106"/>
      <c r="S1106" t="s">
        <v>2184</v>
      </c>
      <c r="T1106" s="12" t="s">
        <v>2185</v>
      </c>
      <c r="U1106" s="12" t="s">
        <v>2186</v>
      </c>
      <c r="V1106" s="12" t="s">
        <v>2187</v>
      </c>
      <c r="W1106" s="12">
        <v>0</v>
      </c>
      <c r="X1106" s="12">
        <v>1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2">
        <v>0</v>
      </c>
      <c r="AK1106" s="12">
        <v>0</v>
      </c>
      <c r="AL1106" s="12">
        <v>0</v>
      </c>
      <c r="AM1106" s="12"/>
      <c r="AN1106" s="12">
        <v>0</v>
      </c>
      <c r="AO1106" s="12">
        <v>0</v>
      </c>
      <c r="AP1106" s="12">
        <v>0</v>
      </c>
      <c r="AQ1106" s="12">
        <v>0</v>
      </c>
      <c r="AR1106" s="12">
        <v>0</v>
      </c>
      <c r="AS1106" s="12">
        <v>0</v>
      </c>
      <c r="AT1106" s="12">
        <v>0</v>
      </c>
      <c r="AU1106" s="12">
        <v>0</v>
      </c>
      <c r="AV1106" s="12">
        <v>0</v>
      </c>
      <c r="AW1106" s="12">
        <v>0</v>
      </c>
      <c r="AX1106" s="12">
        <v>0</v>
      </c>
      <c r="AY1106" s="12">
        <v>0</v>
      </c>
      <c r="AZ1106"/>
      <c r="BA1106"/>
      <c r="BB1106" s="12">
        <v>0</v>
      </c>
      <c r="BC1106" s="12">
        <v>0</v>
      </c>
      <c r="BD1106" s="12">
        <v>0</v>
      </c>
      <c r="BE1106" s="12">
        <v>0</v>
      </c>
      <c r="BF1106" s="12">
        <v>0</v>
      </c>
      <c r="BI1106" s="12">
        <v>0</v>
      </c>
      <c r="BJ1106" s="12">
        <v>0</v>
      </c>
    </row>
    <row r="1107" spans="1:62" x14ac:dyDescent="0.15">
      <c r="A1107" s="12"/>
      <c r="B1107" t="s">
        <v>3024</v>
      </c>
      <c r="C1107" t="s">
        <v>3024</v>
      </c>
      <c r="D1107" t="s">
        <v>6596</v>
      </c>
      <c r="E1107" t="s">
        <v>2182</v>
      </c>
      <c r="F1107"/>
      <c r="G1107"/>
      <c r="H1107"/>
      <c r="I1107"/>
      <c r="J1107"/>
      <c r="K1107"/>
      <c r="L1107" s="10">
        <v>3969460</v>
      </c>
      <c r="M1107" s="10">
        <v>753950</v>
      </c>
      <c r="N1107" s="12">
        <v>15</v>
      </c>
      <c r="O1107" s="12" t="s">
        <v>6992</v>
      </c>
      <c r="P1107" t="s">
        <v>2183</v>
      </c>
      <c r="R1107"/>
      <c r="S1107" t="s">
        <v>2184</v>
      </c>
      <c r="T1107" s="12" t="s">
        <v>2185</v>
      </c>
      <c r="U1107" s="12" t="s">
        <v>2186</v>
      </c>
      <c r="V1107" s="12" t="s">
        <v>2187</v>
      </c>
      <c r="W1107" s="12">
        <v>0</v>
      </c>
      <c r="X1107" s="12">
        <v>1</v>
      </c>
      <c r="Y1107" s="12">
        <v>0</v>
      </c>
      <c r="Z1107" s="12">
        <v>0</v>
      </c>
      <c r="AA1107" s="12">
        <v>0</v>
      </c>
      <c r="AB1107" s="12">
        <v>0</v>
      </c>
      <c r="AC1107" s="12">
        <v>0</v>
      </c>
      <c r="AD1107" s="12">
        <v>0</v>
      </c>
      <c r="AE1107" s="12">
        <v>0</v>
      </c>
      <c r="AF1107" s="12">
        <v>0</v>
      </c>
      <c r="AG1107" s="12">
        <v>0</v>
      </c>
      <c r="AH1107" s="12">
        <v>0</v>
      </c>
      <c r="AI1107" s="12">
        <v>0</v>
      </c>
      <c r="AJ1107" s="12">
        <v>0</v>
      </c>
      <c r="AK1107" s="12">
        <v>0</v>
      </c>
      <c r="AL1107" s="12">
        <v>0</v>
      </c>
      <c r="AM1107" s="12"/>
      <c r="AN1107" s="12">
        <v>0</v>
      </c>
      <c r="AO1107" s="12">
        <v>0</v>
      </c>
      <c r="AP1107" s="12">
        <v>0</v>
      </c>
      <c r="AQ1107" s="12">
        <v>0</v>
      </c>
      <c r="AR1107" s="12">
        <v>0</v>
      </c>
      <c r="AS1107" s="12">
        <v>0</v>
      </c>
      <c r="AT1107" s="12">
        <v>0</v>
      </c>
      <c r="AU1107" s="12">
        <v>0</v>
      </c>
      <c r="AV1107" s="12">
        <v>0</v>
      </c>
      <c r="AW1107" s="12">
        <v>0</v>
      </c>
      <c r="AX1107" s="12">
        <v>0</v>
      </c>
      <c r="AY1107" s="12">
        <v>0</v>
      </c>
      <c r="AZ1107"/>
      <c r="BA1107"/>
      <c r="BB1107" s="12">
        <v>0</v>
      </c>
      <c r="BC1107" s="12">
        <v>0</v>
      </c>
      <c r="BD1107" s="12">
        <v>0</v>
      </c>
      <c r="BE1107" s="12">
        <v>0</v>
      </c>
      <c r="BF1107" s="12">
        <v>0</v>
      </c>
      <c r="BI1107" s="12">
        <v>0</v>
      </c>
      <c r="BJ1107" s="12">
        <v>0</v>
      </c>
    </row>
    <row r="1108" spans="1:62" x14ac:dyDescent="0.15">
      <c r="A1108" s="12"/>
      <c r="B1108" t="s">
        <v>3025</v>
      </c>
      <c r="C1108" t="s">
        <v>3025</v>
      </c>
      <c r="D1108" t="s">
        <v>6596</v>
      </c>
      <c r="E1108" t="s">
        <v>2182</v>
      </c>
      <c r="F1108"/>
      <c r="G1108"/>
      <c r="H1108"/>
      <c r="I1108"/>
      <c r="J1108"/>
      <c r="K1108"/>
      <c r="L1108" s="10">
        <v>3967790</v>
      </c>
      <c r="M1108" s="10">
        <v>688620</v>
      </c>
      <c r="N1108" s="12">
        <v>15</v>
      </c>
      <c r="O1108" s="12" t="s">
        <v>6992</v>
      </c>
      <c r="P1108" t="s">
        <v>2183</v>
      </c>
      <c r="R1108"/>
      <c r="S1108" t="s">
        <v>2184</v>
      </c>
      <c r="T1108" s="12" t="s">
        <v>2185</v>
      </c>
      <c r="U1108" s="12" t="s">
        <v>2186</v>
      </c>
      <c r="V1108" s="12" t="s">
        <v>2187</v>
      </c>
      <c r="W1108" s="12">
        <v>0</v>
      </c>
      <c r="X1108" s="12">
        <v>1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2">
        <v>0</v>
      </c>
      <c r="AK1108" s="12">
        <v>0</v>
      </c>
      <c r="AL1108" s="12">
        <v>0</v>
      </c>
      <c r="AM1108" s="12"/>
      <c r="AN1108" s="12">
        <v>0</v>
      </c>
      <c r="AO1108" s="12">
        <v>0</v>
      </c>
      <c r="AP1108" s="12">
        <v>0</v>
      </c>
      <c r="AQ1108" s="12">
        <v>0</v>
      </c>
      <c r="AR1108" s="12">
        <v>0</v>
      </c>
      <c r="AS1108" s="12">
        <v>0</v>
      </c>
      <c r="AT1108" s="12">
        <v>0</v>
      </c>
      <c r="AU1108" s="12">
        <v>0</v>
      </c>
      <c r="AV1108" s="12">
        <v>0</v>
      </c>
      <c r="AW1108" s="12">
        <v>0</v>
      </c>
      <c r="AX1108" s="12">
        <v>0</v>
      </c>
      <c r="AY1108" s="12">
        <v>0</v>
      </c>
      <c r="AZ1108"/>
      <c r="BA1108"/>
      <c r="BB1108" s="12">
        <v>0</v>
      </c>
      <c r="BC1108" s="12">
        <v>0</v>
      </c>
      <c r="BD1108" s="12">
        <v>0</v>
      </c>
      <c r="BE1108" s="12">
        <v>0</v>
      </c>
      <c r="BF1108" s="12">
        <v>0</v>
      </c>
      <c r="BI1108" s="12">
        <v>0</v>
      </c>
      <c r="BJ1108" s="12">
        <v>0</v>
      </c>
    </row>
    <row r="1109" spans="1:62" x14ac:dyDescent="0.15">
      <c r="A1109" s="12"/>
      <c r="B1109" t="s">
        <v>3026</v>
      </c>
      <c r="C1109" t="s">
        <v>3026</v>
      </c>
      <c r="D1109" t="s">
        <v>6596</v>
      </c>
      <c r="E1109" t="s">
        <v>2182</v>
      </c>
      <c r="F1109"/>
      <c r="G1109"/>
      <c r="H1109"/>
      <c r="I1109"/>
      <c r="J1109"/>
      <c r="K1109"/>
      <c r="L1109" s="10">
        <v>3887970</v>
      </c>
      <c r="M1109" s="10">
        <v>683920</v>
      </c>
      <c r="N1109" s="12">
        <v>15</v>
      </c>
      <c r="O1109" s="12" t="s">
        <v>6992</v>
      </c>
      <c r="P1109" t="s">
        <v>2183</v>
      </c>
      <c r="R1109"/>
      <c r="S1109" t="s">
        <v>2184</v>
      </c>
      <c r="T1109" s="12" t="s">
        <v>2185</v>
      </c>
      <c r="U1109" s="12" t="s">
        <v>2186</v>
      </c>
      <c r="V1109" s="12" t="s">
        <v>2187</v>
      </c>
      <c r="W1109" s="12">
        <v>0</v>
      </c>
      <c r="X1109" s="12">
        <v>1</v>
      </c>
      <c r="Y1109" s="12">
        <v>0</v>
      </c>
      <c r="Z1109" s="12">
        <v>0</v>
      </c>
      <c r="AA1109" s="12">
        <v>0</v>
      </c>
      <c r="AB1109" s="12">
        <v>0</v>
      </c>
      <c r="AC1109" s="12">
        <v>0</v>
      </c>
      <c r="AD1109" s="12">
        <v>0</v>
      </c>
      <c r="AE1109" s="12">
        <v>0</v>
      </c>
      <c r="AF1109" s="12">
        <v>0</v>
      </c>
      <c r="AG1109" s="12">
        <v>0</v>
      </c>
      <c r="AH1109" s="12">
        <v>0</v>
      </c>
      <c r="AI1109" s="12">
        <v>0</v>
      </c>
      <c r="AJ1109" s="12">
        <v>0</v>
      </c>
      <c r="AK1109" s="12">
        <v>0</v>
      </c>
      <c r="AL1109" s="12">
        <v>0</v>
      </c>
      <c r="AM1109" s="12"/>
      <c r="AN1109" s="12">
        <v>0</v>
      </c>
      <c r="AO1109" s="12">
        <v>0</v>
      </c>
      <c r="AP1109" s="12">
        <v>0</v>
      </c>
      <c r="AQ1109" s="12">
        <v>0</v>
      </c>
      <c r="AR1109" s="12">
        <v>0</v>
      </c>
      <c r="AS1109" s="12">
        <v>0</v>
      </c>
      <c r="AT1109" s="12">
        <v>0</v>
      </c>
      <c r="AU1109" s="12">
        <v>0</v>
      </c>
      <c r="AV1109" s="12">
        <v>0</v>
      </c>
      <c r="AW1109" s="12">
        <v>0</v>
      </c>
      <c r="AX1109" s="12">
        <v>0</v>
      </c>
      <c r="AY1109" s="12">
        <v>0</v>
      </c>
      <c r="AZ1109"/>
      <c r="BA1109"/>
      <c r="BB1109" s="12">
        <v>0</v>
      </c>
      <c r="BC1109" s="12">
        <v>0</v>
      </c>
      <c r="BD1109" s="12">
        <v>0</v>
      </c>
      <c r="BE1109" s="12">
        <v>0</v>
      </c>
      <c r="BF1109" s="12">
        <v>0</v>
      </c>
      <c r="BI1109" s="12">
        <v>0</v>
      </c>
      <c r="BJ1109" s="12">
        <v>0</v>
      </c>
    </row>
    <row r="1110" spans="1:62" x14ac:dyDescent="0.15">
      <c r="A1110" s="12"/>
      <c r="B1110" t="s">
        <v>3027</v>
      </c>
      <c r="C1110" t="s">
        <v>3027</v>
      </c>
      <c r="D1110" t="s">
        <v>6596</v>
      </c>
      <c r="E1110" t="s">
        <v>2182</v>
      </c>
      <c r="F1110"/>
      <c r="G1110"/>
      <c r="H1110"/>
      <c r="I1110"/>
      <c r="J1110"/>
      <c r="K1110"/>
      <c r="L1110" s="10">
        <v>3957720</v>
      </c>
      <c r="M1110" s="10">
        <v>678140</v>
      </c>
      <c r="N1110" s="12">
        <v>15</v>
      </c>
      <c r="O1110" s="12" t="s">
        <v>6992</v>
      </c>
      <c r="P1110" t="s">
        <v>2183</v>
      </c>
      <c r="R1110"/>
      <c r="S1110" t="s">
        <v>2184</v>
      </c>
      <c r="T1110" s="12" t="s">
        <v>2185</v>
      </c>
      <c r="U1110" s="12" t="s">
        <v>2186</v>
      </c>
      <c r="V1110" s="12" t="s">
        <v>2187</v>
      </c>
      <c r="W1110" s="12">
        <v>0</v>
      </c>
      <c r="X1110" s="12">
        <v>1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2">
        <v>0</v>
      </c>
      <c r="AK1110" s="12">
        <v>0</v>
      </c>
      <c r="AL1110" s="12">
        <v>0</v>
      </c>
      <c r="AM1110" s="12"/>
      <c r="AN1110" s="12">
        <v>0</v>
      </c>
      <c r="AO1110" s="12">
        <v>0</v>
      </c>
      <c r="AP1110" s="12">
        <v>0</v>
      </c>
      <c r="AQ1110" s="12">
        <v>0</v>
      </c>
      <c r="AR1110" s="12">
        <v>0</v>
      </c>
      <c r="AS1110" s="12">
        <v>0</v>
      </c>
      <c r="AT1110" s="12">
        <v>0</v>
      </c>
      <c r="AU1110" s="12">
        <v>0</v>
      </c>
      <c r="AV1110" s="12">
        <v>0</v>
      </c>
      <c r="AW1110" s="12">
        <v>0</v>
      </c>
      <c r="AX1110" s="12">
        <v>0</v>
      </c>
      <c r="AY1110" s="12">
        <v>0</v>
      </c>
      <c r="AZ1110"/>
      <c r="BA1110"/>
      <c r="BB1110" s="12">
        <v>0</v>
      </c>
      <c r="BC1110" s="12">
        <v>0</v>
      </c>
      <c r="BD1110" s="12">
        <v>0</v>
      </c>
      <c r="BE1110" s="12">
        <v>0</v>
      </c>
      <c r="BF1110" s="12">
        <v>0</v>
      </c>
      <c r="BI1110" s="12">
        <v>0</v>
      </c>
      <c r="BJ1110" s="12">
        <v>0</v>
      </c>
    </row>
    <row r="1111" spans="1:62" x14ac:dyDescent="0.15">
      <c r="A1111" s="12"/>
      <c r="B1111" t="s">
        <v>3028</v>
      </c>
      <c r="C1111" t="s">
        <v>3028</v>
      </c>
      <c r="D1111" t="s">
        <v>6596</v>
      </c>
      <c r="E1111" t="s">
        <v>2182</v>
      </c>
      <c r="F1111"/>
      <c r="G1111"/>
      <c r="H1111"/>
      <c r="I1111"/>
      <c r="J1111"/>
      <c r="K1111"/>
      <c r="L1111" s="10">
        <v>3959780</v>
      </c>
      <c r="M1111" s="10">
        <v>679400</v>
      </c>
      <c r="N1111" s="12">
        <v>15</v>
      </c>
      <c r="O1111" s="12" t="s">
        <v>6992</v>
      </c>
      <c r="P1111" t="s">
        <v>2183</v>
      </c>
      <c r="R1111"/>
      <c r="S1111" t="s">
        <v>2184</v>
      </c>
      <c r="T1111" s="12" t="s">
        <v>2185</v>
      </c>
      <c r="U1111" s="12" t="s">
        <v>2186</v>
      </c>
      <c r="V1111" s="12" t="s">
        <v>2187</v>
      </c>
      <c r="W1111" s="12">
        <v>0</v>
      </c>
      <c r="X1111" s="12">
        <v>1</v>
      </c>
      <c r="Y1111" s="12">
        <v>0</v>
      </c>
      <c r="Z1111" s="12">
        <v>0</v>
      </c>
      <c r="AA1111" s="12">
        <v>0</v>
      </c>
      <c r="AB1111" s="12">
        <v>0</v>
      </c>
      <c r="AC1111" s="12">
        <v>0</v>
      </c>
      <c r="AD1111" s="12">
        <v>0</v>
      </c>
      <c r="AE1111" s="12">
        <v>0</v>
      </c>
      <c r="AF1111" s="12">
        <v>0</v>
      </c>
      <c r="AG1111" s="12">
        <v>0</v>
      </c>
      <c r="AH1111" s="12">
        <v>0</v>
      </c>
      <c r="AI1111" s="12">
        <v>0</v>
      </c>
      <c r="AJ1111" s="12">
        <v>0</v>
      </c>
      <c r="AK1111" s="12">
        <v>0</v>
      </c>
      <c r="AL1111" s="12">
        <v>0</v>
      </c>
      <c r="AM1111" s="12"/>
      <c r="AN1111" s="12">
        <v>0</v>
      </c>
      <c r="AO1111" s="12">
        <v>0</v>
      </c>
      <c r="AP1111" s="12">
        <v>0</v>
      </c>
      <c r="AQ1111" s="12">
        <v>0</v>
      </c>
      <c r="AR1111" s="12">
        <v>0</v>
      </c>
      <c r="AS1111" s="12">
        <v>0</v>
      </c>
      <c r="AT1111" s="12">
        <v>0</v>
      </c>
      <c r="AU1111" s="12">
        <v>0</v>
      </c>
      <c r="AV1111" s="12">
        <v>0</v>
      </c>
      <c r="AW1111" s="12">
        <v>0</v>
      </c>
      <c r="AX1111" s="12">
        <v>0</v>
      </c>
      <c r="AY1111" s="12">
        <v>0</v>
      </c>
      <c r="AZ1111"/>
      <c r="BA1111"/>
      <c r="BB1111" s="12">
        <v>0</v>
      </c>
      <c r="BC1111" s="12">
        <v>0</v>
      </c>
      <c r="BD1111" s="12">
        <v>0</v>
      </c>
      <c r="BE1111" s="12">
        <v>0</v>
      </c>
      <c r="BF1111" s="12">
        <v>0</v>
      </c>
      <c r="BI1111" s="12">
        <v>0</v>
      </c>
      <c r="BJ1111" s="12">
        <v>0</v>
      </c>
    </row>
    <row r="1112" spans="1:62" x14ac:dyDescent="0.15">
      <c r="A1112" s="12"/>
      <c r="B1112" t="s">
        <v>3029</v>
      </c>
      <c r="C1112" t="s">
        <v>3029</v>
      </c>
      <c r="D1112" t="s">
        <v>6596</v>
      </c>
      <c r="E1112" t="s">
        <v>2182</v>
      </c>
      <c r="F1112"/>
      <c r="G1112"/>
      <c r="H1112"/>
      <c r="I1112"/>
      <c r="J1112"/>
      <c r="K1112"/>
      <c r="L1112" s="10">
        <v>3959520</v>
      </c>
      <c r="M1112" s="10">
        <v>678640</v>
      </c>
      <c r="N1112" s="12">
        <v>15</v>
      </c>
      <c r="O1112" s="12" t="s">
        <v>6992</v>
      </c>
      <c r="P1112" t="s">
        <v>2183</v>
      </c>
      <c r="R1112"/>
      <c r="S1112" t="s">
        <v>2184</v>
      </c>
      <c r="T1112" s="12" t="s">
        <v>2185</v>
      </c>
      <c r="U1112" s="12" t="s">
        <v>2186</v>
      </c>
      <c r="V1112" s="12" t="s">
        <v>2187</v>
      </c>
      <c r="W1112" s="12">
        <v>0</v>
      </c>
      <c r="X1112" s="12">
        <v>1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2">
        <v>0</v>
      </c>
      <c r="AK1112" s="12">
        <v>0</v>
      </c>
      <c r="AL1112" s="12">
        <v>0</v>
      </c>
      <c r="AM1112" s="12"/>
      <c r="AN1112" s="12">
        <v>0</v>
      </c>
      <c r="AO1112" s="12">
        <v>0</v>
      </c>
      <c r="AP1112" s="12">
        <v>0</v>
      </c>
      <c r="AQ1112" s="12">
        <v>0</v>
      </c>
      <c r="AR1112" s="12">
        <v>0</v>
      </c>
      <c r="AS1112" s="12">
        <v>0</v>
      </c>
      <c r="AT1112" s="12">
        <v>0</v>
      </c>
      <c r="AU1112" s="12">
        <v>0</v>
      </c>
      <c r="AV1112" s="12">
        <v>0</v>
      </c>
      <c r="AW1112" s="12">
        <v>0</v>
      </c>
      <c r="AX1112" s="12">
        <v>0</v>
      </c>
      <c r="AY1112" s="12">
        <v>0</v>
      </c>
      <c r="AZ1112"/>
      <c r="BA1112"/>
      <c r="BB1112" s="12">
        <v>0</v>
      </c>
      <c r="BC1112" s="12">
        <v>0</v>
      </c>
      <c r="BD1112" s="12">
        <v>0</v>
      </c>
      <c r="BE1112" s="12">
        <v>0</v>
      </c>
      <c r="BF1112" s="12">
        <v>0</v>
      </c>
      <c r="BI1112" s="12">
        <v>0</v>
      </c>
      <c r="BJ1112" s="12">
        <v>0</v>
      </c>
    </row>
    <row r="1113" spans="1:62" x14ac:dyDescent="0.15">
      <c r="A1113" s="12"/>
      <c r="B1113" t="s">
        <v>3030</v>
      </c>
      <c r="C1113" t="s">
        <v>3030</v>
      </c>
      <c r="D1113" t="s">
        <v>6596</v>
      </c>
      <c r="E1113" t="s">
        <v>2182</v>
      </c>
      <c r="F1113"/>
      <c r="G1113"/>
      <c r="H1113"/>
      <c r="I1113"/>
      <c r="J1113"/>
      <c r="K1113"/>
      <c r="L1113" s="10">
        <v>3957200</v>
      </c>
      <c r="M1113" s="10">
        <v>678100</v>
      </c>
      <c r="N1113" s="12">
        <v>15</v>
      </c>
      <c r="O1113" s="12" t="s">
        <v>6992</v>
      </c>
      <c r="P1113" t="s">
        <v>2183</v>
      </c>
      <c r="R1113"/>
      <c r="S1113" t="s">
        <v>2184</v>
      </c>
      <c r="T1113" s="12" t="s">
        <v>2185</v>
      </c>
      <c r="U1113" s="12" t="s">
        <v>2186</v>
      </c>
      <c r="V1113" s="12" t="s">
        <v>2187</v>
      </c>
      <c r="W1113" s="12">
        <v>0</v>
      </c>
      <c r="X1113" s="12">
        <v>1</v>
      </c>
      <c r="Y1113" s="12">
        <v>0</v>
      </c>
      <c r="Z1113" s="12">
        <v>0</v>
      </c>
      <c r="AA1113" s="12">
        <v>0</v>
      </c>
      <c r="AB1113" s="12">
        <v>0</v>
      </c>
      <c r="AC1113" s="12">
        <v>0</v>
      </c>
      <c r="AD1113" s="12">
        <v>0</v>
      </c>
      <c r="AE1113" s="12">
        <v>0</v>
      </c>
      <c r="AF1113" s="12">
        <v>0</v>
      </c>
      <c r="AG1113" s="12">
        <v>0</v>
      </c>
      <c r="AH1113" s="12">
        <v>0</v>
      </c>
      <c r="AI1113" s="12">
        <v>0</v>
      </c>
      <c r="AJ1113" s="12">
        <v>0</v>
      </c>
      <c r="AK1113" s="12">
        <v>0</v>
      </c>
      <c r="AL1113" s="12">
        <v>0</v>
      </c>
      <c r="AM1113" s="12"/>
      <c r="AN1113" s="12">
        <v>0</v>
      </c>
      <c r="AO1113" s="12">
        <v>0</v>
      </c>
      <c r="AP1113" s="12">
        <v>0</v>
      </c>
      <c r="AQ1113" s="12">
        <v>0</v>
      </c>
      <c r="AR1113" s="12">
        <v>0</v>
      </c>
      <c r="AS1113" s="12">
        <v>0</v>
      </c>
      <c r="AT1113" s="12">
        <v>0</v>
      </c>
      <c r="AU1113" s="12">
        <v>0</v>
      </c>
      <c r="AV1113" s="12">
        <v>0</v>
      </c>
      <c r="AW1113" s="12">
        <v>0</v>
      </c>
      <c r="AX1113" s="12">
        <v>0</v>
      </c>
      <c r="AY1113" s="12">
        <v>0</v>
      </c>
      <c r="AZ1113"/>
      <c r="BA1113"/>
      <c r="BB1113" s="12">
        <v>0</v>
      </c>
      <c r="BC1113" s="12">
        <v>0</v>
      </c>
      <c r="BD1113" s="12">
        <v>0</v>
      </c>
      <c r="BE1113" s="12">
        <v>0</v>
      </c>
      <c r="BF1113" s="12">
        <v>0</v>
      </c>
      <c r="BI1113" s="12">
        <v>0</v>
      </c>
      <c r="BJ1113" s="12">
        <v>0</v>
      </c>
    </row>
    <row r="1114" spans="1:62" x14ac:dyDescent="0.15">
      <c r="A1114" s="12"/>
      <c r="B1114" t="s">
        <v>3031</v>
      </c>
      <c r="C1114" t="s">
        <v>3031</v>
      </c>
      <c r="D1114" t="s">
        <v>6596</v>
      </c>
      <c r="E1114" t="s">
        <v>2182</v>
      </c>
      <c r="F1114"/>
      <c r="G1114"/>
      <c r="H1114"/>
      <c r="I1114"/>
      <c r="J1114"/>
      <c r="K1114"/>
      <c r="L1114" s="10">
        <v>3951030</v>
      </c>
      <c r="M1114" s="10">
        <v>717580</v>
      </c>
      <c r="N1114" s="12">
        <v>15</v>
      </c>
      <c r="O1114" s="12" t="s">
        <v>6992</v>
      </c>
      <c r="P1114" t="s">
        <v>2183</v>
      </c>
      <c r="R1114"/>
      <c r="S1114" t="s">
        <v>2184</v>
      </c>
      <c r="T1114" s="12" t="s">
        <v>2185</v>
      </c>
      <c r="U1114" s="12" t="s">
        <v>2186</v>
      </c>
      <c r="V1114" s="12" t="s">
        <v>2187</v>
      </c>
      <c r="W1114" s="12">
        <v>0</v>
      </c>
      <c r="X1114" s="12">
        <v>1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2">
        <v>0</v>
      </c>
      <c r="AK1114" s="12">
        <v>0</v>
      </c>
      <c r="AL1114" s="12">
        <v>0</v>
      </c>
      <c r="AM1114" s="12"/>
      <c r="AN1114" s="12">
        <v>0</v>
      </c>
      <c r="AO1114" s="12">
        <v>0</v>
      </c>
      <c r="AP1114" s="12">
        <v>0</v>
      </c>
      <c r="AQ1114" s="12">
        <v>0</v>
      </c>
      <c r="AR1114" s="12">
        <v>0</v>
      </c>
      <c r="AS1114" s="12">
        <v>0</v>
      </c>
      <c r="AT1114" s="12">
        <v>0</v>
      </c>
      <c r="AU1114" s="12">
        <v>0</v>
      </c>
      <c r="AV1114" s="12">
        <v>0</v>
      </c>
      <c r="AW1114" s="12">
        <v>0</v>
      </c>
      <c r="AX1114" s="12">
        <v>0</v>
      </c>
      <c r="AY1114" s="12">
        <v>0</v>
      </c>
      <c r="AZ1114"/>
      <c r="BA1114"/>
      <c r="BB1114" s="12">
        <v>0</v>
      </c>
      <c r="BC1114" s="12">
        <v>0</v>
      </c>
      <c r="BD1114" s="12">
        <v>0</v>
      </c>
      <c r="BE1114" s="12">
        <v>0</v>
      </c>
      <c r="BF1114" s="12">
        <v>0</v>
      </c>
      <c r="BI1114" s="12">
        <v>0</v>
      </c>
      <c r="BJ1114" s="12">
        <v>0</v>
      </c>
    </row>
    <row r="1115" spans="1:62" x14ac:dyDescent="0.15">
      <c r="A1115" s="12"/>
      <c r="B1115" t="s">
        <v>3032</v>
      </c>
      <c r="C1115" t="s">
        <v>3032</v>
      </c>
      <c r="D1115" t="s">
        <v>6596</v>
      </c>
      <c r="E1115" t="s">
        <v>2182</v>
      </c>
      <c r="F1115"/>
      <c r="G1115"/>
      <c r="H1115"/>
      <c r="I1115"/>
      <c r="J1115"/>
      <c r="K1115"/>
      <c r="L1115" s="10">
        <v>3950740</v>
      </c>
      <c r="M1115" s="10">
        <v>717140</v>
      </c>
      <c r="N1115" s="12">
        <v>15</v>
      </c>
      <c r="O1115" s="12" t="s">
        <v>6992</v>
      </c>
      <c r="P1115" t="s">
        <v>2183</v>
      </c>
      <c r="R1115"/>
      <c r="S1115" t="s">
        <v>2184</v>
      </c>
      <c r="T1115" s="12" t="s">
        <v>2185</v>
      </c>
      <c r="U1115" s="12" t="s">
        <v>2186</v>
      </c>
      <c r="V1115" s="12" t="s">
        <v>2187</v>
      </c>
      <c r="W1115" s="12">
        <v>0</v>
      </c>
      <c r="X1115" s="12">
        <v>1</v>
      </c>
      <c r="Y1115" s="12">
        <v>0</v>
      </c>
      <c r="Z1115" s="12">
        <v>0</v>
      </c>
      <c r="AA1115" s="12">
        <v>0</v>
      </c>
      <c r="AB1115" s="12">
        <v>0</v>
      </c>
      <c r="AC1115" s="12">
        <v>0</v>
      </c>
      <c r="AD1115" s="12">
        <v>0</v>
      </c>
      <c r="AE1115" s="12">
        <v>0</v>
      </c>
      <c r="AF1115" s="12">
        <v>0</v>
      </c>
      <c r="AG1115" s="12">
        <v>0</v>
      </c>
      <c r="AH1115" s="12">
        <v>0</v>
      </c>
      <c r="AI1115" s="12">
        <v>0</v>
      </c>
      <c r="AJ1115" s="12">
        <v>0</v>
      </c>
      <c r="AK1115" s="12">
        <v>0</v>
      </c>
      <c r="AL1115" s="12">
        <v>0</v>
      </c>
      <c r="AM1115" s="12"/>
      <c r="AN1115" s="12">
        <v>0</v>
      </c>
      <c r="AO1115" s="12">
        <v>0</v>
      </c>
      <c r="AP1115" s="12">
        <v>0</v>
      </c>
      <c r="AQ1115" s="12">
        <v>0</v>
      </c>
      <c r="AR1115" s="12">
        <v>0</v>
      </c>
      <c r="AS1115" s="12">
        <v>0</v>
      </c>
      <c r="AT1115" s="12">
        <v>0</v>
      </c>
      <c r="AU1115" s="12">
        <v>0</v>
      </c>
      <c r="AV1115" s="12">
        <v>0</v>
      </c>
      <c r="AW1115" s="12">
        <v>0</v>
      </c>
      <c r="AX1115" s="12">
        <v>0</v>
      </c>
      <c r="AY1115" s="12">
        <v>0</v>
      </c>
      <c r="AZ1115"/>
      <c r="BA1115"/>
      <c r="BB1115" s="12">
        <v>0</v>
      </c>
      <c r="BC1115" s="12">
        <v>0</v>
      </c>
      <c r="BD1115" s="12">
        <v>0</v>
      </c>
      <c r="BE1115" s="12">
        <v>0</v>
      </c>
      <c r="BF1115" s="12">
        <v>0</v>
      </c>
      <c r="BI1115" s="12">
        <v>0</v>
      </c>
      <c r="BJ1115" s="12">
        <v>0</v>
      </c>
    </row>
    <row r="1116" spans="1:62" x14ac:dyDescent="0.15">
      <c r="A1116" s="12"/>
      <c r="B1116" t="s">
        <v>3033</v>
      </c>
      <c r="C1116" s="27" t="s">
        <v>3034</v>
      </c>
      <c r="D1116" t="s">
        <v>6596</v>
      </c>
      <c r="E1116" t="s">
        <v>2182</v>
      </c>
      <c r="F1116"/>
      <c r="G1116"/>
      <c r="H1116"/>
      <c r="I1116"/>
      <c r="J1116"/>
      <c r="K1116"/>
      <c r="L1116" s="10">
        <v>3960350</v>
      </c>
      <c r="M1116" s="10">
        <v>681500</v>
      </c>
      <c r="N1116" s="12">
        <v>15</v>
      </c>
      <c r="O1116" s="12" t="s">
        <v>6992</v>
      </c>
      <c r="P1116" t="s">
        <v>2183</v>
      </c>
      <c r="R1116"/>
      <c r="S1116" t="s">
        <v>2184</v>
      </c>
      <c r="T1116" s="12" t="s">
        <v>2185</v>
      </c>
      <c r="U1116" s="12" t="s">
        <v>2186</v>
      </c>
      <c r="V1116" s="12" t="s">
        <v>2187</v>
      </c>
      <c r="W1116" s="12">
        <v>0</v>
      </c>
      <c r="X1116" s="12">
        <v>1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2">
        <v>0</v>
      </c>
      <c r="AK1116" s="12">
        <v>0</v>
      </c>
      <c r="AL1116" s="12">
        <v>0</v>
      </c>
      <c r="AM1116" s="12"/>
      <c r="AN1116" s="12">
        <v>0</v>
      </c>
      <c r="AO1116" s="12">
        <v>0</v>
      </c>
      <c r="AP1116" s="12">
        <v>0</v>
      </c>
      <c r="AQ1116" s="12">
        <v>0</v>
      </c>
      <c r="AR1116" s="12">
        <v>0</v>
      </c>
      <c r="AS1116" s="12">
        <v>0</v>
      </c>
      <c r="AT1116" s="12">
        <v>0</v>
      </c>
      <c r="AU1116" s="12">
        <v>0</v>
      </c>
      <c r="AV1116" s="12">
        <v>0</v>
      </c>
      <c r="AW1116" s="12">
        <v>0</v>
      </c>
      <c r="AX1116" s="12">
        <v>0</v>
      </c>
      <c r="AY1116" s="12">
        <v>0</v>
      </c>
      <c r="AZ1116"/>
      <c r="BA1116"/>
      <c r="BB1116" s="12">
        <v>0</v>
      </c>
      <c r="BC1116" s="12">
        <v>0</v>
      </c>
      <c r="BD1116" s="12">
        <v>0</v>
      </c>
      <c r="BE1116" s="12">
        <v>0</v>
      </c>
      <c r="BF1116" s="12">
        <v>0</v>
      </c>
      <c r="BI1116" s="12">
        <v>0</v>
      </c>
      <c r="BJ1116" s="12">
        <v>0</v>
      </c>
    </row>
    <row r="1117" spans="1:62" x14ac:dyDescent="0.15">
      <c r="A1117" s="12"/>
      <c r="B1117" t="s">
        <v>3035</v>
      </c>
      <c r="C1117" t="s">
        <v>3035</v>
      </c>
      <c r="D1117" t="s">
        <v>6596</v>
      </c>
      <c r="E1117" t="s">
        <v>2182</v>
      </c>
      <c r="F1117"/>
      <c r="G1117"/>
      <c r="H1117"/>
      <c r="I1117"/>
      <c r="J1117"/>
      <c r="K1117"/>
      <c r="L1117" s="10">
        <v>3981160</v>
      </c>
      <c r="M1117" s="10">
        <v>693310</v>
      </c>
      <c r="N1117" s="12">
        <v>15</v>
      </c>
      <c r="O1117" s="12" t="s">
        <v>6992</v>
      </c>
      <c r="P1117" t="s">
        <v>2183</v>
      </c>
      <c r="R1117"/>
      <c r="S1117" t="s">
        <v>2184</v>
      </c>
      <c r="T1117" s="12" t="s">
        <v>2185</v>
      </c>
      <c r="U1117" s="12" t="s">
        <v>2186</v>
      </c>
      <c r="V1117" s="12" t="s">
        <v>2187</v>
      </c>
      <c r="W1117" s="12">
        <v>0</v>
      </c>
      <c r="X1117" s="12">
        <v>1</v>
      </c>
      <c r="Y1117" s="12">
        <v>0</v>
      </c>
      <c r="Z1117" s="12">
        <v>0</v>
      </c>
      <c r="AA1117" s="12">
        <v>0</v>
      </c>
      <c r="AB1117" s="12">
        <v>0</v>
      </c>
      <c r="AC1117" s="12">
        <v>0</v>
      </c>
      <c r="AD1117" s="12">
        <v>0</v>
      </c>
      <c r="AE1117" s="12">
        <v>0</v>
      </c>
      <c r="AF1117" s="12">
        <v>0</v>
      </c>
      <c r="AG1117" s="12">
        <v>0</v>
      </c>
      <c r="AH1117" s="12">
        <v>0</v>
      </c>
      <c r="AI1117" s="12">
        <v>0</v>
      </c>
      <c r="AJ1117" s="12">
        <v>0</v>
      </c>
      <c r="AK1117" s="12">
        <v>0</v>
      </c>
      <c r="AL1117" s="12">
        <v>0</v>
      </c>
      <c r="AM1117" s="12"/>
      <c r="AN1117" s="12">
        <v>0</v>
      </c>
      <c r="AO1117" s="12">
        <v>0</v>
      </c>
      <c r="AP1117" s="12">
        <v>0</v>
      </c>
      <c r="AQ1117" s="12">
        <v>0</v>
      </c>
      <c r="AR1117" s="12">
        <v>0</v>
      </c>
      <c r="AS1117" s="12">
        <v>0</v>
      </c>
      <c r="AT1117" s="12">
        <v>0</v>
      </c>
      <c r="AU1117" s="12">
        <v>0</v>
      </c>
      <c r="AV1117" s="12">
        <v>0</v>
      </c>
      <c r="AW1117" s="12">
        <v>0</v>
      </c>
      <c r="AX1117" s="12">
        <v>0</v>
      </c>
      <c r="AY1117" s="12">
        <v>0</v>
      </c>
      <c r="AZ1117"/>
      <c r="BA1117"/>
      <c r="BB1117" s="12">
        <v>0</v>
      </c>
      <c r="BC1117" s="12">
        <v>0</v>
      </c>
      <c r="BD1117" s="12">
        <v>0</v>
      </c>
      <c r="BE1117" s="12">
        <v>0</v>
      </c>
      <c r="BF1117" s="12">
        <v>0</v>
      </c>
      <c r="BI1117" s="12">
        <v>0</v>
      </c>
      <c r="BJ1117" s="12">
        <v>0</v>
      </c>
    </row>
    <row r="1118" spans="1:62" x14ac:dyDescent="0.15">
      <c r="A1118" s="12"/>
      <c r="B1118" t="s">
        <v>3036</v>
      </c>
      <c r="C1118" t="s">
        <v>3036</v>
      </c>
      <c r="D1118" t="s">
        <v>6596</v>
      </c>
      <c r="E1118" t="s">
        <v>2182</v>
      </c>
      <c r="F1118"/>
      <c r="G1118"/>
      <c r="H1118"/>
      <c r="I1118"/>
      <c r="J1118"/>
      <c r="K1118"/>
      <c r="L1118" s="10">
        <v>3978270</v>
      </c>
      <c r="M1118" s="10">
        <v>693450</v>
      </c>
      <c r="N1118" s="12">
        <v>15</v>
      </c>
      <c r="O1118" s="12" t="s">
        <v>6992</v>
      </c>
      <c r="P1118" t="s">
        <v>2183</v>
      </c>
      <c r="R1118"/>
      <c r="S1118" t="s">
        <v>2184</v>
      </c>
      <c r="T1118" s="12" t="s">
        <v>2185</v>
      </c>
      <c r="U1118" s="12" t="s">
        <v>2186</v>
      </c>
      <c r="V1118" s="12" t="s">
        <v>2187</v>
      </c>
      <c r="W1118" s="12">
        <v>0</v>
      </c>
      <c r="X1118" s="12">
        <v>1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2">
        <v>0</v>
      </c>
      <c r="AK1118" s="12">
        <v>0</v>
      </c>
      <c r="AL1118" s="12">
        <v>0</v>
      </c>
      <c r="AM1118" s="12"/>
      <c r="AN1118" s="12">
        <v>0</v>
      </c>
      <c r="AO1118" s="12">
        <v>0</v>
      </c>
      <c r="AP1118" s="12">
        <v>0</v>
      </c>
      <c r="AQ1118" s="12">
        <v>0</v>
      </c>
      <c r="AR1118" s="12">
        <v>0</v>
      </c>
      <c r="AS1118" s="12">
        <v>0</v>
      </c>
      <c r="AT1118" s="12">
        <v>0</v>
      </c>
      <c r="AU1118" s="12">
        <v>0</v>
      </c>
      <c r="AV1118" s="12">
        <v>0</v>
      </c>
      <c r="AW1118" s="12">
        <v>0</v>
      </c>
      <c r="AX1118" s="12">
        <v>0</v>
      </c>
      <c r="AY1118" s="12">
        <v>0</v>
      </c>
      <c r="AZ1118"/>
      <c r="BA1118"/>
      <c r="BB1118" s="12">
        <v>0</v>
      </c>
      <c r="BC1118" s="12">
        <v>0</v>
      </c>
      <c r="BD1118" s="12">
        <v>0</v>
      </c>
      <c r="BE1118" s="12">
        <v>0</v>
      </c>
      <c r="BF1118" s="12">
        <v>0</v>
      </c>
      <c r="BI1118" s="12">
        <v>0</v>
      </c>
      <c r="BJ1118" s="12">
        <v>0</v>
      </c>
    </row>
    <row r="1119" spans="1:62" x14ac:dyDescent="0.15">
      <c r="A1119" s="12"/>
      <c r="B1119" t="s">
        <v>3037</v>
      </c>
      <c r="C1119" t="s">
        <v>3037</v>
      </c>
      <c r="D1119" t="s">
        <v>6596</v>
      </c>
      <c r="E1119" t="s">
        <v>2182</v>
      </c>
      <c r="F1119"/>
      <c r="G1119"/>
      <c r="H1119"/>
      <c r="I1119"/>
      <c r="J1119"/>
      <c r="K1119"/>
      <c r="L1119" s="10">
        <v>3972450</v>
      </c>
      <c r="M1119" s="10">
        <v>691900</v>
      </c>
      <c r="N1119" s="12">
        <v>15</v>
      </c>
      <c r="O1119" s="12" t="s">
        <v>6992</v>
      </c>
      <c r="P1119" t="s">
        <v>2183</v>
      </c>
      <c r="R1119"/>
      <c r="S1119" t="s">
        <v>2184</v>
      </c>
      <c r="T1119" s="12" t="s">
        <v>2185</v>
      </c>
      <c r="U1119" s="12" t="s">
        <v>2186</v>
      </c>
      <c r="V1119" s="12" t="s">
        <v>2187</v>
      </c>
      <c r="W1119" s="12">
        <v>0</v>
      </c>
      <c r="X1119" s="12">
        <v>1</v>
      </c>
      <c r="Y1119" s="12">
        <v>0</v>
      </c>
      <c r="Z1119" s="12">
        <v>0</v>
      </c>
      <c r="AA1119" s="12">
        <v>0</v>
      </c>
      <c r="AB1119" s="12">
        <v>0</v>
      </c>
      <c r="AC1119" s="12">
        <v>0</v>
      </c>
      <c r="AD1119" s="12">
        <v>0</v>
      </c>
      <c r="AE1119" s="12">
        <v>0</v>
      </c>
      <c r="AF1119" s="12">
        <v>0</v>
      </c>
      <c r="AG1119" s="12">
        <v>0</v>
      </c>
      <c r="AH1119" s="12">
        <v>0</v>
      </c>
      <c r="AI1119" s="12">
        <v>0</v>
      </c>
      <c r="AJ1119" s="12">
        <v>0</v>
      </c>
      <c r="AK1119" s="12">
        <v>0</v>
      </c>
      <c r="AL1119" s="12">
        <v>0</v>
      </c>
      <c r="AM1119" s="12"/>
      <c r="AN1119" s="12">
        <v>0</v>
      </c>
      <c r="AO1119" s="12">
        <v>0</v>
      </c>
      <c r="AP1119" s="12">
        <v>0</v>
      </c>
      <c r="AQ1119" s="12">
        <v>0</v>
      </c>
      <c r="AR1119" s="12">
        <v>0</v>
      </c>
      <c r="AS1119" s="12">
        <v>0</v>
      </c>
      <c r="AT1119" s="12">
        <v>0</v>
      </c>
      <c r="AU1119" s="12">
        <v>0</v>
      </c>
      <c r="AV1119" s="12">
        <v>0</v>
      </c>
      <c r="AW1119" s="12">
        <v>0</v>
      </c>
      <c r="AX1119" s="12">
        <v>0</v>
      </c>
      <c r="AY1119" s="12">
        <v>0</v>
      </c>
      <c r="AZ1119"/>
      <c r="BA1119"/>
      <c r="BB1119" s="12">
        <v>0</v>
      </c>
      <c r="BC1119" s="12">
        <v>0</v>
      </c>
      <c r="BD1119" s="12">
        <v>0</v>
      </c>
      <c r="BE1119" s="12">
        <v>0</v>
      </c>
      <c r="BF1119" s="12">
        <v>0</v>
      </c>
      <c r="BI1119" s="12">
        <v>0</v>
      </c>
      <c r="BJ1119" s="12">
        <v>0</v>
      </c>
    </row>
    <row r="1120" spans="1:62" x14ac:dyDescent="0.15">
      <c r="A1120" s="12"/>
      <c r="B1120" t="s">
        <v>3038</v>
      </c>
      <c r="C1120" t="s">
        <v>3038</v>
      </c>
      <c r="D1120" t="s">
        <v>6596</v>
      </c>
      <c r="E1120" t="s">
        <v>2182</v>
      </c>
      <c r="F1120"/>
      <c r="G1120"/>
      <c r="H1120"/>
      <c r="I1120"/>
      <c r="J1120"/>
      <c r="K1120"/>
      <c r="L1120" s="10">
        <v>3972200</v>
      </c>
      <c r="M1120" s="10">
        <v>692050</v>
      </c>
      <c r="N1120" s="12">
        <v>15</v>
      </c>
      <c r="O1120" s="12" t="s">
        <v>6992</v>
      </c>
      <c r="P1120" t="s">
        <v>2183</v>
      </c>
      <c r="R1120"/>
      <c r="S1120" t="s">
        <v>2184</v>
      </c>
      <c r="T1120" s="12" t="s">
        <v>2185</v>
      </c>
      <c r="U1120" s="12" t="s">
        <v>2186</v>
      </c>
      <c r="V1120" s="12" t="s">
        <v>2187</v>
      </c>
      <c r="W1120" s="12">
        <v>0</v>
      </c>
      <c r="X1120" s="12">
        <v>1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2">
        <v>0</v>
      </c>
      <c r="AK1120" s="12">
        <v>0</v>
      </c>
      <c r="AL1120" s="12">
        <v>0</v>
      </c>
      <c r="AM1120" s="12"/>
      <c r="AN1120" s="12">
        <v>0</v>
      </c>
      <c r="AO1120" s="12">
        <v>0</v>
      </c>
      <c r="AP1120" s="12">
        <v>0</v>
      </c>
      <c r="AQ1120" s="12">
        <v>0</v>
      </c>
      <c r="AR1120" s="12">
        <v>0</v>
      </c>
      <c r="AS1120" s="12">
        <v>0</v>
      </c>
      <c r="AT1120" s="12">
        <v>0</v>
      </c>
      <c r="AU1120" s="12">
        <v>0</v>
      </c>
      <c r="AV1120" s="12">
        <v>0</v>
      </c>
      <c r="AW1120" s="12">
        <v>0</v>
      </c>
      <c r="AX1120" s="12">
        <v>0</v>
      </c>
      <c r="AY1120" s="12">
        <v>0</v>
      </c>
      <c r="AZ1120"/>
      <c r="BA1120"/>
      <c r="BB1120" s="12">
        <v>0</v>
      </c>
      <c r="BC1120" s="12">
        <v>0</v>
      </c>
      <c r="BD1120" s="12">
        <v>0</v>
      </c>
      <c r="BE1120" s="12">
        <v>0</v>
      </c>
      <c r="BF1120" s="12">
        <v>0</v>
      </c>
      <c r="BI1120" s="12">
        <v>0</v>
      </c>
      <c r="BJ1120" s="12">
        <v>0</v>
      </c>
    </row>
    <row r="1121" spans="1:62" x14ac:dyDescent="0.15">
      <c r="A1121" s="12"/>
      <c r="B1121" t="s">
        <v>3039</v>
      </c>
      <c r="C1121" t="s">
        <v>3039</v>
      </c>
      <c r="D1121" t="s">
        <v>6596</v>
      </c>
      <c r="E1121" t="s">
        <v>2182</v>
      </c>
      <c r="F1121"/>
      <c r="G1121"/>
      <c r="H1121"/>
      <c r="I1121"/>
      <c r="J1121"/>
      <c r="K1121"/>
      <c r="L1121" s="10">
        <v>3963560</v>
      </c>
      <c r="M1121" s="10">
        <v>682910</v>
      </c>
      <c r="N1121" s="12">
        <v>15</v>
      </c>
      <c r="O1121" s="12" t="s">
        <v>6992</v>
      </c>
      <c r="P1121" t="s">
        <v>2183</v>
      </c>
      <c r="R1121"/>
      <c r="S1121" t="s">
        <v>2184</v>
      </c>
      <c r="T1121" s="12" t="s">
        <v>2185</v>
      </c>
      <c r="U1121" s="12" t="s">
        <v>2186</v>
      </c>
      <c r="V1121" s="12" t="s">
        <v>2187</v>
      </c>
      <c r="W1121" s="12">
        <v>0</v>
      </c>
      <c r="X1121" s="12">
        <v>1</v>
      </c>
      <c r="Y1121" s="12">
        <v>0</v>
      </c>
      <c r="Z1121" s="12">
        <v>0</v>
      </c>
      <c r="AA1121" s="12">
        <v>0</v>
      </c>
      <c r="AB1121" s="12">
        <v>0</v>
      </c>
      <c r="AC1121" s="12">
        <v>0</v>
      </c>
      <c r="AD1121" s="12">
        <v>0</v>
      </c>
      <c r="AE1121" s="12">
        <v>0</v>
      </c>
      <c r="AF1121" s="12">
        <v>0</v>
      </c>
      <c r="AG1121" s="12">
        <v>0</v>
      </c>
      <c r="AH1121" s="12">
        <v>0</v>
      </c>
      <c r="AI1121" s="12">
        <v>0</v>
      </c>
      <c r="AJ1121" s="12">
        <v>0</v>
      </c>
      <c r="AK1121" s="12">
        <v>0</v>
      </c>
      <c r="AL1121" s="12">
        <v>0</v>
      </c>
      <c r="AM1121" s="12"/>
      <c r="AN1121" s="12">
        <v>0</v>
      </c>
      <c r="AO1121" s="12">
        <v>0</v>
      </c>
      <c r="AP1121" s="12">
        <v>0</v>
      </c>
      <c r="AQ1121" s="12">
        <v>0</v>
      </c>
      <c r="AR1121" s="12">
        <v>0</v>
      </c>
      <c r="AS1121" s="12">
        <v>0</v>
      </c>
      <c r="AT1121" s="12">
        <v>0</v>
      </c>
      <c r="AU1121" s="12">
        <v>0</v>
      </c>
      <c r="AV1121" s="12">
        <v>0</v>
      </c>
      <c r="AW1121" s="12">
        <v>0</v>
      </c>
      <c r="AX1121" s="12">
        <v>0</v>
      </c>
      <c r="AY1121" s="12">
        <v>0</v>
      </c>
      <c r="AZ1121"/>
      <c r="BA1121"/>
      <c r="BB1121" s="12">
        <v>0</v>
      </c>
      <c r="BC1121" s="12">
        <v>0</v>
      </c>
      <c r="BD1121" s="12">
        <v>0</v>
      </c>
      <c r="BE1121" s="12">
        <v>0</v>
      </c>
      <c r="BF1121" s="12">
        <v>0</v>
      </c>
      <c r="BI1121" s="12">
        <v>0</v>
      </c>
      <c r="BJ1121" s="12">
        <v>0</v>
      </c>
    </row>
    <row r="1122" spans="1:62" x14ac:dyDescent="0.15">
      <c r="A1122" s="12"/>
      <c r="B1122" t="s">
        <v>3040</v>
      </c>
      <c r="C1122" t="s">
        <v>3040</v>
      </c>
      <c r="D1122" t="s">
        <v>6596</v>
      </c>
      <c r="E1122" t="s">
        <v>2182</v>
      </c>
      <c r="F1122"/>
      <c r="G1122"/>
      <c r="H1122"/>
      <c r="I1122"/>
      <c r="J1122"/>
      <c r="K1122"/>
      <c r="L1122" s="10">
        <v>3962760</v>
      </c>
      <c r="M1122" s="10">
        <v>678900</v>
      </c>
      <c r="N1122" s="12">
        <v>15</v>
      </c>
      <c r="O1122" s="12" t="s">
        <v>6992</v>
      </c>
      <c r="P1122" t="s">
        <v>2183</v>
      </c>
      <c r="R1122"/>
      <c r="S1122" t="s">
        <v>2184</v>
      </c>
      <c r="T1122" s="12" t="s">
        <v>2185</v>
      </c>
      <c r="U1122" s="12" t="s">
        <v>2186</v>
      </c>
      <c r="V1122" s="12" t="s">
        <v>2187</v>
      </c>
      <c r="W1122" s="12">
        <v>0</v>
      </c>
      <c r="X1122" s="12">
        <v>1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2">
        <v>0</v>
      </c>
      <c r="AK1122" s="12">
        <v>0</v>
      </c>
      <c r="AL1122" s="12">
        <v>0</v>
      </c>
      <c r="AM1122" s="12"/>
      <c r="AN1122" s="12">
        <v>0</v>
      </c>
      <c r="AO1122" s="12">
        <v>0</v>
      </c>
      <c r="AP1122" s="12">
        <v>0</v>
      </c>
      <c r="AQ1122" s="12">
        <v>0</v>
      </c>
      <c r="AR1122" s="12">
        <v>0</v>
      </c>
      <c r="AS1122" s="12">
        <v>0</v>
      </c>
      <c r="AT1122" s="12">
        <v>0</v>
      </c>
      <c r="AU1122" s="12">
        <v>0</v>
      </c>
      <c r="AV1122" s="12">
        <v>0</v>
      </c>
      <c r="AW1122" s="12">
        <v>0</v>
      </c>
      <c r="AX1122" s="12">
        <v>0</v>
      </c>
      <c r="AY1122" s="12">
        <v>0</v>
      </c>
      <c r="AZ1122"/>
      <c r="BA1122"/>
      <c r="BB1122" s="12">
        <v>0</v>
      </c>
      <c r="BC1122" s="12">
        <v>0</v>
      </c>
      <c r="BD1122" s="12">
        <v>0</v>
      </c>
      <c r="BE1122" s="12">
        <v>0</v>
      </c>
      <c r="BF1122" s="12">
        <v>0</v>
      </c>
      <c r="BI1122" s="12">
        <v>0</v>
      </c>
      <c r="BJ1122" s="12">
        <v>0</v>
      </c>
    </row>
    <row r="1123" spans="1:62" x14ac:dyDescent="0.15">
      <c r="A1123" s="12"/>
      <c r="B1123" t="s">
        <v>3041</v>
      </c>
      <c r="C1123" t="s">
        <v>3041</v>
      </c>
      <c r="D1123" t="s">
        <v>6596</v>
      </c>
      <c r="E1123" t="s">
        <v>2182</v>
      </c>
      <c r="F1123"/>
      <c r="G1123"/>
      <c r="H1123"/>
      <c r="I1123"/>
      <c r="J1123"/>
      <c r="K1123"/>
      <c r="L1123" s="10">
        <v>3971650</v>
      </c>
      <c r="M1123" s="10">
        <v>693480</v>
      </c>
      <c r="N1123" s="12">
        <v>15</v>
      </c>
      <c r="O1123" s="12" t="s">
        <v>6992</v>
      </c>
      <c r="P1123" t="s">
        <v>2183</v>
      </c>
      <c r="R1123"/>
      <c r="S1123" t="s">
        <v>2184</v>
      </c>
      <c r="T1123" s="12" t="s">
        <v>2185</v>
      </c>
      <c r="U1123" s="12" t="s">
        <v>2186</v>
      </c>
      <c r="V1123" s="12" t="s">
        <v>2187</v>
      </c>
      <c r="W1123" s="12">
        <v>0</v>
      </c>
      <c r="X1123" s="12">
        <v>1</v>
      </c>
      <c r="Y1123" s="12">
        <v>0</v>
      </c>
      <c r="Z1123" s="12">
        <v>0</v>
      </c>
      <c r="AA1123" s="12">
        <v>0</v>
      </c>
      <c r="AB1123" s="12">
        <v>0</v>
      </c>
      <c r="AC1123" s="12">
        <v>0</v>
      </c>
      <c r="AD1123" s="12">
        <v>0</v>
      </c>
      <c r="AE1123" s="12">
        <v>0</v>
      </c>
      <c r="AF1123" s="12">
        <v>0</v>
      </c>
      <c r="AG1123" s="12">
        <v>0</v>
      </c>
      <c r="AH1123" s="12">
        <v>0</v>
      </c>
      <c r="AI1123" s="12">
        <v>0</v>
      </c>
      <c r="AJ1123" s="12">
        <v>0</v>
      </c>
      <c r="AK1123" s="12">
        <v>0</v>
      </c>
      <c r="AL1123" s="12">
        <v>0</v>
      </c>
      <c r="AM1123" s="12"/>
      <c r="AN1123" s="12">
        <v>0</v>
      </c>
      <c r="AO1123" s="12">
        <v>0</v>
      </c>
      <c r="AP1123" s="12">
        <v>0</v>
      </c>
      <c r="AQ1123" s="12">
        <v>0</v>
      </c>
      <c r="AR1123" s="12">
        <v>0</v>
      </c>
      <c r="AS1123" s="12">
        <v>0</v>
      </c>
      <c r="AT1123" s="12">
        <v>0</v>
      </c>
      <c r="AU1123" s="12">
        <v>0</v>
      </c>
      <c r="AV1123" s="12">
        <v>0</v>
      </c>
      <c r="AW1123" s="12">
        <v>0</v>
      </c>
      <c r="AX1123" s="12">
        <v>0</v>
      </c>
      <c r="AY1123" s="12">
        <v>0</v>
      </c>
      <c r="AZ1123"/>
      <c r="BA1123"/>
      <c r="BB1123" s="12">
        <v>0</v>
      </c>
      <c r="BC1123" s="12">
        <v>0</v>
      </c>
      <c r="BD1123" s="12">
        <v>0</v>
      </c>
      <c r="BE1123" s="12">
        <v>0</v>
      </c>
      <c r="BF1123" s="12">
        <v>0</v>
      </c>
      <c r="BI1123" s="12">
        <v>0</v>
      </c>
      <c r="BJ1123" s="12">
        <v>0</v>
      </c>
    </row>
    <row r="1124" spans="1:62" x14ac:dyDescent="0.15">
      <c r="A1124" s="12"/>
      <c r="B1124" t="s">
        <v>3042</v>
      </c>
      <c r="C1124" t="s">
        <v>3042</v>
      </c>
      <c r="D1124" t="s">
        <v>6596</v>
      </c>
      <c r="E1124" t="s">
        <v>2182</v>
      </c>
      <c r="F1124"/>
      <c r="G1124"/>
      <c r="H1124"/>
      <c r="I1124"/>
      <c r="J1124"/>
      <c r="K1124"/>
      <c r="L1124" s="10">
        <v>3926260</v>
      </c>
      <c r="M1124" s="10">
        <v>700250</v>
      </c>
      <c r="N1124" s="12">
        <v>15</v>
      </c>
      <c r="O1124" s="12" t="s">
        <v>6992</v>
      </c>
      <c r="P1124" t="s">
        <v>2183</v>
      </c>
      <c r="R1124"/>
      <c r="S1124" t="s">
        <v>2184</v>
      </c>
      <c r="T1124" s="12" t="s">
        <v>2185</v>
      </c>
      <c r="U1124" s="12" t="s">
        <v>2186</v>
      </c>
      <c r="V1124" s="12" t="s">
        <v>2187</v>
      </c>
      <c r="W1124" s="12">
        <v>0</v>
      </c>
      <c r="X1124" s="12">
        <v>1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2">
        <v>0</v>
      </c>
      <c r="AK1124" s="12">
        <v>0</v>
      </c>
      <c r="AL1124" s="12">
        <v>0</v>
      </c>
      <c r="AM1124" s="12"/>
      <c r="AN1124" s="12">
        <v>0</v>
      </c>
      <c r="AO1124" s="12">
        <v>0</v>
      </c>
      <c r="AP1124" s="12">
        <v>0</v>
      </c>
      <c r="AQ1124" s="12">
        <v>0</v>
      </c>
      <c r="AR1124" s="12">
        <v>0</v>
      </c>
      <c r="AS1124" s="12">
        <v>0</v>
      </c>
      <c r="AT1124" s="12">
        <v>0</v>
      </c>
      <c r="AU1124" s="12">
        <v>0</v>
      </c>
      <c r="AV1124" s="12">
        <v>0</v>
      </c>
      <c r="AW1124" s="12">
        <v>0</v>
      </c>
      <c r="AX1124" s="12">
        <v>0</v>
      </c>
      <c r="AY1124" s="12">
        <v>0</v>
      </c>
      <c r="AZ1124"/>
      <c r="BA1124"/>
      <c r="BB1124" s="12">
        <v>0</v>
      </c>
      <c r="BC1124" s="12">
        <v>0</v>
      </c>
      <c r="BD1124" s="12">
        <v>0</v>
      </c>
      <c r="BE1124" s="12">
        <v>0</v>
      </c>
      <c r="BF1124" s="12">
        <v>0</v>
      </c>
      <c r="BI1124" s="12">
        <v>0</v>
      </c>
      <c r="BJ1124" s="12">
        <v>0</v>
      </c>
    </row>
    <row r="1125" spans="1:62" x14ac:dyDescent="0.15">
      <c r="A1125" s="12"/>
      <c r="B1125" t="s">
        <v>3043</v>
      </c>
      <c r="C1125" s="27" t="s">
        <v>3044</v>
      </c>
      <c r="D1125" t="s">
        <v>6596</v>
      </c>
      <c r="E1125" t="s">
        <v>2182</v>
      </c>
      <c r="F1125"/>
      <c r="G1125"/>
      <c r="H1125"/>
      <c r="I1125"/>
      <c r="J1125"/>
      <c r="K1125"/>
      <c r="L1125" s="10">
        <v>3824140</v>
      </c>
      <c r="M1125" s="10">
        <v>705220</v>
      </c>
      <c r="N1125" s="12">
        <v>15</v>
      </c>
      <c r="O1125" s="12" t="s">
        <v>6992</v>
      </c>
      <c r="P1125" t="s">
        <v>2183</v>
      </c>
      <c r="R1125"/>
      <c r="S1125" t="s">
        <v>2184</v>
      </c>
      <c r="T1125" s="12" t="s">
        <v>2185</v>
      </c>
      <c r="U1125" s="12" t="s">
        <v>2186</v>
      </c>
      <c r="V1125" s="12" t="s">
        <v>2187</v>
      </c>
      <c r="W1125" s="12">
        <v>0</v>
      </c>
      <c r="X1125" s="12">
        <v>1</v>
      </c>
      <c r="Y1125" s="12">
        <v>0</v>
      </c>
      <c r="Z1125" s="12">
        <v>0</v>
      </c>
      <c r="AA1125" s="12">
        <v>0</v>
      </c>
      <c r="AB1125" s="12">
        <v>0</v>
      </c>
      <c r="AC1125" s="12">
        <v>0</v>
      </c>
      <c r="AD1125" s="12">
        <v>0</v>
      </c>
      <c r="AE1125" s="12">
        <v>0</v>
      </c>
      <c r="AF1125" s="12">
        <v>0</v>
      </c>
      <c r="AG1125" s="12">
        <v>0</v>
      </c>
      <c r="AH1125" s="12">
        <v>0</v>
      </c>
      <c r="AI1125" s="12">
        <v>0</v>
      </c>
      <c r="AJ1125" s="12">
        <v>0</v>
      </c>
      <c r="AK1125" s="12">
        <v>0</v>
      </c>
      <c r="AL1125" s="12">
        <v>0</v>
      </c>
      <c r="AM1125" s="12"/>
      <c r="AN1125" s="12">
        <v>0</v>
      </c>
      <c r="AO1125" s="12">
        <v>0</v>
      </c>
      <c r="AP1125" s="12">
        <v>0</v>
      </c>
      <c r="AQ1125" s="12">
        <v>0</v>
      </c>
      <c r="AR1125" s="12">
        <v>0</v>
      </c>
      <c r="AS1125" s="12">
        <v>0</v>
      </c>
      <c r="AT1125" s="12">
        <v>0</v>
      </c>
      <c r="AU1125" s="12">
        <v>0</v>
      </c>
      <c r="AV1125" s="12">
        <v>0</v>
      </c>
      <c r="AW1125" s="12">
        <v>0</v>
      </c>
      <c r="AX1125" s="12">
        <v>0</v>
      </c>
      <c r="AY1125" s="12">
        <v>0</v>
      </c>
      <c r="AZ1125"/>
      <c r="BA1125"/>
      <c r="BB1125" s="12">
        <v>0</v>
      </c>
      <c r="BC1125" s="12">
        <v>0</v>
      </c>
      <c r="BD1125" s="12">
        <v>0</v>
      </c>
      <c r="BE1125" s="12">
        <v>0</v>
      </c>
      <c r="BF1125" s="12">
        <v>0</v>
      </c>
      <c r="BI1125" s="12">
        <v>0</v>
      </c>
      <c r="BJ1125" s="12">
        <v>0</v>
      </c>
    </row>
    <row r="1126" spans="1:62" x14ac:dyDescent="0.15">
      <c r="A1126" s="12"/>
      <c r="B1126" t="s">
        <v>3045</v>
      </c>
      <c r="C1126" s="27" t="s">
        <v>3046</v>
      </c>
      <c r="D1126" t="s">
        <v>6596</v>
      </c>
      <c r="E1126" t="s">
        <v>2182</v>
      </c>
      <c r="F1126"/>
      <c r="G1126"/>
      <c r="H1126"/>
      <c r="I1126"/>
      <c r="J1126"/>
      <c r="K1126"/>
      <c r="L1126" s="10">
        <v>3833520</v>
      </c>
      <c r="M1126" s="10">
        <v>699850</v>
      </c>
      <c r="N1126" s="12">
        <v>15</v>
      </c>
      <c r="O1126" s="12" t="s">
        <v>6992</v>
      </c>
      <c r="P1126" t="s">
        <v>2183</v>
      </c>
      <c r="R1126"/>
      <c r="S1126" t="s">
        <v>2184</v>
      </c>
      <c r="T1126" s="12" t="s">
        <v>2185</v>
      </c>
      <c r="U1126" s="12" t="s">
        <v>2186</v>
      </c>
      <c r="V1126" s="12" t="s">
        <v>2187</v>
      </c>
      <c r="W1126" s="12">
        <v>0</v>
      </c>
      <c r="X1126" s="12">
        <v>1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2">
        <v>0</v>
      </c>
      <c r="AK1126" s="12">
        <v>0</v>
      </c>
      <c r="AL1126" s="12">
        <v>0</v>
      </c>
      <c r="AM1126" s="12"/>
      <c r="AN1126" s="12">
        <v>0</v>
      </c>
      <c r="AO1126" s="12">
        <v>0</v>
      </c>
      <c r="AP1126" s="12">
        <v>0</v>
      </c>
      <c r="AQ1126" s="12">
        <v>0</v>
      </c>
      <c r="AR1126" s="12">
        <v>0</v>
      </c>
      <c r="AS1126" s="12">
        <v>0</v>
      </c>
      <c r="AT1126" s="12">
        <v>0</v>
      </c>
      <c r="AU1126" s="12">
        <v>0</v>
      </c>
      <c r="AV1126" s="12">
        <v>0</v>
      </c>
      <c r="AW1126" s="12">
        <v>0</v>
      </c>
      <c r="AX1126" s="12">
        <v>0</v>
      </c>
      <c r="AY1126" s="12">
        <v>0</v>
      </c>
      <c r="AZ1126"/>
      <c r="BA1126"/>
      <c r="BB1126" s="12">
        <v>0</v>
      </c>
      <c r="BC1126" s="12">
        <v>0</v>
      </c>
      <c r="BD1126" s="12">
        <v>0</v>
      </c>
      <c r="BE1126" s="12">
        <v>0</v>
      </c>
      <c r="BF1126" s="12">
        <v>0</v>
      </c>
      <c r="BI1126" s="12">
        <v>0</v>
      </c>
      <c r="BJ1126" s="12">
        <v>0</v>
      </c>
    </row>
    <row r="1127" spans="1:62" x14ac:dyDescent="0.15">
      <c r="A1127" s="12"/>
      <c r="B1127" t="s">
        <v>3047</v>
      </c>
      <c r="C1127" t="s">
        <v>3047</v>
      </c>
      <c r="D1127" t="s">
        <v>6596</v>
      </c>
      <c r="E1127" t="s">
        <v>2182</v>
      </c>
      <c r="F1127"/>
      <c r="G1127"/>
      <c r="H1127"/>
      <c r="I1127"/>
      <c r="J1127"/>
      <c r="K1127"/>
      <c r="L1127" s="10">
        <v>3877880</v>
      </c>
      <c r="M1127" s="10">
        <v>698760</v>
      </c>
      <c r="N1127" s="12">
        <v>15</v>
      </c>
      <c r="O1127" s="12" t="s">
        <v>6992</v>
      </c>
      <c r="P1127" t="s">
        <v>2183</v>
      </c>
      <c r="R1127"/>
      <c r="S1127" t="s">
        <v>2184</v>
      </c>
      <c r="T1127" s="12" t="s">
        <v>2185</v>
      </c>
      <c r="U1127" s="12" t="s">
        <v>2186</v>
      </c>
      <c r="V1127" s="12" t="s">
        <v>2187</v>
      </c>
      <c r="W1127" s="12">
        <v>0</v>
      </c>
      <c r="X1127" s="12">
        <v>1</v>
      </c>
      <c r="Y1127" s="12">
        <v>0</v>
      </c>
      <c r="Z1127" s="12">
        <v>0</v>
      </c>
      <c r="AA1127" s="12">
        <v>0</v>
      </c>
      <c r="AB1127" s="12">
        <v>0</v>
      </c>
      <c r="AC1127" s="12">
        <v>0</v>
      </c>
      <c r="AD1127" s="12">
        <v>0</v>
      </c>
      <c r="AE1127" s="12">
        <v>0</v>
      </c>
      <c r="AF1127" s="12">
        <v>0</v>
      </c>
      <c r="AG1127" s="12">
        <v>0</v>
      </c>
      <c r="AH1127" s="12">
        <v>0</v>
      </c>
      <c r="AI1127" s="12">
        <v>0</v>
      </c>
      <c r="AJ1127" s="12">
        <v>0</v>
      </c>
      <c r="AK1127" s="12">
        <v>0</v>
      </c>
      <c r="AL1127" s="12">
        <v>0</v>
      </c>
      <c r="AM1127" s="12"/>
      <c r="AN1127" s="12">
        <v>0</v>
      </c>
      <c r="AO1127" s="12">
        <v>0</v>
      </c>
      <c r="AP1127" s="12">
        <v>0</v>
      </c>
      <c r="AQ1127" s="12">
        <v>0</v>
      </c>
      <c r="AR1127" s="12">
        <v>0</v>
      </c>
      <c r="AS1127" s="12">
        <v>0</v>
      </c>
      <c r="AT1127" s="12">
        <v>0</v>
      </c>
      <c r="AU1127" s="12">
        <v>0</v>
      </c>
      <c r="AV1127" s="12">
        <v>0</v>
      </c>
      <c r="AW1127" s="12">
        <v>0</v>
      </c>
      <c r="AX1127" s="12">
        <v>0</v>
      </c>
      <c r="AY1127" s="12">
        <v>0</v>
      </c>
      <c r="AZ1127"/>
      <c r="BA1127"/>
      <c r="BB1127" s="12">
        <v>0</v>
      </c>
      <c r="BC1127" s="12">
        <v>0</v>
      </c>
      <c r="BD1127" s="12">
        <v>0</v>
      </c>
      <c r="BE1127" s="12">
        <v>0</v>
      </c>
      <c r="BF1127" s="12">
        <v>0</v>
      </c>
      <c r="BI1127" s="12">
        <v>0</v>
      </c>
      <c r="BJ1127" s="12">
        <v>0</v>
      </c>
    </row>
    <row r="1128" spans="1:62" x14ac:dyDescent="0.15">
      <c r="A1128" s="12"/>
      <c r="B1128" t="s">
        <v>3048</v>
      </c>
      <c r="C1128" t="s">
        <v>3048</v>
      </c>
      <c r="D1128" t="s">
        <v>6596</v>
      </c>
      <c r="E1128" t="s">
        <v>2182</v>
      </c>
      <c r="F1128"/>
      <c r="G1128"/>
      <c r="H1128"/>
      <c r="I1128"/>
      <c r="J1128"/>
      <c r="K1128"/>
      <c r="L1128" s="10">
        <v>3918900</v>
      </c>
      <c r="M1128" s="10">
        <v>712850</v>
      </c>
      <c r="N1128" s="12">
        <v>15</v>
      </c>
      <c r="O1128" s="12" t="s">
        <v>6992</v>
      </c>
      <c r="P1128" t="s">
        <v>2183</v>
      </c>
      <c r="R1128"/>
      <c r="S1128" t="s">
        <v>2184</v>
      </c>
      <c r="T1128" s="12" t="s">
        <v>2185</v>
      </c>
      <c r="U1128" s="12" t="s">
        <v>2186</v>
      </c>
      <c r="V1128" s="12" t="s">
        <v>2187</v>
      </c>
      <c r="W1128" s="12">
        <v>0</v>
      </c>
      <c r="X1128" s="12">
        <v>1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2">
        <v>0</v>
      </c>
      <c r="AK1128" s="12">
        <v>0</v>
      </c>
      <c r="AL1128" s="12">
        <v>0</v>
      </c>
      <c r="AM1128" s="12"/>
      <c r="AN1128" s="12">
        <v>0</v>
      </c>
      <c r="AO1128" s="12">
        <v>0</v>
      </c>
      <c r="AP1128" s="12">
        <v>0</v>
      </c>
      <c r="AQ1128" s="12">
        <v>0</v>
      </c>
      <c r="AR1128" s="12">
        <v>0</v>
      </c>
      <c r="AS1128" s="12">
        <v>0</v>
      </c>
      <c r="AT1128" s="12">
        <v>0</v>
      </c>
      <c r="AU1128" s="12">
        <v>0</v>
      </c>
      <c r="AV1128" s="12">
        <v>0</v>
      </c>
      <c r="AW1128" s="12">
        <v>0</v>
      </c>
      <c r="AX1128" s="12">
        <v>0</v>
      </c>
      <c r="AY1128" s="12">
        <v>0</v>
      </c>
      <c r="AZ1128"/>
      <c r="BA1128"/>
      <c r="BB1128" s="12">
        <v>0</v>
      </c>
      <c r="BC1128" s="12">
        <v>0</v>
      </c>
      <c r="BD1128" s="12">
        <v>0</v>
      </c>
      <c r="BE1128" s="12">
        <v>0</v>
      </c>
      <c r="BF1128" s="12">
        <v>0</v>
      </c>
      <c r="BI1128" s="12">
        <v>0</v>
      </c>
      <c r="BJ1128" s="12">
        <v>0</v>
      </c>
    </row>
    <row r="1129" spans="1:62" x14ac:dyDescent="0.15">
      <c r="A1129" s="12"/>
      <c r="B1129" t="s">
        <v>3049</v>
      </c>
      <c r="C1129" t="s">
        <v>3049</v>
      </c>
      <c r="D1129" t="s">
        <v>6596</v>
      </c>
      <c r="E1129" t="s">
        <v>2182</v>
      </c>
      <c r="F1129"/>
      <c r="G1129"/>
      <c r="H1129"/>
      <c r="I1129"/>
      <c r="J1129"/>
      <c r="K1129"/>
      <c r="L1129" s="10">
        <v>3918120</v>
      </c>
      <c r="M1129" s="10">
        <v>712620</v>
      </c>
      <c r="N1129" s="12">
        <v>15</v>
      </c>
      <c r="O1129" s="12" t="s">
        <v>6992</v>
      </c>
      <c r="P1129" t="s">
        <v>2183</v>
      </c>
      <c r="R1129"/>
      <c r="S1129" t="s">
        <v>2184</v>
      </c>
      <c r="T1129" s="12" t="s">
        <v>2185</v>
      </c>
      <c r="U1129" s="12" t="s">
        <v>2186</v>
      </c>
      <c r="V1129" s="12" t="s">
        <v>2187</v>
      </c>
      <c r="W1129" s="12">
        <v>0</v>
      </c>
      <c r="X1129" s="12">
        <v>1</v>
      </c>
      <c r="Y1129" s="12">
        <v>0</v>
      </c>
      <c r="Z1129" s="12">
        <v>0</v>
      </c>
      <c r="AA1129" s="12">
        <v>0</v>
      </c>
      <c r="AB1129" s="12">
        <v>0</v>
      </c>
      <c r="AC1129" s="12">
        <v>0</v>
      </c>
      <c r="AD1129" s="12">
        <v>0</v>
      </c>
      <c r="AE1129" s="12">
        <v>0</v>
      </c>
      <c r="AF1129" s="12">
        <v>0</v>
      </c>
      <c r="AG1129" s="12">
        <v>0</v>
      </c>
      <c r="AH1129" s="12">
        <v>0</v>
      </c>
      <c r="AI1129" s="12">
        <v>0</v>
      </c>
      <c r="AJ1129" s="12">
        <v>0</v>
      </c>
      <c r="AK1129" s="12">
        <v>0</v>
      </c>
      <c r="AL1129" s="12">
        <v>0</v>
      </c>
      <c r="AM1129" s="12"/>
      <c r="AN1129" s="12">
        <v>0</v>
      </c>
      <c r="AO1129" s="12">
        <v>0</v>
      </c>
      <c r="AP1129" s="12">
        <v>0</v>
      </c>
      <c r="AQ1129" s="12">
        <v>0</v>
      </c>
      <c r="AR1129" s="12">
        <v>0</v>
      </c>
      <c r="AS1129" s="12">
        <v>0</v>
      </c>
      <c r="AT1129" s="12">
        <v>0</v>
      </c>
      <c r="AU1129" s="12">
        <v>0</v>
      </c>
      <c r="AV1129" s="12">
        <v>0</v>
      </c>
      <c r="AW1129" s="12">
        <v>0</v>
      </c>
      <c r="AX1129" s="12">
        <v>0</v>
      </c>
      <c r="AY1129" s="12">
        <v>0</v>
      </c>
      <c r="AZ1129"/>
      <c r="BA1129"/>
      <c r="BB1129" s="12">
        <v>0</v>
      </c>
      <c r="BC1129" s="12">
        <v>0</v>
      </c>
      <c r="BD1129" s="12">
        <v>0</v>
      </c>
      <c r="BE1129" s="12">
        <v>0</v>
      </c>
      <c r="BF1129" s="12">
        <v>0</v>
      </c>
      <c r="BI1129" s="12">
        <v>0</v>
      </c>
      <c r="BJ1129" s="12">
        <v>0</v>
      </c>
    </row>
    <row r="1130" spans="1:62" x14ac:dyDescent="0.15">
      <c r="A1130" s="12"/>
      <c r="B1130" t="s">
        <v>3050</v>
      </c>
      <c r="C1130" t="s">
        <v>3050</v>
      </c>
      <c r="D1130" t="s">
        <v>6596</v>
      </c>
      <c r="E1130" t="s">
        <v>2182</v>
      </c>
      <c r="F1130"/>
      <c r="G1130"/>
      <c r="H1130"/>
      <c r="I1130"/>
      <c r="J1130"/>
      <c r="K1130"/>
      <c r="L1130" s="10">
        <v>3948510</v>
      </c>
      <c r="M1130" s="10">
        <v>695000</v>
      </c>
      <c r="N1130" s="12">
        <v>15</v>
      </c>
      <c r="O1130" s="12" t="s">
        <v>6992</v>
      </c>
      <c r="P1130" t="s">
        <v>2183</v>
      </c>
      <c r="R1130"/>
      <c r="S1130" t="s">
        <v>2184</v>
      </c>
      <c r="T1130" s="12" t="s">
        <v>2185</v>
      </c>
      <c r="U1130" s="12" t="s">
        <v>2186</v>
      </c>
      <c r="V1130" s="12" t="s">
        <v>2187</v>
      </c>
      <c r="W1130" s="12">
        <v>0</v>
      </c>
      <c r="X1130" s="12">
        <v>1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2">
        <v>0</v>
      </c>
      <c r="AK1130" s="12">
        <v>0</v>
      </c>
      <c r="AL1130" s="12">
        <v>0</v>
      </c>
      <c r="AM1130" s="12"/>
      <c r="AN1130" s="12">
        <v>0</v>
      </c>
      <c r="AO1130" s="12">
        <v>0</v>
      </c>
      <c r="AP1130" s="12">
        <v>0</v>
      </c>
      <c r="AQ1130" s="12">
        <v>0</v>
      </c>
      <c r="AR1130" s="12">
        <v>0</v>
      </c>
      <c r="AS1130" s="12">
        <v>0</v>
      </c>
      <c r="AT1130" s="12">
        <v>0</v>
      </c>
      <c r="AU1130" s="12">
        <v>0</v>
      </c>
      <c r="AV1130" s="12">
        <v>0</v>
      </c>
      <c r="AW1130" s="12">
        <v>0</v>
      </c>
      <c r="AX1130" s="12">
        <v>0</v>
      </c>
      <c r="AY1130" s="12">
        <v>0</v>
      </c>
      <c r="AZ1130"/>
      <c r="BA1130"/>
      <c r="BB1130" s="12">
        <v>0</v>
      </c>
      <c r="BC1130" s="12">
        <v>0</v>
      </c>
      <c r="BD1130" s="12">
        <v>0</v>
      </c>
      <c r="BE1130" s="12">
        <v>0</v>
      </c>
      <c r="BF1130" s="12">
        <v>0</v>
      </c>
      <c r="BI1130" s="12">
        <v>0</v>
      </c>
      <c r="BJ1130" s="12">
        <v>0</v>
      </c>
    </row>
    <row r="1131" spans="1:62" x14ac:dyDescent="0.15">
      <c r="A1131" s="12"/>
      <c r="B1131" t="s">
        <v>3051</v>
      </c>
      <c r="C1131" t="s">
        <v>3051</v>
      </c>
      <c r="D1131" t="s">
        <v>6596</v>
      </c>
      <c r="E1131" t="s">
        <v>2182</v>
      </c>
      <c r="F1131"/>
      <c r="G1131"/>
      <c r="H1131"/>
      <c r="I1131"/>
      <c r="J1131"/>
      <c r="K1131"/>
      <c r="L1131" s="10">
        <v>3867865</v>
      </c>
      <c r="M1131" s="10">
        <v>704800</v>
      </c>
      <c r="N1131" s="12">
        <v>15</v>
      </c>
      <c r="O1131" s="12" t="s">
        <v>6992</v>
      </c>
      <c r="P1131" t="s">
        <v>2183</v>
      </c>
      <c r="R1131"/>
      <c r="S1131" t="s">
        <v>2184</v>
      </c>
      <c r="T1131" s="12" t="s">
        <v>2185</v>
      </c>
      <c r="U1131" s="12" t="s">
        <v>2186</v>
      </c>
      <c r="V1131" s="12" t="s">
        <v>2187</v>
      </c>
      <c r="W1131" s="12">
        <v>0</v>
      </c>
      <c r="X1131" s="12">
        <v>1</v>
      </c>
      <c r="Y1131" s="12">
        <v>0</v>
      </c>
      <c r="Z1131" s="12">
        <v>0</v>
      </c>
      <c r="AA1131" s="12">
        <v>0</v>
      </c>
      <c r="AB1131" s="12">
        <v>0</v>
      </c>
      <c r="AC1131" s="12">
        <v>0</v>
      </c>
      <c r="AD1131" s="12">
        <v>0</v>
      </c>
      <c r="AE1131" s="12">
        <v>0</v>
      </c>
      <c r="AF1131" s="12">
        <v>0</v>
      </c>
      <c r="AG1131" s="12">
        <v>0</v>
      </c>
      <c r="AH1131" s="12">
        <v>0</v>
      </c>
      <c r="AI1131" s="12">
        <v>0</v>
      </c>
      <c r="AJ1131" s="12">
        <v>0</v>
      </c>
      <c r="AK1131" s="12">
        <v>0</v>
      </c>
      <c r="AL1131" s="12">
        <v>0</v>
      </c>
      <c r="AM1131" s="12"/>
      <c r="AN1131" s="12">
        <v>0</v>
      </c>
      <c r="AO1131" s="12">
        <v>0</v>
      </c>
      <c r="AP1131" s="12">
        <v>0</v>
      </c>
      <c r="AQ1131" s="12">
        <v>0</v>
      </c>
      <c r="AR1131" s="12">
        <v>0</v>
      </c>
      <c r="AS1131" s="12">
        <v>0</v>
      </c>
      <c r="AT1131" s="12">
        <v>0</v>
      </c>
      <c r="AU1131" s="12">
        <v>0</v>
      </c>
      <c r="AV1131" s="12">
        <v>0</v>
      </c>
      <c r="AW1131" s="12">
        <v>0</v>
      </c>
      <c r="AX1131" s="12">
        <v>0</v>
      </c>
      <c r="AY1131" s="12">
        <v>0</v>
      </c>
      <c r="AZ1131"/>
      <c r="BA1131"/>
      <c r="BB1131" s="12">
        <v>0</v>
      </c>
      <c r="BC1131" s="12">
        <v>0</v>
      </c>
      <c r="BD1131" s="12">
        <v>0</v>
      </c>
      <c r="BE1131" s="12">
        <v>0</v>
      </c>
      <c r="BF1131" s="12">
        <v>0</v>
      </c>
      <c r="BI1131" s="12">
        <v>0</v>
      </c>
      <c r="BJ1131" s="12">
        <v>0</v>
      </c>
    </row>
    <row r="1132" spans="1:62" x14ac:dyDescent="0.15">
      <c r="A1132" s="12"/>
      <c r="B1132" t="s">
        <v>3052</v>
      </c>
      <c r="C1132" s="27" t="s">
        <v>3053</v>
      </c>
      <c r="D1132" t="s">
        <v>6596</v>
      </c>
      <c r="E1132" t="s">
        <v>2182</v>
      </c>
      <c r="F1132"/>
      <c r="G1132"/>
      <c r="H1132"/>
      <c r="I1132"/>
      <c r="J1132"/>
      <c r="K1132"/>
      <c r="L1132" s="10">
        <v>3959640</v>
      </c>
      <c r="M1132" s="10">
        <v>681540</v>
      </c>
      <c r="N1132" s="12">
        <v>15</v>
      </c>
      <c r="O1132" s="12" t="s">
        <v>6992</v>
      </c>
      <c r="P1132" t="s">
        <v>2183</v>
      </c>
      <c r="R1132"/>
      <c r="S1132" t="s">
        <v>2184</v>
      </c>
      <c r="T1132" s="12" t="s">
        <v>2185</v>
      </c>
      <c r="U1132" s="12" t="s">
        <v>2186</v>
      </c>
      <c r="V1132" s="12" t="s">
        <v>2187</v>
      </c>
      <c r="W1132" s="12">
        <v>0</v>
      </c>
      <c r="X1132" s="12">
        <v>1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2">
        <v>0</v>
      </c>
      <c r="AK1132" s="12">
        <v>0</v>
      </c>
      <c r="AL1132" s="12">
        <v>0</v>
      </c>
      <c r="AM1132" s="12"/>
      <c r="AN1132" s="12">
        <v>0</v>
      </c>
      <c r="AO1132" s="12">
        <v>0</v>
      </c>
      <c r="AP1132" s="12">
        <v>0</v>
      </c>
      <c r="AQ1132" s="12">
        <v>0</v>
      </c>
      <c r="AR1132" s="12">
        <v>0</v>
      </c>
      <c r="AS1132" s="12">
        <v>0</v>
      </c>
      <c r="AT1132" s="12">
        <v>0</v>
      </c>
      <c r="AU1132" s="12">
        <v>0</v>
      </c>
      <c r="AV1132" s="12">
        <v>0</v>
      </c>
      <c r="AW1132" s="12">
        <v>0</v>
      </c>
      <c r="AX1132" s="12">
        <v>0</v>
      </c>
      <c r="AY1132" s="12">
        <v>0</v>
      </c>
      <c r="AZ1132"/>
      <c r="BA1132"/>
      <c r="BB1132" s="12">
        <v>0</v>
      </c>
      <c r="BC1132" s="12">
        <v>0</v>
      </c>
      <c r="BD1132" s="12">
        <v>0</v>
      </c>
      <c r="BE1132" s="12">
        <v>0</v>
      </c>
      <c r="BF1132" s="12">
        <v>0</v>
      </c>
      <c r="BI1132" s="12">
        <v>0</v>
      </c>
      <c r="BJ1132" s="12">
        <v>0</v>
      </c>
    </row>
    <row r="1133" spans="1:62" x14ac:dyDescent="0.15">
      <c r="A1133" s="12"/>
      <c r="B1133" t="s">
        <v>3054</v>
      </c>
      <c r="C1133" t="s">
        <v>3054</v>
      </c>
      <c r="D1133" t="s">
        <v>6596</v>
      </c>
      <c r="E1133" t="s">
        <v>2182</v>
      </c>
      <c r="F1133"/>
      <c r="G1133"/>
      <c r="H1133"/>
      <c r="I1133"/>
      <c r="J1133"/>
      <c r="K1133"/>
      <c r="L1133" s="10">
        <v>3961000</v>
      </c>
      <c r="M1133" s="10">
        <v>681250</v>
      </c>
      <c r="N1133" s="12">
        <v>15</v>
      </c>
      <c r="O1133" s="12" t="s">
        <v>6992</v>
      </c>
      <c r="P1133" t="s">
        <v>2183</v>
      </c>
      <c r="R1133"/>
      <c r="S1133" t="s">
        <v>2184</v>
      </c>
      <c r="T1133" s="12" t="s">
        <v>2185</v>
      </c>
      <c r="U1133" s="12" t="s">
        <v>2186</v>
      </c>
      <c r="V1133" s="12" t="s">
        <v>2187</v>
      </c>
      <c r="W1133" s="12">
        <v>0</v>
      </c>
      <c r="X1133" s="12">
        <v>1</v>
      </c>
      <c r="Y1133" s="12">
        <v>0</v>
      </c>
      <c r="Z1133" s="12">
        <v>0</v>
      </c>
      <c r="AA1133" s="12">
        <v>0</v>
      </c>
      <c r="AB1133" s="12">
        <v>0</v>
      </c>
      <c r="AC1133" s="12">
        <v>0</v>
      </c>
      <c r="AD1133" s="12">
        <v>0</v>
      </c>
      <c r="AE1133" s="12">
        <v>0</v>
      </c>
      <c r="AF1133" s="12">
        <v>0</v>
      </c>
      <c r="AG1133" s="12">
        <v>0</v>
      </c>
      <c r="AH1133" s="12">
        <v>0</v>
      </c>
      <c r="AI1133" s="12">
        <v>0</v>
      </c>
      <c r="AJ1133" s="12">
        <v>0</v>
      </c>
      <c r="AK1133" s="12">
        <v>0</v>
      </c>
      <c r="AL1133" s="12">
        <v>0</v>
      </c>
      <c r="AM1133" s="12"/>
      <c r="AN1133" s="12">
        <v>0</v>
      </c>
      <c r="AO1133" s="12">
        <v>0</v>
      </c>
      <c r="AP1133" s="12">
        <v>0</v>
      </c>
      <c r="AQ1133" s="12">
        <v>0</v>
      </c>
      <c r="AR1133" s="12">
        <v>0</v>
      </c>
      <c r="AS1133" s="12">
        <v>0</v>
      </c>
      <c r="AT1133" s="12">
        <v>0</v>
      </c>
      <c r="AU1133" s="12">
        <v>0</v>
      </c>
      <c r="AV1133" s="12">
        <v>0</v>
      </c>
      <c r="AW1133" s="12">
        <v>0</v>
      </c>
      <c r="AX1133" s="12">
        <v>0</v>
      </c>
      <c r="AY1133" s="12">
        <v>0</v>
      </c>
      <c r="AZ1133"/>
      <c r="BA1133"/>
      <c r="BB1133" s="12">
        <v>0</v>
      </c>
      <c r="BC1133" s="12">
        <v>0</v>
      </c>
      <c r="BD1133" s="12">
        <v>0</v>
      </c>
      <c r="BE1133" s="12">
        <v>0</v>
      </c>
      <c r="BF1133" s="12">
        <v>0</v>
      </c>
      <c r="BI1133" s="12">
        <v>0</v>
      </c>
      <c r="BJ1133" s="12">
        <v>0</v>
      </c>
    </row>
    <row r="1134" spans="1:62" x14ac:dyDescent="0.15">
      <c r="A1134" s="12"/>
      <c r="B1134" t="s">
        <v>3055</v>
      </c>
      <c r="C1134" t="s">
        <v>3055</v>
      </c>
      <c r="D1134" t="s">
        <v>6596</v>
      </c>
      <c r="E1134" t="s">
        <v>2182</v>
      </c>
      <c r="F1134"/>
      <c r="G1134"/>
      <c r="H1134"/>
      <c r="I1134"/>
      <c r="J1134"/>
      <c r="K1134"/>
      <c r="L1134" s="10">
        <v>3960900</v>
      </c>
      <c r="M1134" s="10">
        <v>681020</v>
      </c>
      <c r="N1134" s="12">
        <v>15</v>
      </c>
      <c r="O1134" s="12" t="s">
        <v>6992</v>
      </c>
      <c r="P1134" t="s">
        <v>2183</v>
      </c>
      <c r="R1134"/>
      <c r="S1134" t="s">
        <v>2184</v>
      </c>
      <c r="T1134" s="12" t="s">
        <v>2185</v>
      </c>
      <c r="U1134" s="12" t="s">
        <v>2186</v>
      </c>
      <c r="V1134" s="12" t="s">
        <v>2187</v>
      </c>
      <c r="W1134" s="12">
        <v>0</v>
      </c>
      <c r="X1134" s="12">
        <v>1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2">
        <v>0</v>
      </c>
      <c r="AK1134" s="12">
        <v>0</v>
      </c>
      <c r="AL1134" s="12">
        <v>0</v>
      </c>
      <c r="AM1134" s="12"/>
      <c r="AN1134" s="12">
        <v>0</v>
      </c>
      <c r="AO1134" s="12">
        <v>0</v>
      </c>
      <c r="AP1134" s="12">
        <v>0</v>
      </c>
      <c r="AQ1134" s="12">
        <v>0</v>
      </c>
      <c r="AR1134" s="12">
        <v>0</v>
      </c>
      <c r="AS1134" s="12">
        <v>0</v>
      </c>
      <c r="AT1134" s="12">
        <v>0</v>
      </c>
      <c r="AU1134" s="12">
        <v>0</v>
      </c>
      <c r="AV1134" s="12">
        <v>0</v>
      </c>
      <c r="AW1134" s="12">
        <v>0</v>
      </c>
      <c r="AX1134" s="12">
        <v>0</v>
      </c>
      <c r="AY1134" s="12">
        <v>0</v>
      </c>
      <c r="AZ1134"/>
      <c r="BA1134"/>
      <c r="BB1134" s="12">
        <v>0</v>
      </c>
      <c r="BC1134" s="12">
        <v>0</v>
      </c>
      <c r="BD1134" s="12">
        <v>0</v>
      </c>
      <c r="BE1134" s="12">
        <v>0</v>
      </c>
      <c r="BF1134" s="12">
        <v>0</v>
      </c>
      <c r="BI1134" s="12">
        <v>0</v>
      </c>
      <c r="BJ1134" s="12">
        <v>0</v>
      </c>
    </row>
    <row r="1135" spans="1:62" x14ac:dyDescent="0.15">
      <c r="A1135" s="12"/>
      <c r="B1135" t="s">
        <v>3056</v>
      </c>
      <c r="C1135" t="s">
        <v>3056</v>
      </c>
      <c r="D1135" t="s">
        <v>6596</v>
      </c>
      <c r="E1135" t="s">
        <v>2182</v>
      </c>
      <c r="F1135"/>
      <c r="G1135"/>
      <c r="H1135"/>
      <c r="I1135"/>
      <c r="J1135"/>
      <c r="K1135"/>
      <c r="L1135" s="10">
        <v>3845260</v>
      </c>
      <c r="M1135" s="10">
        <v>383070</v>
      </c>
      <c r="N1135" s="12">
        <v>15</v>
      </c>
      <c r="O1135" s="12" t="s">
        <v>6992</v>
      </c>
      <c r="P1135" t="s">
        <v>2183</v>
      </c>
      <c r="R1135"/>
      <c r="S1135" t="s">
        <v>2184</v>
      </c>
      <c r="T1135" s="12" t="s">
        <v>2185</v>
      </c>
      <c r="U1135" s="12" t="s">
        <v>2186</v>
      </c>
      <c r="V1135" s="12" t="s">
        <v>2187</v>
      </c>
      <c r="W1135" s="12">
        <v>0</v>
      </c>
      <c r="X1135" s="12">
        <v>1</v>
      </c>
      <c r="Y1135" s="12">
        <v>0</v>
      </c>
      <c r="Z1135" s="12">
        <v>0</v>
      </c>
      <c r="AA1135" s="12">
        <v>0</v>
      </c>
      <c r="AB1135" s="12">
        <v>0</v>
      </c>
      <c r="AC1135" s="12">
        <v>0</v>
      </c>
      <c r="AD1135" s="12">
        <v>0</v>
      </c>
      <c r="AE1135" s="12">
        <v>0</v>
      </c>
      <c r="AF1135" s="12">
        <v>0</v>
      </c>
      <c r="AG1135" s="12">
        <v>0</v>
      </c>
      <c r="AH1135" s="12">
        <v>0</v>
      </c>
      <c r="AI1135" s="12">
        <v>0</v>
      </c>
      <c r="AJ1135" s="12">
        <v>0</v>
      </c>
      <c r="AK1135" s="12">
        <v>0</v>
      </c>
      <c r="AL1135" s="12">
        <v>0</v>
      </c>
      <c r="AM1135" s="12"/>
      <c r="AN1135" s="12">
        <v>0</v>
      </c>
      <c r="AO1135" s="12">
        <v>0</v>
      </c>
      <c r="AP1135" s="12">
        <v>0</v>
      </c>
      <c r="AQ1135" s="12">
        <v>0</v>
      </c>
      <c r="AR1135" s="12">
        <v>0</v>
      </c>
      <c r="AS1135" s="12">
        <v>0</v>
      </c>
      <c r="AT1135" s="12">
        <v>0</v>
      </c>
      <c r="AU1135" s="12">
        <v>0</v>
      </c>
      <c r="AV1135" s="12">
        <v>0</v>
      </c>
      <c r="AW1135" s="12">
        <v>0</v>
      </c>
      <c r="AX1135" s="12">
        <v>0</v>
      </c>
      <c r="AY1135" s="12">
        <v>0</v>
      </c>
      <c r="AZ1135"/>
      <c r="BA1135"/>
      <c r="BB1135" s="12">
        <v>0</v>
      </c>
      <c r="BC1135" s="12">
        <v>0</v>
      </c>
      <c r="BD1135" s="12">
        <v>0</v>
      </c>
      <c r="BE1135" s="12">
        <v>0</v>
      </c>
      <c r="BF1135" s="12">
        <v>0</v>
      </c>
      <c r="BI1135" s="12">
        <v>0</v>
      </c>
      <c r="BJ1135" s="12">
        <v>0</v>
      </c>
    </row>
    <row r="1136" spans="1:62" x14ac:dyDescent="0.15">
      <c r="A1136" s="12"/>
      <c r="B1136" t="s">
        <v>3057</v>
      </c>
      <c r="C1136" t="s">
        <v>3057</v>
      </c>
      <c r="D1136" t="s">
        <v>6596</v>
      </c>
      <c r="E1136" t="s">
        <v>2182</v>
      </c>
      <c r="F1136"/>
      <c r="G1136"/>
      <c r="H1136"/>
      <c r="I1136"/>
      <c r="J1136"/>
      <c r="K1136"/>
      <c r="L1136" s="10">
        <v>3844950</v>
      </c>
      <c r="M1136" s="10">
        <v>382820</v>
      </c>
      <c r="N1136" s="12">
        <v>15</v>
      </c>
      <c r="O1136" s="12" t="s">
        <v>6992</v>
      </c>
      <c r="P1136" t="s">
        <v>2183</v>
      </c>
      <c r="R1136"/>
      <c r="S1136" t="s">
        <v>2184</v>
      </c>
      <c r="T1136" s="12" t="s">
        <v>2185</v>
      </c>
      <c r="U1136" s="12" t="s">
        <v>2186</v>
      </c>
      <c r="V1136" s="12" t="s">
        <v>2187</v>
      </c>
      <c r="W1136" s="12">
        <v>0</v>
      </c>
      <c r="X1136" s="12">
        <v>1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2">
        <v>0</v>
      </c>
      <c r="AK1136" s="12">
        <v>0</v>
      </c>
      <c r="AL1136" s="12">
        <v>0</v>
      </c>
      <c r="AM1136" s="12"/>
      <c r="AN1136" s="12">
        <v>0</v>
      </c>
      <c r="AO1136" s="12">
        <v>0</v>
      </c>
      <c r="AP1136" s="12">
        <v>0</v>
      </c>
      <c r="AQ1136" s="12">
        <v>0</v>
      </c>
      <c r="AR1136" s="12">
        <v>0</v>
      </c>
      <c r="AS1136" s="12">
        <v>0</v>
      </c>
      <c r="AT1136" s="12">
        <v>0</v>
      </c>
      <c r="AU1136" s="12">
        <v>0</v>
      </c>
      <c r="AV1136" s="12">
        <v>0</v>
      </c>
      <c r="AW1136" s="12">
        <v>0</v>
      </c>
      <c r="AX1136" s="12">
        <v>0</v>
      </c>
      <c r="AY1136" s="12">
        <v>0</v>
      </c>
      <c r="AZ1136"/>
      <c r="BA1136"/>
      <c r="BB1136" s="12">
        <v>0</v>
      </c>
      <c r="BC1136" s="12">
        <v>0</v>
      </c>
      <c r="BD1136" s="12">
        <v>0</v>
      </c>
      <c r="BE1136" s="12">
        <v>0</v>
      </c>
      <c r="BF1136" s="12">
        <v>0</v>
      </c>
      <c r="BI1136" s="12">
        <v>0</v>
      </c>
      <c r="BJ1136" s="12">
        <v>0</v>
      </c>
    </row>
    <row r="1137" spans="1:62" x14ac:dyDescent="0.15">
      <c r="A1137" s="12"/>
      <c r="B1137" t="s">
        <v>3058</v>
      </c>
      <c r="C1137" t="s">
        <v>3058</v>
      </c>
      <c r="D1137" t="s">
        <v>6596</v>
      </c>
      <c r="E1137" t="s">
        <v>2182</v>
      </c>
      <c r="F1137"/>
      <c r="G1137"/>
      <c r="H1137"/>
      <c r="I1137"/>
      <c r="J1137"/>
      <c r="K1137"/>
      <c r="L1137" s="10">
        <v>3944900</v>
      </c>
      <c r="M1137" s="10">
        <v>399000</v>
      </c>
      <c r="N1137" s="12">
        <v>15</v>
      </c>
      <c r="O1137" s="12" t="s">
        <v>6992</v>
      </c>
      <c r="P1137" t="s">
        <v>2183</v>
      </c>
      <c r="R1137"/>
      <c r="S1137" t="s">
        <v>2184</v>
      </c>
      <c r="T1137" s="12" t="s">
        <v>2185</v>
      </c>
      <c r="U1137" s="12" t="s">
        <v>2186</v>
      </c>
      <c r="V1137" s="12" t="s">
        <v>2187</v>
      </c>
      <c r="W1137" s="12">
        <v>0</v>
      </c>
      <c r="X1137" s="12">
        <v>1</v>
      </c>
      <c r="Y1137" s="12">
        <v>0</v>
      </c>
      <c r="Z1137" s="12">
        <v>0</v>
      </c>
      <c r="AA1137" s="12">
        <v>0</v>
      </c>
      <c r="AB1137" s="12">
        <v>0</v>
      </c>
      <c r="AC1137" s="12">
        <v>0</v>
      </c>
      <c r="AD1137" s="12">
        <v>0</v>
      </c>
      <c r="AE1137" s="12">
        <v>0</v>
      </c>
      <c r="AF1137" s="12">
        <v>0</v>
      </c>
      <c r="AG1137" s="12">
        <v>0</v>
      </c>
      <c r="AH1137" s="12">
        <v>0</v>
      </c>
      <c r="AI1137" s="12">
        <v>0</v>
      </c>
      <c r="AJ1137" s="12">
        <v>0</v>
      </c>
      <c r="AK1137" s="12">
        <v>0</v>
      </c>
      <c r="AL1137" s="12">
        <v>0</v>
      </c>
      <c r="AM1137" s="12"/>
      <c r="AN1137" s="12">
        <v>0</v>
      </c>
      <c r="AO1137" s="12">
        <v>0</v>
      </c>
      <c r="AP1137" s="12">
        <v>0</v>
      </c>
      <c r="AQ1137" s="12">
        <v>0</v>
      </c>
      <c r="AR1137" s="12">
        <v>0</v>
      </c>
      <c r="AS1137" s="12">
        <v>0</v>
      </c>
      <c r="AT1137" s="12">
        <v>0</v>
      </c>
      <c r="AU1137" s="12">
        <v>0</v>
      </c>
      <c r="AV1137" s="12">
        <v>0</v>
      </c>
      <c r="AW1137" s="12">
        <v>0</v>
      </c>
      <c r="AX1137" s="12">
        <v>0</v>
      </c>
      <c r="AY1137" s="12">
        <v>0</v>
      </c>
      <c r="AZ1137"/>
      <c r="BA1137"/>
      <c r="BB1137" s="12">
        <v>0</v>
      </c>
      <c r="BC1137" s="12">
        <v>0</v>
      </c>
      <c r="BD1137" s="12">
        <v>0</v>
      </c>
      <c r="BE1137" s="12">
        <v>0</v>
      </c>
      <c r="BF1137" s="12">
        <v>0</v>
      </c>
      <c r="BI1137" s="12">
        <v>0</v>
      </c>
      <c r="BJ1137" s="12">
        <v>0</v>
      </c>
    </row>
    <row r="1138" spans="1:62" x14ac:dyDescent="0.15">
      <c r="A1138" s="12"/>
      <c r="B1138" t="s">
        <v>3059</v>
      </c>
      <c r="C1138" t="s">
        <v>3059</v>
      </c>
      <c r="D1138" t="s">
        <v>6596</v>
      </c>
      <c r="E1138" t="s">
        <v>2182</v>
      </c>
      <c r="F1138"/>
      <c r="G1138"/>
      <c r="H1138"/>
      <c r="I1138"/>
      <c r="J1138"/>
      <c r="K1138"/>
      <c r="L1138" s="10">
        <v>3690480</v>
      </c>
      <c r="M1138" s="10">
        <v>435165</v>
      </c>
      <c r="N1138" s="12">
        <v>15</v>
      </c>
      <c r="O1138" s="12" t="s">
        <v>6992</v>
      </c>
      <c r="P1138" t="s">
        <v>2183</v>
      </c>
      <c r="R1138"/>
      <c r="S1138" t="s">
        <v>2184</v>
      </c>
      <c r="T1138" s="12" t="s">
        <v>2185</v>
      </c>
      <c r="U1138" s="12" t="s">
        <v>2186</v>
      </c>
      <c r="V1138" s="12" t="s">
        <v>2187</v>
      </c>
      <c r="W1138" s="12">
        <v>0</v>
      </c>
      <c r="X1138" s="12">
        <v>1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2">
        <v>0</v>
      </c>
      <c r="AK1138" s="12">
        <v>0</v>
      </c>
      <c r="AL1138" s="12">
        <v>0</v>
      </c>
      <c r="AM1138" s="12"/>
      <c r="AN1138" s="12">
        <v>0</v>
      </c>
      <c r="AO1138" s="12">
        <v>0</v>
      </c>
      <c r="AP1138" s="12">
        <v>0</v>
      </c>
      <c r="AQ1138" s="12">
        <v>0</v>
      </c>
      <c r="AR1138" s="12">
        <v>0</v>
      </c>
      <c r="AS1138" s="12">
        <v>0</v>
      </c>
      <c r="AT1138" s="12">
        <v>0</v>
      </c>
      <c r="AU1138" s="12">
        <v>0</v>
      </c>
      <c r="AV1138" s="12">
        <v>0</v>
      </c>
      <c r="AW1138" s="12">
        <v>0</v>
      </c>
      <c r="AX1138" s="12">
        <v>0</v>
      </c>
      <c r="AY1138" s="12">
        <v>0</v>
      </c>
      <c r="AZ1138"/>
      <c r="BA1138"/>
      <c r="BB1138" s="12">
        <v>0</v>
      </c>
      <c r="BC1138" s="12">
        <v>0</v>
      </c>
      <c r="BD1138" s="12">
        <v>0</v>
      </c>
      <c r="BE1138" s="12">
        <v>0</v>
      </c>
      <c r="BF1138" s="12">
        <v>0</v>
      </c>
      <c r="BI1138" s="12">
        <v>0</v>
      </c>
      <c r="BJ1138" s="12">
        <v>0</v>
      </c>
    </row>
    <row r="1139" spans="1:62" x14ac:dyDescent="0.15">
      <c r="A1139" s="12"/>
      <c r="B1139" t="s">
        <v>3060</v>
      </c>
      <c r="C1139" t="s">
        <v>3060</v>
      </c>
      <c r="D1139" t="s">
        <v>6596</v>
      </c>
      <c r="E1139" t="s">
        <v>2182</v>
      </c>
      <c r="F1139"/>
      <c r="G1139"/>
      <c r="H1139"/>
      <c r="I1139"/>
      <c r="J1139"/>
      <c r="K1139"/>
      <c r="L1139" s="10">
        <v>3687780</v>
      </c>
      <c r="M1139" s="10">
        <v>438535</v>
      </c>
      <c r="N1139" s="12">
        <v>15</v>
      </c>
      <c r="O1139" s="12" t="s">
        <v>6992</v>
      </c>
      <c r="P1139" t="s">
        <v>2183</v>
      </c>
      <c r="R1139"/>
      <c r="S1139" t="s">
        <v>2184</v>
      </c>
      <c r="T1139" s="12" t="s">
        <v>2185</v>
      </c>
      <c r="U1139" s="12" t="s">
        <v>2186</v>
      </c>
      <c r="V1139" s="12" t="s">
        <v>2187</v>
      </c>
      <c r="W1139" s="12">
        <v>0</v>
      </c>
      <c r="X1139" s="12">
        <v>1</v>
      </c>
      <c r="Y1139" s="12">
        <v>0</v>
      </c>
      <c r="Z1139" s="12">
        <v>0</v>
      </c>
      <c r="AA1139" s="12">
        <v>0</v>
      </c>
      <c r="AB1139" s="12">
        <v>0</v>
      </c>
      <c r="AC1139" s="12">
        <v>0</v>
      </c>
      <c r="AD1139" s="12">
        <v>0</v>
      </c>
      <c r="AE1139" s="12">
        <v>0</v>
      </c>
      <c r="AF1139" s="12">
        <v>0</v>
      </c>
      <c r="AG1139" s="12">
        <v>0</v>
      </c>
      <c r="AH1139" s="12">
        <v>0</v>
      </c>
      <c r="AI1139" s="12">
        <v>0</v>
      </c>
      <c r="AJ1139" s="12">
        <v>0</v>
      </c>
      <c r="AK1139" s="12">
        <v>0</v>
      </c>
      <c r="AL1139" s="12">
        <v>0</v>
      </c>
      <c r="AM1139" s="12"/>
      <c r="AN1139" s="12">
        <v>0</v>
      </c>
      <c r="AO1139" s="12">
        <v>0</v>
      </c>
      <c r="AP1139" s="12">
        <v>0</v>
      </c>
      <c r="AQ1139" s="12">
        <v>0</v>
      </c>
      <c r="AR1139" s="12">
        <v>0</v>
      </c>
      <c r="AS1139" s="12">
        <v>0</v>
      </c>
      <c r="AT1139" s="12">
        <v>0</v>
      </c>
      <c r="AU1139" s="12">
        <v>0</v>
      </c>
      <c r="AV1139" s="12">
        <v>0</v>
      </c>
      <c r="AW1139" s="12">
        <v>0</v>
      </c>
      <c r="AX1139" s="12">
        <v>0</v>
      </c>
      <c r="AY1139" s="12">
        <v>0</v>
      </c>
      <c r="AZ1139"/>
      <c r="BA1139"/>
      <c r="BB1139" s="12">
        <v>0</v>
      </c>
      <c r="BC1139" s="12">
        <v>0</v>
      </c>
      <c r="BD1139" s="12">
        <v>0</v>
      </c>
      <c r="BE1139" s="12">
        <v>0</v>
      </c>
      <c r="BF1139" s="12">
        <v>0</v>
      </c>
      <c r="BI1139" s="12">
        <v>0</v>
      </c>
      <c r="BJ1139" s="12">
        <v>0</v>
      </c>
    </row>
    <row r="1140" spans="1:62" x14ac:dyDescent="0.15">
      <c r="A1140" s="12"/>
      <c r="B1140" t="s">
        <v>2764</v>
      </c>
      <c r="C1140" t="s">
        <v>2764</v>
      </c>
      <c r="D1140" t="s">
        <v>6596</v>
      </c>
      <c r="E1140" t="s">
        <v>2182</v>
      </c>
      <c r="F1140"/>
      <c r="G1140"/>
      <c r="H1140"/>
      <c r="I1140"/>
      <c r="J1140"/>
      <c r="K1140"/>
      <c r="L1140" s="10">
        <v>3687790</v>
      </c>
      <c r="M1140" s="10">
        <v>438480</v>
      </c>
      <c r="N1140" s="12">
        <v>15</v>
      </c>
      <c r="O1140" s="12" t="s">
        <v>6992</v>
      </c>
      <c r="P1140" t="s">
        <v>2183</v>
      </c>
      <c r="R1140"/>
      <c r="S1140" t="s">
        <v>2184</v>
      </c>
      <c r="T1140" s="12" t="s">
        <v>2185</v>
      </c>
      <c r="U1140" s="12" t="s">
        <v>2186</v>
      </c>
      <c r="V1140" s="12" t="s">
        <v>2187</v>
      </c>
      <c r="W1140" s="12">
        <v>0</v>
      </c>
      <c r="X1140" s="12">
        <v>1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2">
        <v>0</v>
      </c>
      <c r="AK1140" s="12">
        <v>0</v>
      </c>
      <c r="AL1140" s="12">
        <v>0</v>
      </c>
      <c r="AM1140" s="12"/>
      <c r="AN1140" s="12">
        <v>0</v>
      </c>
      <c r="AO1140" s="12">
        <v>0</v>
      </c>
      <c r="AP1140" s="12">
        <v>0</v>
      </c>
      <c r="AQ1140" s="12">
        <v>0</v>
      </c>
      <c r="AR1140" s="12">
        <v>0</v>
      </c>
      <c r="AS1140" s="12">
        <v>0</v>
      </c>
      <c r="AT1140" s="12">
        <v>0</v>
      </c>
      <c r="AU1140" s="12">
        <v>0</v>
      </c>
      <c r="AV1140" s="12">
        <v>0</v>
      </c>
      <c r="AW1140" s="12">
        <v>0</v>
      </c>
      <c r="AX1140" s="12">
        <v>0</v>
      </c>
      <c r="AY1140" s="12">
        <v>0</v>
      </c>
      <c r="AZ1140"/>
      <c r="BA1140"/>
      <c r="BB1140" s="12">
        <v>0</v>
      </c>
      <c r="BC1140" s="12">
        <v>0</v>
      </c>
      <c r="BD1140" s="12">
        <v>0</v>
      </c>
      <c r="BE1140" s="12">
        <v>0</v>
      </c>
      <c r="BF1140" s="12">
        <v>0</v>
      </c>
      <c r="BI1140" s="12">
        <v>0</v>
      </c>
      <c r="BJ1140" s="12">
        <v>0</v>
      </c>
    </row>
    <row r="1141" spans="1:62" x14ac:dyDescent="0.15">
      <c r="A1141" s="12"/>
      <c r="B1141" t="s">
        <v>2765</v>
      </c>
      <c r="C1141" t="s">
        <v>2765</v>
      </c>
      <c r="D1141" t="s">
        <v>6596</v>
      </c>
      <c r="E1141" t="s">
        <v>2182</v>
      </c>
      <c r="F1141"/>
      <c r="G1141"/>
      <c r="H1141"/>
      <c r="I1141"/>
      <c r="J1141"/>
      <c r="K1141"/>
      <c r="L1141" s="10">
        <v>3677600</v>
      </c>
      <c r="M1141" s="10">
        <v>435435</v>
      </c>
      <c r="N1141" s="12">
        <v>15</v>
      </c>
      <c r="O1141" s="12" t="s">
        <v>6992</v>
      </c>
      <c r="P1141" t="s">
        <v>2183</v>
      </c>
      <c r="R1141"/>
      <c r="S1141" t="s">
        <v>2184</v>
      </c>
      <c r="T1141" s="12" t="s">
        <v>2185</v>
      </c>
      <c r="U1141" s="12" t="s">
        <v>2186</v>
      </c>
      <c r="V1141" s="12" t="s">
        <v>2187</v>
      </c>
      <c r="W1141" s="12">
        <v>0</v>
      </c>
      <c r="X1141" s="12">
        <v>1</v>
      </c>
      <c r="Y1141" s="12">
        <v>0</v>
      </c>
      <c r="Z1141" s="12">
        <v>0</v>
      </c>
      <c r="AA1141" s="12">
        <v>0</v>
      </c>
      <c r="AB1141" s="12">
        <v>0</v>
      </c>
      <c r="AC1141" s="12">
        <v>0</v>
      </c>
      <c r="AD1141" s="12">
        <v>0</v>
      </c>
      <c r="AE1141" s="12">
        <v>0</v>
      </c>
      <c r="AF1141" s="12">
        <v>0</v>
      </c>
      <c r="AG1141" s="12">
        <v>0</v>
      </c>
      <c r="AH1141" s="12">
        <v>0</v>
      </c>
      <c r="AI1141" s="12">
        <v>0</v>
      </c>
      <c r="AJ1141" s="12">
        <v>0</v>
      </c>
      <c r="AK1141" s="12">
        <v>0</v>
      </c>
      <c r="AL1141" s="12">
        <v>0</v>
      </c>
      <c r="AM1141" s="12"/>
      <c r="AN1141" s="12">
        <v>0</v>
      </c>
      <c r="AO1141" s="12">
        <v>0</v>
      </c>
      <c r="AP1141" s="12">
        <v>0</v>
      </c>
      <c r="AQ1141" s="12">
        <v>0</v>
      </c>
      <c r="AR1141" s="12">
        <v>0</v>
      </c>
      <c r="AS1141" s="12">
        <v>0</v>
      </c>
      <c r="AT1141" s="12">
        <v>0</v>
      </c>
      <c r="AU1141" s="12">
        <v>0</v>
      </c>
      <c r="AV1141" s="12">
        <v>0</v>
      </c>
      <c r="AW1141" s="12">
        <v>0</v>
      </c>
      <c r="AX1141" s="12">
        <v>0</v>
      </c>
      <c r="AY1141" s="12">
        <v>0</v>
      </c>
      <c r="AZ1141"/>
      <c r="BA1141"/>
      <c r="BB1141" s="12">
        <v>0</v>
      </c>
      <c r="BC1141" s="12">
        <v>0</v>
      </c>
      <c r="BD1141" s="12">
        <v>0</v>
      </c>
      <c r="BE1141" s="12">
        <v>0</v>
      </c>
      <c r="BF1141" s="12">
        <v>0</v>
      </c>
      <c r="BI1141" s="12">
        <v>0</v>
      </c>
      <c r="BJ1141" s="12">
        <v>0</v>
      </c>
    </row>
    <row r="1142" spans="1:62" x14ac:dyDescent="0.15">
      <c r="A1142" s="12"/>
      <c r="B1142" t="s">
        <v>2766</v>
      </c>
      <c r="C1142" t="s">
        <v>2766</v>
      </c>
      <c r="D1142" t="s">
        <v>6596</v>
      </c>
      <c r="E1142" t="s">
        <v>2182</v>
      </c>
      <c r="F1142"/>
      <c r="G1142"/>
      <c r="H1142"/>
      <c r="I1142"/>
      <c r="J1142"/>
      <c r="K1142"/>
      <c r="L1142" s="10">
        <v>3677740</v>
      </c>
      <c r="M1142" s="10">
        <v>435820</v>
      </c>
      <c r="N1142" s="12">
        <v>15</v>
      </c>
      <c r="O1142" s="12" t="s">
        <v>6992</v>
      </c>
      <c r="P1142" t="s">
        <v>2183</v>
      </c>
      <c r="R1142"/>
      <c r="S1142" t="s">
        <v>2184</v>
      </c>
      <c r="T1142" s="12" t="s">
        <v>2185</v>
      </c>
      <c r="U1142" s="12" t="s">
        <v>2186</v>
      </c>
      <c r="V1142" s="12" t="s">
        <v>2187</v>
      </c>
      <c r="W1142" s="12">
        <v>0</v>
      </c>
      <c r="X1142" s="12">
        <v>1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2">
        <v>0</v>
      </c>
      <c r="AK1142" s="12">
        <v>0</v>
      </c>
      <c r="AL1142" s="12">
        <v>0</v>
      </c>
      <c r="AM1142" s="12"/>
      <c r="AN1142" s="12">
        <v>0</v>
      </c>
      <c r="AO1142" s="12">
        <v>0</v>
      </c>
      <c r="AP1142" s="12">
        <v>0</v>
      </c>
      <c r="AQ1142" s="12">
        <v>0</v>
      </c>
      <c r="AR1142" s="12">
        <v>0</v>
      </c>
      <c r="AS1142" s="12">
        <v>0</v>
      </c>
      <c r="AT1142" s="12">
        <v>0</v>
      </c>
      <c r="AU1142" s="12">
        <v>0</v>
      </c>
      <c r="AV1142" s="12">
        <v>0</v>
      </c>
      <c r="AW1142" s="12">
        <v>0</v>
      </c>
      <c r="AX1142" s="12">
        <v>0</v>
      </c>
      <c r="AY1142" s="12">
        <v>0</v>
      </c>
      <c r="AZ1142"/>
      <c r="BA1142"/>
      <c r="BB1142" s="12">
        <v>0</v>
      </c>
      <c r="BC1142" s="12">
        <v>0</v>
      </c>
      <c r="BD1142" s="12">
        <v>0</v>
      </c>
      <c r="BE1142" s="12">
        <v>0</v>
      </c>
      <c r="BF1142" s="12">
        <v>0</v>
      </c>
      <c r="BI1142" s="12">
        <v>0</v>
      </c>
      <c r="BJ1142" s="12">
        <v>0</v>
      </c>
    </row>
    <row r="1143" spans="1:62" x14ac:dyDescent="0.15">
      <c r="A1143" s="12"/>
      <c r="B1143" t="s">
        <v>2767</v>
      </c>
      <c r="C1143" t="s">
        <v>2767</v>
      </c>
      <c r="D1143" t="s">
        <v>6596</v>
      </c>
      <c r="E1143" t="s">
        <v>2182</v>
      </c>
      <c r="F1143"/>
      <c r="G1143"/>
      <c r="H1143"/>
      <c r="I1143"/>
      <c r="J1143"/>
      <c r="K1143"/>
      <c r="L1143" s="10">
        <v>3677940</v>
      </c>
      <c r="M1143" s="10">
        <v>435845</v>
      </c>
      <c r="N1143" s="12">
        <v>15</v>
      </c>
      <c r="O1143" s="12" t="s">
        <v>6992</v>
      </c>
      <c r="P1143" t="s">
        <v>2183</v>
      </c>
      <c r="R1143"/>
      <c r="S1143" t="s">
        <v>2184</v>
      </c>
      <c r="T1143" s="12" t="s">
        <v>2185</v>
      </c>
      <c r="U1143" s="12" t="s">
        <v>2186</v>
      </c>
      <c r="V1143" s="12" t="s">
        <v>2187</v>
      </c>
      <c r="W1143" s="12">
        <v>0</v>
      </c>
      <c r="X1143" s="12">
        <v>1</v>
      </c>
      <c r="Y1143" s="12">
        <v>0</v>
      </c>
      <c r="Z1143" s="12">
        <v>0</v>
      </c>
      <c r="AA1143" s="12">
        <v>0</v>
      </c>
      <c r="AB1143" s="12">
        <v>0</v>
      </c>
      <c r="AC1143" s="12">
        <v>0</v>
      </c>
      <c r="AD1143" s="12">
        <v>0</v>
      </c>
      <c r="AE1143" s="12">
        <v>0</v>
      </c>
      <c r="AF1143" s="12">
        <v>0</v>
      </c>
      <c r="AG1143" s="12">
        <v>0</v>
      </c>
      <c r="AH1143" s="12">
        <v>0</v>
      </c>
      <c r="AI1143" s="12">
        <v>0</v>
      </c>
      <c r="AJ1143" s="12">
        <v>0</v>
      </c>
      <c r="AK1143" s="12">
        <v>0</v>
      </c>
      <c r="AL1143" s="12">
        <v>0</v>
      </c>
      <c r="AM1143" s="12"/>
      <c r="AN1143" s="12">
        <v>0</v>
      </c>
      <c r="AO1143" s="12">
        <v>0</v>
      </c>
      <c r="AP1143" s="12">
        <v>0</v>
      </c>
      <c r="AQ1143" s="12">
        <v>0</v>
      </c>
      <c r="AR1143" s="12">
        <v>0</v>
      </c>
      <c r="AS1143" s="12">
        <v>0</v>
      </c>
      <c r="AT1143" s="12">
        <v>0</v>
      </c>
      <c r="AU1143" s="12">
        <v>0</v>
      </c>
      <c r="AV1143" s="12">
        <v>0</v>
      </c>
      <c r="AW1143" s="12">
        <v>0</v>
      </c>
      <c r="AX1143" s="12">
        <v>0</v>
      </c>
      <c r="AY1143" s="12">
        <v>0</v>
      </c>
      <c r="AZ1143"/>
      <c r="BA1143"/>
      <c r="BB1143" s="12">
        <v>0</v>
      </c>
      <c r="BC1143" s="12">
        <v>0</v>
      </c>
      <c r="BD1143" s="12">
        <v>0</v>
      </c>
      <c r="BE1143" s="12">
        <v>0</v>
      </c>
      <c r="BF1143" s="12">
        <v>0</v>
      </c>
      <c r="BI1143" s="12">
        <v>0</v>
      </c>
      <c r="BJ1143" s="12">
        <v>0</v>
      </c>
    </row>
    <row r="1144" spans="1:62" x14ac:dyDescent="0.15">
      <c r="A1144" s="12"/>
      <c r="B1144" t="s">
        <v>2768</v>
      </c>
      <c r="C1144" t="s">
        <v>2768</v>
      </c>
      <c r="D1144" t="s">
        <v>6596</v>
      </c>
      <c r="E1144" t="s">
        <v>2182</v>
      </c>
      <c r="F1144"/>
      <c r="G1144"/>
      <c r="H1144"/>
      <c r="I1144"/>
      <c r="J1144"/>
      <c r="K1144"/>
      <c r="L1144" s="10">
        <v>3676930</v>
      </c>
      <c r="M1144" s="10">
        <v>435900</v>
      </c>
      <c r="N1144" s="12">
        <v>15</v>
      </c>
      <c r="O1144" s="12" t="s">
        <v>6992</v>
      </c>
      <c r="P1144" t="s">
        <v>2183</v>
      </c>
      <c r="R1144"/>
      <c r="S1144" t="s">
        <v>2184</v>
      </c>
      <c r="T1144" s="12" t="s">
        <v>2185</v>
      </c>
      <c r="U1144" s="12" t="s">
        <v>2186</v>
      </c>
      <c r="V1144" s="12" t="s">
        <v>2187</v>
      </c>
      <c r="W1144" s="12">
        <v>0</v>
      </c>
      <c r="X1144" s="12">
        <v>1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2">
        <v>0</v>
      </c>
      <c r="AK1144" s="12">
        <v>0</v>
      </c>
      <c r="AL1144" s="12">
        <v>0</v>
      </c>
      <c r="AM1144" s="12"/>
      <c r="AN1144" s="12">
        <v>0</v>
      </c>
      <c r="AO1144" s="12">
        <v>0</v>
      </c>
      <c r="AP1144" s="12">
        <v>0</v>
      </c>
      <c r="AQ1144" s="12">
        <v>0</v>
      </c>
      <c r="AR1144" s="12">
        <v>0</v>
      </c>
      <c r="AS1144" s="12">
        <v>0</v>
      </c>
      <c r="AT1144" s="12">
        <v>0</v>
      </c>
      <c r="AU1144" s="12">
        <v>0</v>
      </c>
      <c r="AV1144" s="12">
        <v>0</v>
      </c>
      <c r="AW1144" s="12">
        <v>0</v>
      </c>
      <c r="AX1144" s="12">
        <v>0</v>
      </c>
      <c r="AY1144" s="12">
        <v>0</v>
      </c>
      <c r="AZ1144"/>
      <c r="BA1144"/>
      <c r="BB1144" s="12">
        <v>0</v>
      </c>
      <c r="BC1144" s="12">
        <v>0</v>
      </c>
      <c r="BD1144" s="12">
        <v>0</v>
      </c>
      <c r="BE1144" s="12">
        <v>0</v>
      </c>
      <c r="BF1144" s="12">
        <v>0</v>
      </c>
      <c r="BI1144" s="12">
        <v>0</v>
      </c>
      <c r="BJ1144" s="12">
        <v>0</v>
      </c>
    </row>
    <row r="1145" spans="1:62" x14ac:dyDescent="0.15">
      <c r="A1145" s="12"/>
      <c r="B1145" t="s">
        <v>2769</v>
      </c>
      <c r="C1145" t="s">
        <v>2769</v>
      </c>
      <c r="D1145" t="s">
        <v>6596</v>
      </c>
      <c r="E1145" t="s">
        <v>2182</v>
      </c>
      <c r="F1145"/>
      <c r="G1145"/>
      <c r="H1145"/>
      <c r="I1145"/>
      <c r="J1145"/>
      <c r="K1145"/>
      <c r="L1145" s="10">
        <v>3702620</v>
      </c>
      <c r="M1145" s="10">
        <v>434960</v>
      </c>
      <c r="N1145" s="12">
        <v>15</v>
      </c>
      <c r="O1145" s="12" t="s">
        <v>6992</v>
      </c>
      <c r="P1145" t="s">
        <v>2183</v>
      </c>
      <c r="R1145"/>
      <c r="S1145" t="s">
        <v>2184</v>
      </c>
      <c r="T1145" s="12" t="s">
        <v>2185</v>
      </c>
      <c r="U1145" s="12" t="s">
        <v>2186</v>
      </c>
      <c r="V1145" s="12" t="s">
        <v>2187</v>
      </c>
      <c r="W1145" s="12">
        <v>0</v>
      </c>
      <c r="X1145" s="12">
        <v>1</v>
      </c>
      <c r="Y1145" s="12">
        <v>0</v>
      </c>
      <c r="Z1145" s="12">
        <v>0</v>
      </c>
      <c r="AA1145" s="12">
        <v>0</v>
      </c>
      <c r="AB1145" s="12">
        <v>0</v>
      </c>
      <c r="AC1145" s="12">
        <v>0</v>
      </c>
      <c r="AD1145" s="12">
        <v>0</v>
      </c>
      <c r="AE1145" s="12">
        <v>0</v>
      </c>
      <c r="AF1145" s="12">
        <v>0</v>
      </c>
      <c r="AG1145" s="12">
        <v>0</v>
      </c>
      <c r="AH1145" s="12">
        <v>0</v>
      </c>
      <c r="AI1145" s="12">
        <v>0</v>
      </c>
      <c r="AJ1145" s="12">
        <v>0</v>
      </c>
      <c r="AK1145" s="12">
        <v>0</v>
      </c>
      <c r="AL1145" s="12">
        <v>0</v>
      </c>
      <c r="AM1145" s="12"/>
      <c r="AN1145" s="12">
        <v>0</v>
      </c>
      <c r="AO1145" s="12">
        <v>0</v>
      </c>
      <c r="AP1145" s="12">
        <v>0</v>
      </c>
      <c r="AQ1145" s="12">
        <v>0</v>
      </c>
      <c r="AR1145" s="12">
        <v>0</v>
      </c>
      <c r="AS1145" s="12">
        <v>0</v>
      </c>
      <c r="AT1145" s="12">
        <v>0</v>
      </c>
      <c r="AU1145" s="12">
        <v>0</v>
      </c>
      <c r="AV1145" s="12">
        <v>0</v>
      </c>
      <c r="AW1145" s="12">
        <v>0</v>
      </c>
      <c r="AX1145" s="12">
        <v>0</v>
      </c>
      <c r="AY1145" s="12">
        <v>0</v>
      </c>
      <c r="AZ1145"/>
      <c r="BA1145"/>
      <c r="BB1145" s="12">
        <v>0</v>
      </c>
      <c r="BC1145" s="12">
        <v>0</v>
      </c>
      <c r="BD1145" s="12">
        <v>0</v>
      </c>
      <c r="BE1145" s="12">
        <v>0</v>
      </c>
      <c r="BF1145" s="12">
        <v>0</v>
      </c>
      <c r="BI1145" s="12">
        <v>0</v>
      </c>
      <c r="BJ1145" s="12">
        <v>0</v>
      </c>
    </row>
    <row r="1146" spans="1:62" x14ac:dyDescent="0.15">
      <c r="A1146" s="12"/>
      <c r="B1146" t="s">
        <v>2770</v>
      </c>
      <c r="C1146" t="s">
        <v>2770</v>
      </c>
      <c r="D1146" t="s">
        <v>6596</v>
      </c>
      <c r="E1146" t="s">
        <v>2182</v>
      </c>
      <c r="F1146"/>
      <c r="G1146"/>
      <c r="H1146"/>
      <c r="I1146"/>
      <c r="J1146"/>
      <c r="K1146"/>
      <c r="L1146" s="10">
        <v>3694680</v>
      </c>
      <c r="M1146" s="10">
        <v>436500</v>
      </c>
      <c r="N1146" s="12">
        <v>15</v>
      </c>
      <c r="O1146" s="12" t="s">
        <v>6992</v>
      </c>
      <c r="P1146" t="s">
        <v>2183</v>
      </c>
      <c r="R1146"/>
      <c r="S1146" t="s">
        <v>2184</v>
      </c>
      <c r="T1146" s="12" t="s">
        <v>2185</v>
      </c>
      <c r="U1146" s="12" t="s">
        <v>2186</v>
      </c>
      <c r="V1146" s="12" t="s">
        <v>2187</v>
      </c>
      <c r="W1146" s="12">
        <v>0</v>
      </c>
      <c r="X1146" s="12">
        <v>1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2">
        <v>0</v>
      </c>
      <c r="AK1146" s="12">
        <v>0</v>
      </c>
      <c r="AL1146" s="12">
        <v>0</v>
      </c>
      <c r="AM1146" s="12"/>
      <c r="AN1146" s="12">
        <v>0</v>
      </c>
      <c r="AO1146" s="12">
        <v>0</v>
      </c>
      <c r="AP1146" s="12">
        <v>0</v>
      </c>
      <c r="AQ1146" s="12">
        <v>0</v>
      </c>
      <c r="AR1146" s="12">
        <v>0</v>
      </c>
      <c r="AS1146" s="12">
        <v>0</v>
      </c>
      <c r="AT1146" s="12">
        <v>0</v>
      </c>
      <c r="AU1146" s="12">
        <v>0</v>
      </c>
      <c r="AV1146" s="12">
        <v>0</v>
      </c>
      <c r="AW1146" s="12">
        <v>0</v>
      </c>
      <c r="AX1146" s="12">
        <v>0</v>
      </c>
      <c r="AY1146" s="12">
        <v>0</v>
      </c>
      <c r="AZ1146"/>
      <c r="BA1146"/>
      <c r="BB1146" s="12">
        <v>0</v>
      </c>
      <c r="BC1146" s="12">
        <v>0</v>
      </c>
      <c r="BD1146" s="12">
        <v>0</v>
      </c>
      <c r="BE1146" s="12">
        <v>0</v>
      </c>
      <c r="BF1146" s="12">
        <v>0</v>
      </c>
      <c r="BI1146" s="12">
        <v>0</v>
      </c>
      <c r="BJ1146" s="12">
        <v>0</v>
      </c>
    </row>
    <row r="1147" spans="1:62" x14ac:dyDescent="0.15">
      <c r="A1147" s="12"/>
      <c r="B1147" t="s">
        <v>2771</v>
      </c>
      <c r="C1147" t="s">
        <v>2771</v>
      </c>
      <c r="D1147" t="s">
        <v>6596</v>
      </c>
      <c r="E1147" t="s">
        <v>2182</v>
      </c>
      <c r="F1147"/>
      <c r="G1147"/>
      <c r="H1147"/>
      <c r="I1147"/>
      <c r="J1147"/>
      <c r="K1147"/>
      <c r="L1147" s="10">
        <v>3702290</v>
      </c>
      <c r="M1147" s="10">
        <v>436320</v>
      </c>
      <c r="N1147" s="12">
        <v>15</v>
      </c>
      <c r="O1147" s="12" t="s">
        <v>6992</v>
      </c>
      <c r="P1147" t="s">
        <v>2183</v>
      </c>
      <c r="R1147"/>
      <c r="S1147" t="s">
        <v>2184</v>
      </c>
      <c r="T1147" s="12" t="s">
        <v>2185</v>
      </c>
      <c r="U1147" s="12" t="s">
        <v>2186</v>
      </c>
      <c r="V1147" s="12" t="s">
        <v>2187</v>
      </c>
      <c r="W1147" s="12">
        <v>0</v>
      </c>
      <c r="X1147" s="12">
        <v>1</v>
      </c>
      <c r="Y1147" s="12">
        <v>0</v>
      </c>
      <c r="Z1147" s="12">
        <v>0</v>
      </c>
      <c r="AA1147" s="12">
        <v>0</v>
      </c>
      <c r="AB1147" s="12">
        <v>0</v>
      </c>
      <c r="AC1147" s="12">
        <v>0</v>
      </c>
      <c r="AD1147" s="12">
        <v>0</v>
      </c>
      <c r="AE1147" s="12">
        <v>0</v>
      </c>
      <c r="AF1147" s="12">
        <v>0</v>
      </c>
      <c r="AG1147" s="12">
        <v>0</v>
      </c>
      <c r="AH1147" s="12">
        <v>0</v>
      </c>
      <c r="AI1147" s="12">
        <v>0</v>
      </c>
      <c r="AJ1147" s="12">
        <v>0</v>
      </c>
      <c r="AK1147" s="12">
        <v>0</v>
      </c>
      <c r="AL1147" s="12">
        <v>0</v>
      </c>
      <c r="AM1147" s="12"/>
      <c r="AN1147" s="12">
        <v>0</v>
      </c>
      <c r="AO1147" s="12">
        <v>0</v>
      </c>
      <c r="AP1147" s="12">
        <v>0</v>
      </c>
      <c r="AQ1147" s="12">
        <v>0</v>
      </c>
      <c r="AR1147" s="12">
        <v>0</v>
      </c>
      <c r="AS1147" s="12">
        <v>0</v>
      </c>
      <c r="AT1147" s="12">
        <v>0</v>
      </c>
      <c r="AU1147" s="12">
        <v>0</v>
      </c>
      <c r="AV1147" s="12">
        <v>0</v>
      </c>
      <c r="AW1147" s="12">
        <v>0</v>
      </c>
      <c r="AX1147" s="12">
        <v>0</v>
      </c>
      <c r="AY1147" s="12">
        <v>0</v>
      </c>
      <c r="AZ1147"/>
      <c r="BA1147"/>
      <c r="BB1147" s="12">
        <v>0</v>
      </c>
      <c r="BC1147" s="12">
        <v>0</v>
      </c>
      <c r="BD1147" s="12">
        <v>0</v>
      </c>
      <c r="BE1147" s="12">
        <v>0</v>
      </c>
      <c r="BF1147" s="12">
        <v>0</v>
      </c>
      <c r="BI1147" s="12">
        <v>0</v>
      </c>
      <c r="BJ1147" s="12">
        <v>0</v>
      </c>
    </row>
    <row r="1148" spans="1:62" x14ac:dyDescent="0.15">
      <c r="A1148" s="12"/>
      <c r="B1148" t="s">
        <v>2772</v>
      </c>
      <c r="C1148" t="s">
        <v>2772</v>
      </c>
      <c r="D1148" t="s">
        <v>6596</v>
      </c>
      <c r="E1148" t="s">
        <v>2182</v>
      </c>
      <c r="F1148"/>
      <c r="G1148"/>
      <c r="H1148"/>
      <c r="I1148"/>
      <c r="J1148"/>
      <c r="K1148"/>
      <c r="L1148" s="10">
        <v>3702500</v>
      </c>
      <c r="M1148" s="10">
        <v>436260</v>
      </c>
      <c r="N1148" s="12">
        <v>15</v>
      </c>
      <c r="O1148" s="12" t="s">
        <v>6992</v>
      </c>
      <c r="P1148" t="s">
        <v>2183</v>
      </c>
      <c r="R1148"/>
      <c r="S1148" t="s">
        <v>2184</v>
      </c>
      <c r="T1148" s="12" t="s">
        <v>2185</v>
      </c>
      <c r="U1148" s="12" t="s">
        <v>2186</v>
      </c>
      <c r="V1148" s="12" t="s">
        <v>2187</v>
      </c>
      <c r="W1148" s="12">
        <v>0</v>
      </c>
      <c r="X1148" s="12">
        <v>1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2">
        <v>0</v>
      </c>
      <c r="AK1148" s="12">
        <v>0</v>
      </c>
      <c r="AL1148" s="12">
        <v>0</v>
      </c>
      <c r="AM1148" s="12"/>
      <c r="AN1148" s="12">
        <v>0</v>
      </c>
      <c r="AO1148" s="12">
        <v>0</v>
      </c>
      <c r="AP1148" s="12">
        <v>0</v>
      </c>
      <c r="AQ1148" s="12">
        <v>0</v>
      </c>
      <c r="AR1148" s="12">
        <v>0</v>
      </c>
      <c r="AS1148" s="12">
        <v>0</v>
      </c>
      <c r="AT1148" s="12">
        <v>0</v>
      </c>
      <c r="AU1148" s="12">
        <v>0</v>
      </c>
      <c r="AV1148" s="12">
        <v>0</v>
      </c>
      <c r="AW1148" s="12">
        <v>0</v>
      </c>
      <c r="AX1148" s="12">
        <v>0</v>
      </c>
      <c r="AY1148" s="12">
        <v>0</v>
      </c>
      <c r="AZ1148"/>
      <c r="BA1148"/>
      <c r="BB1148" s="12">
        <v>0</v>
      </c>
      <c r="BC1148" s="12">
        <v>0</v>
      </c>
      <c r="BD1148" s="12">
        <v>0</v>
      </c>
      <c r="BE1148" s="12">
        <v>0</v>
      </c>
      <c r="BF1148" s="12">
        <v>0</v>
      </c>
      <c r="BI1148" s="12">
        <v>0</v>
      </c>
      <c r="BJ1148" s="12">
        <v>0</v>
      </c>
    </row>
    <row r="1149" spans="1:62" x14ac:dyDescent="0.15">
      <c r="A1149" s="12"/>
      <c r="B1149" t="s">
        <v>2773</v>
      </c>
      <c r="C1149" t="s">
        <v>2773</v>
      </c>
      <c r="D1149" t="s">
        <v>6596</v>
      </c>
      <c r="E1149" t="s">
        <v>2182</v>
      </c>
      <c r="F1149"/>
      <c r="G1149"/>
      <c r="H1149"/>
      <c r="I1149"/>
      <c r="J1149"/>
      <c r="K1149"/>
      <c r="L1149" s="10">
        <v>3698625</v>
      </c>
      <c r="M1149" s="10">
        <v>435500</v>
      </c>
      <c r="N1149" s="12">
        <v>15</v>
      </c>
      <c r="O1149" s="12" t="s">
        <v>6992</v>
      </c>
      <c r="P1149" t="s">
        <v>2183</v>
      </c>
      <c r="R1149"/>
      <c r="S1149" t="s">
        <v>2184</v>
      </c>
      <c r="T1149" s="12" t="s">
        <v>2185</v>
      </c>
      <c r="U1149" s="12" t="s">
        <v>2186</v>
      </c>
      <c r="V1149" s="12" t="s">
        <v>2187</v>
      </c>
      <c r="W1149" s="12">
        <v>0</v>
      </c>
      <c r="X1149" s="12">
        <v>1</v>
      </c>
      <c r="Y1149" s="12">
        <v>0</v>
      </c>
      <c r="Z1149" s="12">
        <v>0</v>
      </c>
      <c r="AA1149" s="12">
        <v>0</v>
      </c>
      <c r="AB1149" s="12">
        <v>0</v>
      </c>
      <c r="AC1149" s="12">
        <v>0</v>
      </c>
      <c r="AD1149" s="12">
        <v>0</v>
      </c>
      <c r="AE1149" s="12">
        <v>0</v>
      </c>
      <c r="AF1149" s="12">
        <v>0</v>
      </c>
      <c r="AG1149" s="12">
        <v>0</v>
      </c>
      <c r="AH1149" s="12">
        <v>0</v>
      </c>
      <c r="AI1149" s="12">
        <v>0</v>
      </c>
      <c r="AJ1149" s="12">
        <v>0</v>
      </c>
      <c r="AK1149" s="12">
        <v>0</v>
      </c>
      <c r="AL1149" s="12">
        <v>0</v>
      </c>
      <c r="AM1149" s="12"/>
      <c r="AN1149" s="12">
        <v>0</v>
      </c>
      <c r="AO1149" s="12">
        <v>0</v>
      </c>
      <c r="AP1149" s="12">
        <v>0</v>
      </c>
      <c r="AQ1149" s="12">
        <v>0</v>
      </c>
      <c r="AR1149" s="12">
        <v>0</v>
      </c>
      <c r="AS1149" s="12">
        <v>0</v>
      </c>
      <c r="AT1149" s="12">
        <v>0</v>
      </c>
      <c r="AU1149" s="12">
        <v>0</v>
      </c>
      <c r="AV1149" s="12">
        <v>0</v>
      </c>
      <c r="AW1149" s="12">
        <v>0</v>
      </c>
      <c r="AX1149" s="12">
        <v>0</v>
      </c>
      <c r="AY1149" s="12">
        <v>0</v>
      </c>
      <c r="AZ1149"/>
      <c r="BA1149"/>
      <c r="BB1149" s="12">
        <v>0</v>
      </c>
      <c r="BC1149" s="12">
        <v>0</v>
      </c>
      <c r="BD1149" s="12">
        <v>0</v>
      </c>
      <c r="BE1149" s="12">
        <v>0</v>
      </c>
      <c r="BF1149" s="12">
        <v>0</v>
      </c>
      <c r="BI1149" s="12">
        <v>0</v>
      </c>
      <c r="BJ1149" s="12">
        <v>0</v>
      </c>
    </row>
    <row r="1150" spans="1:62" x14ac:dyDescent="0.15">
      <c r="A1150" s="12"/>
      <c r="B1150" t="s">
        <v>2774</v>
      </c>
      <c r="C1150" t="s">
        <v>2774</v>
      </c>
      <c r="D1150" t="s">
        <v>6596</v>
      </c>
      <c r="E1150" t="s">
        <v>2182</v>
      </c>
      <c r="F1150"/>
      <c r="G1150"/>
      <c r="H1150"/>
      <c r="I1150"/>
      <c r="J1150"/>
      <c r="K1150"/>
      <c r="L1150" s="10">
        <v>3698700</v>
      </c>
      <c r="M1150" s="10">
        <v>435040</v>
      </c>
      <c r="N1150" s="12">
        <v>15</v>
      </c>
      <c r="O1150" s="12" t="s">
        <v>6992</v>
      </c>
      <c r="P1150" t="s">
        <v>2183</v>
      </c>
      <c r="R1150"/>
      <c r="S1150" t="s">
        <v>2184</v>
      </c>
      <c r="T1150" s="12" t="s">
        <v>2185</v>
      </c>
      <c r="U1150" s="12" t="s">
        <v>2186</v>
      </c>
      <c r="V1150" s="12" t="s">
        <v>2187</v>
      </c>
      <c r="W1150" s="12">
        <v>0</v>
      </c>
      <c r="X1150" s="12">
        <v>1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2">
        <v>0</v>
      </c>
      <c r="AK1150" s="12">
        <v>0</v>
      </c>
      <c r="AL1150" s="12">
        <v>0</v>
      </c>
      <c r="AM1150" s="12"/>
      <c r="AN1150" s="12">
        <v>0</v>
      </c>
      <c r="AO1150" s="12">
        <v>0</v>
      </c>
      <c r="AP1150" s="12">
        <v>0</v>
      </c>
      <c r="AQ1150" s="12">
        <v>0</v>
      </c>
      <c r="AR1150" s="12">
        <v>0</v>
      </c>
      <c r="AS1150" s="12">
        <v>0</v>
      </c>
      <c r="AT1150" s="12">
        <v>0</v>
      </c>
      <c r="AU1150" s="12">
        <v>0</v>
      </c>
      <c r="AV1150" s="12">
        <v>0</v>
      </c>
      <c r="AW1150" s="12">
        <v>0</v>
      </c>
      <c r="AX1150" s="12">
        <v>0</v>
      </c>
      <c r="AY1150" s="12">
        <v>0</v>
      </c>
      <c r="AZ1150"/>
      <c r="BA1150"/>
      <c r="BB1150" s="12">
        <v>0</v>
      </c>
      <c r="BC1150" s="12">
        <v>0</v>
      </c>
      <c r="BD1150" s="12">
        <v>0</v>
      </c>
      <c r="BE1150" s="12">
        <v>0</v>
      </c>
      <c r="BF1150" s="12">
        <v>0</v>
      </c>
      <c r="BI1150" s="12">
        <v>0</v>
      </c>
      <c r="BJ1150" s="12">
        <v>0</v>
      </c>
    </row>
    <row r="1151" spans="1:62" x14ac:dyDescent="0.15">
      <c r="A1151" s="12"/>
      <c r="B1151" t="s">
        <v>2775</v>
      </c>
      <c r="C1151" t="s">
        <v>2775</v>
      </c>
      <c r="D1151" t="s">
        <v>6596</v>
      </c>
      <c r="E1151" t="s">
        <v>2182</v>
      </c>
      <c r="F1151"/>
      <c r="G1151"/>
      <c r="H1151"/>
      <c r="I1151"/>
      <c r="J1151"/>
      <c r="K1151"/>
      <c r="L1151" s="10">
        <v>3699320</v>
      </c>
      <c r="M1151" s="10">
        <v>435040</v>
      </c>
      <c r="N1151" s="12">
        <v>15</v>
      </c>
      <c r="O1151" s="12" t="s">
        <v>6992</v>
      </c>
      <c r="P1151" t="s">
        <v>2183</v>
      </c>
      <c r="R1151"/>
      <c r="S1151" t="s">
        <v>2184</v>
      </c>
      <c r="T1151" s="12" t="s">
        <v>2185</v>
      </c>
      <c r="U1151" s="12" t="s">
        <v>2186</v>
      </c>
      <c r="V1151" s="12" t="s">
        <v>2187</v>
      </c>
      <c r="W1151" s="12">
        <v>0</v>
      </c>
      <c r="X1151" s="12">
        <v>1</v>
      </c>
      <c r="Y1151" s="12">
        <v>0</v>
      </c>
      <c r="Z1151" s="12">
        <v>0</v>
      </c>
      <c r="AA1151" s="12">
        <v>0</v>
      </c>
      <c r="AB1151" s="12">
        <v>0</v>
      </c>
      <c r="AC1151" s="12">
        <v>0</v>
      </c>
      <c r="AD1151" s="12">
        <v>0</v>
      </c>
      <c r="AE1151" s="12">
        <v>0</v>
      </c>
      <c r="AF1151" s="12">
        <v>0</v>
      </c>
      <c r="AG1151" s="12">
        <v>0</v>
      </c>
      <c r="AH1151" s="12">
        <v>0</v>
      </c>
      <c r="AI1151" s="12">
        <v>0</v>
      </c>
      <c r="AJ1151" s="12">
        <v>0</v>
      </c>
      <c r="AK1151" s="12">
        <v>0</v>
      </c>
      <c r="AL1151" s="12">
        <v>0</v>
      </c>
      <c r="AM1151" s="12"/>
      <c r="AN1151" s="12">
        <v>0</v>
      </c>
      <c r="AO1151" s="12">
        <v>0</v>
      </c>
      <c r="AP1151" s="12">
        <v>0</v>
      </c>
      <c r="AQ1151" s="12">
        <v>0</v>
      </c>
      <c r="AR1151" s="12">
        <v>0</v>
      </c>
      <c r="AS1151" s="12">
        <v>0</v>
      </c>
      <c r="AT1151" s="12">
        <v>0</v>
      </c>
      <c r="AU1151" s="12">
        <v>0</v>
      </c>
      <c r="AV1151" s="12">
        <v>0</v>
      </c>
      <c r="AW1151" s="12">
        <v>0</v>
      </c>
      <c r="AX1151" s="12">
        <v>0</v>
      </c>
      <c r="AY1151" s="12">
        <v>0</v>
      </c>
      <c r="AZ1151"/>
      <c r="BA1151"/>
      <c r="BB1151" s="12">
        <v>0</v>
      </c>
      <c r="BC1151" s="12">
        <v>0</v>
      </c>
      <c r="BD1151" s="12">
        <v>0</v>
      </c>
      <c r="BE1151" s="12">
        <v>0</v>
      </c>
      <c r="BF1151" s="12">
        <v>0</v>
      </c>
      <c r="BI1151" s="12">
        <v>0</v>
      </c>
      <c r="BJ1151" s="12">
        <v>0</v>
      </c>
    </row>
    <row r="1152" spans="1:62" x14ac:dyDescent="0.15">
      <c r="A1152" s="12"/>
      <c r="B1152" t="s">
        <v>2776</v>
      </c>
      <c r="C1152" t="s">
        <v>2776</v>
      </c>
      <c r="D1152" t="s">
        <v>6596</v>
      </c>
      <c r="E1152" t="s">
        <v>2182</v>
      </c>
      <c r="F1152"/>
      <c r="G1152"/>
      <c r="H1152"/>
      <c r="I1152"/>
      <c r="J1152"/>
      <c r="K1152"/>
      <c r="L1152" s="10">
        <v>3701630</v>
      </c>
      <c r="M1152" s="10">
        <v>435470</v>
      </c>
      <c r="N1152" s="12">
        <v>15</v>
      </c>
      <c r="O1152" s="12" t="s">
        <v>6992</v>
      </c>
      <c r="P1152" t="s">
        <v>2183</v>
      </c>
      <c r="R1152"/>
      <c r="S1152" t="s">
        <v>2184</v>
      </c>
      <c r="T1152" s="12" t="s">
        <v>2185</v>
      </c>
      <c r="U1152" s="12" t="s">
        <v>2186</v>
      </c>
      <c r="V1152" s="12" t="s">
        <v>2187</v>
      </c>
      <c r="W1152" s="12">
        <v>0</v>
      </c>
      <c r="X1152" s="12">
        <v>1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2">
        <v>0</v>
      </c>
      <c r="AK1152" s="12">
        <v>0</v>
      </c>
      <c r="AL1152" s="12">
        <v>0</v>
      </c>
      <c r="AM1152" s="12"/>
      <c r="AN1152" s="12">
        <v>0</v>
      </c>
      <c r="AO1152" s="12">
        <v>0</v>
      </c>
      <c r="AP1152" s="12">
        <v>0</v>
      </c>
      <c r="AQ1152" s="12">
        <v>0</v>
      </c>
      <c r="AR1152" s="12">
        <v>0</v>
      </c>
      <c r="AS1152" s="12">
        <v>0</v>
      </c>
      <c r="AT1152" s="12">
        <v>0</v>
      </c>
      <c r="AU1152" s="12">
        <v>0</v>
      </c>
      <c r="AV1152" s="12">
        <v>0</v>
      </c>
      <c r="AW1152" s="12">
        <v>0</v>
      </c>
      <c r="AX1152" s="12">
        <v>0</v>
      </c>
      <c r="AY1152" s="12">
        <v>0</v>
      </c>
      <c r="AZ1152"/>
      <c r="BA1152"/>
      <c r="BB1152" s="12">
        <v>0</v>
      </c>
      <c r="BC1152" s="12">
        <v>0</v>
      </c>
      <c r="BD1152" s="12">
        <v>0</v>
      </c>
      <c r="BE1152" s="12">
        <v>0</v>
      </c>
      <c r="BF1152" s="12">
        <v>0</v>
      </c>
      <c r="BI1152" s="12">
        <v>0</v>
      </c>
      <c r="BJ1152" s="12">
        <v>0</v>
      </c>
    </row>
    <row r="1153" spans="1:62" x14ac:dyDescent="0.15">
      <c r="A1153" s="12"/>
      <c r="B1153" t="s">
        <v>2777</v>
      </c>
      <c r="C1153" t="s">
        <v>2777</v>
      </c>
      <c r="D1153" t="s">
        <v>6596</v>
      </c>
      <c r="E1153" t="s">
        <v>2182</v>
      </c>
      <c r="F1153"/>
      <c r="G1153"/>
      <c r="H1153"/>
      <c r="I1153"/>
      <c r="J1153"/>
      <c r="K1153"/>
      <c r="L1153" s="10">
        <v>3702040</v>
      </c>
      <c r="M1153" s="10">
        <v>434845</v>
      </c>
      <c r="N1153" s="12">
        <v>15</v>
      </c>
      <c r="O1153" s="12" t="s">
        <v>6992</v>
      </c>
      <c r="P1153" t="s">
        <v>2183</v>
      </c>
      <c r="R1153"/>
      <c r="S1153" t="s">
        <v>2184</v>
      </c>
      <c r="T1153" s="12" t="s">
        <v>2185</v>
      </c>
      <c r="U1153" s="12" t="s">
        <v>2186</v>
      </c>
      <c r="V1153" s="12" t="s">
        <v>2187</v>
      </c>
      <c r="W1153" s="12">
        <v>0</v>
      </c>
      <c r="X1153" s="12">
        <v>1</v>
      </c>
      <c r="Y1153" s="12">
        <v>0</v>
      </c>
      <c r="Z1153" s="12">
        <v>0</v>
      </c>
      <c r="AA1153" s="12">
        <v>0</v>
      </c>
      <c r="AB1153" s="12">
        <v>0</v>
      </c>
      <c r="AC1153" s="12">
        <v>0</v>
      </c>
      <c r="AD1153" s="12">
        <v>0</v>
      </c>
      <c r="AE1153" s="12">
        <v>0</v>
      </c>
      <c r="AF1153" s="12">
        <v>0</v>
      </c>
      <c r="AG1153" s="12">
        <v>0</v>
      </c>
      <c r="AH1153" s="12">
        <v>0</v>
      </c>
      <c r="AI1153" s="12">
        <v>0</v>
      </c>
      <c r="AJ1153" s="12">
        <v>0</v>
      </c>
      <c r="AK1153" s="12">
        <v>0</v>
      </c>
      <c r="AL1153" s="12">
        <v>0</v>
      </c>
      <c r="AM1153" s="12"/>
      <c r="AN1153" s="12">
        <v>0</v>
      </c>
      <c r="AO1153" s="12">
        <v>0</v>
      </c>
      <c r="AP1153" s="12">
        <v>0</v>
      </c>
      <c r="AQ1153" s="12">
        <v>0</v>
      </c>
      <c r="AR1153" s="12">
        <v>0</v>
      </c>
      <c r="AS1153" s="12">
        <v>0</v>
      </c>
      <c r="AT1153" s="12">
        <v>0</v>
      </c>
      <c r="AU1153" s="12">
        <v>0</v>
      </c>
      <c r="AV1153" s="12">
        <v>0</v>
      </c>
      <c r="AW1153" s="12">
        <v>0</v>
      </c>
      <c r="AX1153" s="12">
        <v>0</v>
      </c>
      <c r="AY1153" s="12">
        <v>0</v>
      </c>
      <c r="AZ1153"/>
      <c r="BA1153"/>
      <c r="BB1153" s="12">
        <v>0</v>
      </c>
      <c r="BC1153" s="12">
        <v>0</v>
      </c>
      <c r="BD1153" s="12">
        <v>0</v>
      </c>
      <c r="BE1153" s="12">
        <v>0</v>
      </c>
      <c r="BF1153" s="12">
        <v>0</v>
      </c>
      <c r="BI1153" s="12">
        <v>0</v>
      </c>
      <c r="BJ1153" s="12">
        <v>0</v>
      </c>
    </row>
    <row r="1154" spans="1:62" x14ac:dyDescent="0.15">
      <c r="A1154" s="12"/>
      <c r="B1154" t="s">
        <v>2778</v>
      </c>
      <c r="C1154" t="s">
        <v>2778</v>
      </c>
      <c r="D1154" t="s">
        <v>6596</v>
      </c>
      <c r="E1154" t="s">
        <v>2182</v>
      </c>
      <c r="F1154"/>
      <c r="G1154"/>
      <c r="H1154"/>
      <c r="I1154"/>
      <c r="J1154"/>
      <c r="K1154"/>
      <c r="L1154" s="10">
        <v>3983300</v>
      </c>
      <c r="M1154" s="10">
        <v>557920</v>
      </c>
      <c r="N1154" s="12">
        <v>15</v>
      </c>
      <c r="O1154" s="12" t="s">
        <v>6992</v>
      </c>
      <c r="P1154" t="s">
        <v>2183</v>
      </c>
      <c r="R1154"/>
      <c r="S1154" t="s">
        <v>2184</v>
      </c>
      <c r="T1154" s="12" t="s">
        <v>2185</v>
      </c>
      <c r="U1154" s="12" t="s">
        <v>2186</v>
      </c>
      <c r="V1154" s="12" t="s">
        <v>2187</v>
      </c>
      <c r="W1154" s="12">
        <v>0</v>
      </c>
      <c r="X1154" s="12">
        <v>1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2">
        <v>0</v>
      </c>
      <c r="AK1154" s="12">
        <v>0</v>
      </c>
      <c r="AL1154" s="12">
        <v>0</v>
      </c>
      <c r="AM1154" s="12"/>
      <c r="AN1154" s="12">
        <v>0</v>
      </c>
      <c r="AO1154" s="12">
        <v>0</v>
      </c>
      <c r="AP1154" s="12">
        <v>0</v>
      </c>
      <c r="AQ1154" s="12">
        <v>0</v>
      </c>
      <c r="AR1154" s="12">
        <v>0</v>
      </c>
      <c r="AS1154" s="12">
        <v>0</v>
      </c>
      <c r="AT1154" s="12">
        <v>0</v>
      </c>
      <c r="AU1154" s="12">
        <v>0</v>
      </c>
      <c r="AV1154" s="12">
        <v>0</v>
      </c>
      <c r="AW1154" s="12">
        <v>0</v>
      </c>
      <c r="AX1154" s="12">
        <v>0</v>
      </c>
      <c r="AY1154" s="12">
        <v>0</v>
      </c>
      <c r="AZ1154"/>
      <c r="BA1154"/>
      <c r="BB1154" s="12">
        <v>0</v>
      </c>
      <c r="BC1154" s="12">
        <v>0</v>
      </c>
      <c r="BD1154" s="12">
        <v>0</v>
      </c>
      <c r="BE1154" s="12">
        <v>0</v>
      </c>
      <c r="BF1154" s="12">
        <v>0</v>
      </c>
      <c r="BI1154" s="12">
        <v>0</v>
      </c>
      <c r="BJ1154" s="12">
        <v>0</v>
      </c>
    </row>
    <row r="1155" spans="1:62" x14ac:dyDescent="0.15">
      <c r="A1155" s="12"/>
      <c r="B1155" t="s">
        <v>2779</v>
      </c>
      <c r="C1155" t="s">
        <v>2779</v>
      </c>
      <c r="D1155" t="s">
        <v>6596</v>
      </c>
      <c r="E1155" t="s">
        <v>2182</v>
      </c>
      <c r="F1155"/>
      <c r="G1155"/>
      <c r="H1155"/>
      <c r="I1155"/>
      <c r="J1155"/>
      <c r="K1155"/>
      <c r="L1155" s="10">
        <v>3983370</v>
      </c>
      <c r="M1155" s="10">
        <v>557870</v>
      </c>
      <c r="N1155" s="12">
        <v>15</v>
      </c>
      <c r="O1155" s="12" t="s">
        <v>6992</v>
      </c>
      <c r="P1155" t="s">
        <v>2183</v>
      </c>
      <c r="R1155"/>
      <c r="S1155" t="s">
        <v>2184</v>
      </c>
      <c r="T1155" s="12" t="s">
        <v>2185</v>
      </c>
      <c r="U1155" s="12" t="s">
        <v>2186</v>
      </c>
      <c r="V1155" s="12" t="s">
        <v>2187</v>
      </c>
      <c r="W1155" s="12">
        <v>0</v>
      </c>
      <c r="X1155" s="12">
        <v>1</v>
      </c>
      <c r="Y1155" s="12">
        <v>0</v>
      </c>
      <c r="Z1155" s="12">
        <v>0</v>
      </c>
      <c r="AA1155" s="12">
        <v>0</v>
      </c>
      <c r="AB1155" s="12">
        <v>0</v>
      </c>
      <c r="AC1155" s="12">
        <v>0</v>
      </c>
      <c r="AD1155" s="12">
        <v>0</v>
      </c>
      <c r="AE1155" s="12">
        <v>0</v>
      </c>
      <c r="AF1155" s="12">
        <v>0</v>
      </c>
      <c r="AG1155" s="12">
        <v>0</v>
      </c>
      <c r="AH1155" s="12">
        <v>0</v>
      </c>
      <c r="AI1155" s="12">
        <v>0</v>
      </c>
      <c r="AJ1155" s="12">
        <v>0</v>
      </c>
      <c r="AK1155" s="12">
        <v>0</v>
      </c>
      <c r="AL1155" s="12">
        <v>0</v>
      </c>
      <c r="AM1155" s="12"/>
      <c r="AN1155" s="12">
        <v>0</v>
      </c>
      <c r="AO1155" s="12">
        <v>0</v>
      </c>
      <c r="AP1155" s="12">
        <v>0</v>
      </c>
      <c r="AQ1155" s="12">
        <v>0</v>
      </c>
      <c r="AR1155" s="12">
        <v>0</v>
      </c>
      <c r="AS1155" s="12">
        <v>0</v>
      </c>
      <c r="AT1155" s="12">
        <v>0</v>
      </c>
      <c r="AU1155" s="12">
        <v>0</v>
      </c>
      <c r="AV1155" s="12">
        <v>0</v>
      </c>
      <c r="AW1155" s="12">
        <v>0</v>
      </c>
      <c r="AX1155" s="12">
        <v>0</v>
      </c>
      <c r="AY1155" s="12">
        <v>0</v>
      </c>
      <c r="AZ1155"/>
      <c r="BA1155"/>
      <c r="BB1155" s="12">
        <v>0</v>
      </c>
      <c r="BC1155" s="12">
        <v>0</v>
      </c>
      <c r="BD1155" s="12">
        <v>0</v>
      </c>
      <c r="BE1155" s="12">
        <v>0</v>
      </c>
      <c r="BF1155" s="12">
        <v>0</v>
      </c>
      <c r="BI1155" s="12">
        <v>0</v>
      </c>
      <c r="BJ1155" s="12">
        <v>0</v>
      </c>
    </row>
    <row r="1156" spans="1:62" x14ac:dyDescent="0.15">
      <c r="A1156" s="12"/>
      <c r="B1156" t="s">
        <v>2780</v>
      </c>
      <c r="C1156" t="s">
        <v>2780</v>
      </c>
      <c r="D1156" t="s">
        <v>6596</v>
      </c>
      <c r="E1156" t="s">
        <v>2182</v>
      </c>
      <c r="F1156"/>
      <c r="G1156"/>
      <c r="H1156"/>
      <c r="I1156"/>
      <c r="J1156"/>
      <c r="K1156"/>
      <c r="L1156" s="10">
        <v>3983180</v>
      </c>
      <c r="M1156" s="10">
        <v>558020</v>
      </c>
      <c r="N1156" s="12">
        <v>15</v>
      </c>
      <c r="O1156" s="12" t="s">
        <v>6992</v>
      </c>
      <c r="P1156" t="s">
        <v>2183</v>
      </c>
      <c r="R1156"/>
      <c r="S1156" t="s">
        <v>2184</v>
      </c>
      <c r="T1156" s="12" t="s">
        <v>2185</v>
      </c>
      <c r="U1156" s="12" t="s">
        <v>2186</v>
      </c>
      <c r="V1156" s="12" t="s">
        <v>2187</v>
      </c>
      <c r="W1156" s="12">
        <v>0</v>
      </c>
      <c r="X1156" s="12">
        <v>1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2">
        <v>0</v>
      </c>
      <c r="AK1156" s="12">
        <v>0</v>
      </c>
      <c r="AL1156" s="12">
        <v>0</v>
      </c>
      <c r="AM1156" s="12"/>
      <c r="AN1156" s="12">
        <v>0</v>
      </c>
      <c r="AO1156" s="12">
        <v>0</v>
      </c>
      <c r="AP1156" s="12">
        <v>0</v>
      </c>
      <c r="AQ1156" s="12">
        <v>0</v>
      </c>
      <c r="AR1156" s="12">
        <v>0</v>
      </c>
      <c r="AS1156" s="12">
        <v>0</v>
      </c>
      <c r="AT1156" s="12">
        <v>0</v>
      </c>
      <c r="AU1156" s="12">
        <v>0</v>
      </c>
      <c r="AV1156" s="12">
        <v>0</v>
      </c>
      <c r="AW1156" s="12">
        <v>0</v>
      </c>
      <c r="AX1156" s="12">
        <v>0</v>
      </c>
      <c r="AY1156" s="12">
        <v>0</v>
      </c>
      <c r="AZ1156"/>
      <c r="BA1156"/>
      <c r="BB1156" s="12">
        <v>0</v>
      </c>
      <c r="BC1156" s="12">
        <v>0</v>
      </c>
      <c r="BD1156" s="12">
        <v>0</v>
      </c>
      <c r="BE1156" s="12">
        <v>0</v>
      </c>
      <c r="BF1156" s="12">
        <v>0</v>
      </c>
      <c r="BI1156" s="12">
        <v>0</v>
      </c>
      <c r="BJ1156" s="12">
        <v>0</v>
      </c>
    </row>
    <row r="1157" spans="1:62" x14ac:dyDescent="0.15">
      <c r="A1157" s="12"/>
      <c r="B1157" t="s">
        <v>2781</v>
      </c>
      <c r="C1157" t="s">
        <v>2781</v>
      </c>
      <c r="D1157" t="s">
        <v>6596</v>
      </c>
      <c r="E1157" t="s">
        <v>2182</v>
      </c>
      <c r="F1157"/>
      <c r="G1157"/>
      <c r="H1157"/>
      <c r="I1157"/>
      <c r="J1157"/>
      <c r="K1157"/>
      <c r="L1157" s="10">
        <v>3982490</v>
      </c>
      <c r="M1157" s="10">
        <v>559190</v>
      </c>
      <c r="N1157" s="12">
        <v>15</v>
      </c>
      <c r="O1157" s="12" t="s">
        <v>6992</v>
      </c>
      <c r="P1157" t="s">
        <v>2183</v>
      </c>
      <c r="R1157"/>
      <c r="S1157" t="s">
        <v>2184</v>
      </c>
      <c r="T1157" s="12" t="s">
        <v>2185</v>
      </c>
      <c r="U1157" s="12" t="s">
        <v>2186</v>
      </c>
      <c r="V1157" s="12" t="s">
        <v>2187</v>
      </c>
      <c r="W1157" s="12">
        <v>0</v>
      </c>
      <c r="X1157" s="12">
        <v>1</v>
      </c>
      <c r="Y1157" s="12">
        <v>0</v>
      </c>
      <c r="Z1157" s="12">
        <v>0</v>
      </c>
      <c r="AA1157" s="12">
        <v>0</v>
      </c>
      <c r="AB1157" s="12">
        <v>0</v>
      </c>
      <c r="AC1157" s="12">
        <v>0</v>
      </c>
      <c r="AD1157" s="12">
        <v>0</v>
      </c>
      <c r="AE1157" s="12">
        <v>0</v>
      </c>
      <c r="AF1157" s="12">
        <v>0</v>
      </c>
      <c r="AG1157" s="12">
        <v>0</v>
      </c>
      <c r="AH1157" s="12">
        <v>0</v>
      </c>
      <c r="AI1157" s="12">
        <v>0</v>
      </c>
      <c r="AJ1157" s="12">
        <v>0</v>
      </c>
      <c r="AK1157" s="12">
        <v>0</v>
      </c>
      <c r="AL1157" s="12">
        <v>0</v>
      </c>
      <c r="AM1157" s="12"/>
      <c r="AN1157" s="12">
        <v>0</v>
      </c>
      <c r="AO1157" s="12">
        <v>0</v>
      </c>
      <c r="AP1157" s="12">
        <v>0</v>
      </c>
      <c r="AQ1157" s="12">
        <v>0</v>
      </c>
      <c r="AR1157" s="12">
        <v>0</v>
      </c>
      <c r="AS1157" s="12">
        <v>0</v>
      </c>
      <c r="AT1157" s="12">
        <v>0</v>
      </c>
      <c r="AU1157" s="12">
        <v>0</v>
      </c>
      <c r="AV1157" s="12">
        <v>0</v>
      </c>
      <c r="AW1157" s="12">
        <v>0</v>
      </c>
      <c r="AX1157" s="12">
        <v>0</v>
      </c>
      <c r="AY1157" s="12">
        <v>0</v>
      </c>
      <c r="AZ1157"/>
      <c r="BA1157"/>
      <c r="BB1157" s="12">
        <v>0</v>
      </c>
      <c r="BC1157" s="12">
        <v>0</v>
      </c>
      <c r="BD1157" s="12">
        <v>0</v>
      </c>
      <c r="BE1157" s="12">
        <v>0</v>
      </c>
      <c r="BF1157" s="12">
        <v>0</v>
      </c>
      <c r="BI1157" s="12">
        <v>0</v>
      </c>
      <c r="BJ1157" s="12">
        <v>0</v>
      </c>
    </row>
    <row r="1158" spans="1:62" x14ac:dyDescent="0.15">
      <c r="A1158" s="12"/>
      <c r="B1158" t="s">
        <v>2782</v>
      </c>
      <c r="C1158" t="s">
        <v>2782</v>
      </c>
      <c r="D1158" t="s">
        <v>6596</v>
      </c>
      <c r="E1158" t="s">
        <v>2182</v>
      </c>
      <c r="F1158"/>
      <c r="G1158"/>
      <c r="H1158"/>
      <c r="I1158"/>
      <c r="J1158"/>
      <c r="K1158"/>
      <c r="L1158" s="10">
        <v>3982700</v>
      </c>
      <c r="M1158" s="10">
        <v>558600</v>
      </c>
      <c r="N1158" s="12">
        <v>15</v>
      </c>
      <c r="O1158" s="12" t="s">
        <v>6992</v>
      </c>
      <c r="P1158" t="s">
        <v>2183</v>
      </c>
      <c r="R1158"/>
      <c r="S1158" t="s">
        <v>2184</v>
      </c>
      <c r="T1158" s="12" t="s">
        <v>2185</v>
      </c>
      <c r="U1158" s="12" t="s">
        <v>2186</v>
      </c>
      <c r="V1158" s="12" t="s">
        <v>2187</v>
      </c>
      <c r="W1158" s="12">
        <v>0</v>
      </c>
      <c r="X1158" s="12">
        <v>1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2">
        <v>0</v>
      </c>
      <c r="AK1158" s="12">
        <v>0</v>
      </c>
      <c r="AL1158" s="12">
        <v>0</v>
      </c>
      <c r="AM1158" s="12"/>
      <c r="AN1158" s="12">
        <v>0</v>
      </c>
      <c r="AO1158" s="12">
        <v>0</v>
      </c>
      <c r="AP1158" s="12">
        <v>0</v>
      </c>
      <c r="AQ1158" s="12">
        <v>0</v>
      </c>
      <c r="AR1158" s="12">
        <v>0</v>
      </c>
      <c r="AS1158" s="12">
        <v>0</v>
      </c>
      <c r="AT1158" s="12">
        <v>0</v>
      </c>
      <c r="AU1158" s="12">
        <v>0</v>
      </c>
      <c r="AV1158" s="12">
        <v>0</v>
      </c>
      <c r="AW1158" s="12">
        <v>0</v>
      </c>
      <c r="AX1158" s="12">
        <v>0</v>
      </c>
      <c r="AY1158" s="12">
        <v>0</v>
      </c>
      <c r="AZ1158"/>
      <c r="BA1158"/>
      <c r="BB1158" s="12">
        <v>0</v>
      </c>
      <c r="BC1158" s="12">
        <v>0</v>
      </c>
      <c r="BD1158" s="12">
        <v>0</v>
      </c>
      <c r="BE1158" s="12">
        <v>0</v>
      </c>
      <c r="BF1158" s="12">
        <v>0</v>
      </c>
      <c r="BI1158" s="12">
        <v>0</v>
      </c>
      <c r="BJ1158" s="12">
        <v>0</v>
      </c>
    </row>
    <row r="1159" spans="1:62" x14ac:dyDescent="0.15">
      <c r="A1159" s="12"/>
      <c r="B1159" t="s">
        <v>2783</v>
      </c>
      <c r="C1159" t="s">
        <v>2783</v>
      </c>
      <c r="D1159" t="s">
        <v>6596</v>
      </c>
      <c r="E1159" t="s">
        <v>2182</v>
      </c>
      <c r="F1159"/>
      <c r="G1159"/>
      <c r="H1159"/>
      <c r="I1159"/>
      <c r="J1159"/>
      <c r="K1159"/>
      <c r="L1159" s="10">
        <v>3790575</v>
      </c>
      <c r="M1159" s="10">
        <v>656690</v>
      </c>
      <c r="N1159" s="12">
        <v>15</v>
      </c>
      <c r="O1159" s="12" t="s">
        <v>6992</v>
      </c>
      <c r="P1159" t="s">
        <v>2183</v>
      </c>
      <c r="R1159"/>
      <c r="S1159" t="s">
        <v>2184</v>
      </c>
      <c r="T1159" s="12" t="s">
        <v>2185</v>
      </c>
      <c r="U1159" s="12" t="s">
        <v>2186</v>
      </c>
      <c r="V1159" s="12" t="s">
        <v>2187</v>
      </c>
      <c r="W1159" s="12">
        <v>0</v>
      </c>
      <c r="X1159" s="12">
        <v>1</v>
      </c>
      <c r="Y1159" s="12">
        <v>0</v>
      </c>
      <c r="Z1159" s="12">
        <v>0</v>
      </c>
      <c r="AA1159" s="12">
        <v>0</v>
      </c>
      <c r="AB1159" s="12">
        <v>0</v>
      </c>
      <c r="AC1159" s="12">
        <v>0</v>
      </c>
      <c r="AD1159" s="12">
        <v>0</v>
      </c>
      <c r="AE1159" s="12">
        <v>0</v>
      </c>
      <c r="AF1159" s="12">
        <v>0</v>
      </c>
      <c r="AG1159" s="12">
        <v>0</v>
      </c>
      <c r="AH1159" s="12">
        <v>0</v>
      </c>
      <c r="AI1159" s="12">
        <v>0</v>
      </c>
      <c r="AJ1159" s="12">
        <v>0</v>
      </c>
      <c r="AK1159" s="12">
        <v>0</v>
      </c>
      <c r="AL1159" s="12">
        <v>0</v>
      </c>
      <c r="AM1159" s="12"/>
      <c r="AN1159" s="12">
        <v>0</v>
      </c>
      <c r="AO1159" s="12">
        <v>0</v>
      </c>
      <c r="AP1159" s="12">
        <v>0</v>
      </c>
      <c r="AQ1159" s="12">
        <v>0</v>
      </c>
      <c r="AR1159" s="12">
        <v>0</v>
      </c>
      <c r="AS1159" s="12">
        <v>0</v>
      </c>
      <c r="AT1159" s="12">
        <v>0</v>
      </c>
      <c r="AU1159" s="12">
        <v>0</v>
      </c>
      <c r="AV1159" s="12">
        <v>0</v>
      </c>
      <c r="AW1159" s="12">
        <v>0</v>
      </c>
      <c r="AX1159" s="12">
        <v>0</v>
      </c>
      <c r="AY1159" s="12">
        <v>0</v>
      </c>
      <c r="AZ1159"/>
      <c r="BA1159"/>
      <c r="BB1159" s="12">
        <v>0</v>
      </c>
      <c r="BC1159" s="12">
        <v>0</v>
      </c>
      <c r="BD1159" s="12">
        <v>0</v>
      </c>
      <c r="BE1159" s="12">
        <v>0</v>
      </c>
      <c r="BF1159" s="12">
        <v>0</v>
      </c>
      <c r="BI1159" s="12">
        <v>0</v>
      </c>
      <c r="BJ1159" s="12">
        <v>0</v>
      </c>
    </row>
    <row r="1160" spans="1:62" x14ac:dyDescent="0.15">
      <c r="A1160" s="12"/>
      <c r="B1160" t="s">
        <v>2784</v>
      </c>
      <c r="C1160" t="s">
        <v>2784</v>
      </c>
      <c r="D1160" t="s">
        <v>6596</v>
      </c>
      <c r="E1160" t="s">
        <v>2182</v>
      </c>
      <c r="F1160"/>
      <c r="G1160"/>
      <c r="H1160"/>
      <c r="I1160"/>
      <c r="J1160"/>
      <c r="K1160"/>
      <c r="L1160" s="10">
        <v>3787875</v>
      </c>
      <c r="M1160" s="10">
        <v>650240</v>
      </c>
      <c r="N1160" s="12">
        <v>15</v>
      </c>
      <c r="O1160" s="12" t="s">
        <v>6992</v>
      </c>
      <c r="P1160" t="s">
        <v>2183</v>
      </c>
      <c r="R1160"/>
      <c r="S1160" t="s">
        <v>2184</v>
      </c>
      <c r="T1160" s="12" t="s">
        <v>2185</v>
      </c>
      <c r="U1160" s="12" t="s">
        <v>2186</v>
      </c>
      <c r="V1160" s="12" t="s">
        <v>2187</v>
      </c>
      <c r="W1160" s="12">
        <v>0</v>
      </c>
      <c r="X1160" s="12">
        <v>1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2">
        <v>0</v>
      </c>
      <c r="AK1160" s="12">
        <v>0</v>
      </c>
      <c r="AL1160" s="12">
        <v>0</v>
      </c>
      <c r="AM1160" s="12"/>
      <c r="AN1160" s="12">
        <v>0</v>
      </c>
      <c r="AO1160" s="12">
        <v>0</v>
      </c>
      <c r="AP1160" s="12">
        <v>0</v>
      </c>
      <c r="AQ1160" s="12">
        <v>0</v>
      </c>
      <c r="AR1160" s="12">
        <v>0</v>
      </c>
      <c r="AS1160" s="12">
        <v>0</v>
      </c>
      <c r="AT1160" s="12">
        <v>0</v>
      </c>
      <c r="AU1160" s="12">
        <v>0</v>
      </c>
      <c r="AV1160" s="12">
        <v>0</v>
      </c>
      <c r="AW1160" s="12">
        <v>0</v>
      </c>
      <c r="AX1160" s="12">
        <v>0</v>
      </c>
      <c r="AY1160" s="12">
        <v>0</v>
      </c>
      <c r="AZ1160"/>
      <c r="BA1160"/>
      <c r="BB1160" s="12">
        <v>0</v>
      </c>
      <c r="BC1160" s="12">
        <v>0</v>
      </c>
      <c r="BD1160" s="12">
        <v>0</v>
      </c>
      <c r="BE1160" s="12">
        <v>0</v>
      </c>
      <c r="BF1160" s="12">
        <v>0</v>
      </c>
      <c r="BI1160" s="12">
        <v>0</v>
      </c>
      <c r="BJ1160" s="12">
        <v>0</v>
      </c>
    </row>
    <row r="1161" spans="1:62" x14ac:dyDescent="0.15">
      <c r="A1161" s="12"/>
      <c r="B1161" t="s">
        <v>2785</v>
      </c>
      <c r="C1161" t="s">
        <v>2785</v>
      </c>
      <c r="D1161" t="s">
        <v>6596</v>
      </c>
      <c r="E1161" t="s">
        <v>2182</v>
      </c>
      <c r="F1161"/>
      <c r="G1161"/>
      <c r="H1161"/>
      <c r="I1161"/>
      <c r="J1161"/>
      <c r="K1161"/>
      <c r="L1161" s="10">
        <v>3787940</v>
      </c>
      <c r="M1161" s="10">
        <v>650240</v>
      </c>
      <c r="N1161" s="12">
        <v>15</v>
      </c>
      <c r="O1161" s="12" t="s">
        <v>6992</v>
      </c>
      <c r="P1161" t="s">
        <v>2183</v>
      </c>
      <c r="R1161"/>
      <c r="S1161" t="s">
        <v>2184</v>
      </c>
      <c r="T1161" s="12" t="s">
        <v>2185</v>
      </c>
      <c r="U1161" s="12" t="s">
        <v>2186</v>
      </c>
      <c r="V1161" s="12" t="s">
        <v>2187</v>
      </c>
      <c r="W1161" s="12">
        <v>0</v>
      </c>
      <c r="X1161" s="12">
        <v>1</v>
      </c>
      <c r="Y1161" s="12">
        <v>0</v>
      </c>
      <c r="Z1161" s="12">
        <v>0</v>
      </c>
      <c r="AA1161" s="12">
        <v>0</v>
      </c>
      <c r="AB1161" s="12">
        <v>0</v>
      </c>
      <c r="AC1161" s="12">
        <v>0</v>
      </c>
      <c r="AD1161" s="12">
        <v>0</v>
      </c>
      <c r="AE1161" s="12">
        <v>0</v>
      </c>
      <c r="AF1161" s="12">
        <v>0</v>
      </c>
      <c r="AG1161" s="12">
        <v>0</v>
      </c>
      <c r="AH1161" s="12">
        <v>0</v>
      </c>
      <c r="AI1161" s="12">
        <v>0</v>
      </c>
      <c r="AJ1161" s="12">
        <v>0</v>
      </c>
      <c r="AK1161" s="12">
        <v>0</v>
      </c>
      <c r="AL1161" s="12">
        <v>0</v>
      </c>
      <c r="AM1161" s="12"/>
      <c r="AN1161" s="12">
        <v>0</v>
      </c>
      <c r="AO1161" s="12">
        <v>0</v>
      </c>
      <c r="AP1161" s="12">
        <v>0</v>
      </c>
      <c r="AQ1161" s="12">
        <v>0</v>
      </c>
      <c r="AR1161" s="12">
        <v>0</v>
      </c>
      <c r="AS1161" s="12">
        <v>0</v>
      </c>
      <c r="AT1161" s="12">
        <v>0</v>
      </c>
      <c r="AU1161" s="12">
        <v>0</v>
      </c>
      <c r="AV1161" s="12">
        <v>0</v>
      </c>
      <c r="AW1161" s="12">
        <v>0</v>
      </c>
      <c r="AX1161" s="12">
        <v>0</v>
      </c>
      <c r="AY1161" s="12">
        <v>0</v>
      </c>
      <c r="AZ1161"/>
      <c r="BA1161"/>
      <c r="BB1161" s="12">
        <v>0</v>
      </c>
      <c r="BC1161" s="12">
        <v>0</v>
      </c>
      <c r="BD1161" s="12">
        <v>0</v>
      </c>
      <c r="BE1161" s="12">
        <v>0</v>
      </c>
      <c r="BF1161" s="12">
        <v>0</v>
      </c>
      <c r="BI1161" s="12">
        <v>0</v>
      </c>
      <c r="BJ1161" s="12">
        <v>0</v>
      </c>
    </row>
    <row r="1162" spans="1:62" x14ac:dyDescent="0.15">
      <c r="A1162" s="12"/>
      <c r="B1162" t="s">
        <v>2786</v>
      </c>
      <c r="C1162" t="s">
        <v>2786</v>
      </c>
      <c r="D1162" t="s">
        <v>6596</v>
      </c>
      <c r="E1162" t="s">
        <v>2182</v>
      </c>
      <c r="F1162"/>
      <c r="G1162"/>
      <c r="H1162"/>
      <c r="I1162"/>
      <c r="J1162"/>
      <c r="K1162"/>
      <c r="L1162" s="10">
        <v>3789700</v>
      </c>
      <c r="M1162" s="10">
        <v>659900</v>
      </c>
      <c r="N1162" s="12">
        <v>15</v>
      </c>
      <c r="O1162" s="12" t="s">
        <v>6992</v>
      </c>
      <c r="P1162" t="s">
        <v>2183</v>
      </c>
      <c r="R1162"/>
      <c r="S1162" t="s">
        <v>2184</v>
      </c>
      <c r="T1162" s="12" t="s">
        <v>2185</v>
      </c>
      <c r="U1162" s="12" t="s">
        <v>2186</v>
      </c>
      <c r="V1162" s="12" t="s">
        <v>2187</v>
      </c>
      <c r="W1162" s="12">
        <v>0</v>
      </c>
      <c r="X1162" s="12">
        <v>1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2">
        <v>0</v>
      </c>
      <c r="AK1162" s="12">
        <v>0</v>
      </c>
      <c r="AL1162" s="12">
        <v>0</v>
      </c>
      <c r="AM1162" s="12"/>
      <c r="AN1162" s="12">
        <v>0</v>
      </c>
      <c r="AO1162" s="12">
        <v>0</v>
      </c>
      <c r="AP1162" s="12">
        <v>0</v>
      </c>
      <c r="AQ1162" s="12">
        <v>0</v>
      </c>
      <c r="AR1162" s="12">
        <v>0</v>
      </c>
      <c r="AS1162" s="12">
        <v>0</v>
      </c>
      <c r="AT1162" s="12">
        <v>0</v>
      </c>
      <c r="AU1162" s="12">
        <v>0</v>
      </c>
      <c r="AV1162" s="12">
        <v>0</v>
      </c>
      <c r="AW1162" s="12">
        <v>0</v>
      </c>
      <c r="AX1162" s="12">
        <v>0</v>
      </c>
      <c r="AY1162" s="12">
        <v>0</v>
      </c>
      <c r="AZ1162"/>
      <c r="BA1162"/>
      <c r="BB1162" s="12">
        <v>0</v>
      </c>
      <c r="BC1162" s="12">
        <v>0</v>
      </c>
      <c r="BD1162" s="12">
        <v>0</v>
      </c>
      <c r="BE1162" s="12">
        <v>0</v>
      </c>
      <c r="BF1162" s="12">
        <v>0</v>
      </c>
      <c r="BI1162" s="12">
        <v>0</v>
      </c>
      <c r="BJ1162" s="12">
        <v>0</v>
      </c>
    </row>
    <row r="1163" spans="1:62" x14ac:dyDescent="0.15">
      <c r="A1163" s="12"/>
      <c r="B1163" t="s">
        <v>2787</v>
      </c>
      <c r="C1163" t="s">
        <v>2787</v>
      </c>
      <c r="D1163" t="s">
        <v>6596</v>
      </c>
      <c r="E1163" t="s">
        <v>2182</v>
      </c>
      <c r="F1163"/>
      <c r="G1163"/>
      <c r="H1163"/>
      <c r="I1163"/>
      <c r="J1163"/>
      <c r="K1163"/>
      <c r="L1163" s="10">
        <v>3790500</v>
      </c>
      <c r="M1163" s="10">
        <v>655140</v>
      </c>
      <c r="N1163" s="12">
        <v>15</v>
      </c>
      <c r="O1163" s="12" t="s">
        <v>6992</v>
      </c>
      <c r="P1163" t="s">
        <v>2183</v>
      </c>
      <c r="R1163"/>
      <c r="S1163" t="s">
        <v>2184</v>
      </c>
      <c r="T1163" s="12" t="s">
        <v>2185</v>
      </c>
      <c r="U1163" s="12" t="s">
        <v>2186</v>
      </c>
      <c r="V1163" s="12" t="s">
        <v>2187</v>
      </c>
      <c r="W1163" s="12">
        <v>0</v>
      </c>
      <c r="X1163" s="12">
        <v>1</v>
      </c>
      <c r="Y1163" s="12">
        <v>0</v>
      </c>
      <c r="Z1163" s="12">
        <v>0</v>
      </c>
      <c r="AA1163" s="12">
        <v>0</v>
      </c>
      <c r="AB1163" s="12">
        <v>0</v>
      </c>
      <c r="AC1163" s="12">
        <v>0</v>
      </c>
      <c r="AD1163" s="12">
        <v>0</v>
      </c>
      <c r="AE1163" s="12">
        <v>0</v>
      </c>
      <c r="AF1163" s="12">
        <v>0</v>
      </c>
      <c r="AG1163" s="12">
        <v>0</v>
      </c>
      <c r="AH1163" s="12">
        <v>0</v>
      </c>
      <c r="AI1163" s="12">
        <v>0</v>
      </c>
      <c r="AJ1163" s="12">
        <v>0</v>
      </c>
      <c r="AK1163" s="12">
        <v>0</v>
      </c>
      <c r="AL1163" s="12">
        <v>0</v>
      </c>
      <c r="AM1163" s="12"/>
      <c r="AN1163" s="12">
        <v>0</v>
      </c>
      <c r="AO1163" s="12">
        <v>0</v>
      </c>
      <c r="AP1163" s="12">
        <v>0</v>
      </c>
      <c r="AQ1163" s="12">
        <v>0</v>
      </c>
      <c r="AR1163" s="12">
        <v>0</v>
      </c>
      <c r="AS1163" s="12">
        <v>0</v>
      </c>
      <c r="AT1163" s="12">
        <v>0</v>
      </c>
      <c r="AU1163" s="12">
        <v>0</v>
      </c>
      <c r="AV1163" s="12">
        <v>0</v>
      </c>
      <c r="AW1163" s="12">
        <v>0</v>
      </c>
      <c r="AX1163" s="12">
        <v>0</v>
      </c>
      <c r="AY1163" s="12">
        <v>0</v>
      </c>
      <c r="AZ1163"/>
      <c r="BA1163"/>
      <c r="BB1163" s="12">
        <v>0</v>
      </c>
      <c r="BC1163" s="12">
        <v>0</v>
      </c>
      <c r="BD1163" s="12">
        <v>0</v>
      </c>
      <c r="BE1163" s="12">
        <v>0</v>
      </c>
      <c r="BF1163" s="12">
        <v>0</v>
      </c>
      <c r="BI1163" s="12">
        <v>0</v>
      </c>
      <c r="BJ1163" s="12">
        <v>0</v>
      </c>
    </row>
    <row r="1164" spans="1:62" x14ac:dyDescent="0.15">
      <c r="A1164" s="12"/>
      <c r="B1164" t="s">
        <v>2788</v>
      </c>
      <c r="C1164" s="27" t="s">
        <v>2789</v>
      </c>
      <c r="D1164" t="s">
        <v>6596</v>
      </c>
      <c r="E1164" t="s">
        <v>2182</v>
      </c>
      <c r="F1164"/>
      <c r="G1164"/>
      <c r="H1164"/>
      <c r="I1164"/>
      <c r="J1164"/>
      <c r="K1164"/>
      <c r="L1164" s="10">
        <v>3789740</v>
      </c>
      <c r="M1164" s="10">
        <v>660700</v>
      </c>
      <c r="N1164" s="12">
        <v>15</v>
      </c>
      <c r="O1164" s="12" t="s">
        <v>6992</v>
      </c>
      <c r="P1164" t="s">
        <v>2183</v>
      </c>
      <c r="R1164"/>
      <c r="S1164" t="s">
        <v>2184</v>
      </c>
      <c r="T1164" s="12" t="s">
        <v>2185</v>
      </c>
      <c r="U1164" s="12" t="s">
        <v>2186</v>
      </c>
      <c r="V1164" s="12" t="s">
        <v>2187</v>
      </c>
      <c r="W1164" s="12">
        <v>0</v>
      </c>
      <c r="X1164" s="12">
        <v>1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2">
        <v>0</v>
      </c>
      <c r="AK1164" s="12">
        <v>0</v>
      </c>
      <c r="AL1164" s="12">
        <v>0</v>
      </c>
      <c r="AM1164" s="12"/>
      <c r="AN1164" s="12">
        <v>0</v>
      </c>
      <c r="AO1164" s="12">
        <v>0</v>
      </c>
      <c r="AP1164" s="12">
        <v>0</v>
      </c>
      <c r="AQ1164" s="12">
        <v>0</v>
      </c>
      <c r="AR1164" s="12">
        <v>0</v>
      </c>
      <c r="AS1164" s="12">
        <v>0</v>
      </c>
      <c r="AT1164" s="12">
        <v>0</v>
      </c>
      <c r="AU1164" s="12">
        <v>0</v>
      </c>
      <c r="AV1164" s="12">
        <v>0</v>
      </c>
      <c r="AW1164" s="12">
        <v>0</v>
      </c>
      <c r="AX1164" s="12">
        <v>0</v>
      </c>
      <c r="AY1164" s="12">
        <v>0</v>
      </c>
      <c r="AZ1164"/>
      <c r="BA1164"/>
      <c r="BB1164" s="12">
        <v>0</v>
      </c>
      <c r="BC1164" s="12">
        <v>0</v>
      </c>
      <c r="BD1164" s="12">
        <v>0</v>
      </c>
      <c r="BE1164" s="12">
        <v>0</v>
      </c>
      <c r="BF1164" s="12">
        <v>0</v>
      </c>
      <c r="BI1164" s="12">
        <v>0</v>
      </c>
      <c r="BJ1164" s="12">
        <v>0</v>
      </c>
    </row>
    <row r="1165" spans="1:62" x14ac:dyDescent="0.15">
      <c r="A1165" s="12"/>
      <c r="B1165" t="s">
        <v>2790</v>
      </c>
      <c r="C1165" t="s">
        <v>2790</v>
      </c>
      <c r="D1165" t="s">
        <v>6596</v>
      </c>
      <c r="E1165" t="s">
        <v>2182</v>
      </c>
      <c r="F1165"/>
      <c r="G1165"/>
      <c r="H1165"/>
      <c r="I1165"/>
      <c r="J1165"/>
      <c r="K1165"/>
      <c r="L1165" s="10">
        <v>3792380</v>
      </c>
      <c r="M1165" s="10">
        <v>661165</v>
      </c>
      <c r="N1165" s="12">
        <v>15</v>
      </c>
      <c r="O1165" s="12" t="s">
        <v>6992</v>
      </c>
      <c r="P1165" t="s">
        <v>2183</v>
      </c>
      <c r="R1165"/>
      <c r="S1165" t="s">
        <v>2184</v>
      </c>
      <c r="T1165" s="12" t="s">
        <v>2185</v>
      </c>
      <c r="U1165" s="12" t="s">
        <v>2186</v>
      </c>
      <c r="V1165" s="12" t="s">
        <v>2187</v>
      </c>
      <c r="W1165" s="12">
        <v>0</v>
      </c>
      <c r="X1165" s="12">
        <v>1</v>
      </c>
      <c r="Y1165" s="12">
        <v>0</v>
      </c>
      <c r="Z1165" s="12">
        <v>0</v>
      </c>
      <c r="AA1165" s="12">
        <v>0</v>
      </c>
      <c r="AB1165" s="12">
        <v>0</v>
      </c>
      <c r="AC1165" s="12">
        <v>0</v>
      </c>
      <c r="AD1165" s="12">
        <v>0</v>
      </c>
      <c r="AE1165" s="12">
        <v>0</v>
      </c>
      <c r="AF1165" s="12">
        <v>0</v>
      </c>
      <c r="AG1165" s="12">
        <v>0</v>
      </c>
      <c r="AH1165" s="12">
        <v>0</v>
      </c>
      <c r="AI1165" s="12">
        <v>0</v>
      </c>
      <c r="AJ1165" s="12">
        <v>0</v>
      </c>
      <c r="AK1165" s="12">
        <v>0</v>
      </c>
      <c r="AL1165" s="12">
        <v>0</v>
      </c>
      <c r="AM1165" s="12"/>
      <c r="AN1165" s="12">
        <v>0</v>
      </c>
      <c r="AO1165" s="12">
        <v>0</v>
      </c>
      <c r="AP1165" s="12">
        <v>0</v>
      </c>
      <c r="AQ1165" s="12">
        <v>0</v>
      </c>
      <c r="AR1165" s="12">
        <v>0</v>
      </c>
      <c r="AS1165" s="12">
        <v>0</v>
      </c>
      <c r="AT1165" s="12">
        <v>0</v>
      </c>
      <c r="AU1165" s="12">
        <v>0</v>
      </c>
      <c r="AV1165" s="12">
        <v>0</v>
      </c>
      <c r="AW1165" s="12">
        <v>0</v>
      </c>
      <c r="AX1165" s="12">
        <v>0</v>
      </c>
      <c r="AY1165" s="12">
        <v>0</v>
      </c>
      <c r="AZ1165"/>
      <c r="BA1165"/>
      <c r="BB1165" s="12">
        <v>0</v>
      </c>
      <c r="BC1165" s="12">
        <v>0</v>
      </c>
      <c r="BD1165" s="12">
        <v>0</v>
      </c>
      <c r="BE1165" s="12">
        <v>0</v>
      </c>
      <c r="BF1165" s="12">
        <v>0</v>
      </c>
      <c r="BI1165" s="12">
        <v>0</v>
      </c>
      <c r="BJ1165" s="12">
        <v>0</v>
      </c>
    </row>
    <row r="1166" spans="1:62" x14ac:dyDescent="0.15">
      <c r="A1166" s="12"/>
      <c r="B1166" t="s">
        <v>2791</v>
      </c>
      <c r="C1166" t="s">
        <v>2791</v>
      </c>
      <c r="D1166" t="s">
        <v>6596</v>
      </c>
      <c r="E1166" t="s">
        <v>2182</v>
      </c>
      <c r="F1166"/>
      <c r="G1166"/>
      <c r="H1166"/>
      <c r="I1166"/>
      <c r="J1166"/>
      <c r="K1166"/>
      <c r="L1166" s="10">
        <v>3789740</v>
      </c>
      <c r="M1166" s="10">
        <v>662340</v>
      </c>
      <c r="N1166" s="12">
        <v>15</v>
      </c>
      <c r="O1166" s="12" t="s">
        <v>6992</v>
      </c>
      <c r="P1166" t="s">
        <v>2183</v>
      </c>
      <c r="R1166"/>
      <c r="S1166" t="s">
        <v>2184</v>
      </c>
      <c r="T1166" s="12" t="s">
        <v>2185</v>
      </c>
      <c r="U1166" s="12" t="s">
        <v>2186</v>
      </c>
      <c r="V1166" s="12" t="s">
        <v>2187</v>
      </c>
      <c r="W1166" s="12">
        <v>0</v>
      </c>
      <c r="X1166" s="12">
        <v>1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2">
        <v>0</v>
      </c>
      <c r="AK1166" s="12">
        <v>0</v>
      </c>
      <c r="AL1166" s="12">
        <v>0</v>
      </c>
      <c r="AM1166" s="12"/>
      <c r="AN1166" s="12">
        <v>0</v>
      </c>
      <c r="AO1166" s="12">
        <v>0</v>
      </c>
      <c r="AP1166" s="12">
        <v>0</v>
      </c>
      <c r="AQ1166" s="12">
        <v>0</v>
      </c>
      <c r="AR1166" s="12">
        <v>0</v>
      </c>
      <c r="AS1166" s="12">
        <v>0</v>
      </c>
      <c r="AT1166" s="12">
        <v>0</v>
      </c>
      <c r="AU1166" s="12">
        <v>0</v>
      </c>
      <c r="AV1166" s="12">
        <v>0</v>
      </c>
      <c r="AW1166" s="12">
        <v>0</v>
      </c>
      <c r="AX1166" s="12">
        <v>0</v>
      </c>
      <c r="AY1166" s="12">
        <v>0</v>
      </c>
      <c r="AZ1166"/>
      <c r="BA1166"/>
      <c r="BB1166" s="12">
        <v>0</v>
      </c>
      <c r="BC1166" s="12">
        <v>0</v>
      </c>
      <c r="BD1166" s="12">
        <v>0</v>
      </c>
      <c r="BE1166" s="12">
        <v>0</v>
      </c>
      <c r="BF1166" s="12">
        <v>0</v>
      </c>
      <c r="BI1166" s="12">
        <v>0</v>
      </c>
      <c r="BJ1166" s="12">
        <v>0</v>
      </c>
    </row>
    <row r="1167" spans="1:62" x14ac:dyDescent="0.15">
      <c r="A1167" s="12"/>
      <c r="B1167" t="s">
        <v>2792</v>
      </c>
      <c r="C1167" s="27" t="s">
        <v>2793</v>
      </c>
      <c r="D1167" t="s">
        <v>6596</v>
      </c>
      <c r="E1167" t="s">
        <v>2182</v>
      </c>
      <c r="F1167"/>
      <c r="G1167"/>
      <c r="H1167"/>
      <c r="I1167"/>
      <c r="J1167"/>
      <c r="K1167"/>
      <c r="L1167" s="10">
        <v>3792940</v>
      </c>
      <c r="M1167" s="10">
        <v>660700</v>
      </c>
      <c r="N1167" s="12">
        <v>15</v>
      </c>
      <c r="O1167" s="12" t="s">
        <v>6992</v>
      </c>
      <c r="P1167" t="s">
        <v>2183</v>
      </c>
      <c r="R1167"/>
      <c r="S1167" t="s">
        <v>2184</v>
      </c>
      <c r="T1167" s="12" t="s">
        <v>2185</v>
      </c>
      <c r="U1167" s="12" t="s">
        <v>2186</v>
      </c>
      <c r="V1167" s="12" t="s">
        <v>2187</v>
      </c>
      <c r="W1167" s="12">
        <v>0</v>
      </c>
      <c r="X1167" s="12">
        <v>1</v>
      </c>
      <c r="Y1167" s="12">
        <v>0</v>
      </c>
      <c r="Z1167" s="12">
        <v>0</v>
      </c>
      <c r="AA1167" s="12">
        <v>0</v>
      </c>
      <c r="AB1167" s="12">
        <v>0</v>
      </c>
      <c r="AC1167" s="12">
        <v>0</v>
      </c>
      <c r="AD1167" s="12">
        <v>0</v>
      </c>
      <c r="AE1167" s="12">
        <v>0</v>
      </c>
      <c r="AF1167" s="12">
        <v>0</v>
      </c>
      <c r="AG1167" s="12">
        <v>0</v>
      </c>
      <c r="AH1167" s="12">
        <v>0</v>
      </c>
      <c r="AI1167" s="12">
        <v>0</v>
      </c>
      <c r="AJ1167" s="12">
        <v>0</v>
      </c>
      <c r="AK1167" s="12">
        <v>0</v>
      </c>
      <c r="AL1167" s="12">
        <v>0</v>
      </c>
      <c r="AM1167" s="12"/>
      <c r="AN1167" s="12">
        <v>0</v>
      </c>
      <c r="AO1167" s="12">
        <v>0</v>
      </c>
      <c r="AP1167" s="12">
        <v>0</v>
      </c>
      <c r="AQ1167" s="12">
        <v>0</v>
      </c>
      <c r="AR1167" s="12">
        <v>0</v>
      </c>
      <c r="AS1167" s="12">
        <v>0</v>
      </c>
      <c r="AT1167" s="12">
        <v>0</v>
      </c>
      <c r="AU1167" s="12">
        <v>0</v>
      </c>
      <c r="AV1167" s="12">
        <v>0</v>
      </c>
      <c r="AW1167" s="12">
        <v>0</v>
      </c>
      <c r="AX1167" s="12">
        <v>0</v>
      </c>
      <c r="AY1167" s="12">
        <v>0</v>
      </c>
      <c r="AZ1167"/>
      <c r="BA1167"/>
      <c r="BB1167" s="12">
        <v>0</v>
      </c>
      <c r="BC1167" s="12">
        <v>0</v>
      </c>
      <c r="BD1167" s="12">
        <v>0</v>
      </c>
      <c r="BE1167" s="12">
        <v>0</v>
      </c>
      <c r="BF1167" s="12">
        <v>0</v>
      </c>
      <c r="BI1167" s="12">
        <v>0</v>
      </c>
      <c r="BJ1167" s="12">
        <v>0</v>
      </c>
    </row>
    <row r="1168" spans="1:62" x14ac:dyDescent="0.15">
      <c r="A1168" s="12"/>
      <c r="B1168" t="s">
        <v>2794</v>
      </c>
      <c r="C1168" s="27" t="s">
        <v>2795</v>
      </c>
      <c r="D1168" t="s">
        <v>6596</v>
      </c>
      <c r="E1168" t="s">
        <v>2182</v>
      </c>
      <c r="F1168"/>
      <c r="G1168"/>
      <c r="H1168"/>
      <c r="I1168"/>
      <c r="J1168"/>
      <c r="K1168"/>
      <c r="L1168" s="10">
        <v>3792960</v>
      </c>
      <c r="M1168" s="10">
        <v>658420</v>
      </c>
      <c r="N1168" s="12">
        <v>15</v>
      </c>
      <c r="O1168" s="12" t="s">
        <v>6992</v>
      </c>
      <c r="P1168" t="s">
        <v>2183</v>
      </c>
      <c r="R1168"/>
      <c r="S1168" t="s">
        <v>2184</v>
      </c>
      <c r="T1168" s="12" t="s">
        <v>2185</v>
      </c>
      <c r="U1168" s="12" t="s">
        <v>2186</v>
      </c>
      <c r="V1168" s="12" t="s">
        <v>2187</v>
      </c>
      <c r="W1168" s="12">
        <v>0</v>
      </c>
      <c r="X1168" s="12">
        <v>1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2">
        <v>0</v>
      </c>
      <c r="AK1168" s="12">
        <v>0</v>
      </c>
      <c r="AL1168" s="12">
        <v>0</v>
      </c>
      <c r="AM1168" s="12"/>
      <c r="AN1168" s="12">
        <v>0</v>
      </c>
      <c r="AO1168" s="12">
        <v>0</v>
      </c>
      <c r="AP1168" s="12">
        <v>0</v>
      </c>
      <c r="AQ1168" s="12">
        <v>0</v>
      </c>
      <c r="AR1168" s="12">
        <v>0</v>
      </c>
      <c r="AS1168" s="12">
        <v>0</v>
      </c>
      <c r="AT1168" s="12">
        <v>0</v>
      </c>
      <c r="AU1168" s="12">
        <v>0</v>
      </c>
      <c r="AV1168" s="12">
        <v>0</v>
      </c>
      <c r="AW1168" s="12">
        <v>0</v>
      </c>
      <c r="AX1168" s="12">
        <v>0</v>
      </c>
      <c r="AY1168" s="12">
        <v>0</v>
      </c>
      <c r="AZ1168"/>
      <c r="BA1168"/>
      <c r="BB1168" s="12">
        <v>0</v>
      </c>
      <c r="BC1168" s="12">
        <v>0</v>
      </c>
      <c r="BD1168" s="12">
        <v>0</v>
      </c>
      <c r="BE1168" s="12">
        <v>0</v>
      </c>
      <c r="BF1168" s="12">
        <v>0</v>
      </c>
      <c r="BI1168" s="12">
        <v>0</v>
      </c>
      <c r="BJ1168" s="12">
        <v>0</v>
      </c>
    </row>
    <row r="1169" spans="1:62" x14ac:dyDescent="0.15">
      <c r="A1169" s="12"/>
      <c r="B1169" t="s">
        <v>2796</v>
      </c>
      <c r="C1169" s="27" t="s">
        <v>2797</v>
      </c>
      <c r="D1169" t="s">
        <v>6596</v>
      </c>
      <c r="E1169" t="s">
        <v>2182</v>
      </c>
      <c r="F1169"/>
      <c r="G1169"/>
      <c r="H1169"/>
      <c r="I1169"/>
      <c r="J1169"/>
      <c r="K1169"/>
      <c r="L1169" s="10">
        <v>3791000</v>
      </c>
      <c r="M1169" s="10">
        <v>650300</v>
      </c>
      <c r="N1169" s="12">
        <v>15</v>
      </c>
      <c r="O1169" s="12" t="s">
        <v>6992</v>
      </c>
      <c r="P1169" t="s">
        <v>2183</v>
      </c>
      <c r="R1169"/>
      <c r="S1169" t="s">
        <v>2184</v>
      </c>
      <c r="T1169" s="12" t="s">
        <v>2185</v>
      </c>
      <c r="U1169" s="12" t="s">
        <v>2186</v>
      </c>
      <c r="V1169" s="12" t="s">
        <v>2187</v>
      </c>
      <c r="W1169" s="12">
        <v>0</v>
      </c>
      <c r="X1169" s="12">
        <v>1</v>
      </c>
      <c r="Y1169" s="12">
        <v>0</v>
      </c>
      <c r="Z1169" s="12">
        <v>0</v>
      </c>
      <c r="AA1169" s="12">
        <v>0</v>
      </c>
      <c r="AB1169" s="12">
        <v>0</v>
      </c>
      <c r="AC1169" s="12">
        <v>0</v>
      </c>
      <c r="AD1169" s="12">
        <v>0</v>
      </c>
      <c r="AE1169" s="12">
        <v>0</v>
      </c>
      <c r="AF1169" s="12">
        <v>0</v>
      </c>
      <c r="AG1169" s="12">
        <v>0</v>
      </c>
      <c r="AH1169" s="12">
        <v>0</v>
      </c>
      <c r="AI1169" s="12">
        <v>0</v>
      </c>
      <c r="AJ1169" s="12">
        <v>0</v>
      </c>
      <c r="AK1169" s="12">
        <v>0</v>
      </c>
      <c r="AL1169" s="12">
        <v>0</v>
      </c>
      <c r="AM1169" s="12"/>
      <c r="AN1169" s="12">
        <v>0</v>
      </c>
      <c r="AO1169" s="12">
        <v>0</v>
      </c>
      <c r="AP1169" s="12">
        <v>0</v>
      </c>
      <c r="AQ1169" s="12">
        <v>0</v>
      </c>
      <c r="AR1169" s="12">
        <v>0</v>
      </c>
      <c r="AS1169" s="12">
        <v>0</v>
      </c>
      <c r="AT1169" s="12">
        <v>0</v>
      </c>
      <c r="AU1169" s="12">
        <v>0</v>
      </c>
      <c r="AV1169" s="12">
        <v>0</v>
      </c>
      <c r="AW1169" s="12">
        <v>0</v>
      </c>
      <c r="AX1169" s="12">
        <v>0</v>
      </c>
      <c r="AY1169" s="12">
        <v>0</v>
      </c>
      <c r="AZ1169"/>
      <c r="BA1169"/>
      <c r="BB1169" s="12">
        <v>0</v>
      </c>
      <c r="BC1169" s="12">
        <v>0</v>
      </c>
      <c r="BD1169" s="12">
        <v>0</v>
      </c>
      <c r="BE1169" s="12">
        <v>0</v>
      </c>
      <c r="BF1169" s="12">
        <v>0</v>
      </c>
      <c r="BI1169" s="12">
        <v>0</v>
      </c>
      <c r="BJ1169" s="12">
        <v>0</v>
      </c>
    </row>
    <row r="1170" spans="1:62" x14ac:dyDescent="0.15">
      <c r="A1170" s="12"/>
      <c r="B1170" t="s">
        <v>2798</v>
      </c>
      <c r="C1170" s="27" t="s">
        <v>2799</v>
      </c>
      <c r="D1170" t="s">
        <v>6596</v>
      </c>
      <c r="E1170" t="s">
        <v>2182</v>
      </c>
      <c r="F1170"/>
      <c r="G1170"/>
      <c r="H1170"/>
      <c r="I1170"/>
      <c r="J1170"/>
      <c r="K1170"/>
      <c r="L1170" s="10">
        <v>3791400</v>
      </c>
      <c r="M1170" s="10">
        <v>656480</v>
      </c>
      <c r="N1170" s="12">
        <v>15</v>
      </c>
      <c r="O1170" s="12" t="s">
        <v>6992</v>
      </c>
      <c r="P1170" t="s">
        <v>2183</v>
      </c>
      <c r="R1170"/>
      <c r="S1170" t="s">
        <v>2184</v>
      </c>
      <c r="T1170" s="12" t="s">
        <v>2185</v>
      </c>
      <c r="U1170" s="12" t="s">
        <v>2186</v>
      </c>
      <c r="V1170" s="12" t="s">
        <v>2187</v>
      </c>
      <c r="W1170" s="12">
        <v>0</v>
      </c>
      <c r="X1170" s="12">
        <v>1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2">
        <v>0</v>
      </c>
      <c r="AK1170" s="12">
        <v>0</v>
      </c>
      <c r="AL1170" s="12">
        <v>0</v>
      </c>
      <c r="AM1170" s="12"/>
      <c r="AN1170" s="12">
        <v>0</v>
      </c>
      <c r="AO1170" s="12">
        <v>0</v>
      </c>
      <c r="AP1170" s="12">
        <v>0</v>
      </c>
      <c r="AQ1170" s="12">
        <v>0</v>
      </c>
      <c r="AR1170" s="12">
        <v>0</v>
      </c>
      <c r="AS1170" s="12">
        <v>0</v>
      </c>
      <c r="AT1170" s="12">
        <v>0</v>
      </c>
      <c r="AU1170" s="12">
        <v>0</v>
      </c>
      <c r="AV1170" s="12">
        <v>0</v>
      </c>
      <c r="AW1170" s="12">
        <v>0</v>
      </c>
      <c r="AX1170" s="12">
        <v>0</v>
      </c>
      <c r="AY1170" s="12">
        <v>0</v>
      </c>
      <c r="AZ1170"/>
      <c r="BA1170"/>
      <c r="BB1170" s="12">
        <v>0</v>
      </c>
      <c r="BC1170" s="12">
        <v>0</v>
      </c>
      <c r="BD1170" s="12">
        <v>0</v>
      </c>
      <c r="BE1170" s="12">
        <v>0</v>
      </c>
      <c r="BF1170" s="12">
        <v>0</v>
      </c>
      <c r="BI1170" s="12">
        <v>0</v>
      </c>
      <c r="BJ1170" s="12">
        <v>0</v>
      </c>
    </row>
    <row r="1171" spans="1:62" x14ac:dyDescent="0.15">
      <c r="A1171" s="12"/>
      <c r="B1171" t="s">
        <v>2800</v>
      </c>
      <c r="C1171" t="s">
        <v>2800</v>
      </c>
      <c r="D1171" t="s">
        <v>6596</v>
      </c>
      <c r="E1171" t="s">
        <v>2182</v>
      </c>
      <c r="F1171"/>
      <c r="G1171"/>
      <c r="H1171"/>
      <c r="I1171"/>
      <c r="J1171"/>
      <c r="K1171"/>
      <c r="L1171" s="10">
        <v>3805510</v>
      </c>
      <c r="M1171" s="10">
        <v>453510</v>
      </c>
      <c r="N1171" s="12">
        <v>15</v>
      </c>
      <c r="O1171" s="12" t="s">
        <v>6992</v>
      </c>
      <c r="P1171" t="s">
        <v>2183</v>
      </c>
      <c r="R1171"/>
      <c r="S1171" t="s">
        <v>2184</v>
      </c>
      <c r="T1171" s="12" t="s">
        <v>2185</v>
      </c>
      <c r="U1171" s="12" t="s">
        <v>2186</v>
      </c>
      <c r="V1171" s="12" t="s">
        <v>2187</v>
      </c>
      <c r="W1171" s="12">
        <v>0</v>
      </c>
      <c r="X1171" s="12">
        <v>1</v>
      </c>
      <c r="Y1171" s="12">
        <v>0</v>
      </c>
      <c r="Z1171" s="12">
        <v>0</v>
      </c>
      <c r="AA1171" s="12">
        <v>0</v>
      </c>
      <c r="AB1171" s="12">
        <v>0</v>
      </c>
      <c r="AC1171" s="12">
        <v>0</v>
      </c>
      <c r="AD1171" s="12">
        <v>0</v>
      </c>
      <c r="AE1171" s="12">
        <v>0</v>
      </c>
      <c r="AF1171" s="12">
        <v>0</v>
      </c>
      <c r="AG1171" s="12">
        <v>0</v>
      </c>
      <c r="AH1171" s="12">
        <v>0</v>
      </c>
      <c r="AI1171" s="12">
        <v>0</v>
      </c>
      <c r="AJ1171" s="12">
        <v>0</v>
      </c>
      <c r="AK1171" s="12">
        <v>0</v>
      </c>
      <c r="AL1171" s="12">
        <v>0</v>
      </c>
      <c r="AM1171" s="12"/>
      <c r="AN1171" s="12">
        <v>0</v>
      </c>
      <c r="AO1171" s="12">
        <v>0</v>
      </c>
      <c r="AP1171" s="12">
        <v>0</v>
      </c>
      <c r="AQ1171" s="12">
        <v>0</v>
      </c>
      <c r="AR1171" s="12">
        <v>0</v>
      </c>
      <c r="AS1171" s="12">
        <v>0</v>
      </c>
      <c r="AT1171" s="12">
        <v>0</v>
      </c>
      <c r="AU1171" s="12">
        <v>0</v>
      </c>
      <c r="AV1171" s="12">
        <v>0</v>
      </c>
      <c r="AW1171" s="12">
        <v>0</v>
      </c>
      <c r="AX1171" s="12">
        <v>0</v>
      </c>
      <c r="AY1171" s="12">
        <v>0</v>
      </c>
      <c r="AZ1171"/>
      <c r="BA1171"/>
      <c r="BB1171" s="12">
        <v>0</v>
      </c>
      <c r="BC1171" s="12">
        <v>0</v>
      </c>
      <c r="BD1171" s="12">
        <v>0</v>
      </c>
      <c r="BE1171" s="12">
        <v>0</v>
      </c>
      <c r="BF1171" s="12">
        <v>0</v>
      </c>
      <c r="BI1171" s="12">
        <v>0</v>
      </c>
      <c r="BJ1171" s="12">
        <v>0</v>
      </c>
    </row>
    <row r="1172" spans="1:62" x14ac:dyDescent="0.15">
      <c r="A1172" s="12"/>
      <c r="B1172" t="s">
        <v>2801</v>
      </c>
      <c r="C1172" t="s">
        <v>2801</v>
      </c>
      <c r="D1172" t="s">
        <v>6596</v>
      </c>
      <c r="E1172" t="s">
        <v>2182</v>
      </c>
      <c r="F1172"/>
      <c r="G1172"/>
      <c r="H1172"/>
      <c r="I1172"/>
      <c r="J1172"/>
      <c r="K1172"/>
      <c r="L1172" s="10">
        <v>3825840</v>
      </c>
      <c r="M1172" s="10">
        <v>630620</v>
      </c>
      <c r="N1172" s="12">
        <v>15</v>
      </c>
      <c r="O1172" s="12" t="s">
        <v>6992</v>
      </c>
      <c r="P1172" t="s">
        <v>2183</v>
      </c>
      <c r="R1172"/>
      <c r="S1172" t="s">
        <v>2184</v>
      </c>
      <c r="T1172" s="12" t="s">
        <v>2185</v>
      </c>
      <c r="U1172" s="12" t="s">
        <v>2186</v>
      </c>
      <c r="V1172" s="12" t="s">
        <v>2187</v>
      </c>
      <c r="W1172" s="12">
        <v>0</v>
      </c>
      <c r="X1172" s="12">
        <v>1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2">
        <v>0</v>
      </c>
      <c r="AK1172" s="12">
        <v>0</v>
      </c>
      <c r="AL1172" s="12">
        <v>0</v>
      </c>
      <c r="AM1172" s="12"/>
      <c r="AN1172" s="12">
        <v>0</v>
      </c>
      <c r="AO1172" s="12">
        <v>0</v>
      </c>
      <c r="AP1172" s="12">
        <v>0</v>
      </c>
      <c r="AQ1172" s="12">
        <v>0</v>
      </c>
      <c r="AR1172" s="12">
        <v>0</v>
      </c>
      <c r="AS1172" s="12">
        <v>0</v>
      </c>
      <c r="AT1172" s="12">
        <v>0</v>
      </c>
      <c r="AU1172" s="12">
        <v>0</v>
      </c>
      <c r="AV1172" s="12">
        <v>0</v>
      </c>
      <c r="AW1172" s="12">
        <v>0</v>
      </c>
      <c r="AX1172" s="12">
        <v>0</v>
      </c>
      <c r="AY1172" s="12">
        <v>0</v>
      </c>
      <c r="AZ1172"/>
      <c r="BA1172"/>
      <c r="BB1172" s="12">
        <v>0</v>
      </c>
      <c r="BC1172" s="12">
        <v>0</v>
      </c>
      <c r="BD1172" s="12">
        <v>0</v>
      </c>
      <c r="BE1172" s="12">
        <v>0</v>
      </c>
      <c r="BF1172" s="12">
        <v>0</v>
      </c>
      <c r="BI1172" s="12">
        <v>0</v>
      </c>
      <c r="BJ1172" s="12">
        <v>0</v>
      </c>
    </row>
    <row r="1173" spans="1:62" x14ac:dyDescent="0.15">
      <c r="A1173" s="12"/>
      <c r="B1173" t="s">
        <v>2802</v>
      </c>
      <c r="C1173" t="s">
        <v>2802</v>
      </c>
      <c r="D1173" t="s">
        <v>6596</v>
      </c>
      <c r="E1173" t="s">
        <v>2182</v>
      </c>
      <c r="F1173"/>
      <c r="G1173"/>
      <c r="H1173"/>
      <c r="I1173"/>
      <c r="J1173"/>
      <c r="K1173"/>
      <c r="L1173" s="10">
        <v>3825875</v>
      </c>
      <c r="M1173" s="10">
        <v>630140</v>
      </c>
      <c r="N1173" s="12">
        <v>15</v>
      </c>
      <c r="O1173" s="12" t="s">
        <v>6992</v>
      </c>
      <c r="P1173" t="s">
        <v>2183</v>
      </c>
      <c r="R1173"/>
      <c r="S1173" t="s">
        <v>2184</v>
      </c>
      <c r="T1173" s="12" t="s">
        <v>2185</v>
      </c>
      <c r="U1173" s="12" t="s">
        <v>2186</v>
      </c>
      <c r="V1173" s="12" t="s">
        <v>2187</v>
      </c>
      <c r="W1173" s="12">
        <v>0</v>
      </c>
      <c r="X1173" s="12">
        <v>1</v>
      </c>
      <c r="Y1173" s="12">
        <v>0</v>
      </c>
      <c r="Z1173" s="12">
        <v>0</v>
      </c>
      <c r="AA1173" s="12">
        <v>0</v>
      </c>
      <c r="AB1173" s="12">
        <v>0</v>
      </c>
      <c r="AC1173" s="12">
        <v>0</v>
      </c>
      <c r="AD1173" s="12">
        <v>0</v>
      </c>
      <c r="AE1173" s="12">
        <v>0</v>
      </c>
      <c r="AF1173" s="12">
        <v>0</v>
      </c>
      <c r="AG1173" s="12">
        <v>0</v>
      </c>
      <c r="AH1173" s="12">
        <v>0</v>
      </c>
      <c r="AI1173" s="12">
        <v>0</v>
      </c>
      <c r="AJ1173" s="12">
        <v>0</v>
      </c>
      <c r="AK1173" s="12">
        <v>0</v>
      </c>
      <c r="AL1173" s="12">
        <v>0</v>
      </c>
      <c r="AM1173" s="12"/>
      <c r="AN1173" s="12">
        <v>0</v>
      </c>
      <c r="AO1173" s="12">
        <v>0</v>
      </c>
      <c r="AP1173" s="12">
        <v>0</v>
      </c>
      <c r="AQ1173" s="12">
        <v>0</v>
      </c>
      <c r="AR1173" s="12">
        <v>0</v>
      </c>
      <c r="AS1173" s="12">
        <v>0</v>
      </c>
      <c r="AT1173" s="12">
        <v>0</v>
      </c>
      <c r="AU1173" s="12">
        <v>0</v>
      </c>
      <c r="AV1173" s="12">
        <v>0</v>
      </c>
      <c r="AW1173" s="12">
        <v>0</v>
      </c>
      <c r="AX1173" s="12">
        <v>0</v>
      </c>
      <c r="AY1173" s="12">
        <v>0</v>
      </c>
      <c r="AZ1173"/>
      <c r="BA1173"/>
      <c r="BB1173" s="12">
        <v>0</v>
      </c>
      <c r="BC1173" s="12">
        <v>0</v>
      </c>
      <c r="BD1173" s="12">
        <v>0</v>
      </c>
      <c r="BE1173" s="12">
        <v>0</v>
      </c>
      <c r="BF1173" s="12">
        <v>0</v>
      </c>
      <c r="BI1173" s="12">
        <v>0</v>
      </c>
      <c r="BJ1173" s="12">
        <v>0</v>
      </c>
    </row>
    <row r="1174" spans="1:62" x14ac:dyDescent="0.15">
      <c r="A1174" s="12"/>
      <c r="B1174" t="s">
        <v>2803</v>
      </c>
      <c r="C1174" t="s">
        <v>2803</v>
      </c>
      <c r="D1174" t="s">
        <v>6596</v>
      </c>
      <c r="E1174" t="s">
        <v>2182</v>
      </c>
      <c r="F1174"/>
      <c r="G1174"/>
      <c r="H1174"/>
      <c r="I1174"/>
      <c r="J1174"/>
      <c r="K1174"/>
      <c r="L1174" s="10">
        <v>3825870</v>
      </c>
      <c r="M1174" s="10">
        <v>628920</v>
      </c>
      <c r="N1174" s="12">
        <v>15</v>
      </c>
      <c r="O1174" s="12" t="s">
        <v>6992</v>
      </c>
      <c r="P1174" t="s">
        <v>2183</v>
      </c>
      <c r="R1174"/>
      <c r="S1174" t="s">
        <v>2184</v>
      </c>
      <c r="T1174" s="12" t="s">
        <v>2185</v>
      </c>
      <c r="U1174" s="12" t="s">
        <v>2186</v>
      </c>
      <c r="V1174" s="12" t="s">
        <v>2187</v>
      </c>
      <c r="W1174" s="12">
        <v>0</v>
      </c>
      <c r="X1174" s="12">
        <v>1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2">
        <v>0</v>
      </c>
      <c r="AK1174" s="12">
        <v>0</v>
      </c>
      <c r="AL1174" s="12">
        <v>0</v>
      </c>
      <c r="AM1174" s="12"/>
      <c r="AN1174" s="12">
        <v>0</v>
      </c>
      <c r="AO1174" s="12">
        <v>0</v>
      </c>
      <c r="AP1174" s="12">
        <v>0</v>
      </c>
      <c r="AQ1174" s="12">
        <v>0</v>
      </c>
      <c r="AR1174" s="12">
        <v>0</v>
      </c>
      <c r="AS1174" s="12">
        <v>0</v>
      </c>
      <c r="AT1174" s="12">
        <v>0</v>
      </c>
      <c r="AU1174" s="12">
        <v>0</v>
      </c>
      <c r="AV1174" s="12">
        <v>0</v>
      </c>
      <c r="AW1174" s="12">
        <v>0</v>
      </c>
      <c r="AX1174" s="12">
        <v>0</v>
      </c>
      <c r="AY1174" s="12">
        <v>0</v>
      </c>
      <c r="AZ1174"/>
      <c r="BA1174"/>
      <c r="BB1174" s="12">
        <v>0</v>
      </c>
      <c r="BC1174" s="12">
        <v>0</v>
      </c>
      <c r="BD1174" s="12">
        <v>0</v>
      </c>
      <c r="BE1174" s="12">
        <v>0</v>
      </c>
      <c r="BF1174" s="12">
        <v>0</v>
      </c>
      <c r="BI1174" s="12">
        <v>0</v>
      </c>
      <c r="BJ1174" s="12">
        <v>0</v>
      </c>
    </row>
    <row r="1175" spans="1:62" x14ac:dyDescent="0.15">
      <c r="A1175" s="12"/>
      <c r="B1175" t="s">
        <v>2804</v>
      </c>
      <c r="C1175" t="s">
        <v>2804</v>
      </c>
      <c r="D1175" t="s">
        <v>6596</v>
      </c>
      <c r="E1175" t="s">
        <v>2182</v>
      </c>
      <c r="F1175"/>
      <c r="G1175"/>
      <c r="H1175"/>
      <c r="I1175"/>
      <c r="J1175"/>
      <c r="K1175"/>
      <c r="L1175" s="10">
        <v>3825380</v>
      </c>
      <c r="M1175" s="10">
        <v>647610</v>
      </c>
      <c r="N1175" s="12">
        <v>15</v>
      </c>
      <c r="O1175" s="12" t="s">
        <v>6992</v>
      </c>
      <c r="P1175" t="s">
        <v>2183</v>
      </c>
      <c r="R1175"/>
      <c r="S1175" t="s">
        <v>2184</v>
      </c>
      <c r="T1175" s="12" t="s">
        <v>2185</v>
      </c>
      <c r="U1175" s="12" t="s">
        <v>2186</v>
      </c>
      <c r="V1175" s="12" t="s">
        <v>2187</v>
      </c>
      <c r="W1175" s="12">
        <v>0</v>
      </c>
      <c r="X1175" s="12">
        <v>1</v>
      </c>
      <c r="Y1175" s="12">
        <v>0</v>
      </c>
      <c r="Z1175" s="12">
        <v>0</v>
      </c>
      <c r="AA1175" s="12">
        <v>0</v>
      </c>
      <c r="AB1175" s="12">
        <v>0</v>
      </c>
      <c r="AC1175" s="12">
        <v>0</v>
      </c>
      <c r="AD1175" s="12">
        <v>0</v>
      </c>
      <c r="AE1175" s="12">
        <v>0</v>
      </c>
      <c r="AF1175" s="12">
        <v>0</v>
      </c>
      <c r="AG1175" s="12">
        <v>0</v>
      </c>
      <c r="AH1175" s="12">
        <v>0</v>
      </c>
      <c r="AI1175" s="12">
        <v>0</v>
      </c>
      <c r="AJ1175" s="12">
        <v>0</v>
      </c>
      <c r="AK1175" s="12">
        <v>0</v>
      </c>
      <c r="AL1175" s="12">
        <v>0</v>
      </c>
      <c r="AM1175" s="12"/>
      <c r="AN1175" s="12">
        <v>0</v>
      </c>
      <c r="AO1175" s="12">
        <v>0</v>
      </c>
      <c r="AP1175" s="12">
        <v>0</v>
      </c>
      <c r="AQ1175" s="12">
        <v>0</v>
      </c>
      <c r="AR1175" s="12">
        <v>0</v>
      </c>
      <c r="AS1175" s="12">
        <v>0</v>
      </c>
      <c r="AT1175" s="12">
        <v>0</v>
      </c>
      <c r="AU1175" s="12">
        <v>0</v>
      </c>
      <c r="AV1175" s="12">
        <v>0</v>
      </c>
      <c r="AW1175" s="12">
        <v>0</v>
      </c>
      <c r="AX1175" s="12">
        <v>0</v>
      </c>
      <c r="AY1175" s="12">
        <v>0</v>
      </c>
      <c r="AZ1175"/>
      <c r="BA1175"/>
      <c r="BB1175" s="12">
        <v>0</v>
      </c>
      <c r="BC1175" s="12">
        <v>0</v>
      </c>
      <c r="BD1175" s="12">
        <v>0</v>
      </c>
      <c r="BE1175" s="12">
        <v>0</v>
      </c>
      <c r="BF1175" s="12">
        <v>0</v>
      </c>
      <c r="BI1175" s="12">
        <v>0</v>
      </c>
      <c r="BJ1175" s="12">
        <v>0</v>
      </c>
    </row>
    <row r="1176" spans="1:62" x14ac:dyDescent="0.15">
      <c r="A1176" s="12"/>
      <c r="B1176" t="s">
        <v>2805</v>
      </c>
      <c r="C1176" t="s">
        <v>2805</v>
      </c>
      <c r="D1176" t="s">
        <v>6596</v>
      </c>
      <c r="E1176" t="s">
        <v>2182</v>
      </c>
      <c r="F1176"/>
      <c r="G1176"/>
      <c r="H1176"/>
      <c r="I1176"/>
      <c r="J1176"/>
      <c r="K1176"/>
      <c r="L1176" s="10">
        <v>3828560</v>
      </c>
      <c r="M1176" s="10">
        <v>445020</v>
      </c>
      <c r="N1176" s="12">
        <v>15</v>
      </c>
      <c r="O1176" s="12" t="s">
        <v>6992</v>
      </c>
      <c r="P1176" t="s">
        <v>2183</v>
      </c>
      <c r="R1176"/>
      <c r="S1176" t="s">
        <v>2184</v>
      </c>
      <c r="T1176" s="12" t="s">
        <v>2185</v>
      </c>
      <c r="U1176" s="12" t="s">
        <v>2186</v>
      </c>
      <c r="V1176" s="12" t="s">
        <v>2187</v>
      </c>
      <c r="W1176" s="12">
        <v>0</v>
      </c>
      <c r="X1176" s="12">
        <v>1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2">
        <v>0</v>
      </c>
      <c r="AK1176" s="12">
        <v>0</v>
      </c>
      <c r="AL1176" s="12">
        <v>0</v>
      </c>
      <c r="AM1176" s="12"/>
      <c r="AN1176" s="12">
        <v>0</v>
      </c>
      <c r="AO1176" s="12">
        <v>0</v>
      </c>
      <c r="AP1176" s="12">
        <v>0</v>
      </c>
      <c r="AQ1176" s="12">
        <v>0</v>
      </c>
      <c r="AR1176" s="12">
        <v>0</v>
      </c>
      <c r="AS1176" s="12">
        <v>0</v>
      </c>
      <c r="AT1176" s="12">
        <v>0</v>
      </c>
      <c r="AU1176" s="12">
        <v>0</v>
      </c>
      <c r="AV1176" s="12">
        <v>0</v>
      </c>
      <c r="AW1176" s="12">
        <v>0</v>
      </c>
      <c r="AX1176" s="12">
        <v>0</v>
      </c>
      <c r="AY1176" s="12">
        <v>0</v>
      </c>
      <c r="AZ1176"/>
      <c r="BA1176"/>
      <c r="BB1176" s="12">
        <v>0</v>
      </c>
      <c r="BC1176" s="12">
        <v>0</v>
      </c>
      <c r="BD1176" s="12">
        <v>0</v>
      </c>
      <c r="BE1176" s="12">
        <v>0</v>
      </c>
      <c r="BF1176" s="12">
        <v>0</v>
      </c>
      <c r="BI1176" s="12">
        <v>0</v>
      </c>
      <c r="BJ1176" s="12">
        <v>0</v>
      </c>
    </row>
    <row r="1177" spans="1:62" x14ac:dyDescent="0.15">
      <c r="A1177" s="12"/>
      <c r="B1177" t="s">
        <v>2806</v>
      </c>
      <c r="C1177" s="27" t="s">
        <v>2807</v>
      </c>
      <c r="D1177" t="s">
        <v>6596</v>
      </c>
      <c r="E1177" t="s">
        <v>2182</v>
      </c>
      <c r="F1177"/>
      <c r="G1177"/>
      <c r="H1177"/>
      <c r="I1177"/>
      <c r="J1177"/>
      <c r="K1177"/>
      <c r="L1177" s="10">
        <v>3824080</v>
      </c>
      <c r="M1177" s="10">
        <v>630850</v>
      </c>
      <c r="N1177" s="12">
        <v>15</v>
      </c>
      <c r="O1177" s="12" t="s">
        <v>6992</v>
      </c>
      <c r="P1177" t="s">
        <v>2183</v>
      </c>
      <c r="R1177"/>
      <c r="S1177" t="s">
        <v>2184</v>
      </c>
      <c r="T1177" s="12" t="s">
        <v>2185</v>
      </c>
      <c r="U1177" s="12" t="s">
        <v>2186</v>
      </c>
      <c r="V1177" s="12" t="s">
        <v>2187</v>
      </c>
      <c r="W1177" s="12">
        <v>0</v>
      </c>
      <c r="X1177" s="12">
        <v>1</v>
      </c>
      <c r="Y1177" s="12">
        <v>0</v>
      </c>
      <c r="Z1177" s="12">
        <v>0</v>
      </c>
      <c r="AA1177" s="12">
        <v>0</v>
      </c>
      <c r="AB1177" s="12">
        <v>0</v>
      </c>
      <c r="AC1177" s="12">
        <v>0</v>
      </c>
      <c r="AD1177" s="12">
        <v>0</v>
      </c>
      <c r="AE1177" s="12">
        <v>0</v>
      </c>
      <c r="AF1177" s="12">
        <v>0</v>
      </c>
      <c r="AG1177" s="12">
        <v>0</v>
      </c>
      <c r="AH1177" s="12">
        <v>0</v>
      </c>
      <c r="AI1177" s="12">
        <v>0</v>
      </c>
      <c r="AJ1177" s="12">
        <v>0</v>
      </c>
      <c r="AK1177" s="12">
        <v>0</v>
      </c>
      <c r="AL1177" s="12">
        <v>0</v>
      </c>
      <c r="AM1177" s="12"/>
      <c r="AN1177" s="12">
        <v>0</v>
      </c>
      <c r="AO1177" s="12">
        <v>0</v>
      </c>
      <c r="AP1177" s="12">
        <v>0</v>
      </c>
      <c r="AQ1177" s="12">
        <v>0</v>
      </c>
      <c r="AR1177" s="12">
        <v>0</v>
      </c>
      <c r="AS1177" s="12">
        <v>0</v>
      </c>
      <c r="AT1177" s="12">
        <v>0</v>
      </c>
      <c r="AU1177" s="12">
        <v>0</v>
      </c>
      <c r="AV1177" s="12">
        <v>0</v>
      </c>
      <c r="AW1177" s="12">
        <v>0</v>
      </c>
      <c r="AX1177" s="12">
        <v>0</v>
      </c>
      <c r="AY1177" s="12">
        <v>0</v>
      </c>
      <c r="AZ1177"/>
      <c r="BA1177"/>
      <c r="BB1177" s="12">
        <v>0</v>
      </c>
      <c r="BC1177" s="12">
        <v>0</v>
      </c>
      <c r="BD1177" s="12">
        <v>0</v>
      </c>
      <c r="BE1177" s="12">
        <v>0</v>
      </c>
      <c r="BF1177" s="12">
        <v>0</v>
      </c>
      <c r="BI1177" s="12">
        <v>0</v>
      </c>
      <c r="BJ1177" s="12">
        <v>0</v>
      </c>
    </row>
    <row r="1178" spans="1:62" x14ac:dyDescent="0.15">
      <c r="A1178" s="12"/>
      <c r="B1178" t="s">
        <v>2808</v>
      </c>
      <c r="C1178" t="s">
        <v>2808</v>
      </c>
      <c r="D1178" t="s">
        <v>6596</v>
      </c>
      <c r="E1178" t="s">
        <v>2182</v>
      </c>
      <c r="F1178"/>
      <c r="G1178"/>
      <c r="H1178"/>
      <c r="I1178"/>
      <c r="J1178"/>
      <c r="K1178"/>
      <c r="L1178" s="10">
        <v>3819410</v>
      </c>
      <c r="M1178" s="10">
        <v>630780</v>
      </c>
      <c r="N1178" s="12">
        <v>15</v>
      </c>
      <c r="O1178" s="12" t="s">
        <v>6992</v>
      </c>
      <c r="P1178" t="s">
        <v>2183</v>
      </c>
      <c r="R1178"/>
      <c r="S1178" t="s">
        <v>2184</v>
      </c>
      <c r="T1178" s="12" t="s">
        <v>2185</v>
      </c>
      <c r="U1178" s="12" t="s">
        <v>2186</v>
      </c>
      <c r="V1178" s="12" t="s">
        <v>2187</v>
      </c>
      <c r="W1178" s="12">
        <v>0</v>
      </c>
      <c r="X1178" s="12">
        <v>1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2">
        <v>0</v>
      </c>
      <c r="AK1178" s="12">
        <v>0</v>
      </c>
      <c r="AL1178" s="12">
        <v>0</v>
      </c>
      <c r="AM1178" s="12"/>
      <c r="AN1178" s="12">
        <v>0</v>
      </c>
      <c r="AO1178" s="12">
        <v>0</v>
      </c>
      <c r="AP1178" s="12">
        <v>0</v>
      </c>
      <c r="AQ1178" s="12">
        <v>0</v>
      </c>
      <c r="AR1178" s="12">
        <v>0</v>
      </c>
      <c r="AS1178" s="12">
        <v>0</v>
      </c>
      <c r="AT1178" s="12">
        <v>0</v>
      </c>
      <c r="AU1178" s="12">
        <v>0</v>
      </c>
      <c r="AV1178" s="12">
        <v>0</v>
      </c>
      <c r="AW1178" s="12">
        <v>0</v>
      </c>
      <c r="AX1178" s="12">
        <v>0</v>
      </c>
      <c r="AY1178" s="12">
        <v>0</v>
      </c>
      <c r="AZ1178"/>
      <c r="BA1178"/>
      <c r="BB1178" s="12">
        <v>0</v>
      </c>
      <c r="BC1178" s="12">
        <v>0</v>
      </c>
      <c r="BD1178" s="12">
        <v>0</v>
      </c>
      <c r="BE1178" s="12">
        <v>0</v>
      </c>
      <c r="BF1178" s="12">
        <v>0</v>
      </c>
      <c r="BI1178" s="12">
        <v>0</v>
      </c>
      <c r="BJ1178" s="12">
        <v>0</v>
      </c>
    </row>
    <row r="1179" spans="1:62" x14ac:dyDescent="0.15">
      <c r="A1179" s="12"/>
      <c r="B1179" t="s">
        <v>2809</v>
      </c>
      <c r="C1179" t="s">
        <v>2809</v>
      </c>
      <c r="D1179" t="s">
        <v>6596</v>
      </c>
      <c r="E1179" t="s">
        <v>2182</v>
      </c>
      <c r="F1179"/>
      <c r="G1179"/>
      <c r="H1179"/>
      <c r="I1179"/>
      <c r="J1179"/>
      <c r="K1179"/>
      <c r="L1179" s="10">
        <v>3820960</v>
      </c>
      <c r="M1179" s="10">
        <v>633970</v>
      </c>
      <c r="N1179" s="12">
        <v>15</v>
      </c>
      <c r="O1179" s="12" t="s">
        <v>6992</v>
      </c>
      <c r="P1179" t="s">
        <v>2183</v>
      </c>
      <c r="R1179"/>
      <c r="S1179" t="s">
        <v>2184</v>
      </c>
      <c r="T1179" s="12" t="s">
        <v>2185</v>
      </c>
      <c r="U1179" s="12" t="s">
        <v>2186</v>
      </c>
      <c r="V1179" s="12" t="s">
        <v>2187</v>
      </c>
      <c r="W1179" s="12">
        <v>0</v>
      </c>
      <c r="X1179" s="12">
        <v>1</v>
      </c>
      <c r="Y1179" s="12">
        <v>0</v>
      </c>
      <c r="Z1179" s="12">
        <v>0</v>
      </c>
      <c r="AA1179" s="12">
        <v>0</v>
      </c>
      <c r="AB1179" s="12">
        <v>0</v>
      </c>
      <c r="AC1179" s="12">
        <v>0</v>
      </c>
      <c r="AD1179" s="12">
        <v>0</v>
      </c>
      <c r="AE1179" s="12">
        <v>0</v>
      </c>
      <c r="AF1179" s="12">
        <v>0</v>
      </c>
      <c r="AG1179" s="12">
        <v>0</v>
      </c>
      <c r="AH1179" s="12">
        <v>0</v>
      </c>
      <c r="AI1179" s="12">
        <v>0</v>
      </c>
      <c r="AJ1179" s="12">
        <v>0</v>
      </c>
      <c r="AK1179" s="12">
        <v>0</v>
      </c>
      <c r="AL1179" s="12">
        <v>0</v>
      </c>
      <c r="AM1179" s="12"/>
      <c r="AN1179" s="12">
        <v>0</v>
      </c>
      <c r="AO1179" s="12">
        <v>0</v>
      </c>
      <c r="AP1179" s="12">
        <v>0</v>
      </c>
      <c r="AQ1179" s="12">
        <v>0</v>
      </c>
      <c r="AR1179" s="12">
        <v>0</v>
      </c>
      <c r="AS1179" s="12">
        <v>0</v>
      </c>
      <c r="AT1179" s="12">
        <v>0</v>
      </c>
      <c r="AU1179" s="12">
        <v>0</v>
      </c>
      <c r="AV1179" s="12">
        <v>0</v>
      </c>
      <c r="AW1179" s="12">
        <v>0</v>
      </c>
      <c r="AX1179" s="12">
        <v>0</v>
      </c>
      <c r="AY1179" s="12">
        <v>0</v>
      </c>
      <c r="AZ1179"/>
      <c r="BA1179"/>
      <c r="BB1179" s="12">
        <v>0</v>
      </c>
      <c r="BC1179" s="12">
        <v>0</v>
      </c>
      <c r="BD1179" s="12">
        <v>0</v>
      </c>
      <c r="BE1179" s="12">
        <v>0</v>
      </c>
      <c r="BF1179" s="12">
        <v>0</v>
      </c>
      <c r="BI1179" s="12">
        <v>0</v>
      </c>
      <c r="BJ1179" s="12">
        <v>0</v>
      </c>
    </row>
    <row r="1180" spans="1:62" x14ac:dyDescent="0.15">
      <c r="A1180" s="12"/>
      <c r="B1180" t="s">
        <v>2810</v>
      </c>
      <c r="C1180" t="s">
        <v>2810</v>
      </c>
      <c r="D1180" t="s">
        <v>6596</v>
      </c>
      <c r="E1180" t="s">
        <v>2182</v>
      </c>
      <c r="F1180"/>
      <c r="G1180"/>
      <c r="H1180"/>
      <c r="I1180"/>
      <c r="J1180"/>
      <c r="K1180"/>
      <c r="L1180" s="10">
        <v>3825710</v>
      </c>
      <c r="M1180" s="10">
        <v>634710</v>
      </c>
      <c r="N1180" s="12">
        <v>15</v>
      </c>
      <c r="O1180" s="12" t="s">
        <v>6992</v>
      </c>
      <c r="P1180" t="s">
        <v>2183</v>
      </c>
      <c r="R1180"/>
      <c r="S1180" t="s">
        <v>2184</v>
      </c>
      <c r="T1180" s="12" t="s">
        <v>2185</v>
      </c>
      <c r="U1180" s="12" t="s">
        <v>2186</v>
      </c>
      <c r="V1180" s="12" t="s">
        <v>2187</v>
      </c>
      <c r="W1180" s="12">
        <v>0</v>
      </c>
      <c r="X1180" s="12">
        <v>1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2">
        <v>0</v>
      </c>
      <c r="AK1180" s="12">
        <v>0</v>
      </c>
      <c r="AL1180" s="12">
        <v>0</v>
      </c>
      <c r="AM1180" s="12"/>
      <c r="AN1180" s="12">
        <v>0</v>
      </c>
      <c r="AO1180" s="12">
        <v>0</v>
      </c>
      <c r="AP1180" s="12">
        <v>0</v>
      </c>
      <c r="AQ1180" s="12">
        <v>0</v>
      </c>
      <c r="AR1180" s="12">
        <v>0</v>
      </c>
      <c r="AS1180" s="12">
        <v>0</v>
      </c>
      <c r="AT1180" s="12">
        <v>0</v>
      </c>
      <c r="AU1180" s="12">
        <v>0</v>
      </c>
      <c r="AV1180" s="12">
        <v>0</v>
      </c>
      <c r="AW1180" s="12">
        <v>0</v>
      </c>
      <c r="AX1180" s="12">
        <v>0</v>
      </c>
      <c r="AY1180" s="12">
        <v>0</v>
      </c>
      <c r="AZ1180"/>
      <c r="BA1180"/>
      <c r="BB1180" s="12">
        <v>0</v>
      </c>
      <c r="BC1180" s="12">
        <v>0</v>
      </c>
      <c r="BD1180" s="12">
        <v>0</v>
      </c>
      <c r="BE1180" s="12">
        <v>0</v>
      </c>
      <c r="BF1180" s="12">
        <v>0</v>
      </c>
      <c r="BI1180" s="12">
        <v>0</v>
      </c>
      <c r="BJ1180" s="12">
        <v>0</v>
      </c>
    </row>
    <row r="1181" spans="1:62" x14ac:dyDescent="0.15">
      <c r="A1181" s="12"/>
      <c r="B1181" t="s">
        <v>2811</v>
      </c>
      <c r="C1181" t="s">
        <v>2811</v>
      </c>
      <c r="D1181" t="s">
        <v>6596</v>
      </c>
      <c r="E1181" t="s">
        <v>2182</v>
      </c>
      <c r="F1181"/>
      <c r="G1181"/>
      <c r="H1181"/>
      <c r="I1181"/>
      <c r="J1181"/>
      <c r="K1181"/>
      <c r="L1181" s="10">
        <v>3820990</v>
      </c>
      <c r="M1181" s="10">
        <v>633310</v>
      </c>
      <c r="N1181" s="12">
        <v>15</v>
      </c>
      <c r="O1181" s="12" t="s">
        <v>6992</v>
      </c>
      <c r="P1181" t="s">
        <v>2183</v>
      </c>
      <c r="R1181"/>
      <c r="S1181" t="s">
        <v>2184</v>
      </c>
      <c r="T1181" s="12" t="s">
        <v>2185</v>
      </c>
      <c r="U1181" s="12" t="s">
        <v>2186</v>
      </c>
      <c r="V1181" s="12" t="s">
        <v>2187</v>
      </c>
      <c r="W1181" s="12">
        <v>0</v>
      </c>
      <c r="X1181" s="12">
        <v>1</v>
      </c>
      <c r="Y1181" s="12">
        <v>0</v>
      </c>
      <c r="Z1181" s="12">
        <v>0</v>
      </c>
      <c r="AA1181" s="12">
        <v>0</v>
      </c>
      <c r="AB1181" s="12">
        <v>0</v>
      </c>
      <c r="AC1181" s="12">
        <v>0</v>
      </c>
      <c r="AD1181" s="12">
        <v>0</v>
      </c>
      <c r="AE1181" s="12">
        <v>0</v>
      </c>
      <c r="AF1181" s="12">
        <v>0</v>
      </c>
      <c r="AG1181" s="12">
        <v>0</v>
      </c>
      <c r="AH1181" s="12">
        <v>0</v>
      </c>
      <c r="AI1181" s="12">
        <v>0</v>
      </c>
      <c r="AJ1181" s="12">
        <v>0</v>
      </c>
      <c r="AK1181" s="12">
        <v>0</v>
      </c>
      <c r="AL1181" s="12">
        <v>0</v>
      </c>
      <c r="AM1181" s="12"/>
      <c r="AN1181" s="12">
        <v>0</v>
      </c>
      <c r="AO1181" s="12">
        <v>0</v>
      </c>
      <c r="AP1181" s="12">
        <v>0</v>
      </c>
      <c r="AQ1181" s="12">
        <v>0</v>
      </c>
      <c r="AR1181" s="12">
        <v>0</v>
      </c>
      <c r="AS1181" s="12">
        <v>0</v>
      </c>
      <c r="AT1181" s="12">
        <v>0</v>
      </c>
      <c r="AU1181" s="12">
        <v>0</v>
      </c>
      <c r="AV1181" s="12">
        <v>0</v>
      </c>
      <c r="AW1181" s="12">
        <v>0</v>
      </c>
      <c r="AX1181" s="12">
        <v>0</v>
      </c>
      <c r="AY1181" s="12">
        <v>0</v>
      </c>
      <c r="AZ1181"/>
      <c r="BA1181"/>
      <c r="BB1181" s="12">
        <v>0</v>
      </c>
      <c r="BC1181" s="12">
        <v>0</v>
      </c>
      <c r="BD1181" s="12">
        <v>0</v>
      </c>
      <c r="BE1181" s="12">
        <v>0</v>
      </c>
      <c r="BF1181" s="12">
        <v>0</v>
      </c>
      <c r="BI1181" s="12">
        <v>0</v>
      </c>
      <c r="BJ1181" s="12">
        <v>0</v>
      </c>
    </row>
    <row r="1182" spans="1:62" x14ac:dyDescent="0.15">
      <c r="A1182" s="12"/>
      <c r="B1182" t="s">
        <v>2812</v>
      </c>
      <c r="C1182" t="s">
        <v>2812</v>
      </c>
      <c r="D1182" t="s">
        <v>6596</v>
      </c>
      <c r="E1182" t="s">
        <v>2182</v>
      </c>
      <c r="F1182"/>
      <c r="G1182"/>
      <c r="H1182"/>
      <c r="I1182"/>
      <c r="J1182"/>
      <c r="K1182"/>
      <c r="L1182" s="10">
        <v>3820970</v>
      </c>
      <c r="M1182" s="10">
        <v>633740</v>
      </c>
      <c r="N1182" s="12">
        <v>15</v>
      </c>
      <c r="O1182" s="12" t="s">
        <v>6992</v>
      </c>
      <c r="P1182" t="s">
        <v>2183</v>
      </c>
      <c r="R1182"/>
      <c r="S1182" t="s">
        <v>2184</v>
      </c>
      <c r="T1182" s="12" t="s">
        <v>2185</v>
      </c>
      <c r="U1182" s="12" t="s">
        <v>2186</v>
      </c>
      <c r="V1182" s="12" t="s">
        <v>2187</v>
      </c>
      <c r="W1182" s="12">
        <v>0</v>
      </c>
      <c r="X1182" s="12">
        <v>1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2">
        <v>0</v>
      </c>
      <c r="AK1182" s="12">
        <v>0</v>
      </c>
      <c r="AL1182" s="12">
        <v>0</v>
      </c>
      <c r="AM1182" s="12"/>
      <c r="AN1182" s="12">
        <v>0</v>
      </c>
      <c r="AO1182" s="12">
        <v>0</v>
      </c>
      <c r="AP1182" s="12">
        <v>0</v>
      </c>
      <c r="AQ1182" s="12">
        <v>0</v>
      </c>
      <c r="AR1182" s="12">
        <v>0</v>
      </c>
      <c r="AS1182" s="12">
        <v>0</v>
      </c>
      <c r="AT1182" s="12">
        <v>0</v>
      </c>
      <c r="AU1182" s="12">
        <v>0</v>
      </c>
      <c r="AV1182" s="12">
        <v>0</v>
      </c>
      <c r="AW1182" s="12">
        <v>0</v>
      </c>
      <c r="AX1182" s="12">
        <v>0</v>
      </c>
      <c r="AY1182" s="12">
        <v>0</v>
      </c>
      <c r="AZ1182"/>
      <c r="BA1182"/>
      <c r="BB1182" s="12">
        <v>0</v>
      </c>
      <c r="BC1182" s="12">
        <v>0</v>
      </c>
      <c r="BD1182" s="12">
        <v>0</v>
      </c>
      <c r="BE1182" s="12">
        <v>0</v>
      </c>
      <c r="BF1182" s="12">
        <v>0</v>
      </c>
      <c r="BI1182" s="12">
        <v>0</v>
      </c>
      <c r="BJ1182" s="12">
        <v>0</v>
      </c>
    </row>
    <row r="1183" spans="1:62" x14ac:dyDescent="0.15">
      <c r="A1183" s="12"/>
      <c r="B1183" t="s">
        <v>2813</v>
      </c>
      <c r="C1183" t="s">
        <v>2813</v>
      </c>
      <c r="D1183" t="s">
        <v>6596</v>
      </c>
      <c r="E1183" t="s">
        <v>2182</v>
      </c>
      <c r="F1183"/>
      <c r="G1183"/>
      <c r="H1183"/>
      <c r="I1183"/>
      <c r="J1183"/>
      <c r="K1183"/>
      <c r="L1183" s="10">
        <v>3824110</v>
      </c>
      <c r="M1183" s="10">
        <v>633250</v>
      </c>
      <c r="N1183" s="12">
        <v>15</v>
      </c>
      <c r="O1183" s="12" t="s">
        <v>6992</v>
      </c>
      <c r="P1183" t="s">
        <v>2183</v>
      </c>
      <c r="R1183"/>
      <c r="S1183" t="s">
        <v>2184</v>
      </c>
      <c r="T1183" s="12" t="s">
        <v>2185</v>
      </c>
      <c r="U1183" s="12" t="s">
        <v>2186</v>
      </c>
      <c r="V1183" s="12" t="s">
        <v>2187</v>
      </c>
      <c r="W1183" s="12">
        <v>0</v>
      </c>
      <c r="X1183" s="12">
        <v>1</v>
      </c>
      <c r="Y1183" s="12">
        <v>0</v>
      </c>
      <c r="Z1183" s="12">
        <v>0</v>
      </c>
      <c r="AA1183" s="12">
        <v>0</v>
      </c>
      <c r="AB1183" s="12">
        <v>0</v>
      </c>
      <c r="AC1183" s="12">
        <v>0</v>
      </c>
      <c r="AD1183" s="12">
        <v>0</v>
      </c>
      <c r="AE1183" s="12">
        <v>0</v>
      </c>
      <c r="AF1183" s="12">
        <v>0</v>
      </c>
      <c r="AG1183" s="12">
        <v>0</v>
      </c>
      <c r="AH1183" s="12">
        <v>0</v>
      </c>
      <c r="AI1183" s="12">
        <v>0</v>
      </c>
      <c r="AJ1183" s="12">
        <v>0</v>
      </c>
      <c r="AK1183" s="12">
        <v>0</v>
      </c>
      <c r="AL1183" s="12">
        <v>0</v>
      </c>
      <c r="AM1183" s="12"/>
      <c r="AN1183" s="12">
        <v>0</v>
      </c>
      <c r="AO1183" s="12">
        <v>0</v>
      </c>
      <c r="AP1183" s="12">
        <v>0</v>
      </c>
      <c r="AQ1183" s="12">
        <v>0</v>
      </c>
      <c r="AR1183" s="12">
        <v>0</v>
      </c>
      <c r="AS1183" s="12">
        <v>0</v>
      </c>
      <c r="AT1183" s="12">
        <v>0</v>
      </c>
      <c r="AU1183" s="12">
        <v>0</v>
      </c>
      <c r="AV1183" s="12">
        <v>0</v>
      </c>
      <c r="AW1183" s="12">
        <v>0</v>
      </c>
      <c r="AX1183" s="12">
        <v>0</v>
      </c>
      <c r="AY1183" s="12">
        <v>0</v>
      </c>
      <c r="AZ1183"/>
      <c r="BA1183"/>
      <c r="BB1183" s="12">
        <v>0</v>
      </c>
      <c r="BC1183" s="12">
        <v>0</v>
      </c>
      <c r="BD1183" s="12">
        <v>0</v>
      </c>
      <c r="BE1183" s="12">
        <v>0</v>
      </c>
      <c r="BF1183" s="12">
        <v>0</v>
      </c>
      <c r="BI1183" s="12">
        <v>0</v>
      </c>
      <c r="BJ1183" s="12">
        <v>0</v>
      </c>
    </row>
    <row r="1184" spans="1:62" x14ac:dyDescent="0.15">
      <c r="A1184" s="12"/>
      <c r="B1184" t="s">
        <v>2814</v>
      </c>
      <c r="C1184" s="27" t="s">
        <v>2815</v>
      </c>
      <c r="D1184" t="s">
        <v>6596</v>
      </c>
      <c r="E1184" t="s">
        <v>2182</v>
      </c>
      <c r="F1184"/>
      <c r="G1184"/>
      <c r="H1184"/>
      <c r="I1184"/>
      <c r="J1184"/>
      <c r="K1184"/>
      <c r="L1184" s="10">
        <v>3815510</v>
      </c>
      <c r="M1184" s="10">
        <v>649920</v>
      </c>
      <c r="N1184" s="12">
        <v>15</v>
      </c>
      <c r="O1184" s="12" t="s">
        <v>6992</v>
      </c>
      <c r="P1184" t="s">
        <v>2183</v>
      </c>
      <c r="R1184"/>
      <c r="S1184" t="s">
        <v>2184</v>
      </c>
      <c r="T1184" s="12" t="s">
        <v>2185</v>
      </c>
      <c r="U1184" s="12" t="s">
        <v>2186</v>
      </c>
      <c r="V1184" s="12" t="s">
        <v>2187</v>
      </c>
      <c r="W1184" s="12">
        <v>0</v>
      </c>
      <c r="X1184" s="12">
        <v>1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2">
        <v>0</v>
      </c>
      <c r="AK1184" s="12">
        <v>0</v>
      </c>
      <c r="AL1184" s="12">
        <v>0</v>
      </c>
      <c r="AM1184" s="12"/>
      <c r="AN1184" s="12">
        <v>0</v>
      </c>
      <c r="AO1184" s="12">
        <v>0</v>
      </c>
      <c r="AP1184" s="12">
        <v>0</v>
      </c>
      <c r="AQ1184" s="12">
        <v>0</v>
      </c>
      <c r="AR1184" s="12">
        <v>0</v>
      </c>
      <c r="AS1184" s="12">
        <v>0</v>
      </c>
      <c r="AT1184" s="12">
        <v>0</v>
      </c>
      <c r="AU1184" s="12">
        <v>0</v>
      </c>
      <c r="AV1184" s="12">
        <v>0</v>
      </c>
      <c r="AW1184" s="12">
        <v>0</v>
      </c>
      <c r="AX1184" s="12">
        <v>0</v>
      </c>
      <c r="AY1184" s="12">
        <v>0</v>
      </c>
      <c r="AZ1184"/>
      <c r="BA1184"/>
      <c r="BB1184" s="12">
        <v>0</v>
      </c>
      <c r="BC1184" s="12">
        <v>0</v>
      </c>
      <c r="BD1184" s="12">
        <v>0</v>
      </c>
      <c r="BE1184" s="12">
        <v>0</v>
      </c>
      <c r="BF1184" s="12">
        <v>0</v>
      </c>
      <c r="BI1184" s="12">
        <v>0</v>
      </c>
      <c r="BJ1184" s="12">
        <v>0</v>
      </c>
    </row>
    <row r="1185" spans="1:62" x14ac:dyDescent="0.15">
      <c r="A1185" s="12"/>
      <c r="B1185" t="s">
        <v>2816</v>
      </c>
      <c r="C1185" s="27" t="s">
        <v>2817</v>
      </c>
      <c r="D1185" t="s">
        <v>6596</v>
      </c>
      <c r="E1185" t="s">
        <v>2182</v>
      </c>
      <c r="F1185"/>
      <c r="G1185"/>
      <c r="H1185"/>
      <c r="I1185"/>
      <c r="J1185"/>
      <c r="K1185"/>
      <c r="L1185" s="10">
        <v>3818040</v>
      </c>
      <c r="M1185" s="10">
        <v>635690</v>
      </c>
      <c r="N1185" s="12">
        <v>15</v>
      </c>
      <c r="O1185" s="12" t="s">
        <v>6992</v>
      </c>
      <c r="P1185" t="s">
        <v>2183</v>
      </c>
      <c r="R1185"/>
      <c r="S1185" t="s">
        <v>2184</v>
      </c>
      <c r="T1185" s="12" t="s">
        <v>2185</v>
      </c>
      <c r="U1185" s="12" t="s">
        <v>2186</v>
      </c>
      <c r="V1185" s="12" t="s">
        <v>2187</v>
      </c>
      <c r="W1185" s="12">
        <v>0</v>
      </c>
      <c r="X1185" s="12">
        <v>1</v>
      </c>
      <c r="Y1185" s="12">
        <v>0</v>
      </c>
      <c r="Z1185" s="12">
        <v>0</v>
      </c>
      <c r="AA1185" s="12">
        <v>0</v>
      </c>
      <c r="AB1185" s="12">
        <v>0</v>
      </c>
      <c r="AC1185" s="12">
        <v>0</v>
      </c>
      <c r="AD1185" s="12">
        <v>0</v>
      </c>
      <c r="AE1185" s="12">
        <v>0</v>
      </c>
      <c r="AF1185" s="12">
        <v>0</v>
      </c>
      <c r="AG1185" s="12">
        <v>0</v>
      </c>
      <c r="AH1185" s="12">
        <v>0</v>
      </c>
      <c r="AI1185" s="12">
        <v>0</v>
      </c>
      <c r="AJ1185" s="12">
        <v>0</v>
      </c>
      <c r="AK1185" s="12">
        <v>0</v>
      </c>
      <c r="AL1185" s="12">
        <v>0</v>
      </c>
      <c r="AM1185" s="12"/>
      <c r="AN1185" s="12">
        <v>0</v>
      </c>
      <c r="AO1185" s="12">
        <v>0</v>
      </c>
      <c r="AP1185" s="12">
        <v>0</v>
      </c>
      <c r="AQ1185" s="12">
        <v>0</v>
      </c>
      <c r="AR1185" s="12">
        <v>0</v>
      </c>
      <c r="AS1185" s="12">
        <v>0</v>
      </c>
      <c r="AT1185" s="12">
        <v>0</v>
      </c>
      <c r="AU1185" s="12">
        <v>0</v>
      </c>
      <c r="AV1185" s="12">
        <v>0</v>
      </c>
      <c r="AW1185" s="12">
        <v>0</v>
      </c>
      <c r="AX1185" s="12">
        <v>0</v>
      </c>
      <c r="AY1185" s="12">
        <v>0</v>
      </c>
      <c r="AZ1185"/>
      <c r="BA1185"/>
      <c r="BB1185" s="12">
        <v>0</v>
      </c>
      <c r="BC1185" s="12">
        <v>0</v>
      </c>
      <c r="BD1185" s="12">
        <v>0</v>
      </c>
      <c r="BE1185" s="12">
        <v>0</v>
      </c>
      <c r="BF1185" s="12">
        <v>0</v>
      </c>
      <c r="BI1185" s="12">
        <v>0</v>
      </c>
      <c r="BJ1185" s="12">
        <v>0</v>
      </c>
    </row>
    <row r="1186" spans="1:62" x14ac:dyDescent="0.15">
      <c r="A1186" s="12"/>
      <c r="B1186" t="s">
        <v>2818</v>
      </c>
      <c r="C1186" t="s">
        <v>2818</v>
      </c>
      <c r="D1186" t="s">
        <v>6596</v>
      </c>
      <c r="E1186" t="s">
        <v>2182</v>
      </c>
      <c r="F1186"/>
      <c r="G1186"/>
      <c r="H1186"/>
      <c r="I1186"/>
      <c r="J1186"/>
      <c r="K1186"/>
      <c r="L1186" s="10">
        <v>3822920</v>
      </c>
      <c r="M1186" s="10">
        <v>638920</v>
      </c>
      <c r="N1186" s="12">
        <v>15</v>
      </c>
      <c r="O1186" s="12" t="s">
        <v>6992</v>
      </c>
      <c r="P1186" t="s">
        <v>2183</v>
      </c>
      <c r="R1186"/>
      <c r="S1186" t="s">
        <v>2184</v>
      </c>
      <c r="T1186" s="12" t="s">
        <v>2185</v>
      </c>
      <c r="U1186" s="12" t="s">
        <v>2186</v>
      </c>
      <c r="V1186" s="12" t="s">
        <v>2187</v>
      </c>
      <c r="W1186" s="12">
        <v>0</v>
      </c>
      <c r="X1186" s="12">
        <v>1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2">
        <v>0</v>
      </c>
      <c r="AK1186" s="12">
        <v>0</v>
      </c>
      <c r="AL1186" s="12">
        <v>0</v>
      </c>
      <c r="AM1186" s="12"/>
      <c r="AN1186" s="12">
        <v>0</v>
      </c>
      <c r="AO1186" s="12">
        <v>0</v>
      </c>
      <c r="AP1186" s="12">
        <v>0</v>
      </c>
      <c r="AQ1186" s="12">
        <v>0</v>
      </c>
      <c r="AR1186" s="12">
        <v>0</v>
      </c>
      <c r="AS1186" s="12">
        <v>0</v>
      </c>
      <c r="AT1186" s="12">
        <v>0</v>
      </c>
      <c r="AU1186" s="12">
        <v>0</v>
      </c>
      <c r="AV1186" s="12">
        <v>0</v>
      </c>
      <c r="AW1186" s="12">
        <v>0</v>
      </c>
      <c r="AX1186" s="12">
        <v>0</v>
      </c>
      <c r="AY1186" s="12">
        <v>0</v>
      </c>
      <c r="AZ1186"/>
      <c r="BA1186"/>
      <c r="BB1186" s="12">
        <v>0</v>
      </c>
      <c r="BC1186" s="12">
        <v>0</v>
      </c>
      <c r="BD1186" s="12">
        <v>0</v>
      </c>
      <c r="BE1186" s="12">
        <v>0</v>
      </c>
      <c r="BF1186" s="12">
        <v>0</v>
      </c>
      <c r="BI1186" s="12">
        <v>0</v>
      </c>
      <c r="BJ1186" s="12">
        <v>0</v>
      </c>
    </row>
    <row r="1187" spans="1:62" x14ac:dyDescent="0.15">
      <c r="A1187" s="12"/>
      <c r="B1187" t="s">
        <v>2819</v>
      </c>
      <c r="C1187" t="s">
        <v>2819</v>
      </c>
      <c r="D1187" t="s">
        <v>6596</v>
      </c>
      <c r="E1187" t="s">
        <v>2182</v>
      </c>
      <c r="F1187"/>
      <c r="G1187"/>
      <c r="H1187"/>
      <c r="I1187"/>
      <c r="J1187"/>
      <c r="K1187"/>
      <c r="L1187" s="10">
        <v>3825760</v>
      </c>
      <c r="M1187" s="10">
        <v>638020</v>
      </c>
      <c r="N1187" s="12">
        <v>15</v>
      </c>
      <c r="O1187" s="12" t="s">
        <v>6992</v>
      </c>
      <c r="P1187" t="s">
        <v>2183</v>
      </c>
      <c r="R1187"/>
      <c r="S1187" t="s">
        <v>2184</v>
      </c>
      <c r="T1187" s="12" t="s">
        <v>2185</v>
      </c>
      <c r="U1187" s="12" t="s">
        <v>2186</v>
      </c>
      <c r="V1187" s="12" t="s">
        <v>2187</v>
      </c>
      <c r="W1187" s="12">
        <v>0</v>
      </c>
      <c r="X1187" s="12">
        <v>1</v>
      </c>
      <c r="Y1187" s="12">
        <v>0</v>
      </c>
      <c r="Z1187" s="12">
        <v>0</v>
      </c>
      <c r="AA1187" s="12">
        <v>0</v>
      </c>
      <c r="AB1187" s="12">
        <v>0</v>
      </c>
      <c r="AC1187" s="12">
        <v>0</v>
      </c>
      <c r="AD1187" s="12">
        <v>0</v>
      </c>
      <c r="AE1187" s="12">
        <v>0</v>
      </c>
      <c r="AF1187" s="12">
        <v>0</v>
      </c>
      <c r="AG1187" s="12">
        <v>0</v>
      </c>
      <c r="AH1187" s="12">
        <v>0</v>
      </c>
      <c r="AI1187" s="12">
        <v>0</v>
      </c>
      <c r="AJ1187" s="12">
        <v>0</v>
      </c>
      <c r="AK1187" s="12">
        <v>0</v>
      </c>
      <c r="AL1187" s="12">
        <v>0</v>
      </c>
      <c r="AM1187" s="12"/>
      <c r="AN1187" s="12">
        <v>0</v>
      </c>
      <c r="AO1187" s="12">
        <v>0</v>
      </c>
      <c r="AP1187" s="12">
        <v>0</v>
      </c>
      <c r="AQ1187" s="12">
        <v>0</v>
      </c>
      <c r="AR1187" s="12">
        <v>0</v>
      </c>
      <c r="AS1187" s="12">
        <v>0</v>
      </c>
      <c r="AT1187" s="12">
        <v>0</v>
      </c>
      <c r="AU1187" s="12">
        <v>0</v>
      </c>
      <c r="AV1187" s="12">
        <v>0</v>
      </c>
      <c r="AW1187" s="12">
        <v>0</v>
      </c>
      <c r="AX1187" s="12">
        <v>0</v>
      </c>
      <c r="AY1187" s="12">
        <v>0</v>
      </c>
      <c r="AZ1187"/>
      <c r="BA1187"/>
      <c r="BB1187" s="12">
        <v>0</v>
      </c>
      <c r="BC1187" s="12">
        <v>0</v>
      </c>
      <c r="BD1187" s="12">
        <v>0</v>
      </c>
      <c r="BE1187" s="12">
        <v>0</v>
      </c>
      <c r="BF1187" s="12">
        <v>0</v>
      </c>
      <c r="BI1187" s="12">
        <v>0</v>
      </c>
      <c r="BJ1187" s="12">
        <v>0</v>
      </c>
    </row>
    <row r="1188" spans="1:62" x14ac:dyDescent="0.15">
      <c r="A1188" s="12"/>
      <c r="B1188" t="s">
        <v>2820</v>
      </c>
      <c r="C1188" t="s">
        <v>2820</v>
      </c>
      <c r="D1188" t="s">
        <v>6596</v>
      </c>
      <c r="E1188" t="s">
        <v>2182</v>
      </c>
      <c r="F1188"/>
      <c r="G1188"/>
      <c r="H1188"/>
      <c r="I1188"/>
      <c r="J1188"/>
      <c r="K1188"/>
      <c r="L1188" s="10">
        <v>3825720</v>
      </c>
      <c r="M1188" s="10">
        <v>643840</v>
      </c>
      <c r="N1188" s="12">
        <v>15</v>
      </c>
      <c r="O1188" s="12" t="s">
        <v>6992</v>
      </c>
      <c r="P1188" t="s">
        <v>2183</v>
      </c>
      <c r="R1188"/>
      <c r="S1188" t="s">
        <v>2184</v>
      </c>
      <c r="T1188" s="12" t="s">
        <v>2185</v>
      </c>
      <c r="U1188" s="12" t="s">
        <v>2186</v>
      </c>
      <c r="V1188" s="12" t="s">
        <v>2187</v>
      </c>
      <c r="W1188" s="12">
        <v>0</v>
      </c>
      <c r="X1188" s="12">
        <v>1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2">
        <v>0</v>
      </c>
      <c r="AK1188" s="12">
        <v>0</v>
      </c>
      <c r="AL1188" s="12">
        <v>0</v>
      </c>
      <c r="AM1188" s="12"/>
      <c r="AN1188" s="12">
        <v>0</v>
      </c>
      <c r="AO1188" s="12">
        <v>0</v>
      </c>
      <c r="AP1188" s="12">
        <v>0</v>
      </c>
      <c r="AQ1188" s="12">
        <v>0</v>
      </c>
      <c r="AR1188" s="12">
        <v>0</v>
      </c>
      <c r="AS1188" s="12">
        <v>0</v>
      </c>
      <c r="AT1188" s="12">
        <v>0</v>
      </c>
      <c r="AU1188" s="12">
        <v>0</v>
      </c>
      <c r="AV1188" s="12">
        <v>0</v>
      </c>
      <c r="AW1188" s="12">
        <v>0</v>
      </c>
      <c r="AX1188" s="12">
        <v>0</v>
      </c>
      <c r="AY1188" s="12">
        <v>0</v>
      </c>
      <c r="AZ1188"/>
      <c r="BA1188"/>
      <c r="BB1188" s="12">
        <v>0</v>
      </c>
      <c r="BC1188" s="12">
        <v>0</v>
      </c>
      <c r="BD1188" s="12">
        <v>0</v>
      </c>
      <c r="BE1188" s="12">
        <v>0</v>
      </c>
      <c r="BF1188" s="12">
        <v>0</v>
      </c>
      <c r="BI1188" s="12">
        <v>0</v>
      </c>
      <c r="BJ1188" s="12">
        <v>0</v>
      </c>
    </row>
    <row r="1189" spans="1:62" x14ac:dyDescent="0.15">
      <c r="A1189" s="12"/>
      <c r="B1189" t="s">
        <v>2821</v>
      </c>
      <c r="C1189" t="s">
        <v>2821</v>
      </c>
      <c r="D1189" t="s">
        <v>6596</v>
      </c>
      <c r="E1189" t="s">
        <v>2182</v>
      </c>
      <c r="F1189"/>
      <c r="G1189"/>
      <c r="H1189"/>
      <c r="I1189"/>
      <c r="J1189"/>
      <c r="K1189"/>
      <c r="L1189" s="10">
        <v>3804460</v>
      </c>
      <c r="M1189" s="10">
        <v>650210</v>
      </c>
      <c r="N1189" s="12">
        <v>15</v>
      </c>
      <c r="O1189" s="12" t="s">
        <v>6992</v>
      </c>
      <c r="P1189" t="s">
        <v>2183</v>
      </c>
      <c r="R1189"/>
      <c r="S1189" t="s">
        <v>2184</v>
      </c>
      <c r="T1189" s="12" t="s">
        <v>2185</v>
      </c>
      <c r="U1189" s="12" t="s">
        <v>2186</v>
      </c>
      <c r="V1189" s="12" t="s">
        <v>2187</v>
      </c>
      <c r="W1189" s="12">
        <v>0</v>
      </c>
      <c r="X1189" s="12">
        <v>1</v>
      </c>
      <c r="Y1189" s="12">
        <v>0</v>
      </c>
      <c r="Z1189" s="12">
        <v>0</v>
      </c>
      <c r="AA1189" s="12">
        <v>0</v>
      </c>
      <c r="AB1189" s="12">
        <v>0</v>
      </c>
      <c r="AC1189" s="12">
        <v>0</v>
      </c>
      <c r="AD1189" s="12">
        <v>0</v>
      </c>
      <c r="AE1189" s="12">
        <v>0</v>
      </c>
      <c r="AF1189" s="12">
        <v>0</v>
      </c>
      <c r="AG1189" s="12">
        <v>0</v>
      </c>
      <c r="AH1189" s="12">
        <v>0</v>
      </c>
      <c r="AI1189" s="12">
        <v>0</v>
      </c>
      <c r="AJ1189" s="12">
        <v>0</v>
      </c>
      <c r="AK1189" s="12">
        <v>0</v>
      </c>
      <c r="AL1189" s="12">
        <v>0</v>
      </c>
      <c r="AM1189" s="12"/>
      <c r="AN1189" s="12">
        <v>0</v>
      </c>
      <c r="AO1189" s="12">
        <v>0</v>
      </c>
      <c r="AP1189" s="12">
        <v>0</v>
      </c>
      <c r="AQ1189" s="12">
        <v>0</v>
      </c>
      <c r="AR1189" s="12">
        <v>0</v>
      </c>
      <c r="AS1189" s="12">
        <v>0</v>
      </c>
      <c r="AT1189" s="12">
        <v>0</v>
      </c>
      <c r="AU1189" s="12">
        <v>0</v>
      </c>
      <c r="AV1189" s="12">
        <v>0</v>
      </c>
      <c r="AW1189" s="12">
        <v>0</v>
      </c>
      <c r="AX1189" s="12">
        <v>0</v>
      </c>
      <c r="AY1189" s="12">
        <v>0</v>
      </c>
      <c r="AZ1189"/>
      <c r="BA1189"/>
      <c r="BB1189" s="12">
        <v>0</v>
      </c>
      <c r="BC1189" s="12">
        <v>0</v>
      </c>
      <c r="BD1189" s="12">
        <v>0</v>
      </c>
      <c r="BE1189" s="12">
        <v>0</v>
      </c>
      <c r="BF1189" s="12">
        <v>0</v>
      </c>
      <c r="BI1189" s="12">
        <v>0</v>
      </c>
      <c r="BJ1189" s="12">
        <v>0</v>
      </c>
    </row>
    <row r="1190" spans="1:62" x14ac:dyDescent="0.15">
      <c r="A1190" s="12"/>
      <c r="B1190" t="s">
        <v>2822</v>
      </c>
      <c r="C1190" s="27" t="s">
        <v>2823</v>
      </c>
      <c r="D1190" t="s">
        <v>6596</v>
      </c>
      <c r="E1190" t="s">
        <v>2182</v>
      </c>
      <c r="F1190"/>
      <c r="G1190"/>
      <c r="H1190"/>
      <c r="I1190"/>
      <c r="J1190"/>
      <c r="K1190"/>
      <c r="L1190" s="10">
        <v>3802720</v>
      </c>
      <c r="M1190" s="10">
        <v>655920</v>
      </c>
      <c r="N1190" s="12">
        <v>15</v>
      </c>
      <c r="O1190" s="12" t="s">
        <v>6992</v>
      </c>
      <c r="P1190" t="s">
        <v>2183</v>
      </c>
      <c r="R1190"/>
      <c r="S1190" t="s">
        <v>2184</v>
      </c>
      <c r="T1190" s="12" t="s">
        <v>2185</v>
      </c>
      <c r="U1190" s="12" t="s">
        <v>2186</v>
      </c>
      <c r="V1190" s="12" t="s">
        <v>2187</v>
      </c>
      <c r="W1190" s="12">
        <v>0</v>
      </c>
      <c r="X1190" s="12">
        <v>1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2">
        <v>0</v>
      </c>
      <c r="AK1190" s="12">
        <v>0</v>
      </c>
      <c r="AL1190" s="12">
        <v>0</v>
      </c>
      <c r="AM1190" s="12"/>
      <c r="AN1190" s="12">
        <v>0</v>
      </c>
      <c r="AO1190" s="12">
        <v>0</v>
      </c>
      <c r="AP1190" s="12">
        <v>0</v>
      </c>
      <c r="AQ1190" s="12">
        <v>0</v>
      </c>
      <c r="AR1190" s="12">
        <v>0</v>
      </c>
      <c r="AS1190" s="12">
        <v>0</v>
      </c>
      <c r="AT1190" s="12">
        <v>0</v>
      </c>
      <c r="AU1190" s="12">
        <v>0</v>
      </c>
      <c r="AV1190" s="12">
        <v>0</v>
      </c>
      <c r="AW1190" s="12">
        <v>0</v>
      </c>
      <c r="AX1190" s="12">
        <v>0</v>
      </c>
      <c r="AY1190" s="12">
        <v>0</v>
      </c>
      <c r="AZ1190"/>
      <c r="BA1190"/>
      <c r="BB1190" s="12">
        <v>0</v>
      </c>
      <c r="BC1190" s="12">
        <v>0</v>
      </c>
      <c r="BD1190" s="12">
        <v>0</v>
      </c>
      <c r="BE1190" s="12">
        <v>0</v>
      </c>
      <c r="BF1190" s="12">
        <v>0</v>
      </c>
      <c r="BI1190" s="12">
        <v>0</v>
      </c>
      <c r="BJ1190" s="12">
        <v>0</v>
      </c>
    </row>
    <row r="1191" spans="1:62" x14ac:dyDescent="0.15">
      <c r="A1191" s="12"/>
      <c r="B1191" t="s">
        <v>2824</v>
      </c>
      <c r="C1191" t="s">
        <v>2824</v>
      </c>
      <c r="D1191" t="s">
        <v>6596</v>
      </c>
      <c r="E1191" t="s">
        <v>2182</v>
      </c>
      <c r="F1191"/>
      <c r="G1191"/>
      <c r="H1191"/>
      <c r="I1191"/>
      <c r="J1191"/>
      <c r="K1191"/>
      <c r="L1191" s="10">
        <v>3807980</v>
      </c>
      <c r="M1191" s="10">
        <v>393320</v>
      </c>
      <c r="N1191" s="12">
        <v>15</v>
      </c>
      <c r="O1191" s="12" t="s">
        <v>6992</v>
      </c>
      <c r="P1191" t="s">
        <v>2183</v>
      </c>
      <c r="R1191"/>
      <c r="S1191" t="s">
        <v>2184</v>
      </c>
      <c r="T1191" s="12" t="s">
        <v>2185</v>
      </c>
      <c r="U1191" s="12" t="s">
        <v>2186</v>
      </c>
      <c r="V1191" s="12" t="s">
        <v>2187</v>
      </c>
      <c r="W1191" s="12">
        <v>0</v>
      </c>
      <c r="X1191" s="12">
        <v>1</v>
      </c>
      <c r="Y1191" s="12">
        <v>0</v>
      </c>
      <c r="Z1191" s="12">
        <v>0</v>
      </c>
      <c r="AA1191" s="12">
        <v>0</v>
      </c>
      <c r="AB1191" s="12">
        <v>0</v>
      </c>
      <c r="AC1191" s="12">
        <v>0</v>
      </c>
      <c r="AD1191" s="12">
        <v>0</v>
      </c>
      <c r="AE1191" s="12">
        <v>0</v>
      </c>
      <c r="AF1191" s="12">
        <v>0</v>
      </c>
      <c r="AG1191" s="12">
        <v>0</v>
      </c>
      <c r="AH1191" s="12">
        <v>0</v>
      </c>
      <c r="AI1191" s="12">
        <v>0</v>
      </c>
      <c r="AJ1191" s="12">
        <v>0</v>
      </c>
      <c r="AK1191" s="12">
        <v>0</v>
      </c>
      <c r="AL1191" s="12">
        <v>0</v>
      </c>
      <c r="AM1191" s="12"/>
      <c r="AN1191" s="12">
        <v>0</v>
      </c>
      <c r="AO1191" s="12">
        <v>0</v>
      </c>
      <c r="AP1191" s="12">
        <v>0</v>
      </c>
      <c r="AQ1191" s="12">
        <v>0</v>
      </c>
      <c r="AR1191" s="12">
        <v>0</v>
      </c>
      <c r="AS1191" s="12">
        <v>0</v>
      </c>
      <c r="AT1191" s="12">
        <v>0</v>
      </c>
      <c r="AU1191" s="12">
        <v>0</v>
      </c>
      <c r="AV1191" s="12">
        <v>0</v>
      </c>
      <c r="AW1191" s="12">
        <v>0</v>
      </c>
      <c r="AX1191" s="12">
        <v>0</v>
      </c>
      <c r="AY1191" s="12">
        <v>0</v>
      </c>
      <c r="AZ1191"/>
      <c r="BA1191"/>
      <c r="BB1191" s="12">
        <v>0</v>
      </c>
      <c r="BC1191" s="12">
        <v>0</v>
      </c>
      <c r="BD1191" s="12">
        <v>0</v>
      </c>
      <c r="BE1191" s="12">
        <v>0</v>
      </c>
      <c r="BF1191" s="12">
        <v>0</v>
      </c>
      <c r="BI1191" s="12">
        <v>0</v>
      </c>
      <c r="BJ1191" s="12">
        <v>0</v>
      </c>
    </row>
    <row r="1192" spans="1:62" x14ac:dyDescent="0.15">
      <c r="A1192" s="12"/>
      <c r="B1192" t="s">
        <v>2825</v>
      </c>
      <c r="C1192" t="s">
        <v>2825</v>
      </c>
      <c r="D1192" t="s">
        <v>6596</v>
      </c>
      <c r="E1192" t="s">
        <v>2182</v>
      </c>
      <c r="F1192"/>
      <c r="G1192"/>
      <c r="H1192"/>
      <c r="I1192"/>
      <c r="J1192"/>
      <c r="K1192"/>
      <c r="L1192" s="10">
        <v>3800250</v>
      </c>
      <c r="M1192" s="10">
        <v>511300</v>
      </c>
      <c r="N1192" s="12">
        <v>15</v>
      </c>
      <c r="O1192" s="12" t="s">
        <v>6992</v>
      </c>
      <c r="P1192" t="s">
        <v>2183</v>
      </c>
      <c r="R1192"/>
      <c r="S1192" t="s">
        <v>2184</v>
      </c>
      <c r="T1192" s="12" t="s">
        <v>2185</v>
      </c>
      <c r="U1192" s="12" t="s">
        <v>2186</v>
      </c>
      <c r="V1192" s="12" t="s">
        <v>2187</v>
      </c>
      <c r="W1192" s="12">
        <v>0</v>
      </c>
      <c r="X1192" s="12">
        <v>1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2">
        <v>0</v>
      </c>
      <c r="AK1192" s="12">
        <v>0</v>
      </c>
      <c r="AL1192" s="12">
        <v>0</v>
      </c>
      <c r="AM1192" s="12"/>
      <c r="AN1192" s="12">
        <v>0</v>
      </c>
      <c r="AO1192" s="12">
        <v>0</v>
      </c>
      <c r="AP1192" s="12">
        <v>0</v>
      </c>
      <c r="AQ1192" s="12">
        <v>0</v>
      </c>
      <c r="AR1192" s="12">
        <v>0</v>
      </c>
      <c r="AS1192" s="12">
        <v>0</v>
      </c>
      <c r="AT1192" s="12">
        <v>0</v>
      </c>
      <c r="AU1192" s="12">
        <v>0</v>
      </c>
      <c r="AV1192" s="12">
        <v>0</v>
      </c>
      <c r="AW1192" s="12">
        <v>0</v>
      </c>
      <c r="AX1192" s="12">
        <v>0</v>
      </c>
      <c r="AY1192" s="12">
        <v>0</v>
      </c>
      <c r="AZ1192"/>
      <c r="BA1192"/>
      <c r="BB1192" s="12">
        <v>0</v>
      </c>
      <c r="BC1192" s="12">
        <v>0</v>
      </c>
      <c r="BD1192" s="12">
        <v>0</v>
      </c>
      <c r="BE1192" s="12">
        <v>0</v>
      </c>
      <c r="BF1192" s="12">
        <v>0</v>
      </c>
      <c r="BI1192" s="12">
        <v>0</v>
      </c>
      <c r="BJ1192" s="12">
        <v>0</v>
      </c>
    </row>
    <row r="1193" spans="1:62" x14ac:dyDescent="0.15">
      <c r="A1193" s="12"/>
      <c r="B1193" t="s">
        <v>2826</v>
      </c>
      <c r="C1193" s="27" t="s">
        <v>2827</v>
      </c>
      <c r="D1193" t="s">
        <v>6596</v>
      </c>
      <c r="E1193" t="s">
        <v>2182</v>
      </c>
      <c r="F1193"/>
      <c r="G1193"/>
      <c r="H1193"/>
      <c r="I1193"/>
      <c r="J1193"/>
      <c r="K1193"/>
      <c r="L1193" s="10">
        <v>3802880</v>
      </c>
      <c r="M1193" s="10">
        <v>648850</v>
      </c>
      <c r="N1193" s="12">
        <v>15</v>
      </c>
      <c r="O1193" s="12" t="s">
        <v>6992</v>
      </c>
      <c r="P1193" t="s">
        <v>2183</v>
      </c>
      <c r="R1193"/>
      <c r="S1193" t="s">
        <v>2184</v>
      </c>
      <c r="T1193" s="12" t="s">
        <v>2185</v>
      </c>
      <c r="U1193" s="12" t="s">
        <v>2186</v>
      </c>
      <c r="V1193" s="12" t="s">
        <v>2187</v>
      </c>
      <c r="W1193" s="12">
        <v>0</v>
      </c>
      <c r="X1193" s="12">
        <v>1</v>
      </c>
      <c r="Y1193" s="12">
        <v>0</v>
      </c>
      <c r="Z1193" s="12">
        <v>0</v>
      </c>
      <c r="AA1193" s="12">
        <v>0</v>
      </c>
      <c r="AB1193" s="12">
        <v>0</v>
      </c>
      <c r="AC1193" s="12">
        <v>0</v>
      </c>
      <c r="AD1193" s="12">
        <v>0</v>
      </c>
      <c r="AE1193" s="12">
        <v>0</v>
      </c>
      <c r="AF1193" s="12">
        <v>0</v>
      </c>
      <c r="AG1193" s="12">
        <v>0</v>
      </c>
      <c r="AH1193" s="12">
        <v>0</v>
      </c>
      <c r="AI1193" s="12">
        <v>0</v>
      </c>
      <c r="AJ1193" s="12">
        <v>0</v>
      </c>
      <c r="AK1193" s="12">
        <v>0</v>
      </c>
      <c r="AL1193" s="12">
        <v>0</v>
      </c>
      <c r="AM1193" s="12"/>
      <c r="AN1193" s="12">
        <v>0</v>
      </c>
      <c r="AO1193" s="12">
        <v>0</v>
      </c>
      <c r="AP1193" s="12">
        <v>0</v>
      </c>
      <c r="AQ1193" s="12">
        <v>0</v>
      </c>
      <c r="AR1193" s="12">
        <v>0</v>
      </c>
      <c r="AS1193" s="12">
        <v>0</v>
      </c>
      <c r="AT1193" s="12">
        <v>0</v>
      </c>
      <c r="AU1193" s="12">
        <v>0</v>
      </c>
      <c r="AV1193" s="12">
        <v>0</v>
      </c>
      <c r="AW1193" s="12">
        <v>0</v>
      </c>
      <c r="AX1193" s="12">
        <v>0</v>
      </c>
      <c r="AY1193" s="12">
        <v>0</v>
      </c>
      <c r="AZ1193"/>
      <c r="BA1193"/>
      <c r="BB1193" s="12">
        <v>0</v>
      </c>
      <c r="BC1193" s="12">
        <v>0</v>
      </c>
      <c r="BD1193" s="12">
        <v>0</v>
      </c>
      <c r="BE1193" s="12">
        <v>0</v>
      </c>
      <c r="BF1193" s="12">
        <v>0</v>
      </c>
      <c r="BI1193" s="12">
        <v>0</v>
      </c>
      <c r="BJ1193" s="12">
        <v>0</v>
      </c>
    </row>
    <row r="1194" spans="1:62" x14ac:dyDescent="0.15">
      <c r="A1194" s="12"/>
      <c r="B1194" t="s">
        <v>2828</v>
      </c>
      <c r="C1194" t="s">
        <v>2828</v>
      </c>
      <c r="D1194" t="s">
        <v>6596</v>
      </c>
      <c r="E1194" t="s">
        <v>2182</v>
      </c>
      <c r="F1194"/>
      <c r="G1194"/>
      <c r="H1194"/>
      <c r="I1194"/>
      <c r="J1194"/>
      <c r="K1194"/>
      <c r="L1194" s="10">
        <v>3812620</v>
      </c>
      <c r="M1194" s="10">
        <v>648290</v>
      </c>
      <c r="N1194" s="12">
        <v>15</v>
      </c>
      <c r="O1194" s="12" t="s">
        <v>6992</v>
      </c>
      <c r="P1194" t="s">
        <v>2183</v>
      </c>
      <c r="R1194"/>
      <c r="S1194" t="s">
        <v>2184</v>
      </c>
      <c r="T1194" s="12" t="s">
        <v>2185</v>
      </c>
      <c r="U1194" s="12" t="s">
        <v>2186</v>
      </c>
      <c r="V1194" s="12" t="s">
        <v>2187</v>
      </c>
      <c r="W1194" s="12">
        <v>0</v>
      </c>
      <c r="X1194" s="12">
        <v>1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2">
        <v>0</v>
      </c>
      <c r="AK1194" s="12">
        <v>0</v>
      </c>
      <c r="AL1194" s="12">
        <v>0</v>
      </c>
      <c r="AM1194" s="12"/>
      <c r="AN1194" s="12">
        <v>0</v>
      </c>
      <c r="AO1194" s="12">
        <v>0</v>
      </c>
      <c r="AP1194" s="12">
        <v>0</v>
      </c>
      <c r="AQ1194" s="12">
        <v>0</v>
      </c>
      <c r="AR1194" s="12">
        <v>0</v>
      </c>
      <c r="AS1194" s="12">
        <v>0</v>
      </c>
      <c r="AT1194" s="12">
        <v>0</v>
      </c>
      <c r="AU1194" s="12">
        <v>0</v>
      </c>
      <c r="AV1194" s="12">
        <v>0</v>
      </c>
      <c r="AW1194" s="12">
        <v>0</v>
      </c>
      <c r="AX1194" s="12">
        <v>0</v>
      </c>
      <c r="AY1194" s="12">
        <v>0</v>
      </c>
      <c r="AZ1194"/>
      <c r="BA1194"/>
      <c r="BB1194" s="12">
        <v>0</v>
      </c>
      <c r="BC1194" s="12">
        <v>0</v>
      </c>
      <c r="BD1194" s="12">
        <v>0</v>
      </c>
      <c r="BE1194" s="12">
        <v>0</v>
      </c>
      <c r="BF1194" s="12">
        <v>0</v>
      </c>
      <c r="BI1194" s="12">
        <v>0</v>
      </c>
      <c r="BJ1194" s="12">
        <v>0</v>
      </c>
    </row>
    <row r="1195" spans="1:62" x14ac:dyDescent="0.15">
      <c r="A1195" s="12"/>
      <c r="B1195" t="s">
        <v>2829</v>
      </c>
      <c r="C1195" s="27" t="s">
        <v>2830</v>
      </c>
      <c r="D1195" t="s">
        <v>6596</v>
      </c>
      <c r="E1195" t="s">
        <v>2182</v>
      </c>
      <c r="F1195"/>
      <c r="G1195"/>
      <c r="H1195"/>
      <c r="I1195"/>
      <c r="J1195"/>
      <c r="K1195"/>
      <c r="L1195" s="10">
        <v>3821360</v>
      </c>
      <c r="M1195" s="10">
        <v>650410</v>
      </c>
      <c r="N1195" s="12">
        <v>15</v>
      </c>
      <c r="O1195" s="12" t="s">
        <v>6992</v>
      </c>
      <c r="P1195" t="s">
        <v>2183</v>
      </c>
      <c r="R1195"/>
      <c r="S1195" t="s">
        <v>2184</v>
      </c>
      <c r="T1195" s="12" t="s">
        <v>2185</v>
      </c>
      <c r="U1195" s="12" t="s">
        <v>2186</v>
      </c>
      <c r="V1195" s="12" t="s">
        <v>2187</v>
      </c>
      <c r="W1195" s="12">
        <v>0</v>
      </c>
      <c r="X1195" s="12">
        <v>1</v>
      </c>
      <c r="Y1195" s="12">
        <v>0</v>
      </c>
      <c r="Z1195" s="12">
        <v>0</v>
      </c>
      <c r="AA1195" s="12">
        <v>0</v>
      </c>
      <c r="AB1195" s="12">
        <v>0</v>
      </c>
      <c r="AC1195" s="12">
        <v>0</v>
      </c>
      <c r="AD1195" s="12">
        <v>0</v>
      </c>
      <c r="AE1195" s="12">
        <v>0</v>
      </c>
      <c r="AF1195" s="12">
        <v>0</v>
      </c>
      <c r="AG1195" s="12">
        <v>0</v>
      </c>
      <c r="AH1195" s="12">
        <v>0</v>
      </c>
      <c r="AI1195" s="12">
        <v>0</v>
      </c>
      <c r="AJ1195" s="12">
        <v>0</v>
      </c>
      <c r="AK1195" s="12">
        <v>0</v>
      </c>
      <c r="AL1195" s="12">
        <v>0</v>
      </c>
      <c r="AM1195" s="12"/>
      <c r="AN1195" s="12">
        <v>0</v>
      </c>
      <c r="AO1195" s="12">
        <v>0</v>
      </c>
      <c r="AP1195" s="12">
        <v>0</v>
      </c>
      <c r="AQ1195" s="12">
        <v>0</v>
      </c>
      <c r="AR1195" s="12">
        <v>0</v>
      </c>
      <c r="AS1195" s="12">
        <v>0</v>
      </c>
      <c r="AT1195" s="12">
        <v>0</v>
      </c>
      <c r="AU1195" s="12">
        <v>0</v>
      </c>
      <c r="AV1195" s="12">
        <v>0</v>
      </c>
      <c r="AW1195" s="12">
        <v>0</v>
      </c>
      <c r="AX1195" s="12">
        <v>0</v>
      </c>
      <c r="AY1195" s="12">
        <v>0</v>
      </c>
      <c r="AZ1195"/>
      <c r="BA1195"/>
      <c r="BB1195" s="12">
        <v>0</v>
      </c>
      <c r="BC1195" s="12">
        <v>0</v>
      </c>
      <c r="BD1195" s="12">
        <v>0</v>
      </c>
      <c r="BE1195" s="12">
        <v>0</v>
      </c>
      <c r="BF1195" s="12">
        <v>0</v>
      </c>
      <c r="BI1195" s="12">
        <v>0</v>
      </c>
      <c r="BJ1195" s="12">
        <v>0</v>
      </c>
    </row>
    <row r="1196" spans="1:62" x14ac:dyDescent="0.15">
      <c r="A1196" s="12"/>
      <c r="B1196" t="s">
        <v>2831</v>
      </c>
      <c r="C1196" t="s">
        <v>2831</v>
      </c>
      <c r="D1196" t="s">
        <v>6596</v>
      </c>
      <c r="E1196" t="s">
        <v>2182</v>
      </c>
      <c r="F1196"/>
      <c r="G1196"/>
      <c r="H1196"/>
      <c r="I1196"/>
      <c r="J1196"/>
      <c r="K1196"/>
      <c r="L1196" s="10">
        <v>3906000</v>
      </c>
      <c r="M1196" s="10">
        <v>380000</v>
      </c>
      <c r="N1196" s="12">
        <v>15</v>
      </c>
      <c r="O1196" s="12" t="s">
        <v>6992</v>
      </c>
      <c r="P1196" t="s">
        <v>2183</v>
      </c>
      <c r="R1196"/>
      <c r="S1196" t="s">
        <v>2184</v>
      </c>
      <c r="T1196" s="12" t="s">
        <v>2185</v>
      </c>
      <c r="U1196" s="12" t="s">
        <v>2186</v>
      </c>
      <c r="V1196" s="12" t="s">
        <v>2187</v>
      </c>
      <c r="W1196" s="12">
        <v>0</v>
      </c>
      <c r="X1196" s="12">
        <v>1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2">
        <v>0</v>
      </c>
      <c r="AK1196" s="12">
        <v>0</v>
      </c>
      <c r="AL1196" s="12">
        <v>0</v>
      </c>
      <c r="AM1196" s="12"/>
      <c r="AN1196" s="12">
        <v>0</v>
      </c>
      <c r="AO1196" s="12">
        <v>0</v>
      </c>
      <c r="AP1196" s="12">
        <v>0</v>
      </c>
      <c r="AQ1196" s="12">
        <v>0</v>
      </c>
      <c r="AR1196" s="12">
        <v>0</v>
      </c>
      <c r="AS1196" s="12">
        <v>0</v>
      </c>
      <c r="AT1196" s="12">
        <v>0</v>
      </c>
      <c r="AU1196" s="12">
        <v>0</v>
      </c>
      <c r="AV1196" s="12">
        <v>0</v>
      </c>
      <c r="AW1196" s="12">
        <v>0</v>
      </c>
      <c r="AX1196" s="12">
        <v>0</v>
      </c>
      <c r="AY1196" s="12">
        <v>0</v>
      </c>
      <c r="AZ1196"/>
      <c r="BA1196"/>
      <c r="BB1196" s="12">
        <v>0</v>
      </c>
      <c r="BC1196" s="12">
        <v>0</v>
      </c>
      <c r="BD1196" s="12">
        <v>0</v>
      </c>
      <c r="BE1196" s="12">
        <v>0</v>
      </c>
      <c r="BF1196" s="12">
        <v>0</v>
      </c>
      <c r="BI1196" s="12">
        <v>0</v>
      </c>
      <c r="BJ1196" s="12">
        <v>0</v>
      </c>
    </row>
    <row r="1197" spans="1:62" x14ac:dyDescent="0.15">
      <c r="A1197" s="12"/>
      <c r="B1197" t="s">
        <v>2832</v>
      </c>
      <c r="C1197" t="s">
        <v>2832</v>
      </c>
      <c r="D1197" t="s">
        <v>6596</v>
      </c>
      <c r="E1197" t="s">
        <v>2182</v>
      </c>
      <c r="F1197"/>
      <c r="G1197"/>
      <c r="H1197"/>
      <c r="I1197"/>
      <c r="J1197"/>
      <c r="K1197"/>
      <c r="L1197" s="10">
        <v>3903870</v>
      </c>
      <c r="M1197" s="10">
        <v>484910</v>
      </c>
      <c r="N1197" s="12">
        <v>15</v>
      </c>
      <c r="O1197" s="12" t="s">
        <v>6992</v>
      </c>
      <c r="P1197" t="s">
        <v>2183</v>
      </c>
      <c r="R1197"/>
      <c r="S1197" t="s">
        <v>2184</v>
      </c>
      <c r="T1197" s="12" t="s">
        <v>2185</v>
      </c>
      <c r="U1197" s="12" t="s">
        <v>2186</v>
      </c>
      <c r="V1197" s="12" t="s">
        <v>2187</v>
      </c>
      <c r="W1197" s="12">
        <v>0</v>
      </c>
      <c r="X1197" s="12">
        <v>1</v>
      </c>
      <c r="Y1197" s="12">
        <v>0</v>
      </c>
      <c r="Z1197" s="12">
        <v>0</v>
      </c>
      <c r="AA1197" s="12">
        <v>0</v>
      </c>
      <c r="AB1197" s="12">
        <v>0</v>
      </c>
      <c r="AC1197" s="12">
        <v>0</v>
      </c>
      <c r="AD1197" s="12">
        <v>0</v>
      </c>
      <c r="AE1197" s="12">
        <v>0</v>
      </c>
      <c r="AF1197" s="12">
        <v>0</v>
      </c>
      <c r="AG1197" s="12">
        <v>0</v>
      </c>
      <c r="AH1197" s="12">
        <v>0</v>
      </c>
      <c r="AI1197" s="12">
        <v>0</v>
      </c>
      <c r="AJ1197" s="12">
        <v>0</v>
      </c>
      <c r="AK1197" s="12">
        <v>0</v>
      </c>
      <c r="AL1197" s="12">
        <v>0</v>
      </c>
      <c r="AM1197" s="12"/>
      <c r="AN1197" s="12">
        <v>0</v>
      </c>
      <c r="AO1197" s="12">
        <v>0</v>
      </c>
      <c r="AP1197" s="12">
        <v>0</v>
      </c>
      <c r="AQ1197" s="12">
        <v>0</v>
      </c>
      <c r="AR1197" s="12">
        <v>0</v>
      </c>
      <c r="AS1197" s="12">
        <v>0</v>
      </c>
      <c r="AT1197" s="12">
        <v>0</v>
      </c>
      <c r="AU1197" s="12">
        <v>0</v>
      </c>
      <c r="AV1197" s="12">
        <v>0</v>
      </c>
      <c r="AW1197" s="12">
        <v>0</v>
      </c>
      <c r="AX1197" s="12">
        <v>0</v>
      </c>
      <c r="AY1197" s="12">
        <v>0</v>
      </c>
      <c r="AZ1197"/>
      <c r="BA1197"/>
      <c r="BB1197" s="12">
        <v>0</v>
      </c>
      <c r="BC1197" s="12">
        <v>0</v>
      </c>
      <c r="BD1197" s="12">
        <v>0</v>
      </c>
      <c r="BE1197" s="12">
        <v>0</v>
      </c>
      <c r="BF1197" s="12">
        <v>0</v>
      </c>
      <c r="BI1197" s="12">
        <v>0</v>
      </c>
      <c r="BJ1197" s="12">
        <v>0</v>
      </c>
    </row>
    <row r="1198" spans="1:62" x14ac:dyDescent="0.15">
      <c r="A1198" s="12"/>
      <c r="B1198" t="s">
        <v>2833</v>
      </c>
      <c r="C1198" s="27" t="s">
        <v>2834</v>
      </c>
      <c r="D1198" t="s">
        <v>6596</v>
      </c>
      <c r="E1198" t="s">
        <v>2182</v>
      </c>
      <c r="F1198"/>
      <c r="G1198"/>
      <c r="H1198"/>
      <c r="I1198"/>
      <c r="J1198"/>
      <c r="K1198"/>
      <c r="L1198" s="10">
        <v>3819990</v>
      </c>
      <c r="M1198" s="10">
        <v>635760</v>
      </c>
      <c r="N1198" s="12">
        <v>15</v>
      </c>
      <c r="O1198" s="12" t="s">
        <v>6992</v>
      </c>
      <c r="P1198" t="s">
        <v>2183</v>
      </c>
      <c r="R1198"/>
      <c r="S1198" t="s">
        <v>2184</v>
      </c>
      <c r="T1198" s="12" t="s">
        <v>2185</v>
      </c>
      <c r="U1198" s="12" t="s">
        <v>2186</v>
      </c>
      <c r="V1198" s="12" t="s">
        <v>2187</v>
      </c>
      <c r="W1198" s="12">
        <v>0</v>
      </c>
      <c r="X1198" s="12">
        <v>1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2">
        <v>0</v>
      </c>
      <c r="AK1198" s="12">
        <v>0</v>
      </c>
      <c r="AL1198" s="12">
        <v>0</v>
      </c>
      <c r="AM1198" s="12"/>
      <c r="AN1198" s="12">
        <v>0</v>
      </c>
      <c r="AO1198" s="12">
        <v>0</v>
      </c>
      <c r="AP1198" s="12">
        <v>0</v>
      </c>
      <c r="AQ1198" s="12">
        <v>0</v>
      </c>
      <c r="AR1198" s="12">
        <v>0</v>
      </c>
      <c r="AS1198" s="12">
        <v>0</v>
      </c>
      <c r="AT1198" s="12">
        <v>0</v>
      </c>
      <c r="AU1198" s="12">
        <v>0</v>
      </c>
      <c r="AV1198" s="12">
        <v>0</v>
      </c>
      <c r="AW1198" s="12">
        <v>0</v>
      </c>
      <c r="AX1198" s="12">
        <v>0</v>
      </c>
      <c r="AY1198" s="12">
        <v>0</v>
      </c>
      <c r="AZ1198"/>
      <c r="BA1198"/>
      <c r="BB1198" s="12">
        <v>0</v>
      </c>
      <c r="BC1198" s="12">
        <v>0</v>
      </c>
      <c r="BD1198" s="12">
        <v>0</v>
      </c>
      <c r="BE1198" s="12">
        <v>0</v>
      </c>
      <c r="BF1198" s="12">
        <v>0</v>
      </c>
      <c r="BI1198" s="12">
        <v>0</v>
      </c>
      <c r="BJ1198" s="12">
        <v>0</v>
      </c>
    </row>
    <row r="1199" spans="1:62" x14ac:dyDescent="0.15">
      <c r="A1199" s="12"/>
      <c r="B1199" t="s">
        <v>2835</v>
      </c>
      <c r="C1199" t="s">
        <v>2835</v>
      </c>
      <c r="D1199" t="s">
        <v>6596</v>
      </c>
      <c r="E1199" t="s">
        <v>2182</v>
      </c>
      <c r="F1199"/>
      <c r="G1199"/>
      <c r="H1199"/>
      <c r="I1199"/>
      <c r="J1199"/>
      <c r="K1199"/>
      <c r="L1199" s="10">
        <v>3821620</v>
      </c>
      <c r="M1199" s="10">
        <v>635760</v>
      </c>
      <c r="N1199" s="12">
        <v>15</v>
      </c>
      <c r="O1199" s="12" t="s">
        <v>6992</v>
      </c>
      <c r="P1199" t="s">
        <v>2183</v>
      </c>
      <c r="R1199"/>
      <c r="S1199" t="s">
        <v>2184</v>
      </c>
      <c r="T1199" s="12" t="s">
        <v>2185</v>
      </c>
      <c r="U1199" s="12" t="s">
        <v>2186</v>
      </c>
      <c r="V1199" s="12" t="s">
        <v>2187</v>
      </c>
      <c r="W1199" s="12">
        <v>0</v>
      </c>
      <c r="X1199" s="12">
        <v>1</v>
      </c>
      <c r="Y1199" s="12">
        <v>0</v>
      </c>
      <c r="Z1199" s="12">
        <v>0</v>
      </c>
      <c r="AA1199" s="12">
        <v>0</v>
      </c>
      <c r="AB1199" s="12">
        <v>0</v>
      </c>
      <c r="AC1199" s="12">
        <v>0</v>
      </c>
      <c r="AD1199" s="12">
        <v>0</v>
      </c>
      <c r="AE1199" s="12">
        <v>0</v>
      </c>
      <c r="AF1199" s="12">
        <v>0</v>
      </c>
      <c r="AG1199" s="12">
        <v>0</v>
      </c>
      <c r="AH1199" s="12">
        <v>0</v>
      </c>
      <c r="AI1199" s="12">
        <v>0</v>
      </c>
      <c r="AJ1199" s="12">
        <v>0</v>
      </c>
      <c r="AK1199" s="12">
        <v>0</v>
      </c>
      <c r="AL1199" s="12">
        <v>0</v>
      </c>
      <c r="AM1199" s="12"/>
      <c r="AN1199" s="12">
        <v>0</v>
      </c>
      <c r="AO1199" s="12">
        <v>0</v>
      </c>
      <c r="AP1199" s="12">
        <v>0</v>
      </c>
      <c r="AQ1199" s="12">
        <v>0</v>
      </c>
      <c r="AR1199" s="12">
        <v>0</v>
      </c>
      <c r="AS1199" s="12">
        <v>0</v>
      </c>
      <c r="AT1199" s="12">
        <v>0</v>
      </c>
      <c r="AU1199" s="12">
        <v>0</v>
      </c>
      <c r="AV1199" s="12">
        <v>0</v>
      </c>
      <c r="AW1199" s="12">
        <v>0</v>
      </c>
      <c r="AX1199" s="12">
        <v>0</v>
      </c>
      <c r="AY1199" s="12">
        <v>0</v>
      </c>
      <c r="AZ1199"/>
      <c r="BA1199"/>
      <c r="BB1199" s="12">
        <v>0</v>
      </c>
      <c r="BC1199" s="12">
        <v>0</v>
      </c>
      <c r="BD1199" s="12">
        <v>0</v>
      </c>
      <c r="BE1199" s="12">
        <v>0</v>
      </c>
      <c r="BF1199" s="12">
        <v>0</v>
      </c>
      <c r="BI1199" s="12">
        <v>0</v>
      </c>
      <c r="BJ1199" s="12">
        <v>0</v>
      </c>
    </row>
    <row r="1200" spans="1:62" x14ac:dyDescent="0.15">
      <c r="A1200" s="12"/>
      <c r="B1200" t="s">
        <v>2836</v>
      </c>
      <c r="C1200" s="27" t="s">
        <v>2837</v>
      </c>
      <c r="D1200" t="s">
        <v>6596</v>
      </c>
      <c r="E1200" t="s">
        <v>2182</v>
      </c>
      <c r="F1200"/>
      <c r="G1200"/>
      <c r="H1200"/>
      <c r="I1200"/>
      <c r="J1200"/>
      <c r="K1200"/>
      <c r="L1200" s="10">
        <v>3823250</v>
      </c>
      <c r="M1200" s="10">
        <v>635610</v>
      </c>
      <c r="N1200" s="12">
        <v>15</v>
      </c>
      <c r="O1200" s="12" t="s">
        <v>6992</v>
      </c>
      <c r="P1200" t="s">
        <v>2183</v>
      </c>
      <c r="R1200"/>
      <c r="S1200" t="s">
        <v>2184</v>
      </c>
      <c r="T1200" s="12" t="s">
        <v>2185</v>
      </c>
      <c r="U1200" s="12" t="s">
        <v>2186</v>
      </c>
      <c r="V1200" s="12" t="s">
        <v>2187</v>
      </c>
      <c r="W1200" s="12">
        <v>0</v>
      </c>
      <c r="X1200" s="12">
        <v>1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2">
        <v>0</v>
      </c>
      <c r="AK1200" s="12">
        <v>0</v>
      </c>
      <c r="AL1200" s="12">
        <v>0</v>
      </c>
      <c r="AM1200" s="12"/>
      <c r="AN1200" s="12">
        <v>0</v>
      </c>
      <c r="AO1200" s="12">
        <v>0</v>
      </c>
      <c r="AP1200" s="12">
        <v>0</v>
      </c>
      <c r="AQ1200" s="12">
        <v>0</v>
      </c>
      <c r="AR1200" s="12">
        <v>0</v>
      </c>
      <c r="AS1200" s="12">
        <v>0</v>
      </c>
      <c r="AT1200" s="12">
        <v>0</v>
      </c>
      <c r="AU1200" s="12">
        <v>0</v>
      </c>
      <c r="AV1200" s="12">
        <v>0</v>
      </c>
      <c r="AW1200" s="12">
        <v>0</v>
      </c>
      <c r="AX1200" s="12">
        <v>0</v>
      </c>
      <c r="AY1200" s="12">
        <v>0</v>
      </c>
      <c r="AZ1200"/>
      <c r="BA1200"/>
      <c r="BB1200" s="12">
        <v>0</v>
      </c>
      <c r="BC1200" s="12">
        <v>0</v>
      </c>
      <c r="BD1200" s="12">
        <v>0</v>
      </c>
      <c r="BE1200" s="12">
        <v>0</v>
      </c>
      <c r="BF1200" s="12">
        <v>0</v>
      </c>
      <c r="BI1200" s="12">
        <v>0</v>
      </c>
      <c r="BJ1200" s="12">
        <v>0</v>
      </c>
    </row>
    <row r="1201" spans="1:62" x14ac:dyDescent="0.15">
      <c r="A1201" s="12"/>
      <c r="B1201" t="s">
        <v>2838</v>
      </c>
      <c r="C1201" t="s">
        <v>2838</v>
      </c>
      <c r="D1201" t="s">
        <v>6596</v>
      </c>
      <c r="E1201" t="s">
        <v>2182</v>
      </c>
      <c r="F1201"/>
      <c r="G1201"/>
      <c r="H1201"/>
      <c r="I1201"/>
      <c r="J1201"/>
      <c r="K1201"/>
      <c r="L1201" s="10">
        <v>3825440</v>
      </c>
      <c r="M1201" s="10">
        <v>636380</v>
      </c>
      <c r="N1201" s="12">
        <v>15</v>
      </c>
      <c r="O1201" s="12" t="s">
        <v>6992</v>
      </c>
      <c r="P1201" t="s">
        <v>2183</v>
      </c>
      <c r="R1201"/>
      <c r="S1201" t="s">
        <v>2184</v>
      </c>
      <c r="T1201" s="12" t="s">
        <v>2185</v>
      </c>
      <c r="U1201" s="12" t="s">
        <v>2186</v>
      </c>
      <c r="V1201" s="12" t="s">
        <v>2187</v>
      </c>
      <c r="W1201" s="12">
        <v>0</v>
      </c>
      <c r="X1201" s="12">
        <v>1</v>
      </c>
      <c r="Y1201" s="12">
        <v>0</v>
      </c>
      <c r="Z1201" s="12">
        <v>0</v>
      </c>
      <c r="AA1201" s="12">
        <v>0</v>
      </c>
      <c r="AB1201" s="12">
        <v>0</v>
      </c>
      <c r="AC1201" s="12">
        <v>0</v>
      </c>
      <c r="AD1201" s="12">
        <v>0</v>
      </c>
      <c r="AE1201" s="12">
        <v>0</v>
      </c>
      <c r="AF1201" s="12">
        <v>0</v>
      </c>
      <c r="AG1201" s="12">
        <v>0</v>
      </c>
      <c r="AH1201" s="12">
        <v>0</v>
      </c>
      <c r="AI1201" s="12">
        <v>0</v>
      </c>
      <c r="AJ1201" s="12">
        <v>0</v>
      </c>
      <c r="AK1201" s="12">
        <v>0</v>
      </c>
      <c r="AL1201" s="12">
        <v>0</v>
      </c>
      <c r="AM1201" s="12"/>
      <c r="AN1201" s="12">
        <v>0</v>
      </c>
      <c r="AO1201" s="12">
        <v>0</v>
      </c>
      <c r="AP1201" s="12">
        <v>0</v>
      </c>
      <c r="AQ1201" s="12">
        <v>0</v>
      </c>
      <c r="AR1201" s="12">
        <v>0</v>
      </c>
      <c r="AS1201" s="12">
        <v>0</v>
      </c>
      <c r="AT1201" s="12">
        <v>0</v>
      </c>
      <c r="AU1201" s="12">
        <v>0</v>
      </c>
      <c r="AV1201" s="12">
        <v>0</v>
      </c>
      <c r="AW1201" s="12">
        <v>0</v>
      </c>
      <c r="AX1201" s="12">
        <v>0</v>
      </c>
      <c r="AY1201" s="12">
        <v>0</v>
      </c>
      <c r="AZ1201"/>
      <c r="BA1201"/>
      <c r="BB1201" s="12">
        <v>0</v>
      </c>
      <c r="BC1201" s="12">
        <v>0</v>
      </c>
      <c r="BD1201" s="12">
        <v>0</v>
      </c>
      <c r="BE1201" s="12">
        <v>0</v>
      </c>
      <c r="BF1201" s="12">
        <v>0</v>
      </c>
      <c r="BI1201" s="12">
        <v>0</v>
      </c>
      <c r="BJ1201" s="12">
        <v>0</v>
      </c>
    </row>
    <row r="1202" spans="1:62" x14ac:dyDescent="0.15">
      <c r="A1202" s="12"/>
      <c r="B1202" t="s">
        <v>2839</v>
      </c>
      <c r="C1202" t="s">
        <v>2839</v>
      </c>
      <c r="D1202" t="s">
        <v>6596</v>
      </c>
      <c r="E1202" t="s">
        <v>2182</v>
      </c>
      <c r="F1202"/>
      <c r="G1202"/>
      <c r="H1202"/>
      <c r="I1202"/>
      <c r="J1202"/>
      <c r="K1202"/>
      <c r="L1202" s="10">
        <v>3804350</v>
      </c>
      <c r="M1202" s="10">
        <v>454300</v>
      </c>
      <c r="N1202" s="12">
        <v>15</v>
      </c>
      <c r="O1202" s="12" t="s">
        <v>6992</v>
      </c>
      <c r="P1202" t="s">
        <v>2183</v>
      </c>
      <c r="R1202"/>
      <c r="S1202" t="s">
        <v>2184</v>
      </c>
      <c r="T1202" s="12" t="s">
        <v>2185</v>
      </c>
      <c r="U1202" s="12" t="s">
        <v>2186</v>
      </c>
      <c r="V1202" s="12" t="s">
        <v>2187</v>
      </c>
      <c r="W1202" s="12">
        <v>0</v>
      </c>
      <c r="X1202" s="12">
        <v>1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2">
        <v>0</v>
      </c>
      <c r="AK1202" s="12">
        <v>0</v>
      </c>
      <c r="AL1202" s="12">
        <v>0</v>
      </c>
      <c r="AM1202" s="12"/>
      <c r="AN1202" s="12">
        <v>0</v>
      </c>
      <c r="AO1202" s="12">
        <v>0</v>
      </c>
      <c r="AP1202" s="12">
        <v>0</v>
      </c>
      <c r="AQ1202" s="12">
        <v>0</v>
      </c>
      <c r="AR1202" s="12">
        <v>0</v>
      </c>
      <c r="AS1202" s="12">
        <v>0</v>
      </c>
      <c r="AT1202" s="12">
        <v>0</v>
      </c>
      <c r="AU1202" s="12">
        <v>0</v>
      </c>
      <c r="AV1202" s="12">
        <v>0</v>
      </c>
      <c r="AW1202" s="12">
        <v>0</v>
      </c>
      <c r="AX1202" s="12">
        <v>0</v>
      </c>
      <c r="AY1202" s="12">
        <v>0</v>
      </c>
      <c r="AZ1202"/>
      <c r="BA1202"/>
      <c r="BB1202" s="12">
        <v>0</v>
      </c>
      <c r="BC1202" s="12">
        <v>0</v>
      </c>
      <c r="BD1202" s="12">
        <v>0</v>
      </c>
      <c r="BE1202" s="12">
        <v>0</v>
      </c>
      <c r="BF1202" s="12">
        <v>0</v>
      </c>
      <c r="BI1202" s="12">
        <v>0</v>
      </c>
      <c r="BJ1202" s="12">
        <v>0</v>
      </c>
    </row>
    <row r="1203" spans="1:62" x14ac:dyDescent="0.15">
      <c r="A1203" s="12"/>
      <c r="B1203" t="s">
        <v>2840</v>
      </c>
      <c r="C1203" t="s">
        <v>2840</v>
      </c>
      <c r="D1203" t="s">
        <v>6596</v>
      </c>
      <c r="E1203" t="s">
        <v>2182</v>
      </c>
      <c r="F1203"/>
      <c r="G1203"/>
      <c r="H1203"/>
      <c r="I1203"/>
      <c r="J1203"/>
      <c r="K1203"/>
      <c r="L1203" s="10">
        <v>3804100</v>
      </c>
      <c r="M1203" s="10">
        <v>454250</v>
      </c>
      <c r="N1203" s="12">
        <v>15</v>
      </c>
      <c r="O1203" s="12" t="s">
        <v>6992</v>
      </c>
      <c r="P1203" t="s">
        <v>2183</v>
      </c>
      <c r="R1203"/>
      <c r="S1203" t="s">
        <v>2184</v>
      </c>
      <c r="T1203" s="12" t="s">
        <v>2185</v>
      </c>
      <c r="U1203" s="12" t="s">
        <v>2186</v>
      </c>
      <c r="V1203" s="12" t="s">
        <v>2187</v>
      </c>
      <c r="W1203" s="12">
        <v>0</v>
      </c>
      <c r="X1203" s="12">
        <v>1</v>
      </c>
      <c r="Y1203" s="12">
        <v>0</v>
      </c>
      <c r="Z1203" s="12">
        <v>0</v>
      </c>
      <c r="AA1203" s="12">
        <v>0</v>
      </c>
      <c r="AB1203" s="12">
        <v>0</v>
      </c>
      <c r="AC1203" s="12">
        <v>0</v>
      </c>
      <c r="AD1203" s="12">
        <v>0</v>
      </c>
      <c r="AE1203" s="12">
        <v>0</v>
      </c>
      <c r="AF1203" s="12">
        <v>0</v>
      </c>
      <c r="AG1203" s="12">
        <v>0</v>
      </c>
      <c r="AH1203" s="12">
        <v>0</v>
      </c>
      <c r="AI1203" s="12">
        <v>0</v>
      </c>
      <c r="AJ1203" s="12">
        <v>0</v>
      </c>
      <c r="AK1203" s="12">
        <v>0</v>
      </c>
      <c r="AL1203" s="12">
        <v>0</v>
      </c>
      <c r="AM1203" s="12"/>
      <c r="AN1203" s="12">
        <v>0</v>
      </c>
      <c r="AO1203" s="12">
        <v>0</v>
      </c>
      <c r="AP1203" s="12">
        <v>0</v>
      </c>
      <c r="AQ1203" s="12">
        <v>0</v>
      </c>
      <c r="AR1203" s="12">
        <v>0</v>
      </c>
      <c r="AS1203" s="12">
        <v>0</v>
      </c>
      <c r="AT1203" s="12">
        <v>0</v>
      </c>
      <c r="AU1203" s="12">
        <v>0</v>
      </c>
      <c r="AV1203" s="12">
        <v>0</v>
      </c>
      <c r="AW1203" s="12">
        <v>0</v>
      </c>
      <c r="AX1203" s="12">
        <v>0</v>
      </c>
      <c r="AY1203" s="12">
        <v>0</v>
      </c>
      <c r="AZ1203"/>
      <c r="BA1203"/>
      <c r="BB1203" s="12">
        <v>0</v>
      </c>
      <c r="BC1203" s="12">
        <v>0</v>
      </c>
      <c r="BD1203" s="12">
        <v>0</v>
      </c>
      <c r="BE1203" s="12">
        <v>0</v>
      </c>
      <c r="BF1203" s="12">
        <v>0</v>
      </c>
      <c r="BI1203" s="12">
        <v>0</v>
      </c>
      <c r="BJ1203" s="12">
        <v>0</v>
      </c>
    </row>
    <row r="1204" spans="1:62" x14ac:dyDescent="0.15">
      <c r="A1204" s="12"/>
      <c r="B1204" t="s">
        <v>2841</v>
      </c>
      <c r="C1204" t="s">
        <v>2841</v>
      </c>
      <c r="D1204" t="s">
        <v>6596</v>
      </c>
      <c r="E1204" t="s">
        <v>2182</v>
      </c>
      <c r="F1204"/>
      <c r="G1204"/>
      <c r="H1204"/>
      <c r="I1204"/>
      <c r="J1204"/>
      <c r="K1204"/>
      <c r="L1204" s="10">
        <v>3803720</v>
      </c>
      <c r="M1204" s="10">
        <v>454200</v>
      </c>
      <c r="N1204" s="12">
        <v>15</v>
      </c>
      <c r="O1204" s="12" t="s">
        <v>6992</v>
      </c>
      <c r="P1204" t="s">
        <v>2183</v>
      </c>
      <c r="R1204"/>
      <c r="S1204" t="s">
        <v>2184</v>
      </c>
      <c r="T1204" s="12" t="s">
        <v>2185</v>
      </c>
      <c r="U1204" s="12" t="s">
        <v>2186</v>
      </c>
      <c r="V1204" s="12" t="s">
        <v>2187</v>
      </c>
      <c r="W1204" s="12">
        <v>0</v>
      </c>
      <c r="X1204" s="12">
        <v>1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2">
        <v>0</v>
      </c>
      <c r="AK1204" s="12">
        <v>0</v>
      </c>
      <c r="AL1204" s="12">
        <v>0</v>
      </c>
      <c r="AM1204" s="12"/>
      <c r="AN1204" s="12">
        <v>0</v>
      </c>
      <c r="AO1204" s="12">
        <v>0</v>
      </c>
      <c r="AP1204" s="12">
        <v>0</v>
      </c>
      <c r="AQ1204" s="12">
        <v>0</v>
      </c>
      <c r="AR1204" s="12">
        <v>0</v>
      </c>
      <c r="AS1204" s="12">
        <v>0</v>
      </c>
      <c r="AT1204" s="12">
        <v>0</v>
      </c>
      <c r="AU1204" s="12">
        <v>0</v>
      </c>
      <c r="AV1204" s="12">
        <v>0</v>
      </c>
      <c r="AW1204" s="12">
        <v>0</v>
      </c>
      <c r="AX1204" s="12">
        <v>0</v>
      </c>
      <c r="AY1204" s="12">
        <v>0</v>
      </c>
      <c r="AZ1204"/>
      <c r="BA1204"/>
      <c r="BB1204" s="12">
        <v>0</v>
      </c>
      <c r="BC1204" s="12">
        <v>0</v>
      </c>
      <c r="BD1204" s="12">
        <v>0</v>
      </c>
      <c r="BE1204" s="12">
        <v>0</v>
      </c>
      <c r="BF1204" s="12">
        <v>0</v>
      </c>
      <c r="BI1204" s="12">
        <v>0</v>
      </c>
      <c r="BJ1204" s="12">
        <v>0</v>
      </c>
    </row>
    <row r="1205" spans="1:62" x14ac:dyDescent="0.15">
      <c r="A1205" s="12"/>
      <c r="B1205" t="s">
        <v>2842</v>
      </c>
      <c r="C1205" t="s">
        <v>2842</v>
      </c>
      <c r="D1205" t="s">
        <v>6596</v>
      </c>
      <c r="E1205" t="s">
        <v>2182</v>
      </c>
      <c r="F1205"/>
      <c r="G1205"/>
      <c r="H1205"/>
      <c r="I1205"/>
      <c r="J1205"/>
      <c r="K1205"/>
      <c r="L1205" s="10">
        <v>3804640</v>
      </c>
      <c r="M1205" s="10">
        <v>454250</v>
      </c>
      <c r="N1205" s="12">
        <v>15</v>
      </c>
      <c r="O1205" s="12" t="s">
        <v>6992</v>
      </c>
      <c r="P1205" t="s">
        <v>2183</v>
      </c>
      <c r="R1205"/>
      <c r="S1205" t="s">
        <v>2184</v>
      </c>
      <c r="T1205" s="12" t="s">
        <v>2185</v>
      </c>
      <c r="U1205" s="12" t="s">
        <v>2186</v>
      </c>
      <c r="V1205" s="12" t="s">
        <v>2187</v>
      </c>
      <c r="W1205" s="12">
        <v>0</v>
      </c>
      <c r="X1205" s="12">
        <v>1</v>
      </c>
      <c r="Y1205" s="12">
        <v>0</v>
      </c>
      <c r="Z1205" s="12">
        <v>0</v>
      </c>
      <c r="AA1205" s="12">
        <v>0</v>
      </c>
      <c r="AB1205" s="12">
        <v>0</v>
      </c>
      <c r="AC1205" s="12">
        <v>0</v>
      </c>
      <c r="AD1205" s="12">
        <v>0</v>
      </c>
      <c r="AE1205" s="12">
        <v>0</v>
      </c>
      <c r="AF1205" s="12">
        <v>0</v>
      </c>
      <c r="AG1205" s="12">
        <v>0</v>
      </c>
      <c r="AH1205" s="12">
        <v>0</v>
      </c>
      <c r="AI1205" s="12">
        <v>0</v>
      </c>
      <c r="AJ1205" s="12">
        <v>0</v>
      </c>
      <c r="AK1205" s="12">
        <v>0</v>
      </c>
      <c r="AL1205" s="12">
        <v>0</v>
      </c>
      <c r="AM1205" s="12"/>
      <c r="AN1205" s="12">
        <v>0</v>
      </c>
      <c r="AO1205" s="12">
        <v>0</v>
      </c>
      <c r="AP1205" s="12">
        <v>0</v>
      </c>
      <c r="AQ1205" s="12">
        <v>0</v>
      </c>
      <c r="AR1205" s="12">
        <v>0</v>
      </c>
      <c r="AS1205" s="12">
        <v>0</v>
      </c>
      <c r="AT1205" s="12">
        <v>0</v>
      </c>
      <c r="AU1205" s="12">
        <v>0</v>
      </c>
      <c r="AV1205" s="12">
        <v>0</v>
      </c>
      <c r="AW1205" s="12">
        <v>0</v>
      </c>
      <c r="AX1205" s="12">
        <v>0</v>
      </c>
      <c r="AY1205" s="12">
        <v>0</v>
      </c>
      <c r="AZ1205"/>
      <c r="BA1205"/>
      <c r="BB1205" s="12">
        <v>0</v>
      </c>
      <c r="BC1205" s="12">
        <v>0</v>
      </c>
      <c r="BD1205" s="12">
        <v>0</v>
      </c>
      <c r="BE1205" s="12">
        <v>0</v>
      </c>
      <c r="BF1205" s="12">
        <v>0</v>
      </c>
      <c r="BI1205" s="12">
        <v>0</v>
      </c>
      <c r="BJ1205" s="12">
        <v>0</v>
      </c>
    </row>
    <row r="1206" spans="1:62" x14ac:dyDescent="0.15">
      <c r="A1206" s="12"/>
      <c r="B1206" t="s">
        <v>2843</v>
      </c>
      <c r="C1206" t="s">
        <v>2843</v>
      </c>
      <c r="D1206" t="s">
        <v>6596</v>
      </c>
      <c r="E1206" t="s">
        <v>2182</v>
      </c>
      <c r="F1206"/>
      <c r="G1206"/>
      <c r="H1206"/>
      <c r="I1206"/>
      <c r="J1206"/>
      <c r="K1206"/>
      <c r="L1206" s="10">
        <v>3838820</v>
      </c>
      <c r="M1206" s="10">
        <v>620870</v>
      </c>
      <c r="N1206" s="12">
        <v>15</v>
      </c>
      <c r="O1206" s="12" t="s">
        <v>6992</v>
      </c>
      <c r="P1206" t="s">
        <v>2183</v>
      </c>
      <c r="R1206"/>
      <c r="S1206" t="s">
        <v>2184</v>
      </c>
      <c r="T1206" s="12" t="s">
        <v>2185</v>
      </c>
      <c r="U1206" s="12" t="s">
        <v>2186</v>
      </c>
      <c r="V1206" s="12" t="s">
        <v>2187</v>
      </c>
      <c r="W1206" s="12">
        <v>0</v>
      </c>
      <c r="X1206" s="12">
        <v>1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2">
        <v>0</v>
      </c>
      <c r="AK1206" s="12">
        <v>0</v>
      </c>
      <c r="AL1206" s="12">
        <v>0</v>
      </c>
      <c r="AM1206" s="12"/>
      <c r="AN1206" s="12">
        <v>0</v>
      </c>
      <c r="AO1206" s="12">
        <v>0</v>
      </c>
      <c r="AP1206" s="12">
        <v>0</v>
      </c>
      <c r="AQ1206" s="12">
        <v>0</v>
      </c>
      <c r="AR1206" s="12">
        <v>0</v>
      </c>
      <c r="AS1206" s="12">
        <v>0</v>
      </c>
      <c r="AT1206" s="12">
        <v>0</v>
      </c>
      <c r="AU1206" s="12">
        <v>0</v>
      </c>
      <c r="AV1206" s="12">
        <v>0</v>
      </c>
      <c r="AW1206" s="12">
        <v>0</v>
      </c>
      <c r="AX1206" s="12">
        <v>0</v>
      </c>
      <c r="AY1206" s="12">
        <v>0</v>
      </c>
      <c r="AZ1206"/>
      <c r="BA1206"/>
      <c r="BB1206" s="12">
        <v>0</v>
      </c>
      <c r="BC1206" s="12">
        <v>0</v>
      </c>
      <c r="BD1206" s="12">
        <v>0</v>
      </c>
      <c r="BE1206" s="12">
        <v>0</v>
      </c>
      <c r="BF1206" s="12">
        <v>0</v>
      </c>
      <c r="BI1206" s="12">
        <v>0</v>
      </c>
      <c r="BJ1206" s="12">
        <v>0</v>
      </c>
    </row>
    <row r="1207" spans="1:62" x14ac:dyDescent="0.15">
      <c r="A1207" s="12"/>
      <c r="B1207" t="s">
        <v>2844</v>
      </c>
      <c r="C1207" t="s">
        <v>2844</v>
      </c>
      <c r="D1207" t="s">
        <v>6596</v>
      </c>
      <c r="E1207" t="s">
        <v>2182</v>
      </c>
      <c r="F1207"/>
      <c r="G1207"/>
      <c r="H1207"/>
      <c r="I1207"/>
      <c r="J1207"/>
      <c r="K1207"/>
      <c r="L1207" s="10">
        <v>3999750</v>
      </c>
      <c r="M1207" s="10">
        <v>386460</v>
      </c>
      <c r="N1207" s="12">
        <v>15</v>
      </c>
      <c r="O1207" s="12" t="s">
        <v>6992</v>
      </c>
      <c r="P1207" t="s">
        <v>2183</v>
      </c>
      <c r="R1207"/>
      <c r="S1207" t="s">
        <v>2184</v>
      </c>
      <c r="T1207" s="12" t="s">
        <v>2185</v>
      </c>
      <c r="U1207" s="12" t="s">
        <v>2186</v>
      </c>
      <c r="V1207" s="12" t="s">
        <v>2187</v>
      </c>
      <c r="W1207" s="12">
        <v>0</v>
      </c>
      <c r="X1207" s="12">
        <v>1</v>
      </c>
      <c r="Y1207" s="12">
        <v>0</v>
      </c>
      <c r="Z1207" s="12">
        <v>0</v>
      </c>
      <c r="AA1207" s="12">
        <v>0</v>
      </c>
      <c r="AB1207" s="12">
        <v>0</v>
      </c>
      <c r="AC1207" s="12">
        <v>0</v>
      </c>
      <c r="AD1207" s="12">
        <v>0</v>
      </c>
      <c r="AE1207" s="12">
        <v>0</v>
      </c>
      <c r="AF1207" s="12">
        <v>0</v>
      </c>
      <c r="AG1207" s="12">
        <v>0</v>
      </c>
      <c r="AH1207" s="12">
        <v>0</v>
      </c>
      <c r="AI1207" s="12">
        <v>0</v>
      </c>
      <c r="AJ1207" s="12">
        <v>0</v>
      </c>
      <c r="AK1207" s="12">
        <v>0</v>
      </c>
      <c r="AL1207" s="12">
        <v>0</v>
      </c>
      <c r="AM1207" s="12"/>
      <c r="AN1207" s="12">
        <v>0</v>
      </c>
      <c r="AO1207" s="12">
        <v>0</v>
      </c>
      <c r="AP1207" s="12">
        <v>0</v>
      </c>
      <c r="AQ1207" s="12">
        <v>0</v>
      </c>
      <c r="AR1207" s="12">
        <v>0</v>
      </c>
      <c r="AS1207" s="12">
        <v>0</v>
      </c>
      <c r="AT1207" s="12">
        <v>0</v>
      </c>
      <c r="AU1207" s="12">
        <v>0</v>
      </c>
      <c r="AV1207" s="12">
        <v>0</v>
      </c>
      <c r="AW1207" s="12">
        <v>0</v>
      </c>
      <c r="AX1207" s="12">
        <v>0</v>
      </c>
      <c r="AY1207" s="12">
        <v>0</v>
      </c>
      <c r="AZ1207"/>
      <c r="BA1207"/>
      <c r="BB1207" s="12">
        <v>0</v>
      </c>
      <c r="BC1207" s="12">
        <v>0</v>
      </c>
      <c r="BD1207" s="12">
        <v>0</v>
      </c>
      <c r="BE1207" s="12">
        <v>0</v>
      </c>
      <c r="BF1207" s="12">
        <v>0</v>
      </c>
      <c r="BI1207" s="12">
        <v>0</v>
      </c>
      <c r="BJ1207" s="12">
        <v>0</v>
      </c>
    </row>
    <row r="1208" spans="1:62" x14ac:dyDescent="0.15">
      <c r="A1208" s="12"/>
      <c r="B1208" t="s">
        <v>2845</v>
      </c>
      <c r="C1208" t="s">
        <v>2845</v>
      </c>
      <c r="D1208" t="s">
        <v>6596</v>
      </c>
      <c r="E1208" t="s">
        <v>2182</v>
      </c>
      <c r="F1208"/>
      <c r="G1208"/>
      <c r="H1208"/>
      <c r="I1208"/>
      <c r="J1208"/>
      <c r="K1208"/>
      <c r="L1208" s="10">
        <v>3840340</v>
      </c>
      <c r="M1208" s="10">
        <v>621670</v>
      </c>
      <c r="N1208" s="12">
        <v>15</v>
      </c>
      <c r="O1208" s="12" t="s">
        <v>6992</v>
      </c>
      <c r="P1208" t="s">
        <v>2183</v>
      </c>
      <c r="R1208"/>
      <c r="S1208" t="s">
        <v>2184</v>
      </c>
      <c r="T1208" s="12" t="s">
        <v>2185</v>
      </c>
      <c r="U1208" s="12" t="s">
        <v>2186</v>
      </c>
      <c r="V1208" s="12" t="s">
        <v>2187</v>
      </c>
      <c r="W1208" s="12">
        <v>0</v>
      </c>
      <c r="X1208" s="12">
        <v>1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2">
        <v>0</v>
      </c>
      <c r="AK1208" s="12">
        <v>0</v>
      </c>
      <c r="AL1208" s="12">
        <v>0</v>
      </c>
      <c r="AM1208" s="12"/>
      <c r="AN1208" s="12">
        <v>0</v>
      </c>
      <c r="AO1208" s="12">
        <v>0</v>
      </c>
      <c r="AP1208" s="12">
        <v>0</v>
      </c>
      <c r="AQ1208" s="12">
        <v>0</v>
      </c>
      <c r="AR1208" s="12">
        <v>0</v>
      </c>
      <c r="AS1208" s="12">
        <v>0</v>
      </c>
      <c r="AT1208" s="12">
        <v>0</v>
      </c>
      <c r="AU1208" s="12">
        <v>0</v>
      </c>
      <c r="AV1208" s="12">
        <v>0</v>
      </c>
      <c r="AW1208" s="12">
        <v>0</v>
      </c>
      <c r="AX1208" s="12">
        <v>0</v>
      </c>
      <c r="AY1208" s="12">
        <v>0</v>
      </c>
      <c r="AZ1208"/>
      <c r="BA1208"/>
      <c r="BB1208" s="12">
        <v>0</v>
      </c>
      <c r="BC1208" s="12">
        <v>0</v>
      </c>
      <c r="BD1208" s="12">
        <v>0</v>
      </c>
      <c r="BE1208" s="12">
        <v>0</v>
      </c>
      <c r="BF1208" s="12">
        <v>0</v>
      </c>
      <c r="BI1208" s="12">
        <v>0</v>
      </c>
      <c r="BJ1208" s="12">
        <v>0</v>
      </c>
    </row>
    <row r="1209" spans="1:62" x14ac:dyDescent="0.15">
      <c r="A1209" s="12"/>
      <c r="B1209" t="s">
        <v>2846</v>
      </c>
      <c r="C1209" s="27" t="s">
        <v>2847</v>
      </c>
      <c r="D1209" t="s">
        <v>6596</v>
      </c>
      <c r="E1209" t="s">
        <v>2182</v>
      </c>
      <c r="F1209"/>
      <c r="G1209"/>
      <c r="H1209"/>
      <c r="I1209"/>
      <c r="J1209"/>
      <c r="K1209"/>
      <c r="L1209" s="10">
        <v>3830310</v>
      </c>
      <c r="M1209" s="10">
        <v>647200</v>
      </c>
      <c r="N1209" s="12">
        <v>15</v>
      </c>
      <c r="O1209" s="12" t="s">
        <v>6992</v>
      </c>
      <c r="P1209" t="s">
        <v>2183</v>
      </c>
      <c r="R1209"/>
      <c r="S1209" t="s">
        <v>2184</v>
      </c>
      <c r="T1209" s="12" t="s">
        <v>2185</v>
      </c>
      <c r="U1209" s="12" t="s">
        <v>2186</v>
      </c>
      <c r="V1209" s="12" t="s">
        <v>2187</v>
      </c>
      <c r="W1209" s="12">
        <v>0</v>
      </c>
      <c r="X1209" s="12">
        <v>1</v>
      </c>
      <c r="Y1209" s="12">
        <v>0</v>
      </c>
      <c r="Z1209" s="12">
        <v>0</v>
      </c>
      <c r="AA1209" s="12">
        <v>0</v>
      </c>
      <c r="AB1209" s="12">
        <v>0</v>
      </c>
      <c r="AC1209" s="12">
        <v>0</v>
      </c>
      <c r="AD1209" s="12">
        <v>0</v>
      </c>
      <c r="AE1209" s="12">
        <v>0</v>
      </c>
      <c r="AF1209" s="12">
        <v>0</v>
      </c>
      <c r="AG1209" s="12">
        <v>0</v>
      </c>
      <c r="AH1209" s="12">
        <v>0</v>
      </c>
      <c r="AI1209" s="12">
        <v>0</v>
      </c>
      <c r="AJ1209" s="12">
        <v>0</v>
      </c>
      <c r="AK1209" s="12">
        <v>0</v>
      </c>
      <c r="AL1209" s="12">
        <v>0</v>
      </c>
      <c r="AM1209" s="12"/>
      <c r="AN1209" s="12">
        <v>0</v>
      </c>
      <c r="AO1209" s="12">
        <v>0</v>
      </c>
      <c r="AP1209" s="12">
        <v>0</v>
      </c>
      <c r="AQ1209" s="12">
        <v>0</v>
      </c>
      <c r="AR1209" s="12">
        <v>0</v>
      </c>
      <c r="AS1209" s="12">
        <v>0</v>
      </c>
      <c r="AT1209" s="12">
        <v>0</v>
      </c>
      <c r="AU1209" s="12">
        <v>0</v>
      </c>
      <c r="AV1209" s="12">
        <v>0</v>
      </c>
      <c r="AW1209" s="12">
        <v>0</v>
      </c>
      <c r="AX1209" s="12">
        <v>0</v>
      </c>
      <c r="AY1209" s="12">
        <v>0</v>
      </c>
      <c r="AZ1209"/>
      <c r="BA1209"/>
      <c r="BB1209" s="12">
        <v>0</v>
      </c>
      <c r="BC1209" s="12">
        <v>0</v>
      </c>
      <c r="BD1209" s="12">
        <v>0</v>
      </c>
      <c r="BE1209" s="12">
        <v>0</v>
      </c>
      <c r="BF1209" s="12">
        <v>0</v>
      </c>
      <c r="BI1209" s="12">
        <v>0</v>
      </c>
      <c r="BJ1209" s="12">
        <v>0</v>
      </c>
    </row>
    <row r="1210" spans="1:62" x14ac:dyDescent="0.15">
      <c r="A1210" s="12"/>
      <c r="B1210" t="s">
        <v>2848</v>
      </c>
      <c r="C1210" s="27" t="s">
        <v>2849</v>
      </c>
      <c r="D1210" t="s">
        <v>6596</v>
      </c>
      <c r="E1210" t="s">
        <v>2182</v>
      </c>
      <c r="F1210"/>
      <c r="G1210"/>
      <c r="H1210"/>
      <c r="I1210"/>
      <c r="J1210"/>
      <c r="K1210"/>
      <c r="L1210" s="10">
        <v>3823720</v>
      </c>
      <c r="M1210" s="10">
        <v>643920</v>
      </c>
      <c r="N1210" s="12">
        <v>15</v>
      </c>
      <c r="O1210" s="12" t="s">
        <v>6992</v>
      </c>
      <c r="P1210" t="s">
        <v>2183</v>
      </c>
      <c r="R1210"/>
      <c r="S1210" t="s">
        <v>2184</v>
      </c>
      <c r="T1210" s="12" t="s">
        <v>2185</v>
      </c>
      <c r="U1210" s="12" t="s">
        <v>2186</v>
      </c>
      <c r="V1210" s="12" t="s">
        <v>2187</v>
      </c>
      <c r="W1210" s="12">
        <v>0</v>
      </c>
      <c r="X1210" s="12">
        <v>1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2">
        <v>0</v>
      </c>
      <c r="AK1210" s="12">
        <v>0</v>
      </c>
      <c r="AL1210" s="12">
        <v>0</v>
      </c>
      <c r="AM1210" s="12"/>
      <c r="AN1210" s="12">
        <v>0</v>
      </c>
      <c r="AO1210" s="12">
        <v>0</v>
      </c>
      <c r="AP1210" s="12">
        <v>0</v>
      </c>
      <c r="AQ1210" s="12">
        <v>0</v>
      </c>
      <c r="AR1210" s="12">
        <v>0</v>
      </c>
      <c r="AS1210" s="12">
        <v>0</v>
      </c>
      <c r="AT1210" s="12">
        <v>0</v>
      </c>
      <c r="AU1210" s="12">
        <v>0</v>
      </c>
      <c r="AV1210" s="12">
        <v>0</v>
      </c>
      <c r="AW1210" s="12">
        <v>0</v>
      </c>
      <c r="AX1210" s="12">
        <v>0</v>
      </c>
      <c r="AY1210" s="12">
        <v>0</v>
      </c>
      <c r="AZ1210"/>
      <c r="BA1210"/>
      <c r="BB1210" s="12">
        <v>0</v>
      </c>
      <c r="BC1210" s="12">
        <v>0</v>
      </c>
      <c r="BD1210" s="12">
        <v>0</v>
      </c>
      <c r="BE1210" s="12">
        <v>0</v>
      </c>
      <c r="BF1210" s="12">
        <v>0</v>
      </c>
      <c r="BI1210" s="12">
        <v>0</v>
      </c>
      <c r="BJ1210" s="12">
        <v>0</v>
      </c>
    </row>
    <row r="1211" spans="1:62" x14ac:dyDescent="0.15">
      <c r="A1211" s="12"/>
      <c r="B1211" t="s">
        <v>2850</v>
      </c>
      <c r="C1211" t="s">
        <v>2850</v>
      </c>
      <c r="D1211" t="s">
        <v>6596</v>
      </c>
      <c r="E1211" t="s">
        <v>2182</v>
      </c>
      <c r="F1211"/>
      <c r="G1211"/>
      <c r="H1211"/>
      <c r="I1211"/>
      <c r="J1211"/>
      <c r="K1211"/>
      <c r="L1211" s="10">
        <v>3827560</v>
      </c>
      <c r="M1211" s="10">
        <v>628130</v>
      </c>
      <c r="N1211" s="12">
        <v>15</v>
      </c>
      <c r="O1211" s="12" t="s">
        <v>6992</v>
      </c>
      <c r="P1211" t="s">
        <v>2183</v>
      </c>
      <c r="R1211"/>
      <c r="S1211" t="s">
        <v>2184</v>
      </c>
      <c r="T1211" s="12" t="s">
        <v>2185</v>
      </c>
      <c r="U1211" s="12" t="s">
        <v>2186</v>
      </c>
      <c r="V1211" s="12" t="s">
        <v>2187</v>
      </c>
      <c r="W1211" s="12">
        <v>0</v>
      </c>
      <c r="X1211" s="12">
        <v>1</v>
      </c>
      <c r="Y1211" s="12">
        <v>0</v>
      </c>
      <c r="Z1211" s="12">
        <v>0</v>
      </c>
      <c r="AA1211" s="12">
        <v>0</v>
      </c>
      <c r="AB1211" s="12">
        <v>0</v>
      </c>
      <c r="AC1211" s="12">
        <v>0</v>
      </c>
      <c r="AD1211" s="12">
        <v>0</v>
      </c>
      <c r="AE1211" s="12">
        <v>0</v>
      </c>
      <c r="AF1211" s="12">
        <v>0</v>
      </c>
      <c r="AG1211" s="12">
        <v>0</v>
      </c>
      <c r="AH1211" s="12">
        <v>0</v>
      </c>
      <c r="AI1211" s="12">
        <v>0</v>
      </c>
      <c r="AJ1211" s="12">
        <v>0</v>
      </c>
      <c r="AK1211" s="12">
        <v>0</v>
      </c>
      <c r="AL1211" s="12">
        <v>0</v>
      </c>
      <c r="AM1211" s="12"/>
      <c r="AN1211" s="12">
        <v>0</v>
      </c>
      <c r="AO1211" s="12">
        <v>0</v>
      </c>
      <c r="AP1211" s="12">
        <v>0</v>
      </c>
      <c r="AQ1211" s="12">
        <v>0</v>
      </c>
      <c r="AR1211" s="12">
        <v>0</v>
      </c>
      <c r="AS1211" s="12">
        <v>0</v>
      </c>
      <c r="AT1211" s="12">
        <v>0</v>
      </c>
      <c r="AU1211" s="12">
        <v>0</v>
      </c>
      <c r="AV1211" s="12">
        <v>0</v>
      </c>
      <c r="AW1211" s="12">
        <v>0</v>
      </c>
      <c r="AX1211" s="12">
        <v>0</v>
      </c>
      <c r="AY1211" s="12">
        <v>0</v>
      </c>
      <c r="AZ1211"/>
      <c r="BA1211"/>
      <c r="BB1211" s="12">
        <v>0</v>
      </c>
      <c r="BC1211" s="12">
        <v>0</v>
      </c>
      <c r="BD1211" s="12">
        <v>0</v>
      </c>
      <c r="BE1211" s="12">
        <v>0</v>
      </c>
      <c r="BF1211" s="12">
        <v>0</v>
      </c>
      <c r="BI1211" s="12">
        <v>0</v>
      </c>
      <c r="BJ1211" s="12">
        <v>0</v>
      </c>
    </row>
    <row r="1212" spans="1:62" x14ac:dyDescent="0.15">
      <c r="A1212" s="12"/>
      <c r="B1212" t="s">
        <v>2851</v>
      </c>
      <c r="C1212" t="s">
        <v>2851</v>
      </c>
      <c r="D1212" t="s">
        <v>6596</v>
      </c>
      <c r="E1212" t="s">
        <v>2182</v>
      </c>
      <c r="F1212"/>
      <c r="G1212"/>
      <c r="H1212"/>
      <c r="I1212"/>
      <c r="J1212"/>
      <c r="K1212"/>
      <c r="L1212" s="10">
        <v>3827500</v>
      </c>
      <c r="M1212" s="10">
        <v>627260</v>
      </c>
      <c r="N1212" s="12">
        <v>15</v>
      </c>
      <c r="O1212" s="12" t="s">
        <v>6992</v>
      </c>
      <c r="P1212" t="s">
        <v>2183</v>
      </c>
      <c r="R1212"/>
      <c r="S1212" t="s">
        <v>2184</v>
      </c>
      <c r="T1212" s="12" t="s">
        <v>2185</v>
      </c>
      <c r="U1212" s="12" t="s">
        <v>2186</v>
      </c>
      <c r="V1212" s="12" t="s">
        <v>2187</v>
      </c>
      <c r="W1212" s="12">
        <v>0</v>
      </c>
      <c r="X1212" s="12">
        <v>1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2">
        <v>0</v>
      </c>
      <c r="AK1212" s="12">
        <v>0</v>
      </c>
      <c r="AL1212" s="12">
        <v>0</v>
      </c>
      <c r="AM1212" s="12"/>
      <c r="AN1212" s="12">
        <v>0</v>
      </c>
      <c r="AO1212" s="12">
        <v>0</v>
      </c>
      <c r="AP1212" s="12">
        <v>0</v>
      </c>
      <c r="AQ1212" s="12">
        <v>0</v>
      </c>
      <c r="AR1212" s="12">
        <v>0</v>
      </c>
      <c r="AS1212" s="12">
        <v>0</v>
      </c>
      <c r="AT1212" s="12">
        <v>0</v>
      </c>
      <c r="AU1212" s="12">
        <v>0</v>
      </c>
      <c r="AV1212" s="12">
        <v>0</v>
      </c>
      <c r="AW1212" s="12">
        <v>0</v>
      </c>
      <c r="AX1212" s="12">
        <v>0</v>
      </c>
      <c r="AY1212" s="12">
        <v>0</v>
      </c>
      <c r="AZ1212"/>
      <c r="BA1212"/>
      <c r="BB1212" s="12">
        <v>0</v>
      </c>
      <c r="BC1212" s="12">
        <v>0</v>
      </c>
      <c r="BD1212" s="12">
        <v>0</v>
      </c>
      <c r="BE1212" s="12">
        <v>0</v>
      </c>
      <c r="BF1212" s="12">
        <v>0</v>
      </c>
      <c r="BI1212" s="12">
        <v>0</v>
      </c>
      <c r="BJ1212" s="12">
        <v>0</v>
      </c>
    </row>
    <row r="1213" spans="1:62" x14ac:dyDescent="0.15">
      <c r="A1213" s="12"/>
      <c r="B1213" t="s">
        <v>2852</v>
      </c>
      <c r="C1213" t="s">
        <v>2852</v>
      </c>
      <c r="D1213" t="s">
        <v>6596</v>
      </c>
      <c r="E1213" t="s">
        <v>2182</v>
      </c>
      <c r="F1213"/>
      <c r="G1213"/>
      <c r="H1213"/>
      <c r="I1213"/>
      <c r="J1213"/>
      <c r="K1213"/>
      <c r="L1213" s="10">
        <v>3827510</v>
      </c>
      <c r="M1213" s="10">
        <v>631260</v>
      </c>
      <c r="N1213" s="12">
        <v>15</v>
      </c>
      <c r="O1213" s="12" t="s">
        <v>6992</v>
      </c>
      <c r="P1213" t="s">
        <v>2183</v>
      </c>
      <c r="R1213"/>
      <c r="S1213" t="s">
        <v>2184</v>
      </c>
      <c r="T1213" s="12" t="s">
        <v>2185</v>
      </c>
      <c r="U1213" s="12" t="s">
        <v>2186</v>
      </c>
      <c r="V1213" s="12" t="s">
        <v>2187</v>
      </c>
      <c r="W1213" s="12">
        <v>0</v>
      </c>
      <c r="X1213" s="12">
        <v>1</v>
      </c>
      <c r="Y1213" s="12">
        <v>0</v>
      </c>
      <c r="Z1213" s="12">
        <v>0</v>
      </c>
      <c r="AA1213" s="12">
        <v>0</v>
      </c>
      <c r="AB1213" s="12">
        <v>0</v>
      </c>
      <c r="AC1213" s="12">
        <v>0</v>
      </c>
      <c r="AD1213" s="12">
        <v>0</v>
      </c>
      <c r="AE1213" s="12">
        <v>0</v>
      </c>
      <c r="AF1213" s="12">
        <v>0</v>
      </c>
      <c r="AG1213" s="12">
        <v>0</v>
      </c>
      <c r="AH1213" s="12">
        <v>0</v>
      </c>
      <c r="AI1213" s="12">
        <v>0</v>
      </c>
      <c r="AJ1213" s="12">
        <v>0</v>
      </c>
      <c r="AK1213" s="12">
        <v>0</v>
      </c>
      <c r="AL1213" s="12">
        <v>0</v>
      </c>
      <c r="AM1213" s="12"/>
      <c r="AN1213" s="12">
        <v>0</v>
      </c>
      <c r="AO1213" s="12">
        <v>0</v>
      </c>
      <c r="AP1213" s="12">
        <v>0</v>
      </c>
      <c r="AQ1213" s="12">
        <v>0</v>
      </c>
      <c r="AR1213" s="12">
        <v>0</v>
      </c>
      <c r="AS1213" s="12">
        <v>0</v>
      </c>
      <c r="AT1213" s="12">
        <v>0</v>
      </c>
      <c r="AU1213" s="12">
        <v>0</v>
      </c>
      <c r="AV1213" s="12">
        <v>0</v>
      </c>
      <c r="AW1213" s="12">
        <v>0</v>
      </c>
      <c r="AX1213" s="12">
        <v>0</v>
      </c>
      <c r="AY1213" s="12">
        <v>0</v>
      </c>
      <c r="AZ1213"/>
      <c r="BA1213"/>
      <c r="BB1213" s="12">
        <v>0</v>
      </c>
      <c r="BC1213" s="12">
        <v>0</v>
      </c>
      <c r="BD1213" s="12">
        <v>0</v>
      </c>
      <c r="BE1213" s="12">
        <v>0</v>
      </c>
      <c r="BF1213" s="12">
        <v>0</v>
      </c>
      <c r="BI1213" s="12">
        <v>0</v>
      </c>
      <c r="BJ1213" s="12">
        <v>0</v>
      </c>
    </row>
    <row r="1214" spans="1:62" x14ac:dyDescent="0.15">
      <c r="A1214" s="12"/>
      <c r="B1214" t="s">
        <v>2853</v>
      </c>
      <c r="C1214" t="s">
        <v>2853</v>
      </c>
      <c r="D1214" t="s">
        <v>6596</v>
      </c>
      <c r="E1214" t="s">
        <v>2182</v>
      </c>
      <c r="F1214"/>
      <c r="G1214"/>
      <c r="H1214"/>
      <c r="I1214"/>
      <c r="J1214"/>
      <c r="K1214"/>
      <c r="L1214" s="10">
        <v>3827500</v>
      </c>
      <c r="M1214" s="10">
        <v>630860</v>
      </c>
      <c r="N1214" s="12">
        <v>15</v>
      </c>
      <c r="O1214" s="12" t="s">
        <v>6992</v>
      </c>
      <c r="P1214" t="s">
        <v>2183</v>
      </c>
      <c r="R1214"/>
      <c r="S1214" t="s">
        <v>2184</v>
      </c>
      <c r="T1214" s="12" t="s">
        <v>2185</v>
      </c>
      <c r="U1214" s="12" t="s">
        <v>2186</v>
      </c>
      <c r="V1214" s="12" t="s">
        <v>2187</v>
      </c>
      <c r="W1214" s="12">
        <v>0</v>
      </c>
      <c r="X1214" s="12">
        <v>1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2">
        <v>0</v>
      </c>
      <c r="AK1214" s="12">
        <v>0</v>
      </c>
      <c r="AL1214" s="12">
        <v>0</v>
      </c>
      <c r="AM1214" s="12"/>
      <c r="AN1214" s="12">
        <v>0</v>
      </c>
      <c r="AO1214" s="12">
        <v>0</v>
      </c>
      <c r="AP1214" s="12">
        <v>0</v>
      </c>
      <c r="AQ1214" s="12">
        <v>0</v>
      </c>
      <c r="AR1214" s="12">
        <v>0</v>
      </c>
      <c r="AS1214" s="12">
        <v>0</v>
      </c>
      <c r="AT1214" s="12">
        <v>0</v>
      </c>
      <c r="AU1214" s="12">
        <v>0</v>
      </c>
      <c r="AV1214" s="12">
        <v>0</v>
      </c>
      <c r="AW1214" s="12">
        <v>0</v>
      </c>
      <c r="AX1214" s="12">
        <v>0</v>
      </c>
      <c r="AY1214" s="12">
        <v>0</v>
      </c>
      <c r="AZ1214"/>
      <c r="BA1214"/>
      <c r="BB1214" s="12">
        <v>0</v>
      </c>
      <c r="BC1214" s="12">
        <v>0</v>
      </c>
      <c r="BD1214" s="12">
        <v>0</v>
      </c>
      <c r="BE1214" s="12">
        <v>0</v>
      </c>
      <c r="BF1214" s="12">
        <v>0</v>
      </c>
      <c r="BI1214" s="12">
        <v>0</v>
      </c>
      <c r="BJ1214" s="12">
        <v>0</v>
      </c>
    </row>
    <row r="1215" spans="1:62" x14ac:dyDescent="0.15">
      <c r="A1215" s="12"/>
      <c r="B1215" t="s">
        <v>2854</v>
      </c>
      <c r="C1215" t="s">
        <v>2854</v>
      </c>
      <c r="D1215" t="s">
        <v>6596</v>
      </c>
      <c r="E1215" t="s">
        <v>2182</v>
      </c>
      <c r="F1215"/>
      <c r="G1215"/>
      <c r="H1215"/>
      <c r="I1215"/>
      <c r="J1215"/>
      <c r="K1215"/>
      <c r="L1215" s="10">
        <v>3829100</v>
      </c>
      <c r="M1215" s="10">
        <v>628180</v>
      </c>
      <c r="N1215" s="12">
        <v>15</v>
      </c>
      <c r="O1215" s="12" t="s">
        <v>6992</v>
      </c>
      <c r="P1215" t="s">
        <v>2183</v>
      </c>
      <c r="R1215"/>
      <c r="S1215" t="s">
        <v>2184</v>
      </c>
      <c r="T1215" s="12" t="s">
        <v>2185</v>
      </c>
      <c r="U1215" s="12" t="s">
        <v>2186</v>
      </c>
      <c r="V1215" s="12" t="s">
        <v>2187</v>
      </c>
      <c r="W1215" s="12">
        <v>0</v>
      </c>
      <c r="X1215" s="12">
        <v>1</v>
      </c>
      <c r="Y1215" s="12">
        <v>0</v>
      </c>
      <c r="Z1215" s="12">
        <v>0</v>
      </c>
      <c r="AA1215" s="12">
        <v>0</v>
      </c>
      <c r="AB1215" s="12">
        <v>0</v>
      </c>
      <c r="AC1215" s="12">
        <v>0</v>
      </c>
      <c r="AD1215" s="12">
        <v>0</v>
      </c>
      <c r="AE1215" s="12">
        <v>0</v>
      </c>
      <c r="AF1215" s="12">
        <v>0</v>
      </c>
      <c r="AG1215" s="12">
        <v>0</v>
      </c>
      <c r="AH1215" s="12">
        <v>0</v>
      </c>
      <c r="AI1215" s="12">
        <v>0</v>
      </c>
      <c r="AJ1215" s="12">
        <v>0</v>
      </c>
      <c r="AK1215" s="12">
        <v>0</v>
      </c>
      <c r="AL1215" s="12">
        <v>0</v>
      </c>
      <c r="AM1215" s="12"/>
      <c r="AN1215" s="12">
        <v>0</v>
      </c>
      <c r="AO1215" s="12">
        <v>0</v>
      </c>
      <c r="AP1215" s="12">
        <v>0</v>
      </c>
      <c r="AQ1215" s="12">
        <v>0</v>
      </c>
      <c r="AR1215" s="12">
        <v>0</v>
      </c>
      <c r="AS1215" s="12">
        <v>0</v>
      </c>
      <c r="AT1215" s="12">
        <v>0</v>
      </c>
      <c r="AU1215" s="12">
        <v>0</v>
      </c>
      <c r="AV1215" s="12">
        <v>0</v>
      </c>
      <c r="AW1215" s="12">
        <v>0</v>
      </c>
      <c r="AX1215" s="12">
        <v>0</v>
      </c>
      <c r="AY1215" s="12">
        <v>0</v>
      </c>
      <c r="AZ1215"/>
      <c r="BA1215"/>
      <c r="BB1215" s="12">
        <v>0</v>
      </c>
      <c r="BC1215" s="12">
        <v>0</v>
      </c>
      <c r="BD1215" s="12">
        <v>0</v>
      </c>
      <c r="BE1215" s="12">
        <v>0</v>
      </c>
      <c r="BF1215" s="12">
        <v>0</v>
      </c>
      <c r="BI1215" s="12">
        <v>0</v>
      </c>
      <c r="BJ1215" s="12">
        <v>0</v>
      </c>
    </row>
    <row r="1216" spans="1:62" x14ac:dyDescent="0.15">
      <c r="A1216" s="12"/>
      <c r="B1216" t="s">
        <v>2855</v>
      </c>
      <c r="C1216" t="s">
        <v>2855</v>
      </c>
      <c r="D1216" t="s">
        <v>6596</v>
      </c>
      <c r="E1216" t="s">
        <v>2182</v>
      </c>
      <c r="F1216"/>
      <c r="G1216"/>
      <c r="H1216"/>
      <c r="I1216"/>
      <c r="J1216"/>
      <c r="K1216"/>
      <c r="L1216" s="10">
        <v>3827530</v>
      </c>
      <c r="M1216" s="10">
        <v>625300</v>
      </c>
      <c r="N1216" s="12">
        <v>15</v>
      </c>
      <c r="O1216" s="12" t="s">
        <v>6992</v>
      </c>
      <c r="P1216" t="s">
        <v>2183</v>
      </c>
      <c r="R1216"/>
      <c r="S1216" t="s">
        <v>2184</v>
      </c>
      <c r="T1216" s="12" t="s">
        <v>2185</v>
      </c>
      <c r="U1216" s="12" t="s">
        <v>2186</v>
      </c>
      <c r="V1216" s="12" t="s">
        <v>2187</v>
      </c>
      <c r="W1216" s="12">
        <v>0</v>
      </c>
      <c r="X1216" s="12">
        <v>1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2">
        <v>0</v>
      </c>
      <c r="AK1216" s="12">
        <v>0</v>
      </c>
      <c r="AL1216" s="12">
        <v>0</v>
      </c>
      <c r="AM1216" s="12"/>
      <c r="AN1216" s="12">
        <v>0</v>
      </c>
      <c r="AO1216" s="12">
        <v>0</v>
      </c>
      <c r="AP1216" s="12">
        <v>0</v>
      </c>
      <c r="AQ1216" s="12">
        <v>0</v>
      </c>
      <c r="AR1216" s="12">
        <v>0</v>
      </c>
      <c r="AS1216" s="12">
        <v>0</v>
      </c>
      <c r="AT1216" s="12">
        <v>0</v>
      </c>
      <c r="AU1216" s="12">
        <v>0</v>
      </c>
      <c r="AV1216" s="12">
        <v>0</v>
      </c>
      <c r="AW1216" s="12">
        <v>0</v>
      </c>
      <c r="AX1216" s="12">
        <v>0</v>
      </c>
      <c r="AY1216" s="12">
        <v>0</v>
      </c>
      <c r="AZ1216"/>
      <c r="BA1216"/>
      <c r="BB1216" s="12">
        <v>0</v>
      </c>
      <c r="BC1216" s="12">
        <v>0</v>
      </c>
      <c r="BD1216" s="12">
        <v>0</v>
      </c>
      <c r="BE1216" s="12">
        <v>0</v>
      </c>
      <c r="BF1216" s="12">
        <v>0</v>
      </c>
      <c r="BI1216" s="12">
        <v>0</v>
      </c>
      <c r="BJ1216" s="12">
        <v>0</v>
      </c>
    </row>
    <row r="1217" spans="1:62" x14ac:dyDescent="0.15">
      <c r="A1217" s="12"/>
      <c r="B1217" t="s">
        <v>2856</v>
      </c>
      <c r="C1217" t="s">
        <v>2856</v>
      </c>
      <c r="D1217" t="s">
        <v>6596</v>
      </c>
      <c r="E1217" t="s">
        <v>2182</v>
      </c>
      <c r="F1217"/>
      <c r="G1217"/>
      <c r="H1217"/>
      <c r="I1217"/>
      <c r="J1217"/>
      <c r="K1217"/>
      <c r="L1217" s="10">
        <v>3830700</v>
      </c>
      <c r="M1217" s="10">
        <v>625800</v>
      </c>
      <c r="N1217" s="12">
        <v>15</v>
      </c>
      <c r="O1217" s="12" t="s">
        <v>6992</v>
      </c>
      <c r="P1217" t="s">
        <v>2183</v>
      </c>
      <c r="R1217"/>
      <c r="S1217" t="s">
        <v>2184</v>
      </c>
      <c r="T1217" s="12" t="s">
        <v>2185</v>
      </c>
      <c r="U1217" s="12" t="s">
        <v>2186</v>
      </c>
      <c r="V1217" s="12" t="s">
        <v>2187</v>
      </c>
      <c r="W1217" s="12">
        <v>0</v>
      </c>
      <c r="X1217" s="12">
        <v>1</v>
      </c>
      <c r="Y1217" s="12">
        <v>0</v>
      </c>
      <c r="Z1217" s="12">
        <v>0</v>
      </c>
      <c r="AA1217" s="12">
        <v>0</v>
      </c>
      <c r="AB1217" s="12">
        <v>0</v>
      </c>
      <c r="AC1217" s="12">
        <v>0</v>
      </c>
      <c r="AD1217" s="12">
        <v>0</v>
      </c>
      <c r="AE1217" s="12">
        <v>0</v>
      </c>
      <c r="AF1217" s="12">
        <v>0</v>
      </c>
      <c r="AG1217" s="12">
        <v>0</v>
      </c>
      <c r="AH1217" s="12">
        <v>0</v>
      </c>
      <c r="AI1217" s="12">
        <v>0</v>
      </c>
      <c r="AJ1217" s="12">
        <v>0</v>
      </c>
      <c r="AK1217" s="12">
        <v>0</v>
      </c>
      <c r="AL1217" s="12">
        <v>0</v>
      </c>
      <c r="AM1217" s="12"/>
      <c r="AN1217" s="12">
        <v>0</v>
      </c>
      <c r="AO1217" s="12">
        <v>0</v>
      </c>
      <c r="AP1217" s="12">
        <v>0</v>
      </c>
      <c r="AQ1217" s="12">
        <v>0</v>
      </c>
      <c r="AR1217" s="12">
        <v>0</v>
      </c>
      <c r="AS1217" s="12">
        <v>0</v>
      </c>
      <c r="AT1217" s="12">
        <v>0</v>
      </c>
      <c r="AU1217" s="12">
        <v>0</v>
      </c>
      <c r="AV1217" s="12">
        <v>0</v>
      </c>
      <c r="AW1217" s="12">
        <v>0</v>
      </c>
      <c r="AX1217" s="12">
        <v>0</v>
      </c>
      <c r="AY1217" s="12">
        <v>0</v>
      </c>
      <c r="AZ1217"/>
      <c r="BA1217"/>
      <c r="BB1217" s="12">
        <v>0</v>
      </c>
      <c r="BC1217" s="12">
        <v>0</v>
      </c>
      <c r="BD1217" s="12">
        <v>0</v>
      </c>
      <c r="BE1217" s="12">
        <v>0</v>
      </c>
      <c r="BF1217" s="12">
        <v>0</v>
      </c>
      <c r="BI1217" s="12">
        <v>0</v>
      </c>
      <c r="BJ1217" s="12">
        <v>0</v>
      </c>
    </row>
    <row r="1218" spans="1:62" x14ac:dyDescent="0.15">
      <c r="A1218" s="12"/>
      <c r="B1218" t="s">
        <v>2857</v>
      </c>
      <c r="C1218" t="s">
        <v>2857</v>
      </c>
      <c r="D1218" t="s">
        <v>6596</v>
      </c>
      <c r="E1218" t="s">
        <v>2182</v>
      </c>
      <c r="F1218"/>
      <c r="G1218"/>
      <c r="H1218"/>
      <c r="I1218"/>
      <c r="J1218"/>
      <c r="K1218"/>
      <c r="L1218" s="10">
        <v>3828320</v>
      </c>
      <c r="M1218" s="10">
        <v>624150</v>
      </c>
      <c r="N1218" s="12">
        <v>15</v>
      </c>
      <c r="O1218" s="12" t="s">
        <v>6992</v>
      </c>
      <c r="P1218" t="s">
        <v>2183</v>
      </c>
      <c r="R1218"/>
      <c r="S1218" t="s">
        <v>2184</v>
      </c>
      <c r="T1218" s="12" t="s">
        <v>2185</v>
      </c>
      <c r="U1218" s="12" t="s">
        <v>2186</v>
      </c>
      <c r="V1218" s="12" t="s">
        <v>2187</v>
      </c>
      <c r="W1218" s="12">
        <v>0</v>
      </c>
      <c r="X1218" s="12">
        <v>1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2">
        <v>0</v>
      </c>
      <c r="AK1218" s="12">
        <v>0</v>
      </c>
      <c r="AL1218" s="12">
        <v>0</v>
      </c>
      <c r="AM1218" s="12"/>
      <c r="AN1218" s="12">
        <v>0</v>
      </c>
      <c r="AO1218" s="12">
        <v>0</v>
      </c>
      <c r="AP1218" s="12">
        <v>0</v>
      </c>
      <c r="AQ1218" s="12">
        <v>0</v>
      </c>
      <c r="AR1218" s="12">
        <v>0</v>
      </c>
      <c r="AS1218" s="12">
        <v>0</v>
      </c>
      <c r="AT1218" s="12">
        <v>0</v>
      </c>
      <c r="AU1218" s="12">
        <v>0</v>
      </c>
      <c r="AV1218" s="12">
        <v>0</v>
      </c>
      <c r="AW1218" s="12">
        <v>0</v>
      </c>
      <c r="AX1218" s="12">
        <v>0</v>
      </c>
      <c r="AY1218" s="12">
        <v>0</v>
      </c>
      <c r="AZ1218"/>
      <c r="BA1218"/>
      <c r="BB1218" s="12">
        <v>0</v>
      </c>
      <c r="BC1218" s="12">
        <v>0</v>
      </c>
      <c r="BD1218" s="12">
        <v>0</v>
      </c>
      <c r="BE1218" s="12">
        <v>0</v>
      </c>
      <c r="BF1218" s="12">
        <v>0</v>
      </c>
      <c r="BI1218" s="12">
        <v>0</v>
      </c>
      <c r="BJ1218" s="12">
        <v>0</v>
      </c>
    </row>
    <row r="1219" spans="1:62" x14ac:dyDescent="0.15">
      <c r="A1219" s="12"/>
      <c r="B1219" t="s">
        <v>2858</v>
      </c>
      <c r="C1219" t="s">
        <v>2858</v>
      </c>
      <c r="D1219" t="s">
        <v>6596</v>
      </c>
      <c r="E1219" t="s">
        <v>2182</v>
      </c>
      <c r="F1219"/>
      <c r="G1219"/>
      <c r="H1219"/>
      <c r="I1219"/>
      <c r="J1219"/>
      <c r="K1219"/>
      <c r="L1219" s="10">
        <v>3835500</v>
      </c>
      <c r="M1219" s="10">
        <v>632900</v>
      </c>
      <c r="N1219" s="12">
        <v>15</v>
      </c>
      <c r="O1219" s="12" t="s">
        <v>6992</v>
      </c>
      <c r="P1219" t="s">
        <v>2183</v>
      </c>
      <c r="R1219"/>
      <c r="S1219" t="s">
        <v>2184</v>
      </c>
      <c r="T1219" s="12" t="s">
        <v>2185</v>
      </c>
      <c r="U1219" s="12" t="s">
        <v>2186</v>
      </c>
      <c r="V1219" s="12" t="s">
        <v>2187</v>
      </c>
      <c r="W1219" s="12">
        <v>0</v>
      </c>
      <c r="X1219" s="12">
        <v>1</v>
      </c>
      <c r="Y1219" s="12">
        <v>0</v>
      </c>
      <c r="Z1219" s="12">
        <v>0</v>
      </c>
      <c r="AA1219" s="12">
        <v>0</v>
      </c>
      <c r="AB1219" s="12">
        <v>0</v>
      </c>
      <c r="AC1219" s="12">
        <v>0</v>
      </c>
      <c r="AD1219" s="12">
        <v>0</v>
      </c>
      <c r="AE1219" s="12">
        <v>0</v>
      </c>
      <c r="AF1219" s="12">
        <v>0</v>
      </c>
      <c r="AG1219" s="12">
        <v>0</v>
      </c>
      <c r="AH1219" s="12">
        <v>0</v>
      </c>
      <c r="AI1219" s="12">
        <v>0</v>
      </c>
      <c r="AJ1219" s="12">
        <v>0</v>
      </c>
      <c r="AK1219" s="12">
        <v>0</v>
      </c>
      <c r="AL1219" s="12">
        <v>0</v>
      </c>
      <c r="AM1219" s="12"/>
      <c r="AN1219" s="12">
        <v>0</v>
      </c>
      <c r="AO1219" s="12">
        <v>0</v>
      </c>
      <c r="AP1219" s="12">
        <v>0</v>
      </c>
      <c r="AQ1219" s="12">
        <v>0</v>
      </c>
      <c r="AR1219" s="12">
        <v>0</v>
      </c>
      <c r="AS1219" s="12">
        <v>0</v>
      </c>
      <c r="AT1219" s="12">
        <v>0</v>
      </c>
      <c r="AU1219" s="12">
        <v>0</v>
      </c>
      <c r="AV1219" s="12">
        <v>0</v>
      </c>
      <c r="AW1219" s="12">
        <v>0</v>
      </c>
      <c r="AX1219" s="12">
        <v>0</v>
      </c>
      <c r="AY1219" s="12">
        <v>0</v>
      </c>
      <c r="AZ1219"/>
      <c r="BA1219"/>
      <c r="BB1219" s="12">
        <v>0</v>
      </c>
      <c r="BC1219" s="12">
        <v>0</v>
      </c>
      <c r="BD1219" s="12">
        <v>0</v>
      </c>
      <c r="BE1219" s="12">
        <v>0</v>
      </c>
      <c r="BF1219" s="12">
        <v>0</v>
      </c>
      <c r="BI1219" s="12">
        <v>0</v>
      </c>
      <c r="BJ1219" s="12">
        <v>0</v>
      </c>
    </row>
    <row r="1220" spans="1:62" x14ac:dyDescent="0.15">
      <c r="A1220" s="12"/>
      <c r="B1220" t="s">
        <v>2859</v>
      </c>
      <c r="C1220" t="s">
        <v>2859</v>
      </c>
      <c r="D1220" t="s">
        <v>6596</v>
      </c>
      <c r="E1220" t="s">
        <v>2182</v>
      </c>
      <c r="F1220"/>
      <c r="G1220"/>
      <c r="H1220"/>
      <c r="I1220"/>
      <c r="J1220"/>
      <c r="K1220"/>
      <c r="L1220" s="10">
        <v>3837180</v>
      </c>
      <c r="M1220" s="10">
        <v>631380</v>
      </c>
      <c r="N1220" s="12">
        <v>15</v>
      </c>
      <c r="O1220" s="12" t="s">
        <v>6992</v>
      </c>
      <c r="P1220" t="s">
        <v>2183</v>
      </c>
      <c r="R1220"/>
      <c r="S1220" t="s">
        <v>2184</v>
      </c>
      <c r="T1220" s="12" t="s">
        <v>2185</v>
      </c>
      <c r="U1220" s="12" t="s">
        <v>2186</v>
      </c>
      <c r="V1220" s="12" t="s">
        <v>2187</v>
      </c>
      <c r="W1220" s="12">
        <v>0</v>
      </c>
      <c r="X1220" s="12">
        <v>1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2">
        <v>0</v>
      </c>
      <c r="AK1220" s="12">
        <v>0</v>
      </c>
      <c r="AL1220" s="12">
        <v>0</v>
      </c>
      <c r="AM1220" s="12"/>
      <c r="AN1220" s="12">
        <v>0</v>
      </c>
      <c r="AO1220" s="12">
        <v>0</v>
      </c>
      <c r="AP1220" s="12">
        <v>0</v>
      </c>
      <c r="AQ1220" s="12">
        <v>0</v>
      </c>
      <c r="AR1220" s="12">
        <v>0</v>
      </c>
      <c r="AS1220" s="12">
        <v>0</v>
      </c>
      <c r="AT1220" s="12">
        <v>0</v>
      </c>
      <c r="AU1220" s="12">
        <v>0</v>
      </c>
      <c r="AV1220" s="12">
        <v>0</v>
      </c>
      <c r="AW1220" s="12">
        <v>0</v>
      </c>
      <c r="AX1220" s="12">
        <v>0</v>
      </c>
      <c r="AY1220" s="12">
        <v>0</v>
      </c>
      <c r="AZ1220"/>
      <c r="BA1220"/>
      <c r="BB1220" s="12">
        <v>0</v>
      </c>
      <c r="BC1220" s="12">
        <v>0</v>
      </c>
      <c r="BD1220" s="12">
        <v>0</v>
      </c>
      <c r="BE1220" s="12">
        <v>0</v>
      </c>
      <c r="BF1220" s="12">
        <v>0</v>
      </c>
      <c r="BI1220" s="12">
        <v>0</v>
      </c>
      <c r="BJ1220" s="12">
        <v>0</v>
      </c>
    </row>
    <row r="1221" spans="1:62" x14ac:dyDescent="0.15">
      <c r="A1221" s="12"/>
      <c r="B1221" t="s">
        <v>2860</v>
      </c>
      <c r="C1221" t="s">
        <v>2860</v>
      </c>
      <c r="D1221" t="s">
        <v>6596</v>
      </c>
      <c r="E1221" t="s">
        <v>2182</v>
      </c>
      <c r="F1221"/>
      <c r="G1221"/>
      <c r="H1221"/>
      <c r="I1221"/>
      <c r="J1221"/>
      <c r="K1221"/>
      <c r="L1221" s="10">
        <v>3834000</v>
      </c>
      <c r="M1221" s="10">
        <v>633280</v>
      </c>
      <c r="N1221" s="12">
        <v>15</v>
      </c>
      <c r="O1221" s="12" t="s">
        <v>6992</v>
      </c>
      <c r="P1221" t="s">
        <v>2183</v>
      </c>
      <c r="R1221"/>
      <c r="S1221" t="s">
        <v>2184</v>
      </c>
      <c r="T1221" s="12" t="s">
        <v>2185</v>
      </c>
      <c r="U1221" s="12" t="s">
        <v>2186</v>
      </c>
      <c r="V1221" s="12" t="s">
        <v>2187</v>
      </c>
      <c r="W1221" s="12">
        <v>0</v>
      </c>
      <c r="X1221" s="12">
        <v>1</v>
      </c>
      <c r="Y1221" s="12">
        <v>0</v>
      </c>
      <c r="Z1221" s="12">
        <v>0</v>
      </c>
      <c r="AA1221" s="12">
        <v>0</v>
      </c>
      <c r="AB1221" s="12">
        <v>0</v>
      </c>
      <c r="AC1221" s="12">
        <v>0</v>
      </c>
      <c r="AD1221" s="12">
        <v>0</v>
      </c>
      <c r="AE1221" s="12">
        <v>0</v>
      </c>
      <c r="AF1221" s="12">
        <v>0</v>
      </c>
      <c r="AG1221" s="12">
        <v>0</v>
      </c>
      <c r="AH1221" s="12">
        <v>0</v>
      </c>
      <c r="AI1221" s="12">
        <v>0</v>
      </c>
      <c r="AJ1221" s="12">
        <v>0</v>
      </c>
      <c r="AK1221" s="12">
        <v>0</v>
      </c>
      <c r="AL1221" s="12">
        <v>0</v>
      </c>
      <c r="AM1221" s="12"/>
      <c r="AN1221" s="12">
        <v>0</v>
      </c>
      <c r="AO1221" s="12">
        <v>0</v>
      </c>
      <c r="AP1221" s="12">
        <v>0</v>
      </c>
      <c r="AQ1221" s="12">
        <v>0</v>
      </c>
      <c r="AR1221" s="12">
        <v>0</v>
      </c>
      <c r="AS1221" s="12">
        <v>0</v>
      </c>
      <c r="AT1221" s="12">
        <v>0</v>
      </c>
      <c r="AU1221" s="12">
        <v>0</v>
      </c>
      <c r="AV1221" s="12">
        <v>0</v>
      </c>
      <c r="AW1221" s="12">
        <v>0</v>
      </c>
      <c r="AX1221" s="12">
        <v>0</v>
      </c>
      <c r="AY1221" s="12">
        <v>0</v>
      </c>
      <c r="AZ1221"/>
      <c r="BA1221"/>
      <c r="BB1221" s="12">
        <v>0</v>
      </c>
      <c r="BC1221" s="12">
        <v>0</v>
      </c>
      <c r="BD1221" s="12">
        <v>0</v>
      </c>
      <c r="BE1221" s="12">
        <v>0</v>
      </c>
      <c r="BF1221" s="12">
        <v>0</v>
      </c>
      <c r="BI1221" s="12">
        <v>0</v>
      </c>
      <c r="BJ1221" s="12">
        <v>0</v>
      </c>
    </row>
    <row r="1222" spans="1:62" x14ac:dyDescent="0.15">
      <c r="A1222" s="12"/>
      <c r="B1222" t="s">
        <v>2861</v>
      </c>
      <c r="C1222" t="s">
        <v>2861</v>
      </c>
      <c r="D1222" t="s">
        <v>6596</v>
      </c>
      <c r="E1222" t="s">
        <v>2182</v>
      </c>
      <c r="F1222"/>
      <c r="G1222"/>
      <c r="H1222"/>
      <c r="I1222"/>
      <c r="J1222"/>
      <c r="K1222"/>
      <c r="L1222" s="10">
        <v>3825910</v>
      </c>
      <c r="M1222" s="10">
        <v>643470</v>
      </c>
      <c r="N1222" s="12">
        <v>15</v>
      </c>
      <c r="O1222" s="12" t="s">
        <v>6992</v>
      </c>
      <c r="P1222" t="s">
        <v>2183</v>
      </c>
      <c r="R1222"/>
      <c r="S1222" t="s">
        <v>2184</v>
      </c>
      <c r="T1222" s="12" t="s">
        <v>2185</v>
      </c>
      <c r="U1222" s="12" t="s">
        <v>2186</v>
      </c>
      <c r="V1222" s="12" t="s">
        <v>2187</v>
      </c>
      <c r="W1222" s="12">
        <v>0</v>
      </c>
      <c r="X1222" s="12">
        <v>1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2">
        <v>0</v>
      </c>
      <c r="AK1222" s="12">
        <v>0</v>
      </c>
      <c r="AL1222" s="12">
        <v>0</v>
      </c>
      <c r="AM1222" s="12"/>
      <c r="AN1222" s="12">
        <v>0</v>
      </c>
      <c r="AO1222" s="12">
        <v>0</v>
      </c>
      <c r="AP1222" s="12">
        <v>0</v>
      </c>
      <c r="AQ1222" s="12">
        <v>0</v>
      </c>
      <c r="AR1222" s="12">
        <v>0</v>
      </c>
      <c r="AS1222" s="12">
        <v>0</v>
      </c>
      <c r="AT1222" s="12">
        <v>0</v>
      </c>
      <c r="AU1222" s="12">
        <v>0</v>
      </c>
      <c r="AV1222" s="12">
        <v>0</v>
      </c>
      <c r="AW1222" s="12">
        <v>0</v>
      </c>
      <c r="AX1222" s="12">
        <v>0</v>
      </c>
      <c r="AY1222" s="12">
        <v>0</v>
      </c>
      <c r="AZ1222"/>
      <c r="BA1222"/>
      <c r="BB1222" s="12">
        <v>0</v>
      </c>
      <c r="BC1222" s="12">
        <v>0</v>
      </c>
      <c r="BD1222" s="12">
        <v>0</v>
      </c>
      <c r="BE1222" s="12">
        <v>0</v>
      </c>
      <c r="BF1222" s="12">
        <v>0</v>
      </c>
      <c r="BI1222" s="12">
        <v>0</v>
      </c>
      <c r="BJ1222" s="12">
        <v>0</v>
      </c>
    </row>
    <row r="1223" spans="1:62" x14ac:dyDescent="0.15">
      <c r="A1223" s="12"/>
      <c r="B1223" t="s">
        <v>2862</v>
      </c>
      <c r="C1223" s="27" t="s">
        <v>2863</v>
      </c>
      <c r="D1223" t="s">
        <v>6596</v>
      </c>
      <c r="E1223" t="s">
        <v>2182</v>
      </c>
      <c r="F1223"/>
      <c r="G1223"/>
      <c r="H1223"/>
      <c r="I1223"/>
      <c r="J1223"/>
      <c r="K1223"/>
      <c r="L1223" s="10">
        <v>3823880</v>
      </c>
      <c r="M1223" s="10">
        <v>640730</v>
      </c>
      <c r="N1223" s="12">
        <v>15</v>
      </c>
      <c r="O1223" s="12" t="s">
        <v>6992</v>
      </c>
      <c r="P1223" t="s">
        <v>2183</v>
      </c>
      <c r="R1223"/>
      <c r="S1223" t="s">
        <v>2184</v>
      </c>
      <c r="T1223" s="12" t="s">
        <v>2185</v>
      </c>
      <c r="U1223" s="12" t="s">
        <v>2186</v>
      </c>
      <c r="V1223" s="12" t="s">
        <v>2187</v>
      </c>
      <c r="W1223" s="12">
        <v>0</v>
      </c>
      <c r="X1223" s="12">
        <v>1</v>
      </c>
      <c r="Y1223" s="12">
        <v>0</v>
      </c>
      <c r="Z1223" s="12">
        <v>0</v>
      </c>
      <c r="AA1223" s="12">
        <v>0</v>
      </c>
      <c r="AB1223" s="12">
        <v>0</v>
      </c>
      <c r="AC1223" s="12">
        <v>0</v>
      </c>
      <c r="AD1223" s="12">
        <v>0</v>
      </c>
      <c r="AE1223" s="12">
        <v>0</v>
      </c>
      <c r="AF1223" s="12">
        <v>0</v>
      </c>
      <c r="AG1223" s="12">
        <v>0</v>
      </c>
      <c r="AH1223" s="12">
        <v>0</v>
      </c>
      <c r="AI1223" s="12">
        <v>0</v>
      </c>
      <c r="AJ1223" s="12">
        <v>0</v>
      </c>
      <c r="AK1223" s="12">
        <v>0</v>
      </c>
      <c r="AL1223" s="12">
        <v>0</v>
      </c>
      <c r="AM1223" s="12"/>
      <c r="AN1223" s="12">
        <v>0</v>
      </c>
      <c r="AO1223" s="12">
        <v>0</v>
      </c>
      <c r="AP1223" s="12">
        <v>0</v>
      </c>
      <c r="AQ1223" s="12">
        <v>0</v>
      </c>
      <c r="AR1223" s="12">
        <v>0</v>
      </c>
      <c r="AS1223" s="12">
        <v>0</v>
      </c>
      <c r="AT1223" s="12">
        <v>0</v>
      </c>
      <c r="AU1223" s="12">
        <v>0</v>
      </c>
      <c r="AV1223" s="12">
        <v>0</v>
      </c>
      <c r="AW1223" s="12">
        <v>0</v>
      </c>
      <c r="AX1223" s="12">
        <v>0</v>
      </c>
      <c r="AY1223" s="12">
        <v>0</v>
      </c>
      <c r="AZ1223"/>
      <c r="BA1223"/>
      <c r="BB1223" s="12">
        <v>0</v>
      </c>
      <c r="BC1223" s="12">
        <v>0</v>
      </c>
      <c r="BD1223" s="12">
        <v>0</v>
      </c>
      <c r="BE1223" s="12">
        <v>0</v>
      </c>
      <c r="BF1223" s="12">
        <v>0</v>
      </c>
      <c r="BI1223" s="12">
        <v>0</v>
      </c>
      <c r="BJ1223" s="12">
        <v>0</v>
      </c>
    </row>
    <row r="1224" spans="1:62" x14ac:dyDescent="0.15">
      <c r="A1224" s="12"/>
      <c r="B1224" t="s">
        <v>2864</v>
      </c>
      <c r="C1224" s="27" t="s">
        <v>2865</v>
      </c>
      <c r="D1224" t="s">
        <v>6596</v>
      </c>
      <c r="E1224" t="s">
        <v>2182</v>
      </c>
      <c r="F1224"/>
      <c r="G1224"/>
      <c r="H1224"/>
      <c r="I1224"/>
      <c r="J1224"/>
      <c r="K1224"/>
      <c r="L1224" s="10">
        <v>3806100</v>
      </c>
      <c r="M1224" s="10">
        <v>655990</v>
      </c>
      <c r="N1224" s="12">
        <v>15</v>
      </c>
      <c r="O1224" s="12" t="s">
        <v>6992</v>
      </c>
      <c r="P1224" t="s">
        <v>2183</v>
      </c>
      <c r="R1224"/>
      <c r="S1224" t="s">
        <v>2184</v>
      </c>
      <c r="T1224" s="12" t="s">
        <v>2185</v>
      </c>
      <c r="U1224" s="12" t="s">
        <v>2186</v>
      </c>
      <c r="V1224" s="12" t="s">
        <v>2187</v>
      </c>
      <c r="W1224" s="12">
        <v>0</v>
      </c>
      <c r="X1224" s="12">
        <v>1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2">
        <v>0</v>
      </c>
      <c r="AK1224" s="12">
        <v>0</v>
      </c>
      <c r="AL1224" s="12">
        <v>0</v>
      </c>
      <c r="AM1224" s="12"/>
      <c r="AN1224" s="12">
        <v>0</v>
      </c>
      <c r="AO1224" s="12">
        <v>0</v>
      </c>
      <c r="AP1224" s="12">
        <v>0</v>
      </c>
      <c r="AQ1224" s="12">
        <v>0</v>
      </c>
      <c r="AR1224" s="12">
        <v>0</v>
      </c>
      <c r="AS1224" s="12">
        <v>0</v>
      </c>
      <c r="AT1224" s="12">
        <v>0</v>
      </c>
      <c r="AU1224" s="12">
        <v>0</v>
      </c>
      <c r="AV1224" s="12">
        <v>0</v>
      </c>
      <c r="AW1224" s="12">
        <v>0</v>
      </c>
      <c r="AX1224" s="12">
        <v>0</v>
      </c>
      <c r="AY1224" s="12">
        <v>0</v>
      </c>
      <c r="AZ1224"/>
      <c r="BA1224"/>
      <c r="BB1224" s="12">
        <v>0</v>
      </c>
      <c r="BC1224" s="12">
        <v>0</v>
      </c>
      <c r="BD1224" s="12">
        <v>0</v>
      </c>
      <c r="BE1224" s="12">
        <v>0</v>
      </c>
      <c r="BF1224" s="12">
        <v>0</v>
      </c>
      <c r="BI1224" s="12">
        <v>0</v>
      </c>
      <c r="BJ1224" s="12">
        <v>0</v>
      </c>
    </row>
    <row r="1225" spans="1:62" x14ac:dyDescent="0.15">
      <c r="A1225" s="12"/>
      <c r="B1225" t="s">
        <v>2866</v>
      </c>
      <c r="C1225" s="27" t="s">
        <v>2867</v>
      </c>
      <c r="D1225" t="s">
        <v>6596</v>
      </c>
      <c r="E1225" t="s">
        <v>2182</v>
      </c>
      <c r="F1225"/>
      <c r="G1225"/>
      <c r="H1225"/>
      <c r="I1225"/>
      <c r="J1225"/>
      <c r="K1225"/>
      <c r="L1225" s="10">
        <v>3806140</v>
      </c>
      <c r="M1225" s="10">
        <v>653300</v>
      </c>
      <c r="N1225" s="12">
        <v>15</v>
      </c>
      <c r="O1225" s="12" t="s">
        <v>6992</v>
      </c>
      <c r="P1225" t="s">
        <v>2183</v>
      </c>
      <c r="R1225"/>
      <c r="S1225" t="s">
        <v>2184</v>
      </c>
      <c r="T1225" s="12" t="s">
        <v>2185</v>
      </c>
      <c r="U1225" s="12" t="s">
        <v>2186</v>
      </c>
      <c r="V1225" s="12" t="s">
        <v>2187</v>
      </c>
      <c r="W1225" s="12">
        <v>0</v>
      </c>
      <c r="X1225" s="12">
        <v>1</v>
      </c>
      <c r="Y1225" s="12">
        <v>0</v>
      </c>
      <c r="Z1225" s="12">
        <v>0</v>
      </c>
      <c r="AA1225" s="12">
        <v>0</v>
      </c>
      <c r="AB1225" s="12">
        <v>0</v>
      </c>
      <c r="AC1225" s="12">
        <v>0</v>
      </c>
      <c r="AD1225" s="12">
        <v>0</v>
      </c>
      <c r="AE1225" s="12">
        <v>0</v>
      </c>
      <c r="AF1225" s="12">
        <v>0</v>
      </c>
      <c r="AG1225" s="12">
        <v>0</v>
      </c>
      <c r="AH1225" s="12">
        <v>0</v>
      </c>
      <c r="AI1225" s="12">
        <v>0</v>
      </c>
      <c r="AJ1225" s="12">
        <v>0</v>
      </c>
      <c r="AK1225" s="12">
        <v>0</v>
      </c>
      <c r="AL1225" s="12">
        <v>0</v>
      </c>
      <c r="AM1225" s="12"/>
      <c r="AN1225" s="12">
        <v>0</v>
      </c>
      <c r="AO1225" s="12">
        <v>0</v>
      </c>
      <c r="AP1225" s="12">
        <v>0</v>
      </c>
      <c r="AQ1225" s="12">
        <v>0</v>
      </c>
      <c r="AR1225" s="12">
        <v>0</v>
      </c>
      <c r="AS1225" s="12">
        <v>0</v>
      </c>
      <c r="AT1225" s="12">
        <v>0</v>
      </c>
      <c r="AU1225" s="12">
        <v>0</v>
      </c>
      <c r="AV1225" s="12">
        <v>0</v>
      </c>
      <c r="AW1225" s="12">
        <v>0</v>
      </c>
      <c r="AX1225" s="12">
        <v>0</v>
      </c>
      <c r="AY1225" s="12">
        <v>0</v>
      </c>
      <c r="AZ1225"/>
      <c r="BA1225"/>
      <c r="BB1225" s="12">
        <v>0</v>
      </c>
      <c r="BC1225" s="12">
        <v>0</v>
      </c>
      <c r="BD1225" s="12">
        <v>0</v>
      </c>
      <c r="BE1225" s="12">
        <v>0</v>
      </c>
      <c r="BF1225" s="12">
        <v>0</v>
      </c>
      <c r="BI1225" s="12">
        <v>0</v>
      </c>
      <c r="BJ1225" s="12">
        <v>0</v>
      </c>
    </row>
    <row r="1226" spans="1:62" x14ac:dyDescent="0.15">
      <c r="A1226" s="12"/>
      <c r="B1226" t="s">
        <v>2868</v>
      </c>
      <c r="C1226" s="27" t="s">
        <v>2869</v>
      </c>
      <c r="D1226" t="s">
        <v>6596</v>
      </c>
      <c r="E1226" t="s">
        <v>2182</v>
      </c>
      <c r="F1226"/>
      <c r="G1226"/>
      <c r="H1226"/>
      <c r="I1226"/>
      <c r="J1226"/>
      <c r="K1226"/>
      <c r="L1226" s="10">
        <v>3802770</v>
      </c>
      <c r="M1226" s="10">
        <v>650780</v>
      </c>
      <c r="N1226" s="12">
        <v>15</v>
      </c>
      <c r="O1226" s="12" t="s">
        <v>6992</v>
      </c>
      <c r="P1226" t="s">
        <v>2183</v>
      </c>
      <c r="R1226"/>
      <c r="S1226" t="s">
        <v>2184</v>
      </c>
      <c r="T1226" s="12" t="s">
        <v>2185</v>
      </c>
      <c r="U1226" s="12" t="s">
        <v>2186</v>
      </c>
      <c r="V1226" s="12" t="s">
        <v>2187</v>
      </c>
      <c r="W1226" s="12">
        <v>0</v>
      </c>
      <c r="X1226" s="12">
        <v>1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2">
        <v>0</v>
      </c>
      <c r="AK1226" s="12">
        <v>0</v>
      </c>
      <c r="AL1226" s="12">
        <v>0</v>
      </c>
      <c r="AM1226" s="12"/>
      <c r="AN1226" s="12">
        <v>0</v>
      </c>
      <c r="AO1226" s="12">
        <v>0</v>
      </c>
      <c r="AP1226" s="12">
        <v>0</v>
      </c>
      <c r="AQ1226" s="12">
        <v>0</v>
      </c>
      <c r="AR1226" s="12">
        <v>0</v>
      </c>
      <c r="AS1226" s="12">
        <v>0</v>
      </c>
      <c r="AT1226" s="12">
        <v>0</v>
      </c>
      <c r="AU1226" s="12">
        <v>0</v>
      </c>
      <c r="AV1226" s="12">
        <v>0</v>
      </c>
      <c r="AW1226" s="12">
        <v>0</v>
      </c>
      <c r="AX1226" s="12">
        <v>0</v>
      </c>
      <c r="AY1226" s="12">
        <v>0</v>
      </c>
      <c r="AZ1226"/>
      <c r="BA1226"/>
      <c r="BB1226" s="12">
        <v>0</v>
      </c>
      <c r="BC1226" s="12">
        <v>0</v>
      </c>
      <c r="BD1226" s="12">
        <v>0</v>
      </c>
      <c r="BE1226" s="12">
        <v>0</v>
      </c>
      <c r="BF1226" s="12">
        <v>0</v>
      </c>
      <c r="BI1226" s="12">
        <v>0</v>
      </c>
      <c r="BJ1226" s="12">
        <v>0</v>
      </c>
    </row>
    <row r="1227" spans="1:62" x14ac:dyDescent="0.15">
      <c r="A1227" s="12"/>
      <c r="B1227" t="s">
        <v>2870</v>
      </c>
      <c r="C1227" t="s">
        <v>2870</v>
      </c>
      <c r="D1227" t="s">
        <v>6596</v>
      </c>
      <c r="E1227" t="s">
        <v>2182</v>
      </c>
      <c r="F1227"/>
      <c r="G1227"/>
      <c r="H1227"/>
      <c r="I1227"/>
      <c r="J1227"/>
      <c r="K1227"/>
      <c r="L1227" s="10">
        <v>3827970</v>
      </c>
      <c r="M1227" s="10">
        <v>438385</v>
      </c>
      <c r="N1227" s="12">
        <v>15</v>
      </c>
      <c r="O1227" s="12" t="s">
        <v>6992</v>
      </c>
      <c r="P1227" t="s">
        <v>2183</v>
      </c>
      <c r="R1227"/>
      <c r="S1227" t="s">
        <v>2184</v>
      </c>
      <c r="T1227" s="12" t="s">
        <v>2185</v>
      </c>
      <c r="U1227" s="12" t="s">
        <v>2186</v>
      </c>
      <c r="V1227" s="12" t="s">
        <v>2187</v>
      </c>
      <c r="W1227" s="12">
        <v>0</v>
      </c>
      <c r="X1227" s="12">
        <v>1</v>
      </c>
      <c r="Y1227" s="12">
        <v>0</v>
      </c>
      <c r="Z1227" s="12">
        <v>0</v>
      </c>
      <c r="AA1227" s="12">
        <v>0</v>
      </c>
      <c r="AB1227" s="12">
        <v>0</v>
      </c>
      <c r="AC1227" s="12">
        <v>0</v>
      </c>
      <c r="AD1227" s="12">
        <v>0</v>
      </c>
      <c r="AE1227" s="12">
        <v>0</v>
      </c>
      <c r="AF1227" s="12">
        <v>0</v>
      </c>
      <c r="AG1227" s="12">
        <v>0</v>
      </c>
      <c r="AH1227" s="12">
        <v>0</v>
      </c>
      <c r="AI1227" s="12">
        <v>0</v>
      </c>
      <c r="AJ1227" s="12">
        <v>0</v>
      </c>
      <c r="AK1227" s="12">
        <v>0</v>
      </c>
      <c r="AL1227" s="12">
        <v>0</v>
      </c>
      <c r="AM1227" s="12"/>
      <c r="AN1227" s="12">
        <v>0</v>
      </c>
      <c r="AO1227" s="12">
        <v>0</v>
      </c>
      <c r="AP1227" s="12">
        <v>0</v>
      </c>
      <c r="AQ1227" s="12">
        <v>0</v>
      </c>
      <c r="AR1227" s="12">
        <v>0</v>
      </c>
      <c r="AS1227" s="12">
        <v>0</v>
      </c>
      <c r="AT1227" s="12">
        <v>0</v>
      </c>
      <c r="AU1227" s="12">
        <v>0</v>
      </c>
      <c r="AV1227" s="12">
        <v>0</v>
      </c>
      <c r="AW1227" s="12">
        <v>0</v>
      </c>
      <c r="AX1227" s="12">
        <v>0</v>
      </c>
      <c r="AY1227" s="12">
        <v>0</v>
      </c>
      <c r="AZ1227"/>
      <c r="BA1227"/>
      <c r="BB1227" s="12">
        <v>0</v>
      </c>
      <c r="BC1227" s="12">
        <v>0</v>
      </c>
      <c r="BD1227" s="12">
        <v>0</v>
      </c>
      <c r="BE1227" s="12">
        <v>0</v>
      </c>
      <c r="BF1227" s="12">
        <v>0</v>
      </c>
      <c r="BI1227" s="12">
        <v>0</v>
      </c>
      <c r="BJ1227" s="12">
        <v>0</v>
      </c>
    </row>
    <row r="1228" spans="1:62" x14ac:dyDescent="0.15">
      <c r="A1228" s="12"/>
      <c r="B1228" t="s">
        <v>2871</v>
      </c>
      <c r="C1228" t="s">
        <v>2871</v>
      </c>
      <c r="D1228" t="s">
        <v>6596</v>
      </c>
      <c r="E1228" t="s">
        <v>2182</v>
      </c>
      <c r="F1228"/>
      <c r="G1228"/>
      <c r="H1228"/>
      <c r="I1228"/>
      <c r="J1228"/>
      <c r="K1228"/>
      <c r="L1228" s="10">
        <v>3831290</v>
      </c>
      <c r="M1228" s="10">
        <v>638980</v>
      </c>
      <c r="N1228" s="12">
        <v>15</v>
      </c>
      <c r="O1228" s="12" t="s">
        <v>6992</v>
      </c>
      <c r="P1228" t="s">
        <v>2183</v>
      </c>
      <c r="R1228"/>
      <c r="S1228" t="s">
        <v>2184</v>
      </c>
      <c r="T1228" s="12" t="s">
        <v>2185</v>
      </c>
      <c r="U1228" s="12" t="s">
        <v>2186</v>
      </c>
      <c r="V1228" s="12" t="s">
        <v>2187</v>
      </c>
      <c r="W1228" s="12">
        <v>0</v>
      </c>
      <c r="X1228" s="12">
        <v>1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2">
        <v>0</v>
      </c>
      <c r="AK1228" s="12">
        <v>0</v>
      </c>
      <c r="AL1228" s="12">
        <v>0</v>
      </c>
      <c r="AM1228" s="12"/>
      <c r="AN1228" s="12">
        <v>0</v>
      </c>
      <c r="AO1228" s="12">
        <v>0</v>
      </c>
      <c r="AP1228" s="12">
        <v>0</v>
      </c>
      <c r="AQ1228" s="12">
        <v>0</v>
      </c>
      <c r="AR1228" s="12">
        <v>0</v>
      </c>
      <c r="AS1228" s="12">
        <v>0</v>
      </c>
      <c r="AT1228" s="12">
        <v>0</v>
      </c>
      <c r="AU1228" s="12">
        <v>0</v>
      </c>
      <c r="AV1228" s="12">
        <v>0</v>
      </c>
      <c r="AW1228" s="12">
        <v>0</v>
      </c>
      <c r="AX1228" s="12">
        <v>0</v>
      </c>
      <c r="AY1228" s="12">
        <v>0</v>
      </c>
      <c r="AZ1228"/>
      <c r="BA1228"/>
      <c r="BB1228" s="12">
        <v>0</v>
      </c>
      <c r="BC1228" s="12">
        <v>0</v>
      </c>
      <c r="BD1228" s="12">
        <v>0</v>
      </c>
      <c r="BE1228" s="12">
        <v>0</v>
      </c>
      <c r="BF1228" s="12">
        <v>0</v>
      </c>
      <c r="BI1228" s="12">
        <v>0</v>
      </c>
      <c r="BJ1228" s="12">
        <v>0</v>
      </c>
    </row>
    <row r="1229" spans="1:62" x14ac:dyDescent="0.15">
      <c r="A1229" s="12"/>
      <c r="B1229" t="s">
        <v>2872</v>
      </c>
      <c r="C1229" t="s">
        <v>2872</v>
      </c>
      <c r="D1229" t="s">
        <v>6596</v>
      </c>
      <c r="E1229" t="s">
        <v>2182</v>
      </c>
      <c r="F1229"/>
      <c r="G1229"/>
      <c r="H1229"/>
      <c r="I1229"/>
      <c r="J1229"/>
      <c r="K1229"/>
      <c r="L1229" s="10">
        <v>3828920</v>
      </c>
      <c r="M1229" s="10">
        <v>638810</v>
      </c>
      <c r="N1229" s="12">
        <v>15</v>
      </c>
      <c r="O1229" s="12" t="s">
        <v>6992</v>
      </c>
      <c r="P1229" t="s">
        <v>2183</v>
      </c>
      <c r="R1229"/>
      <c r="S1229" t="s">
        <v>2184</v>
      </c>
      <c r="T1229" s="12" t="s">
        <v>2185</v>
      </c>
      <c r="U1229" s="12" t="s">
        <v>2186</v>
      </c>
      <c r="V1229" s="12" t="s">
        <v>2187</v>
      </c>
      <c r="W1229" s="12">
        <v>0</v>
      </c>
      <c r="X1229" s="12">
        <v>1</v>
      </c>
      <c r="Y1229" s="12">
        <v>0</v>
      </c>
      <c r="Z1229" s="12">
        <v>0</v>
      </c>
      <c r="AA1229" s="12">
        <v>0</v>
      </c>
      <c r="AB1229" s="12">
        <v>0</v>
      </c>
      <c r="AC1229" s="12">
        <v>0</v>
      </c>
      <c r="AD1229" s="12">
        <v>0</v>
      </c>
      <c r="AE1229" s="12">
        <v>0</v>
      </c>
      <c r="AF1229" s="12">
        <v>0</v>
      </c>
      <c r="AG1229" s="12">
        <v>0</v>
      </c>
      <c r="AH1229" s="12">
        <v>0</v>
      </c>
      <c r="AI1229" s="12">
        <v>0</v>
      </c>
      <c r="AJ1229" s="12">
        <v>0</v>
      </c>
      <c r="AK1229" s="12">
        <v>0</v>
      </c>
      <c r="AL1229" s="12">
        <v>0</v>
      </c>
      <c r="AM1229" s="12"/>
      <c r="AN1229" s="12">
        <v>0</v>
      </c>
      <c r="AO1229" s="12">
        <v>0</v>
      </c>
      <c r="AP1229" s="12">
        <v>0</v>
      </c>
      <c r="AQ1229" s="12">
        <v>0</v>
      </c>
      <c r="AR1229" s="12">
        <v>0</v>
      </c>
      <c r="AS1229" s="12">
        <v>0</v>
      </c>
      <c r="AT1229" s="12">
        <v>0</v>
      </c>
      <c r="AU1229" s="12">
        <v>0</v>
      </c>
      <c r="AV1229" s="12">
        <v>0</v>
      </c>
      <c r="AW1229" s="12">
        <v>0</v>
      </c>
      <c r="AX1229" s="12">
        <v>0</v>
      </c>
      <c r="AY1229" s="12">
        <v>0</v>
      </c>
      <c r="AZ1229"/>
      <c r="BA1229"/>
      <c r="BB1229" s="12">
        <v>0</v>
      </c>
      <c r="BC1229" s="12">
        <v>0</v>
      </c>
      <c r="BD1229" s="12">
        <v>0</v>
      </c>
      <c r="BE1229" s="12">
        <v>0</v>
      </c>
      <c r="BF1229" s="12">
        <v>0</v>
      </c>
      <c r="BI1229" s="12">
        <v>0</v>
      </c>
      <c r="BJ1229" s="12">
        <v>0</v>
      </c>
    </row>
    <row r="1230" spans="1:62" x14ac:dyDescent="0.15">
      <c r="A1230" s="12"/>
      <c r="B1230" t="s">
        <v>2873</v>
      </c>
      <c r="C1230" t="s">
        <v>2873</v>
      </c>
      <c r="D1230" t="s">
        <v>6596</v>
      </c>
      <c r="E1230" t="s">
        <v>2182</v>
      </c>
      <c r="F1230"/>
      <c r="G1230"/>
      <c r="H1230"/>
      <c r="I1230"/>
      <c r="J1230"/>
      <c r="K1230"/>
      <c r="L1230" s="10">
        <v>3982570</v>
      </c>
      <c r="M1230" s="10">
        <v>565880</v>
      </c>
      <c r="N1230" s="12">
        <v>15</v>
      </c>
      <c r="O1230" s="12" t="s">
        <v>6992</v>
      </c>
      <c r="P1230" t="s">
        <v>2183</v>
      </c>
      <c r="R1230"/>
      <c r="S1230" t="s">
        <v>2184</v>
      </c>
      <c r="T1230" s="12" t="s">
        <v>2185</v>
      </c>
      <c r="U1230" s="12" t="s">
        <v>2186</v>
      </c>
      <c r="V1230" s="12" t="s">
        <v>2187</v>
      </c>
      <c r="W1230" s="12">
        <v>0</v>
      </c>
      <c r="X1230" s="12">
        <v>1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2">
        <v>0</v>
      </c>
      <c r="AK1230" s="12">
        <v>0</v>
      </c>
      <c r="AL1230" s="12">
        <v>0</v>
      </c>
      <c r="AM1230" s="12"/>
      <c r="AN1230" s="12">
        <v>0</v>
      </c>
      <c r="AO1230" s="12">
        <v>0</v>
      </c>
      <c r="AP1230" s="12">
        <v>0</v>
      </c>
      <c r="AQ1230" s="12">
        <v>0</v>
      </c>
      <c r="AR1230" s="12">
        <v>0</v>
      </c>
      <c r="AS1230" s="12">
        <v>0</v>
      </c>
      <c r="AT1230" s="12">
        <v>0</v>
      </c>
      <c r="AU1230" s="12">
        <v>0</v>
      </c>
      <c r="AV1230" s="12">
        <v>0</v>
      </c>
      <c r="AW1230" s="12">
        <v>0</v>
      </c>
      <c r="AX1230" s="12">
        <v>0</v>
      </c>
      <c r="AY1230" s="12">
        <v>0</v>
      </c>
      <c r="AZ1230"/>
      <c r="BA1230"/>
      <c r="BB1230" s="12">
        <v>0</v>
      </c>
      <c r="BC1230" s="12">
        <v>0</v>
      </c>
      <c r="BD1230" s="12">
        <v>0</v>
      </c>
      <c r="BE1230" s="12">
        <v>0</v>
      </c>
      <c r="BF1230" s="12">
        <v>0</v>
      </c>
      <c r="BI1230" s="12">
        <v>0</v>
      </c>
      <c r="BJ1230" s="12">
        <v>0</v>
      </c>
    </row>
    <row r="1231" spans="1:62" x14ac:dyDescent="0.15">
      <c r="A1231" s="12"/>
      <c r="B1231" t="s">
        <v>2874</v>
      </c>
      <c r="C1231" t="s">
        <v>2874</v>
      </c>
      <c r="D1231" t="s">
        <v>6596</v>
      </c>
      <c r="E1231" t="s">
        <v>2182</v>
      </c>
      <c r="F1231"/>
      <c r="G1231"/>
      <c r="H1231"/>
      <c r="I1231"/>
      <c r="J1231"/>
      <c r="K1231"/>
      <c r="L1231" s="10">
        <v>3828860</v>
      </c>
      <c r="M1231" s="10">
        <v>450580</v>
      </c>
      <c r="N1231" s="12">
        <v>15</v>
      </c>
      <c r="O1231" s="12" t="s">
        <v>6992</v>
      </c>
      <c r="P1231" t="s">
        <v>2183</v>
      </c>
      <c r="R1231"/>
      <c r="S1231" t="s">
        <v>2184</v>
      </c>
      <c r="T1231" s="12" t="s">
        <v>2185</v>
      </c>
      <c r="U1231" s="12" t="s">
        <v>2186</v>
      </c>
      <c r="V1231" s="12" t="s">
        <v>2187</v>
      </c>
      <c r="W1231" s="12">
        <v>0</v>
      </c>
      <c r="X1231" s="12">
        <v>1</v>
      </c>
      <c r="Y1231" s="12">
        <v>0</v>
      </c>
      <c r="Z1231" s="12">
        <v>0</v>
      </c>
      <c r="AA1231" s="12">
        <v>0</v>
      </c>
      <c r="AB1231" s="12">
        <v>0</v>
      </c>
      <c r="AC1231" s="12">
        <v>0</v>
      </c>
      <c r="AD1231" s="12">
        <v>0</v>
      </c>
      <c r="AE1231" s="12">
        <v>0</v>
      </c>
      <c r="AF1231" s="12">
        <v>0</v>
      </c>
      <c r="AG1231" s="12">
        <v>0</v>
      </c>
      <c r="AH1231" s="12">
        <v>0</v>
      </c>
      <c r="AI1231" s="12">
        <v>0</v>
      </c>
      <c r="AJ1231" s="12">
        <v>0</v>
      </c>
      <c r="AK1231" s="12">
        <v>0</v>
      </c>
      <c r="AL1231" s="12">
        <v>0</v>
      </c>
      <c r="AM1231" s="12"/>
      <c r="AN1231" s="12">
        <v>0</v>
      </c>
      <c r="AO1231" s="12">
        <v>0</v>
      </c>
      <c r="AP1231" s="12">
        <v>0</v>
      </c>
      <c r="AQ1231" s="12">
        <v>0</v>
      </c>
      <c r="AR1231" s="12">
        <v>0</v>
      </c>
      <c r="AS1231" s="12">
        <v>0</v>
      </c>
      <c r="AT1231" s="12">
        <v>0</v>
      </c>
      <c r="AU1231" s="12">
        <v>0</v>
      </c>
      <c r="AV1231" s="12">
        <v>0</v>
      </c>
      <c r="AW1231" s="12">
        <v>0</v>
      </c>
      <c r="AX1231" s="12">
        <v>0</v>
      </c>
      <c r="AY1231" s="12">
        <v>0</v>
      </c>
      <c r="AZ1231"/>
      <c r="BA1231"/>
      <c r="BB1231" s="12">
        <v>0</v>
      </c>
      <c r="BC1231" s="12">
        <v>0</v>
      </c>
      <c r="BD1231" s="12">
        <v>0</v>
      </c>
      <c r="BE1231" s="12">
        <v>0</v>
      </c>
      <c r="BF1231" s="12">
        <v>0</v>
      </c>
      <c r="BI1231" s="12">
        <v>0</v>
      </c>
      <c r="BJ1231" s="12">
        <v>0</v>
      </c>
    </row>
    <row r="1232" spans="1:62" x14ac:dyDescent="0.15">
      <c r="A1232" s="12"/>
      <c r="B1232" t="s">
        <v>2875</v>
      </c>
      <c r="C1232" t="s">
        <v>2875</v>
      </c>
      <c r="D1232" t="s">
        <v>6596</v>
      </c>
      <c r="E1232" t="s">
        <v>2182</v>
      </c>
      <c r="F1232"/>
      <c r="G1232"/>
      <c r="H1232"/>
      <c r="I1232"/>
      <c r="J1232"/>
      <c r="K1232"/>
      <c r="L1232" s="10">
        <v>3982840</v>
      </c>
      <c r="M1232" s="10">
        <v>565770</v>
      </c>
      <c r="N1232" s="12">
        <v>15</v>
      </c>
      <c r="O1232" s="12" t="s">
        <v>6992</v>
      </c>
      <c r="P1232" t="s">
        <v>2183</v>
      </c>
      <c r="R1232"/>
      <c r="S1232" t="s">
        <v>2184</v>
      </c>
      <c r="T1232" s="12" t="s">
        <v>2185</v>
      </c>
      <c r="U1232" s="12" t="s">
        <v>2186</v>
      </c>
      <c r="V1232" s="12" t="s">
        <v>2187</v>
      </c>
      <c r="W1232" s="12">
        <v>0</v>
      </c>
      <c r="X1232" s="12">
        <v>1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2">
        <v>0</v>
      </c>
      <c r="AK1232" s="12">
        <v>0</v>
      </c>
      <c r="AL1232" s="12">
        <v>0</v>
      </c>
      <c r="AM1232" s="12"/>
      <c r="AN1232" s="12">
        <v>0</v>
      </c>
      <c r="AO1232" s="12">
        <v>0</v>
      </c>
      <c r="AP1232" s="12">
        <v>0</v>
      </c>
      <c r="AQ1232" s="12">
        <v>0</v>
      </c>
      <c r="AR1232" s="12">
        <v>0</v>
      </c>
      <c r="AS1232" s="12">
        <v>0</v>
      </c>
      <c r="AT1232" s="12">
        <v>0</v>
      </c>
      <c r="AU1232" s="12">
        <v>0</v>
      </c>
      <c r="AV1232" s="12">
        <v>0</v>
      </c>
      <c r="AW1232" s="12">
        <v>0</v>
      </c>
      <c r="AX1232" s="12">
        <v>0</v>
      </c>
      <c r="AY1232" s="12">
        <v>0</v>
      </c>
      <c r="AZ1232"/>
      <c r="BA1232"/>
      <c r="BB1232" s="12">
        <v>0</v>
      </c>
      <c r="BC1232" s="12">
        <v>0</v>
      </c>
      <c r="BD1232" s="12">
        <v>0</v>
      </c>
      <c r="BE1232" s="12">
        <v>0</v>
      </c>
      <c r="BF1232" s="12">
        <v>0</v>
      </c>
      <c r="BI1232" s="12">
        <v>0</v>
      </c>
      <c r="BJ1232" s="12">
        <v>0</v>
      </c>
    </row>
    <row r="1233" spans="1:62" x14ac:dyDescent="0.15">
      <c r="A1233" s="12"/>
      <c r="B1233" t="s">
        <v>2876</v>
      </c>
      <c r="C1233" t="s">
        <v>2876</v>
      </c>
      <c r="D1233" t="s">
        <v>6596</v>
      </c>
      <c r="E1233" t="s">
        <v>2182</v>
      </c>
      <c r="F1233"/>
      <c r="G1233"/>
      <c r="H1233"/>
      <c r="I1233"/>
      <c r="J1233"/>
      <c r="K1233"/>
      <c r="L1233" s="10">
        <v>3985430</v>
      </c>
      <c r="M1233" s="10">
        <v>563810</v>
      </c>
      <c r="N1233" s="12">
        <v>15</v>
      </c>
      <c r="O1233" s="12" t="s">
        <v>6992</v>
      </c>
      <c r="P1233" t="s">
        <v>2183</v>
      </c>
      <c r="R1233"/>
      <c r="S1233" t="s">
        <v>2184</v>
      </c>
      <c r="T1233" s="12" t="s">
        <v>2185</v>
      </c>
      <c r="U1233" s="12" t="s">
        <v>2186</v>
      </c>
      <c r="V1233" s="12" t="s">
        <v>2187</v>
      </c>
      <c r="W1233" s="12">
        <v>0</v>
      </c>
      <c r="X1233" s="12">
        <v>1</v>
      </c>
      <c r="Y1233" s="12">
        <v>0</v>
      </c>
      <c r="Z1233" s="12">
        <v>0</v>
      </c>
      <c r="AA1233" s="12">
        <v>0</v>
      </c>
      <c r="AB1233" s="12">
        <v>0</v>
      </c>
      <c r="AC1233" s="12">
        <v>0</v>
      </c>
      <c r="AD1233" s="12">
        <v>0</v>
      </c>
      <c r="AE1233" s="12">
        <v>0</v>
      </c>
      <c r="AF1233" s="12">
        <v>0</v>
      </c>
      <c r="AG1233" s="12">
        <v>0</v>
      </c>
      <c r="AH1233" s="12">
        <v>0</v>
      </c>
      <c r="AI1233" s="12">
        <v>0</v>
      </c>
      <c r="AJ1233" s="12">
        <v>0</v>
      </c>
      <c r="AK1233" s="12">
        <v>0</v>
      </c>
      <c r="AL1233" s="12">
        <v>0</v>
      </c>
      <c r="AM1233" s="12"/>
      <c r="AN1233" s="12">
        <v>0</v>
      </c>
      <c r="AO1233" s="12">
        <v>0</v>
      </c>
      <c r="AP1233" s="12">
        <v>0</v>
      </c>
      <c r="AQ1233" s="12">
        <v>0</v>
      </c>
      <c r="AR1233" s="12">
        <v>0</v>
      </c>
      <c r="AS1233" s="12">
        <v>0</v>
      </c>
      <c r="AT1233" s="12">
        <v>0</v>
      </c>
      <c r="AU1233" s="12">
        <v>0</v>
      </c>
      <c r="AV1233" s="12">
        <v>0</v>
      </c>
      <c r="AW1233" s="12">
        <v>0</v>
      </c>
      <c r="AX1233" s="12">
        <v>0</v>
      </c>
      <c r="AY1233" s="12">
        <v>0</v>
      </c>
      <c r="AZ1233"/>
      <c r="BA1233"/>
      <c r="BB1233" s="12">
        <v>0</v>
      </c>
      <c r="BC1233" s="12">
        <v>0</v>
      </c>
      <c r="BD1233" s="12">
        <v>0</v>
      </c>
      <c r="BE1233" s="12">
        <v>0</v>
      </c>
      <c r="BF1233" s="12">
        <v>0</v>
      </c>
      <c r="BI1233" s="12">
        <v>0</v>
      </c>
      <c r="BJ1233" s="12">
        <v>0</v>
      </c>
    </row>
    <row r="1234" spans="1:62" x14ac:dyDescent="0.15">
      <c r="A1234" s="12"/>
      <c r="B1234" t="s">
        <v>2877</v>
      </c>
      <c r="C1234" t="s">
        <v>2877</v>
      </c>
      <c r="D1234" t="s">
        <v>6596</v>
      </c>
      <c r="E1234" t="s">
        <v>2182</v>
      </c>
      <c r="F1234"/>
      <c r="G1234"/>
      <c r="H1234"/>
      <c r="I1234"/>
      <c r="J1234"/>
      <c r="K1234"/>
      <c r="L1234" s="10">
        <v>3985550</v>
      </c>
      <c r="M1234" s="10">
        <v>563730</v>
      </c>
      <c r="N1234" s="12">
        <v>15</v>
      </c>
      <c r="O1234" s="12" t="s">
        <v>6992</v>
      </c>
      <c r="P1234" t="s">
        <v>2183</v>
      </c>
      <c r="R1234"/>
      <c r="S1234" t="s">
        <v>2184</v>
      </c>
      <c r="T1234" s="12" t="s">
        <v>2185</v>
      </c>
      <c r="U1234" s="12" t="s">
        <v>2186</v>
      </c>
      <c r="V1234" s="12" t="s">
        <v>2187</v>
      </c>
      <c r="W1234" s="12">
        <v>0</v>
      </c>
      <c r="X1234" s="12">
        <v>1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2">
        <v>0</v>
      </c>
      <c r="AK1234" s="12">
        <v>0</v>
      </c>
      <c r="AL1234" s="12">
        <v>0</v>
      </c>
      <c r="AM1234" s="12"/>
      <c r="AN1234" s="12">
        <v>0</v>
      </c>
      <c r="AO1234" s="12">
        <v>0</v>
      </c>
      <c r="AP1234" s="12">
        <v>0</v>
      </c>
      <c r="AQ1234" s="12">
        <v>0</v>
      </c>
      <c r="AR1234" s="12">
        <v>0</v>
      </c>
      <c r="AS1234" s="12">
        <v>0</v>
      </c>
      <c r="AT1234" s="12">
        <v>0</v>
      </c>
      <c r="AU1234" s="12">
        <v>0</v>
      </c>
      <c r="AV1234" s="12">
        <v>0</v>
      </c>
      <c r="AW1234" s="12">
        <v>0</v>
      </c>
      <c r="AX1234" s="12">
        <v>0</v>
      </c>
      <c r="AY1234" s="12">
        <v>0</v>
      </c>
      <c r="AZ1234"/>
      <c r="BA1234"/>
      <c r="BB1234" s="12">
        <v>0</v>
      </c>
      <c r="BC1234" s="12">
        <v>0</v>
      </c>
      <c r="BD1234" s="12">
        <v>0</v>
      </c>
      <c r="BE1234" s="12">
        <v>0</v>
      </c>
      <c r="BF1234" s="12">
        <v>0</v>
      </c>
      <c r="BI1234" s="12">
        <v>0</v>
      </c>
      <c r="BJ1234" s="12">
        <v>0</v>
      </c>
    </row>
    <row r="1235" spans="1:62" x14ac:dyDescent="0.15">
      <c r="A1235" s="12"/>
      <c r="B1235" t="s">
        <v>2878</v>
      </c>
      <c r="C1235" t="s">
        <v>2878</v>
      </c>
      <c r="D1235" t="s">
        <v>6596</v>
      </c>
      <c r="E1235" t="s">
        <v>2182</v>
      </c>
      <c r="F1235"/>
      <c r="G1235"/>
      <c r="H1235"/>
      <c r="I1235"/>
      <c r="J1235"/>
      <c r="K1235"/>
      <c r="L1235" s="10">
        <v>3986010</v>
      </c>
      <c r="M1235" s="10">
        <v>562920</v>
      </c>
      <c r="N1235" s="12">
        <v>15</v>
      </c>
      <c r="O1235" s="12" t="s">
        <v>6992</v>
      </c>
      <c r="P1235" t="s">
        <v>2183</v>
      </c>
      <c r="R1235"/>
      <c r="S1235" t="s">
        <v>2184</v>
      </c>
      <c r="T1235" s="12" t="s">
        <v>2185</v>
      </c>
      <c r="U1235" s="12" t="s">
        <v>2186</v>
      </c>
      <c r="V1235" s="12" t="s">
        <v>2187</v>
      </c>
      <c r="W1235" s="12">
        <v>0</v>
      </c>
      <c r="X1235" s="12">
        <v>1</v>
      </c>
      <c r="Y1235" s="12">
        <v>0</v>
      </c>
      <c r="Z1235" s="12">
        <v>0</v>
      </c>
      <c r="AA1235" s="12">
        <v>0</v>
      </c>
      <c r="AB1235" s="12">
        <v>0</v>
      </c>
      <c r="AC1235" s="12">
        <v>0</v>
      </c>
      <c r="AD1235" s="12">
        <v>0</v>
      </c>
      <c r="AE1235" s="12">
        <v>0</v>
      </c>
      <c r="AF1235" s="12">
        <v>0</v>
      </c>
      <c r="AG1235" s="12">
        <v>0</v>
      </c>
      <c r="AH1235" s="12">
        <v>0</v>
      </c>
      <c r="AI1235" s="12">
        <v>0</v>
      </c>
      <c r="AJ1235" s="12">
        <v>0</v>
      </c>
      <c r="AK1235" s="12">
        <v>0</v>
      </c>
      <c r="AL1235" s="12">
        <v>0</v>
      </c>
      <c r="AM1235" s="12"/>
      <c r="AN1235" s="12">
        <v>0</v>
      </c>
      <c r="AO1235" s="12">
        <v>0</v>
      </c>
      <c r="AP1235" s="12">
        <v>0</v>
      </c>
      <c r="AQ1235" s="12">
        <v>0</v>
      </c>
      <c r="AR1235" s="12">
        <v>0</v>
      </c>
      <c r="AS1235" s="12">
        <v>0</v>
      </c>
      <c r="AT1235" s="12">
        <v>0</v>
      </c>
      <c r="AU1235" s="12">
        <v>0</v>
      </c>
      <c r="AV1235" s="12">
        <v>0</v>
      </c>
      <c r="AW1235" s="12">
        <v>0</v>
      </c>
      <c r="AX1235" s="12">
        <v>0</v>
      </c>
      <c r="AY1235" s="12">
        <v>0</v>
      </c>
      <c r="AZ1235"/>
      <c r="BA1235"/>
      <c r="BB1235" s="12">
        <v>0</v>
      </c>
      <c r="BC1235" s="12">
        <v>0</v>
      </c>
      <c r="BD1235" s="12">
        <v>0</v>
      </c>
      <c r="BE1235" s="12">
        <v>0</v>
      </c>
      <c r="BF1235" s="12">
        <v>0</v>
      </c>
      <c r="BI1235" s="12">
        <v>0</v>
      </c>
      <c r="BJ1235" s="12">
        <v>0</v>
      </c>
    </row>
    <row r="1236" spans="1:62" x14ac:dyDescent="0.15">
      <c r="A1236" s="12"/>
      <c r="B1236" t="s">
        <v>2879</v>
      </c>
      <c r="C1236" t="s">
        <v>2879</v>
      </c>
      <c r="D1236" t="s">
        <v>6596</v>
      </c>
      <c r="E1236" t="s">
        <v>2182</v>
      </c>
      <c r="F1236"/>
      <c r="G1236"/>
      <c r="H1236"/>
      <c r="I1236"/>
      <c r="J1236"/>
      <c r="K1236"/>
      <c r="L1236" s="10">
        <v>3985550</v>
      </c>
      <c r="M1236" s="10">
        <v>563750</v>
      </c>
      <c r="N1236" s="12">
        <v>15</v>
      </c>
      <c r="O1236" s="12" t="s">
        <v>6992</v>
      </c>
      <c r="P1236" t="s">
        <v>2183</v>
      </c>
      <c r="R1236"/>
      <c r="S1236" t="s">
        <v>2184</v>
      </c>
      <c r="T1236" s="12" t="s">
        <v>2185</v>
      </c>
      <c r="U1236" s="12" t="s">
        <v>2186</v>
      </c>
      <c r="V1236" s="12" t="s">
        <v>2187</v>
      </c>
      <c r="W1236" s="12">
        <v>0</v>
      </c>
      <c r="X1236" s="12">
        <v>1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2">
        <v>0</v>
      </c>
      <c r="AK1236" s="12">
        <v>0</v>
      </c>
      <c r="AL1236" s="12">
        <v>0</v>
      </c>
      <c r="AM1236" s="12"/>
      <c r="AN1236" s="12">
        <v>0</v>
      </c>
      <c r="AO1236" s="12">
        <v>0</v>
      </c>
      <c r="AP1236" s="12">
        <v>0</v>
      </c>
      <c r="AQ1236" s="12">
        <v>0</v>
      </c>
      <c r="AR1236" s="12">
        <v>0</v>
      </c>
      <c r="AS1236" s="12">
        <v>0</v>
      </c>
      <c r="AT1236" s="12">
        <v>0</v>
      </c>
      <c r="AU1236" s="12">
        <v>0</v>
      </c>
      <c r="AV1236" s="12">
        <v>0</v>
      </c>
      <c r="AW1236" s="12">
        <v>0</v>
      </c>
      <c r="AX1236" s="12">
        <v>0</v>
      </c>
      <c r="AY1236" s="12">
        <v>0</v>
      </c>
      <c r="AZ1236"/>
      <c r="BA1236"/>
      <c r="BB1236" s="12">
        <v>0</v>
      </c>
      <c r="BC1236" s="12">
        <v>0</v>
      </c>
      <c r="BD1236" s="12">
        <v>0</v>
      </c>
      <c r="BE1236" s="12">
        <v>0</v>
      </c>
      <c r="BF1236" s="12">
        <v>0</v>
      </c>
      <c r="BI1236" s="12">
        <v>0</v>
      </c>
      <c r="BJ1236" s="12">
        <v>0</v>
      </c>
    </row>
    <row r="1237" spans="1:62" x14ac:dyDescent="0.15">
      <c r="A1237" s="12"/>
      <c r="B1237" t="s">
        <v>2880</v>
      </c>
      <c r="C1237" t="s">
        <v>2880</v>
      </c>
      <c r="D1237" t="s">
        <v>6596</v>
      </c>
      <c r="E1237" t="s">
        <v>2182</v>
      </c>
      <c r="F1237"/>
      <c r="G1237"/>
      <c r="H1237"/>
      <c r="I1237"/>
      <c r="J1237"/>
      <c r="K1237"/>
      <c r="L1237" s="10">
        <v>3986180</v>
      </c>
      <c r="M1237" s="10">
        <v>563600</v>
      </c>
      <c r="N1237" s="12">
        <v>15</v>
      </c>
      <c r="O1237" s="12" t="s">
        <v>6992</v>
      </c>
      <c r="P1237" t="s">
        <v>2183</v>
      </c>
      <c r="R1237"/>
      <c r="S1237" t="s">
        <v>2184</v>
      </c>
      <c r="T1237" s="12" t="s">
        <v>2185</v>
      </c>
      <c r="U1237" s="12" t="s">
        <v>2186</v>
      </c>
      <c r="V1237" s="12" t="s">
        <v>2187</v>
      </c>
      <c r="W1237" s="12">
        <v>0</v>
      </c>
      <c r="X1237" s="12">
        <v>1</v>
      </c>
      <c r="Y1237" s="12">
        <v>0</v>
      </c>
      <c r="Z1237" s="12">
        <v>0</v>
      </c>
      <c r="AA1237" s="12">
        <v>0</v>
      </c>
      <c r="AB1237" s="12">
        <v>0</v>
      </c>
      <c r="AC1237" s="12">
        <v>0</v>
      </c>
      <c r="AD1237" s="12">
        <v>0</v>
      </c>
      <c r="AE1237" s="12">
        <v>0</v>
      </c>
      <c r="AF1237" s="12">
        <v>0</v>
      </c>
      <c r="AG1237" s="12">
        <v>0</v>
      </c>
      <c r="AH1237" s="12">
        <v>0</v>
      </c>
      <c r="AI1237" s="12">
        <v>0</v>
      </c>
      <c r="AJ1237" s="12">
        <v>0</v>
      </c>
      <c r="AK1237" s="12">
        <v>0</v>
      </c>
      <c r="AL1237" s="12">
        <v>0</v>
      </c>
      <c r="AM1237" s="12"/>
      <c r="AN1237" s="12">
        <v>0</v>
      </c>
      <c r="AO1237" s="12">
        <v>0</v>
      </c>
      <c r="AP1237" s="12">
        <v>0</v>
      </c>
      <c r="AQ1237" s="12">
        <v>0</v>
      </c>
      <c r="AR1237" s="12">
        <v>0</v>
      </c>
      <c r="AS1237" s="12">
        <v>0</v>
      </c>
      <c r="AT1237" s="12">
        <v>0</v>
      </c>
      <c r="AU1237" s="12">
        <v>0</v>
      </c>
      <c r="AV1237" s="12">
        <v>0</v>
      </c>
      <c r="AW1237" s="12">
        <v>0</v>
      </c>
      <c r="AX1237" s="12">
        <v>0</v>
      </c>
      <c r="AY1237" s="12">
        <v>0</v>
      </c>
      <c r="AZ1237"/>
      <c r="BA1237"/>
      <c r="BB1237" s="12">
        <v>0</v>
      </c>
      <c r="BC1237" s="12">
        <v>0</v>
      </c>
      <c r="BD1237" s="12">
        <v>0</v>
      </c>
      <c r="BE1237" s="12">
        <v>0</v>
      </c>
      <c r="BF1237" s="12">
        <v>0</v>
      </c>
      <c r="BI1237" s="12">
        <v>0</v>
      </c>
      <c r="BJ1237" s="12">
        <v>0</v>
      </c>
    </row>
    <row r="1238" spans="1:62" x14ac:dyDescent="0.15">
      <c r="A1238" s="12"/>
      <c r="B1238" t="s">
        <v>2881</v>
      </c>
      <c r="C1238" t="s">
        <v>2881</v>
      </c>
      <c r="D1238" t="s">
        <v>6596</v>
      </c>
      <c r="E1238" t="s">
        <v>2182</v>
      </c>
      <c r="F1238"/>
      <c r="G1238"/>
      <c r="H1238"/>
      <c r="I1238"/>
      <c r="J1238"/>
      <c r="K1238"/>
      <c r="L1238" s="10">
        <v>3981860</v>
      </c>
      <c r="M1238" s="10">
        <v>567500</v>
      </c>
      <c r="N1238" s="12">
        <v>15</v>
      </c>
      <c r="O1238" s="12" t="s">
        <v>6992</v>
      </c>
      <c r="P1238" t="s">
        <v>2183</v>
      </c>
      <c r="R1238"/>
      <c r="S1238" t="s">
        <v>2184</v>
      </c>
      <c r="T1238" s="12" t="s">
        <v>2185</v>
      </c>
      <c r="U1238" s="12" t="s">
        <v>2186</v>
      </c>
      <c r="V1238" s="12" t="s">
        <v>2187</v>
      </c>
      <c r="W1238" s="12">
        <v>0</v>
      </c>
      <c r="X1238" s="12">
        <v>1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2">
        <v>0</v>
      </c>
      <c r="AK1238" s="12">
        <v>0</v>
      </c>
      <c r="AL1238" s="12">
        <v>0</v>
      </c>
      <c r="AM1238" s="12"/>
      <c r="AN1238" s="12">
        <v>0</v>
      </c>
      <c r="AO1238" s="12">
        <v>0</v>
      </c>
      <c r="AP1238" s="12">
        <v>0</v>
      </c>
      <c r="AQ1238" s="12">
        <v>0</v>
      </c>
      <c r="AR1238" s="12">
        <v>0</v>
      </c>
      <c r="AS1238" s="12">
        <v>0</v>
      </c>
      <c r="AT1238" s="12">
        <v>0</v>
      </c>
      <c r="AU1238" s="12">
        <v>0</v>
      </c>
      <c r="AV1238" s="12">
        <v>0</v>
      </c>
      <c r="AW1238" s="12">
        <v>0</v>
      </c>
      <c r="AX1238" s="12">
        <v>0</v>
      </c>
      <c r="AY1238" s="12">
        <v>0</v>
      </c>
      <c r="AZ1238"/>
      <c r="BA1238"/>
      <c r="BB1238" s="12">
        <v>0</v>
      </c>
      <c r="BC1238" s="12">
        <v>0</v>
      </c>
      <c r="BD1238" s="12">
        <v>0</v>
      </c>
      <c r="BE1238" s="12">
        <v>0</v>
      </c>
      <c r="BF1238" s="12">
        <v>0</v>
      </c>
      <c r="BI1238" s="12">
        <v>0</v>
      </c>
      <c r="BJ1238" s="12">
        <v>0</v>
      </c>
    </row>
    <row r="1239" spans="1:62" x14ac:dyDescent="0.15">
      <c r="A1239" s="12"/>
      <c r="B1239" t="s">
        <v>2882</v>
      </c>
      <c r="C1239" t="s">
        <v>2882</v>
      </c>
      <c r="D1239" t="s">
        <v>6596</v>
      </c>
      <c r="E1239" t="s">
        <v>2182</v>
      </c>
      <c r="F1239"/>
      <c r="G1239"/>
      <c r="H1239"/>
      <c r="I1239"/>
      <c r="J1239"/>
      <c r="K1239"/>
      <c r="L1239" s="10">
        <v>3798140</v>
      </c>
      <c r="M1239" s="10">
        <v>510600</v>
      </c>
      <c r="N1239" s="12">
        <v>15</v>
      </c>
      <c r="O1239" s="12" t="s">
        <v>6992</v>
      </c>
      <c r="P1239" t="s">
        <v>2183</v>
      </c>
      <c r="R1239"/>
      <c r="S1239" t="s">
        <v>2184</v>
      </c>
      <c r="T1239" s="12" t="s">
        <v>2185</v>
      </c>
      <c r="U1239" s="12" t="s">
        <v>2186</v>
      </c>
      <c r="V1239" s="12" t="s">
        <v>2187</v>
      </c>
      <c r="W1239" s="12">
        <v>0</v>
      </c>
      <c r="X1239" s="12">
        <v>1</v>
      </c>
      <c r="Y1239" s="12">
        <v>0</v>
      </c>
      <c r="Z1239" s="12">
        <v>0</v>
      </c>
      <c r="AA1239" s="12">
        <v>0</v>
      </c>
      <c r="AB1239" s="12">
        <v>0</v>
      </c>
      <c r="AC1239" s="12">
        <v>0</v>
      </c>
      <c r="AD1239" s="12">
        <v>0</v>
      </c>
      <c r="AE1239" s="12">
        <v>0</v>
      </c>
      <c r="AF1239" s="12">
        <v>0</v>
      </c>
      <c r="AG1239" s="12">
        <v>0</v>
      </c>
      <c r="AH1239" s="12">
        <v>0</v>
      </c>
      <c r="AI1239" s="12">
        <v>0</v>
      </c>
      <c r="AJ1239" s="12">
        <v>0</v>
      </c>
      <c r="AK1239" s="12">
        <v>0</v>
      </c>
      <c r="AL1239" s="12">
        <v>0</v>
      </c>
      <c r="AM1239" s="12"/>
      <c r="AN1239" s="12">
        <v>0</v>
      </c>
      <c r="AO1239" s="12">
        <v>0</v>
      </c>
      <c r="AP1239" s="12">
        <v>0</v>
      </c>
      <c r="AQ1239" s="12">
        <v>0</v>
      </c>
      <c r="AR1239" s="12">
        <v>0</v>
      </c>
      <c r="AS1239" s="12">
        <v>0</v>
      </c>
      <c r="AT1239" s="12">
        <v>0</v>
      </c>
      <c r="AU1239" s="12">
        <v>0</v>
      </c>
      <c r="AV1239" s="12">
        <v>0</v>
      </c>
      <c r="AW1239" s="12">
        <v>0</v>
      </c>
      <c r="AX1239" s="12">
        <v>0</v>
      </c>
      <c r="AY1239" s="12">
        <v>0</v>
      </c>
      <c r="AZ1239"/>
      <c r="BA1239"/>
      <c r="BB1239" s="12">
        <v>0</v>
      </c>
      <c r="BC1239" s="12">
        <v>0</v>
      </c>
      <c r="BD1239" s="12">
        <v>0</v>
      </c>
      <c r="BE1239" s="12">
        <v>0</v>
      </c>
      <c r="BF1239" s="12">
        <v>0</v>
      </c>
      <c r="BI1239" s="12">
        <v>0</v>
      </c>
      <c r="BJ1239" s="12">
        <v>0</v>
      </c>
    </row>
    <row r="1240" spans="1:62" x14ac:dyDescent="0.15">
      <c r="A1240" s="12"/>
      <c r="B1240" t="s">
        <v>2883</v>
      </c>
      <c r="C1240" t="s">
        <v>2883</v>
      </c>
      <c r="D1240" t="s">
        <v>6596</v>
      </c>
      <c r="E1240" t="s">
        <v>2182</v>
      </c>
      <c r="F1240"/>
      <c r="G1240"/>
      <c r="H1240"/>
      <c r="I1240"/>
      <c r="J1240"/>
      <c r="K1240"/>
      <c r="L1240" s="10">
        <v>3999960</v>
      </c>
      <c r="M1240" s="10">
        <v>552040</v>
      </c>
      <c r="N1240" s="12">
        <v>15</v>
      </c>
      <c r="O1240" s="12" t="s">
        <v>6992</v>
      </c>
      <c r="P1240" t="s">
        <v>2183</v>
      </c>
      <c r="R1240"/>
      <c r="S1240" t="s">
        <v>2184</v>
      </c>
      <c r="T1240" s="12" t="s">
        <v>2185</v>
      </c>
      <c r="U1240" s="12" t="s">
        <v>2186</v>
      </c>
      <c r="V1240" s="12" t="s">
        <v>2187</v>
      </c>
      <c r="W1240" s="12">
        <v>0</v>
      </c>
      <c r="X1240" s="12">
        <v>1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2">
        <v>0</v>
      </c>
      <c r="AK1240" s="12">
        <v>0</v>
      </c>
      <c r="AL1240" s="12">
        <v>0</v>
      </c>
      <c r="AM1240" s="12"/>
      <c r="AN1240" s="12">
        <v>0</v>
      </c>
      <c r="AO1240" s="12">
        <v>0</v>
      </c>
      <c r="AP1240" s="12">
        <v>0</v>
      </c>
      <c r="AQ1240" s="12">
        <v>0</v>
      </c>
      <c r="AR1240" s="12">
        <v>0</v>
      </c>
      <c r="AS1240" s="12">
        <v>0</v>
      </c>
      <c r="AT1240" s="12">
        <v>0</v>
      </c>
      <c r="AU1240" s="12">
        <v>0</v>
      </c>
      <c r="AV1240" s="12">
        <v>0</v>
      </c>
      <c r="AW1240" s="12">
        <v>0</v>
      </c>
      <c r="AX1240" s="12">
        <v>0</v>
      </c>
      <c r="AY1240" s="12">
        <v>0</v>
      </c>
      <c r="AZ1240"/>
      <c r="BA1240"/>
      <c r="BB1240" s="12">
        <v>0</v>
      </c>
      <c r="BC1240" s="12">
        <v>0</v>
      </c>
      <c r="BD1240" s="12">
        <v>0</v>
      </c>
      <c r="BE1240" s="12">
        <v>0</v>
      </c>
      <c r="BF1240" s="12">
        <v>0</v>
      </c>
      <c r="BI1240" s="12">
        <v>0</v>
      </c>
      <c r="BJ1240" s="12">
        <v>0</v>
      </c>
    </row>
    <row r="1241" spans="1:62" x14ac:dyDescent="0.15">
      <c r="A1241" s="12"/>
      <c r="B1241" t="s">
        <v>2884</v>
      </c>
      <c r="C1241" t="s">
        <v>2884</v>
      </c>
      <c r="D1241" t="s">
        <v>6596</v>
      </c>
      <c r="E1241" t="s">
        <v>2182</v>
      </c>
      <c r="F1241"/>
      <c r="G1241"/>
      <c r="H1241"/>
      <c r="I1241"/>
      <c r="J1241"/>
      <c r="K1241"/>
      <c r="L1241" s="10">
        <v>3825850</v>
      </c>
      <c r="M1241" s="10">
        <v>631640</v>
      </c>
      <c r="N1241" s="12">
        <v>15</v>
      </c>
      <c r="O1241" s="12" t="s">
        <v>6992</v>
      </c>
      <c r="P1241" t="s">
        <v>2183</v>
      </c>
      <c r="R1241"/>
      <c r="S1241" t="s">
        <v>2184</v>
      </c>
      <c r="T1241" s="12" t="s">
        <v>2185</v>
      </c>
      <c r="U1241" s="12" t="s">
        <v>2186</v>
      </c>
      <c r="V1241" s="12" t="s">
        <v>2187</v>
      </c>
      <c r="W1241" s="12">
        <v>0</v>
      </c>
      <c r="X1241" s="12">
        <v>1</v>
      </c>
      <c r="Y1241" s="12">
        <v>0</v>
      </c>
      <c r="Z1241" s="12">
        <v>0</v>
      </c>
      <c r="AA1241" s="12">
        <v>0</v>
      </c>
      <c r="AB1241" s="12">
        <v>0</v>
      </c>
      <c r="AC1241" s="12">
        <v>0</v>
      </c>
      <c r="AD1241" s="12">
        <v>0</v>
      </c>
      <c r="AE1241" s="12">
        <v>0</v>
      </c>
      <c r="AF1241" s="12">
        <v>0</v>
      </c>
      <c r="AG1241" s="12">
        <v>0</v>
      </c>
      <c r="AH1241" s="12">
        <v>0</v>
      </c>
      <c r="AI1241" s="12">
        <v>0</v>
      </c>
      <c r="AJ1241" s="12">
        <v>0</v>
      </c>
      <c r="AK1241" s="12">
        <v>0</v>
      </c>
      <c r="AL1241" s="12">
        <v>0</v>
      </c>
      <c r="AM1241" s="12"/>
      <c r="AN1241" s="12">
        <v>0</v>
      </c>
      <c r="AO1241" s="12">
        <v>0</v>
      </c>
      <c r="AP1241" s="12">
        <v>0</v>
      </c>
      <c r="AQ1241" s="12">
        <v>0</v>
      </c>
      <c r="AR1241" s="12">
        <v>0</v>
      </c>
      <c r="AS1241" s="12">
        <v>0</v>
      </c>
      <c r="AT1241" s="12">
        <v>0</v>
      </c>
      <c r="AU1241" s="12">
        <v>0</v>
      </c>
      <c r="AV1241" s="12">
        <v>0</v>
      </c>
      <c r="AW1241" s="12">
        <v>0</v>
      </c>
      <c r="AX1241" s="12">
        <v>0</v>
      </c>
      <c r="AY1241" s="12">
        <v>0</v>
      </c>
      <c r="AZ1241"/>
      <c r="BA1241"/>
      <c r="BB1241" s="12">
        <v>0</v>
      </c>
      <c r="BC1241" s="12">
        <v>0</v>
      </c>
      <c r="BD1241" s="12">
        <v>0</v>
      </c>
      <c r="BE1241" s="12">
        <v>0</v>
      </c>
      <c r="BF1241" s="12">
        <v>0</v>
      </c>
      <c r="BI1241" s="12">
        <v>0</v>
      </c>
      <c r="BJ1241" s="12">
        <v>0</v>
      </c>
    </row>
    <row r="1242" spans="1:62" x14ac:dyDescent="0.15">
      <c r="A1242" s="12"/>
      <c r="B1242" t="s">
        <v>2885</v>
      </c>
      <c r="C1242" t="s">
        <v>2885</v>
      </c>
      <c r="D1242" t="s">
        <v>6596</v>
      </c>
      <c r="E1242" t="s">
        <v>2182</v>
      </c>
      <c r="F1242"/>
      <c r="G1242"/>
      <c r="H1242"/>
      <c r="I1242"/>
      <c r="J1242"/>
      <c r="K1242"/>
      <c r="L1242" s="10">
        <v>3829060</v>
      </c>
      <c r="M1242" s="10">
        <v>633340</v>
      </c>
      <c r="N1242" s="12">
        <v>15</v>
      </c>
      <c r="O1242" s="12" t="s">
        <v>6992</v>
      </c>
      <c r="P1242" t="s">
        <v>2183</v>
      </c>
      <c r="R1242"/>
      <c r="S1242" t="s">
        <v>2184</v>
      </c>
      <c r="T1242" s="12" t="s">
        <v>2185</v>
      </c>
      <c r="U1242" s="12" t="s">
        <v>2186</v>
      </c>
      <c r="V1242" s="12" t="s">
        <v>2187</v>
      </c>
      <c r="W1242" s="12">
        <v>0</v>
      </c>
      <c r="X1242" s="12">
        <v>1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2">
        <v>0</v>
      </c>
      <c r="AK1242" s="12">
        <v>0</v>
      </c>
      <c r="AL1242" s="12">
        <v>0</v>
      </c>
      <c r="AM1242" s="12"/>
      <c r="AN1242" s="12">
        <v>0</v>
      </c>
      <c r="AO1242" s="12">
        <v>0</v>
      </c>
      <c r="AP1242" s="12">
        <v>0</v>
      </c>
      <c r="AQ1242" s="12">
        <v>0</v>
      </c>
      <c r="AR1242" s="12">
        <v>0</v>
      </c>
      <c r="AS1242" s="12">
        <v>0</v>
      </c>
      <c r="AT1242" s="12">
        <v>0</v>
      </c>
      <c r="AU1242" s="12">
        <v>0</v>
      </c>
      <c r="AV1242" s="12">
        <v>0</v>
      </c>
      <c r="AW1242" s="12">
        <v>0</v>
      </c>
      <c r="AX1242" s="12">
        <v>0</v>
      </c>
      <c r="AY1242" s="12">
        <v>0</v>
      </c>
      <c r="AZ1242"/>
      <c r="BA1242"/>
      <c r="BB1242" s="12">
        <v>0</v>
      </c>
      <c r="BC1242" s="12">
        <v>0</v>
      </c>
      <c r="BD1242" s="12">
        <v>0</v>
      </c>
      <c r="BE1242" s="12">
        <v>0</v>
      </c>
      <c r="BF1242" s="12">
        <v>0</v>
      </c>
      <c r="BI1242" s="12">
        <v>0</v>
      </c>
      <c r="BJ1242" s="12">
        <v>0</v>
      </c>
    </row>
    <row r="1243" spans="1:62" x14ac:dyDescent="0.15">
      <c r="A1243" s="12"/>
      <c r="B1243" t="s">
        <v>2886</v>
      </c>
      <c r="C1243" t="s">
        <v>2886</v>
      </c>
      <c r="D1243" t="s">
        <v>6596</v>
      </c>
      <c r="E1243" t="s">
        <v>2182</v>
      </c>
      <c r="F1243"/>
      <c r="G1243"/>
      <c r="H1243"/>
      <c r="I1243"/>
      <c r="J1243"/>
      <c r="K1243"/>
      <c r="L1243" s="10">
        <v>3828910</v>
      </c>
      <c r="M1243" s="10">
        <v>633160</v>
      </c>
      <c r="N1243" s="12">
        <v>15</v>
      </c>
      <c r="O1243" s="12" t="s">
        <v>6992</v>
      </c>
      <c r="P1243" t="s">
        <v>2183</v>
      </c>
      <c r="R1243"/>
      <c r="S1243" t="s">
        <v>2184</v>
      </c>
      <c r="T1243" s="12" t="s">
        <v>2185</v>
      </c>
      <c r="U1243" s="12" t="s">
        <v>2186</v>
      </c>
      <c r="V1243" s="12" t="s">
        <v>2187</v>
      </c>
      <c r="W1243" s="12">
        <v>0</v>
      </c>
      <c r="X1243" s="12">
        <v>1</v>
      </c>
      <c r="Y1243" s="12">
        <v>0</v>
      </c>
      <c r="Z1243" s="12">
        <v>0</v>
      </c>
      <c r="AA1243" s="12">
        <v>0</v>
      </c>
      <c r="AB1243" s="12">
        <v>0</v>
      </c>
      <c r="AC1243" s="12">
        <v>0</v>
      </c>
      <c r="AD1243" s="12">
        <v>0</v>
      </c>
      <c r="AE1243" s="12">
        <v>0</v>
      </c>
      <c r="AF1243" s="12">
        <v>0</v>
      </c>
      <c r="AG1243" s="12">
        <v>0</v>
      </c>
      <c r="AH1243" s="12">
        <v>0</v>
      </c>
      <c r="AI1243" s="12">
        <v>0</v>
      </c>
      <c r="AJ1243" s="12">
        <v>0</v>
      </c>
      <c r="AK1243" s="12">
        <v>0</v>
      </c>
      <c r="AL1243" s="12">
        <v>0</v>
      </c>
      <c r="AM1243" s="12"/>
      <c r="AN1243" s="12">
        <v>0</v>
      </c>
      <c r="AO1243" s="12">
        <v>0</v>
      </c>
      <c r="AP1243" s="12">
        <v>0</v>
      </c>
      <c r="AQ1243" s="12">
        <v>0</v>
      </c>
      <c r="AR1243" s="12">
        <v>0</v>
      </c>
      <c r="AS1243" s="12">
        <v>0</v>
      </c>
      <c r="AT1243" s="12">
        <v>0</v>
      </c>
      <c r="AU1243" s="12">
        <v>0</v>
      </c>
      <c r="AV1243" s="12">
        <v>0</v>
      </c>
      <c r="AW1243" s="12">
        <v>0</v>
      </c>
      <c r="AX1243" s="12">
        <v>0</v>
      </c>
      <c r="AY1243" s="12">
        <v>0</v>
      </c>
      <c r="AZ1243"/>
      <c r="BA1243"/>
      <c r="BB1243" s="12">
        <v>0</v>
      </c>
      <c r="BC1243" s="12">
        <v>0</v>
      </c>
      <c r="BD1243" s="12">
        <v>0</v>
      </c>
      <c r="BE1243" s="12">
        <v>0</v>
      </c>
      <c r="BF1243" s="12">
        <v>0</v>
      </c>
      <c r="BI1243" s="12">
        <v>0</v>
      </c>
      <c r="BJ1243" s="12">
        <v>0</v>
      </c>
    </row>
    <row r="1244" spans="1:62" x14ac:dyDescent="0.15">
      <c r="A1244" s="12"/>
      <c r="B1244" t="s">
        <v>2887</v>
      </c>
      <c r="C1244" t="s">
        <v>2887</v>
      </c>
      <c r="D1244" t="s">
        <v>6596</v>
      </c>
      <c r="E1244" t="s">
        <v>2182</v>
      </c>
      <c r="F1244"/>
      <c r="G1244"/>
      <c r="H1244"/>
      <c r="I1244"/>
      <c r="J1244"/>
      <c r="K1244"/>
      <c r="L1244" s="10">
        <v>3829020</v>
      </c>
      <c r="M1244" s="10">
        <v>635220</v>
      </c>
      <c r="N1244" s="12">
        <v>15</v>
      </c>
      <c r="O1244" s="12" t="s">
        <v>6992</v>
      </c>
      <c r="P1244" t="s">
        <v>2183</v>
      </c>
      <c r="R1244"/>
      <c r="S1244" t="s">
        <v>2184</v>
      </c>
      <c r="T1244" s="12" t="s">
        <v>2185</v>
      </c>
      <c r="U1244" s="12" t="s">
        <v>2186</v>
      </c>
      <c r="V1244" s="12" t="s">
        <v>2187</v>
      </c>
      <c r="W1244" s="12">
        <v>0</v>
      </c>
      <c r="X1244" s="12">
        <v>1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2">
        <v>0</v>
      </c>
      <c r="AK1244" s="12">
        <v>0</v>
      </c>
      <c r="AL1244" s="12">
        <v>0</v>
      </c>
      <c r="AM1244" s="12"/>
      <c r="AN1244" s="12">
        <v>0</v>
      </c>
      <c r="AO1244" s="12">
        <v>0</v>
      </c>
      <c r="AP1244" s="12">
        <v>0</v>
      </c>
      <c r="AQ1244" s="12">
        <v>0</v>
      </c>
      <c r="AR1244" s="12">
        <v>0</v>
      </c>
      <c r="AS1244" s="12">
        <v>0</v>
      </c>
      <c r="AT1244" s="12">
        <v>0</v>
      </c>
      <c r="AU1244" s="12">
        <v>0</v>
      </c>
      <c r="AV1244" s="12">
        <v>0</v>
      </c>
      <c r="AW1244" s="12">
        <v>0</v>
      </c>
      <c r="AX1244" s="12">
        <v>0</v>
      </c>
      <c r="AY1244" s="12">
        <v>0</v>
      </c>
      <c r="AZ1244"/>
      <c r="BA1244"/>
      <c r="BB1244" s="12">
        <v>0</v>
      </c>
      <c r="BC1244" s="12">
        <v>0</v>
      </c>
      <c r="BD1244" s="12">
        <v>0</v>
      </c>
      <c r="BE1244" s="12">
        <v>0</v>
      </c>
      <c r="BF1244" s="12">
        <v>0</v>
      </c>
      <c r="BI1244" s="12">
        <v>0</v>
      </c>
      <c r="BJ1244" s="12">
        <v>0</v>
      </c>
    </row>
    <row r="1245" spans="1:62" x14ac:dyDescent="0.15">
      <c r="A1245" s="12"/>
      <c r="B1245" t="s">
        <v>2888</v>
      </c>
      <c r="C1245" t="s">
        <v>2888</v>
      </c>
      <c r="D1245" t="s">
        <v>6596</v>
      </c>
      <c r="E1245" t="s">
        <v>2182</v>
      </c>
      <c r="F1245"/>
      <c r="G1245"/>
      <c r="H1245"/>
      <c r="I1245"/>
      <c r="J1245"/>
      <c r="K1245"/>
      <c r="L1245" s="10">
        <v>3829040</v>
      </c>
      <c r="M1245" s="10">
        <v>635790</v>
      </c>
      <c r="N1245" s="12">
        <v>15</v>
      </c>
      <c r="O1245" s="12" t="s">
        <v>6992</v>
      </c>
      <c r="P1245" t="s">
        <v>2183</v>
      </c>
      <c r="R1245"/>
      <c r="S1245" t="s">
        <v>2184</v>
      </c>
      <c r="T1245" s="12" t="s">
        <v>2185</v>
      </c>
      <c r="U1245" s="12" t="s">
        <v>2186</v>
      </c>
      <c r="V1245" s="12" t="s">
        <v>2187</v>
      </c>
      <c r="W1245" s="12">
        <v>0</v>
      </c>
      <c r="X1245" s="12">
        <v>1</v>
      </c>
      <c r="Y1245" s="12">
        <v>0</v>
      </c>
      <c r="Z1245" s="12">
        <v>0</v>
      </c>
      <c r="AA1245" s="12">
        <v>0</v>
      </c>
      <c r="AB1245" s="12">
        <v>0</v>
      </c>
      <c r="AC1245" s="12">
        <v>0</v>
      </c>
      <c r="AD1245" s="12">
        <v>0</v>
      </c>
      <c r="AE1245" s="12">
        <v>0</v>
      </c>
      <c r="AF1245" s="12">
        <v>0</v>
      </c>
      <c r="AG1245" s="12">
        <v>0</v>
      </c>
      <c r="AH1245" s="12">
        <v>0</v>
      </c>
      <c r="AI1245" s="12">
        <v>0</v>
      </c>
      <c r="AJ1245" s="12">
        <v>0</v>
      </c>
      <c r="AK1245" s="12">
        <v>0</v>
      </c>
      <c r="AL1245" s="12">
        <v>0</v>
      </c>
      <c r="AM1245" s="12"/>
      <c r="AN1245" s="12">
        <v>0</v>
      </c>
      <c r="AO1245" s="12">
        <v>0</v>
      </c>
      <c r="AP1245" s="12">
        <v>0</v>
      </c>
      <c r="AQ1245" s="12">
        <v>0</v>
      </c>
      <c r="AR1245" s="12">
        <v>0</v>
      </c>
      <c r="AS1245" s="12">
        <v>0</v>
      </c>
      <c r="AT1245" s="12">
        <v>0</v>
      </c>
      <c r="AU1245" s="12">
        <v>0</v>
      </c>
      <c r="AV1245" s="12">
        <v>0</v>
      </c>
      <c r="AW1245" s="12">
        <v>0</v>
      </c>
      <c r="AX1245" s="12">
        <v>0</v>
      </c>
      <c r="AY1245" s="12">
        <v>0</v>
      </c>
      <c r="AZ1245"/>
      <c r="BA1245"/>
      <c r="BB1245" s="12">
        <v>0</v>
      </c>
      <c r="BC1245" s="12">
        <v>0</v>
      </c>
      <c r="BD1245" s="12">
        <v>0</v>
      </c>
      <c r="BE1245" s="12">
        <v>0</v>
      </c>
      <c r="BF1245" s="12">
        <v>0</v>
      </c>
      <c r="BI1245" s="12">
        <v>0</v>
      </c>
      <c r="BJ1245" s="12">
        <v>0</v>
      </c>
    </row>
    <row r="1246" spans="1:62" x14ac:dyDescent="0.15">
      <c r="A1246" s="12"/>
      <c r="B1246" t="s">
        <v>2889</v>
      </c>
      <c r="C1246" t="s">
        <v>2889</v>
      </c>
      <c r="D1246" t="s">
        <v>6596</v>
      </c>
      <c r="E1246" t="s">
        <v>2182</v>
      </c>
      <c r="F1246"/>
      <c r="G1246"/>
      <c r="H1246"/>
      <c r="I1246"/>
      <c r="J1246"/>
      <c r="K1246"/>
      <c r="L1246" s="10">
        <v>3817400</v>
      </c>
      <c r="M1246" s="10">
        <v>521500</v>
      </c>
      <c r="N1246" s="12">
        <v>15</v>
      </c>
      <c r="O1246" s="12" t="s">
        <v>6992</v>
      </c>
      <c r="P1246" t="s">
        <v>2183</v>
      </c>
      <c r="R1246"/>
      <c r="S1246" t="s">
        <v>2184</v>
      </c>
      <c r="T1246" s="12" t="s">
        <v>2185</v>
      </c>
      <c r="U1246" s="12" t="s">
        <v>2186</v>
      </c>
      <c r="V1246" s="12" t="s">
        <v>2187</v>
      </c>
      <c r="W1246" s="12">
        <v>0</v>
      </c>
      <c r="X1246" s="12">
        <v>1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2">
        <v>0</v>
      </c>
      <c r="AK1246" s="12">
        <v>0</v>
      </c>
      <c r="AL1246" s="12">
        <v>0</v>
      </c>
      <c r="AM1246" s="12"/>
      <c r="AN1246" s="12">
        <v>0</v>
      </c>
      <c r="AO1246" s="12">
        <v>0</v>
      </c>
      <c r="AP1246" s="12">
        <v>0</v>
      </c>
      <c r="AQ1246" s="12">
        <v>0</v>
      </c>
      <c r="AR1246" s="12">
        <v>0</v>
      </c>
      <c r="AS1246" s="12">
        <v>0</v>
      </c>
      <c r="AT1246" s="12">
        <v>0</v>
      </c>
      <c r="AU1246" s="12">
        <v>0</v>
      </c>
      <c r="AV1246" s="12">
        <v>0</v>
      </c>
      <c r="AW1246" s="12">
        <v>0</v>
      </c>
      <c r="AX1246" s="12">
        <v>0</v>
      </c>
      <c r="AY1246" s="12">
        <v>0</v>
      </c>
      <c r="AZ1246"/>
      <c r="BA1246"/>
      <c r="BB1246" s="12">
        <v>0</v>
      </c>
      <c r="BC1246" s="12">
        <v>0</v>
      </c>
      <c r="BD1246" s="12">
        <v>0</v>
      </c>
      <c r="BE1246" s="12">
        <v>0</v>
      </c>
      <c r="BF1246" s="12">
        <v>0</v>
      </c>
      <c r="BI1246" s="12">
        <v>0</v>
      </c>
      <c r="BJ1246" s="12">
        <v>0</v>
      </c>
    </row>
    <row r="1247" spans="1:62" x14ac:dyDescent="0.15">
      <c r="A1247" s="12"/>
      <c r="B1247" t="s">
        <v>2890</v>
      </c>
      <c r="C1247" t="s">
        <v>2890</v>
      </c>
      <c r="D1247" t="s">
        <v>6596</v>
      </c>
      <c r="E1247" t="s">
        <v>2182</v>
      </c>
      <c r="F1247"/>
      <c r="G1247"/>
      <c r="H1247"/>
      <c r="I1247"/>
      <c r="J1247"/>
      <c r="K1247"/>
      <c r="L1247" s="10">
        <v>3828990</v>
      </c>
      <c r="M1247" s="10">
        <v>637330</v>
      </c>
      <c r="N1247" s="12">
        <v>15</v>
      </c>
      <c r="O1247" s="12" t="s">
        <v>6992</v>
      </c>
      <c r="P1247" t="s">
        <v>2183</v>
      </c>
      <c r="R1247"/>
      <c r="S1247" t="s">
        <v>2184</v>
      </c>
      <c r="T1247" s="12" t="s">
        <v>2185</v>
      </c>
      <c r="U1247" s="12" t="s">
        <v>2186</v>
      </c>
      <c r="V1247" s="12" t="s">
        <v>2187</v>
      </c>
      <c r="W1247" s="12">
        <v>0</v>
      </c>
      <c r="X1247" s="12">
        <v>1</v>
      </c>
      <c r="Y1247" s="12">
        <v>0</v>
      </c>
      <c r="Z1247" s="12">
        <v>0</v>
      </c>
      <c r="AA1247" s="12">
        <v>0</v>
      </c>
      <c r="AB1247" s="12">
        <v>0</v>
      </c>
      <c r="AC1247" s="12">
        <v>0</v>
      </c>
      <c r="AD1247" s="12">
        <v>0</v>
      </c>
      <c r="AE1247" s="12">
        <v>0</v>
      </c>
      <c r="AF1247" s="12">
        <v>0</v>
      </c>
      <c r="AG1247" s="12">
        <v>0</v>
      </c>
      <c r="AH1247" s="12">
        <v>0</v>
      </c>
      <c r="AI1247" s="12">
        <v>0</v>
      </c>
      <c r="AJ1247" s="12">
        <v>0</v>
      </c>
      <c r="AK1247" s="12">
        <v>0</v>
      </c>
      <c r="AL1247" s="12">
        <v>0</v>
      </c>
      <c r="AM1247" s="12"/>
      <c r="AN1247" s="12">
        <v>0</v>
      </c>
      <c r="AO1247" s="12">
        <v>0</v>
      </c>
      <c r="AP1247" s="12">
        <v>0</v>
      </c>
      <c r="AQ1247" s="12">
        <v>0</v>
      </c>
      <c r="AR1247" s="12">
        <v>0</v>
      </c>
      <c r="AS1247" s="12">
        <v>0</v>
      </c>
      <c r="AT1247" s="12">
        <v>0</v>
      </c>
      <c r="AU1247" s="12">
        <v>0</v>
      </c>
      <c r="AV1247" s="12">
        <v>0</v>
      </c>
      <c r="AW1247" s="12">
        <v>0</v>
      </c>
      <c r="AX1247" s="12">
        <v>0</v>
      </c>
      <c r="AY1247" s="12">
        <v>0</v>
      </c>
      <c r="AZ1247"/>
      <c r="BA1247"/>
      <c r="BB1247" s="12">
        <v>0</v>
      </c>
      <c r="BC1247" s="12">
        <v>0</v>
      </c>
      <c r="BD1247" s="12">
        <v>0</v>
      </c>
      <c r="BE1247" s="12">
        <v>0</v>
      </c>
      <c r="BF1247" s="12">
        <v>0</v>
      </c>
      <c r="BI1247" s="12">
        <v>0</v>
      </c>
      <c r="BJ1247" s="12">
        <v>0</v>
      </c>
    </row>
    <row r="1248" spans="1:62" x14ac:dyDescent="0.15">
      <c r="A1248" s="12"/>
      <c r="B1248" t="s">
        <v>2891</v>
      </c>
      <c r="C1248" t="s">
        <v>2891</v>
      </c>
      <c r="D1248" t="s">
        <v>6596</v>
      </c>
      <c r="E1248" t="s">
        <v>2182</v>
      </c>
      <c r="F1248"/>
      <c r="G1248"/>
      <c r="H1248"/>
      <c r="I1248"/>
      <c r="J1248"/>
      <c r="K1248"/>
      <c r="L1248" s="10">
        <v>3837920</v>
      </c>
      <c r="M1248" s="10">
        <v>392960</v>
      </c>
      <c r="N1248" s="12">
        <v>15</v>
      </c>
      <c r="O1248" s="12" t="s">
        <v>6992</v>
      </c>
      <c r="P1248" t="s">
        <v>2183</v>
      </c>
      <c r="R1248"/>
      <c r="S1248" t="s">
        <v>2184</v>
      </c>
      <c r="T1248" s="12" t="s">
        <v>2185</v>
      </c>
      <c r="U1248" s="12" t="s">
        <v>2186</v>
      </c>
      <c r="V1248" s="12" t="s">
        <v>2187</v>
      </c>
      <c r="W1248" s="12">
        <v>0</v>
      </c>
      <c r="X1248" s="12">
        <v>1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2">
        <v>0</v>
      </c>
      <c r="AK1248" s="12">
        <v>0</v>
      </c>
      <c r="AL1248" s="12">
        <v>0</v>
      </c>
      <c r="AM1248" s="12"/>
      <c r="AN1248" s="12">
        <v>0</v>
      </c>
      <c r="AO1248" s="12">
        <v>0</v>
      </c>
      <c r="AP1248" s="12">
        <v>0</v>
      </c>
      <c r="AQ1248" s="12">
        <v>0</v>
      </c>
      <c r="AR1248" s="12">
        <v>0</v>
      </c>
      <c r="AS1248" s="12">
        <v>0</v>
      </c>
      <c r="AT1248" s="12">
        <v>0</v>
      </c>
      <c r="AU1248" s="12">
        <v>0</v>
      </c>
      <c r="AV1248" s="12">
        <v>0</v>
      </c>
      <c r="AW1248" s="12">
        <v>0</v>
      </c>
      <c r="AX1248" s="12">
        <v>0</v>
      </c>
      <c r="AY1248" s="12">
        <v>0</v>
      </c>
      <c r="AZ1248"/>
      <c r="BA1248"/>
      <c r="BB1248" s="12">
        <v>0</v>
      </c>
      <c r="BC1248" s="12">
        <v>0</v>
      </c>
      <c r="BD1248" s="12">
        <v>0</v>
      </c>
      <c r="BE1248" s="12">
        <v>0</v>
      </c>
      <c r="BF1248" s="12">
        <v>0</v>
      </c>
      <c r="BI1248" s="12">
        <v>0</v>
      </c>
      <c r="BJ1248" s="12">
        <v>0</v>
      </c>
    </row>
    <row r="1249" spans="1:62" x14ac:dyDescent="0.15">
      <c r="A1249" s="12"/>
      <c r="B1249" t="s">
        <v>2892</v>
      </c>
      <c r="C1249" t="s">
        <v>2892</v>
      </c>
      <c r="D1249" t="s">
        <v>6596</v>
      </c>
      <c r="E1249" t="s">
        <v>2182</v>
      </c>
      <c r="F1249"/>
      <c r="G1249"/>
      <c r="H1249"/>
      <c r="I1249"/>
      <c r="J1249"/>
      <c r="K1249"/>
      <c r="L1249" s="10">
        <v>3837370</v>
      </c>
      <c r="M1249" s="10">
        <v>396690</v>
      </c>
      <c r="N1249" s="12">
        <v>15</v>
      </c>
      <c r="O1249" s="12" t="s">
        <v>6992</v>
      </c>
      <c r="P1249" t="s">
        <v>2183</v>
      </c>
      <c r="R1249"/>
      <c r="S1249" t="s">
        <v>2184</v>
      </c>
      <c r="T1249" s="12" t="s">
        <v>2185</v>
      </c>
      <c r="U1249" s="12" t="s">
        <v>2186</v>
      </c>
      <c r="V1249" s="12" t="s">
        <v>2187</v>
      </c>
      <c r="W1249" s="12">
        <v>0</v>
      </c>
      <c r="X1249" s="12">
        <v>1</v>
      </c>
      <c r="Y1249" s="12">
        <v>0</v>
      </c>
      <c r="Z1249" s="12">
        <v>0</v>
      </c>
      <c r="AA1249" s="12">
        <v>0</v>
      </c>
      <c r="AB1249" s="12">
        <v>0</v>
      </c>
      <c r="AC1249" s="12">
        <v>0</v>
      </c>
      <c r="AD1249" s="12">
        <v>0</v>
      </c>
      <c r="AE1249" s="12">
        <v>0</v>
      </c>
      <c r="AF1249" s="12">
        <v>0</v>
      </c>
      <c r="AG1249" s="12">
        <v>0</v>
      </c>
      <c r="AH1249" s="12">
        <v>0</v>
      </c>
      <c r="AI1249" s="12">
        <v>0</v>
      </c>
      <c r="AJ1249" s="12">
        <v>0</v>
      </c>
      <c r="AK1249" s="12">
        <v>0</v>
      </c>
      <c r="AL1249" s="12">
        <v>0</v>
      </c>
      <c r="AM1249" s="12"/>
      <c r="AN1249" s="12">
        <v>0</v>
      </c>
      <c r="AO1249" s="12">
        <v>0</v>
      </c>
      <c r="AP1249" s="12">
        <v>0</v>
      </c>
      <c r="AQ1249" s="12">
        <v>0</v>
      </c>
      <c r="AR1249" s="12">
        <v>0</v>
      </c>
      <c r="AS1249" s="12">
        <v>0</v>
      </c>
      <c r="AT1249" s="12">
        <v>0</v>
      </c>
      <c r="AU1249" s="12">
        <v>0</v>
      </c>
      <c r="AV1249" s="12">
        <v>0</v>
      </c>
      <c r="AW1249" s="12">
        <v>0</v>
      </c>
      <c r="AX1249" s="12">
        <v>0</v>
      </c>
      <c r="AY1249" s="12">
        <v>0</v>
      </c>
      <c r="AZ1249"/>
      <c r="BA1249"/>
      <c r="BB1249" s="12">
        <v>0</v>
      </c>
      <c r="BC1249" s="12">
        <v>0</v>
      </c>
      <c r="BD1249" s="12">
        <v>0</v>
      </c>
      <c r="BE1249" s="12">
        <v>0</v>
      </c>
      <c r="BF1249" s="12">
        <v>0</v>
      </c>
      <c r="BI1249" s="12">
        <v>0</v>
      </c>
      <c r="BJ1249" s="12">
        <v>0</v>
      </c>
    </row>
    <row r="1250" spans="1:62" x14ac:dyDescent="0.15">
      <c r="A1250" s="12"/>
      <c r="B1250" t="s">
        <v>2893</v>
      </c>
      <c r="C1250" t="s">
        <v>2893</v>
      </c>
      <c r="D1250" t="s">
        <v>6596</v>
      </c>
      <c r="E1250" t="s">
        <v>2182</v>
      </c>
      <c r="F1250"/>
      <c r="G1250"/>
      <c r="H1250"/>
      <c r="I1250"/>
      <c r="J1250"/>
      <c r="K1250"/>
      <c r="L1250" s="10">
        <v>3837020</v>
      </c>
      <c r="M1250" s="10">
        <v>396640</v>
      </c>
      <c r="N1250" s="12">
        <v>15</v>
      </c>
      <c r="O1250" s="12" t="s">
        <v>6992</v>
      </c>
      <c r="P1250" t="s">
        <v>2183</v>
      </c>
      <c r="R1250"/>
      <c r="S1250" t="s">
        <v>2184</v>
      </c>
      <c r="T1250" s="12" t="s">
        <v>2185</v>
      </c>
      <c r="U1250" s="12" t="s">
        <v>2186</v>
      </c>
      <c r="V1250" s="12" t="s">
        <v>2187</v>
      </c>
      <c r="W1250" s="12">
        <v>0</v>
      </c>
      <c r="X1250" s="12">
        <v>1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2">
        <v>0</v>
      </c>
      <c r="AK1250" s="12">
        <v>0</v>
      </c>
      <c r="AL1250" s="12">
        <v>0</v>
      </c>
      <c r="AM1250" s="12"/>
      <c r="AN1250" s="12">
        <v>0</v>
      </c>
      <c r="AO1250" s="12">
        <v>0</v>
      </c>
      <c r="AP1250" s="12">
        <v>0</v>
      </c>
      <c r="AQ1250" s="12">
        <v>0</v>
      </c>
      <c r="AR1250" s="12">
        <v>0</v>
      </c>
      <c r="AS1250" s="12">
        <v>0</v>
      </c>
      <c r="AT1250" s="12">
        <v>0</v>
      </c>
      <c r="AU1250" s="12">
        <v>0</v>
      </c>
      <c r="AV1250" s="12">
        <v>0</v>
      </c>
      <c r="AW1250" s="12">
        <v>0</v>
      </c>
      <c r="AX1250" s="12">
        <v>0</v>
      </c>
      <c r="AY1250" s="12">
        <v>0</v>
      </c>
      <c r="AZ1250"/>
      <c r="BA1250"/>
      <c r="BB1250" s="12">
        <v>0</v>
      </c>
      <c r="BC1250" s="12">
        <v>0</v>
      </c>
      <c r="BD1250" s="12">
        <v>0</v>
      </c>
      <c r="BE1250" s="12">
        <v>0</v>
      </c>
      <c r="BF1250" s="12">
        <v>0</v>
      </c>
      <c r="BI1250" s="12">
        <v>0</v>
      </c>
      <c r="BJ1250" s="12">
        <v>0</v>
      </c>
    </row>
    <row r="1251" spans="1:62" x14ac:dyDescent="0.15">
      <c r="A1251" s="12"/>
      <c r="B1251" t="s">
        <v>2894</v>
      </c>
      <c r="C1251" t="s">
        <v>2894</v>
      </c>
      <c r="D1251" t="s">
        <v>6596</v>
      </c>
      <c r="E1251" t="s">
        <v>2182</v>
      </c>
      <c r="F1251"/>
      <c r="G1251"/>
      <c r="H1251"/>
      <c r="I1251"/>
      <c r="J1251"/>
      <c r="K1251"/>
      <c r="L1251" s="10">
        <v>3836980</v>
      </c>
      <c r="M1251" s="10">
        <v>396410</v>
      </c>
      <c r="N1251" s="12">
        <v>15</v>
      </c>
      <c r="O1251" s="12" t="s">
        <v>6992</v>
      </c>
      <c r="P1251" t="s">
        <v>2183</v>
      </c>
      <c r="R1251"/>
      <c r="S1251" t="s">
        <v>2184</v>
      </c>
      <c r="T1251" s="12" t="s">
        <v>2185</v>
      </c>
      <c r="U1251" s="12" t="s">
        <v>2186</v>
      </c>
      <c r="V1251" s="12" t="s">
        <v>2187</v>
      </c>
      <c r="W1251" s="12">
        <v>0</v>
      </c>
      <c r="X1251" s="12">
        <v>1</v>
      </c>
      <c r="Y1251" s="12">
        <v>0</v>
      </c>
      <c r="Z1251" s="12">
        <v>0</v>
      </c>
      <c r="AA1251" s="12">
        <v>0</v>
      </c>
      <c r="AB1251" s="12">
        <v>0</v>
      </c>
      <c r="AC1251" s="12">
        <v>0</v>
      </c>
      <c r="AD1251" s="12">
        <v>0</v>
      </c>
      <c r="AE1251" s="12">
        <v>0</v>
      </c>
      <c r="AF1251" s="12">
        <v>0</v>
      </c>
      <c r="AG1251" s="12">
        <v>0</v>
      </c>
      <c r="AH1251" s="12">
        <v>0</v>
      </c>
      <c r="AI1251" s="12">
        <v>0</v>
      </c>
      <c r="AJ1251" s="12">
        <v>0</v>
      </c>
      <c r="AK1251" s="12">
        <v>0</v>
      </c>
      <c r="AL1251" s="12">
        <v>0</v>
      </c>
      <c r="AM1251" s="12"/>
      <c r="AN1251" s="12">
        <v>0</v>
      </c>
      <c r="AO1251" s="12">
        <v>0</v>
      </c>
      <c r="AP1251" s="12">
        <v>0</v>
      </c>
      <c r="AQ1251" s="12">
        <v>0</v>
      </c>
      <c r="AR1251" s="12">
        <v>0</v>
      </c>
      <c r="AS1251" s="12">
        <v>0</v>
      </c>
      <c r="AT1251" s="12">
        <v>0</v>
      </c>
      <c r="AU1251" s="12">
        <v>0</v>
      </c>
      <c r="AV1251" s="12">
        <v>0</v>
      </c>
      <c r="AW1251" s="12">
        <v>0</v>
      </c>
      <c r="AX1251" s="12">
        <v>0</v>
      </c>
      <c r="AY1251" s="12">
        <v>0</v>
      </c>
      <c r="AZ1251"/>
      <c r="BA1251"/>
      <c r="BB1251" s="12">
        <v>0</v>
      </c>
      <c r="BC1251" s="12">
        <v>0</v>
      </c>
      <c r="BD1251" s="12">
        <v>0</v>
      </c>
      <c r="BE1251" s="12">
        <v>0</v>
      </c>
      <c r="BF1251" s="12">
        <v>0</v>
      </c>
      <c r="BI1251" s="12">
        <v>0</v>
      </c>
      <c r="BJ1251" s="12">
        <v>0</v>
      </c>
    </row>
    <row r="1252" spans="1:62" x14ac:dyDescent="0.15">
      <c r="A1252" s="12"/>
      <c r="B1252" t="s">
        <v>2895</v>
      </c>
      <c r="C1252" t="s">
        <v>2895</v>
      </c>
      <c r="D1252" t="s">
        <v>6596</v>
      </c>
      <c r="E1252" t="s">
        <v>2182</v>
      </c>
      <c r="F1252"/>
      <c r="G1252"/>
      <c r="H1252"/>
      <c r="I1252"/>
      <c r="J1252"/>
      <c r="K1252"/>
      <c r="L1252" s="10">
        <v>3837180</v>
      </c>
      <c r="M1252" s="10">
        <v>396250</v>
      </c>
      <c r="N1252" s="12">
        <v>15</v>
      </c>
      <c r="O1252" s="12" t="s">
        <v>6992</v>
      </c>
      <c r="P1252" t="s">
        <v>2183</v>
      </c>
      <c r="R1252"/>
      <c r="S1252" t="s">
        <v>2184</v>
      </c>
      <c r="T1252" s="12" t="s">
        <v>2185</v>
      </c>
      <c r="U1252" s="12" t="s">
        <v>2186</v>
      </c>
      <c r="V1252" s="12" t="s">
        <v>2187</v>
      </c>
      <c r="W1252" s="12">
        <v>0</v>
      </c>
      <c r="X1252" s="12">
        <v>1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2">
        <v>0</v>
      </c>
      <c r="AK1252" s="12">
        <v>0</v>
      </c>
      <c r="AL1252" s="12">
        <v>0</v>
      </c>
      <c r="AM1252" s="12"/>
      <c r="AN1252" s="12">
        <v>0</v>
      </c>
      <c r="AO1252" s="12">
        <v>0</v>
      </c>
      <c r="AP1252" s="12">
        <v>0</v>
      </c>
      <c r="AQ1252" s="12">
        <v>0</v>
      </c>
      <c r="AR1252" s="12">
        <v>0</v>
      </c>
      <c r="AS1252" s="12">
        <v>0</v>
      </c>
      <c r="AT1252" s="12">
        <v>0</v>
      </c>
      <c r="AU1252" s="12">
        <v>0</v>
      </c>
      <c r="AV1252" s="12">
        <v>0</v>
      </c>
      <c r="AW1252" s="12">
        <v>0</v>
      </c>
      <c r="AX1252" s="12">
        <v>0</v>
      </c>
      <c r="AY1252" s="12">
        <v>0</v>
      </c>
      <c r="AZ1252"/>
      <c r="BA1252"/>
      <c r="BB1252" s="12">
        <v>0</v>
      </c>
      <c r="BC1252" s="12">
        <v>0</v>
      </c>
      <c r="BD1252" s="12">
        <v>0</v>
      </c>
      <c r="BE1252" s="12">
        <v>0</v>
      </c>
      <c r="BF1252" s="12">
        <v>0</v>
      </c>
      <c r="BI1252" s="12">
        <v>0</v>
      </c>
      <c r="BJ1252" s="12">
        <v>0</v>
      </c>
    </row>
    <row r="1253" spans="1:62" x14ac:dyDescent="0.15">
      <c r="A1253" s="12"/>
      <c r="B1253" t="s">
        <v>2896</v>
      </c>
      <c r="C1253" t="s">
        <v>2896</v>
      </c>
      <c r="D1253" t="s">
        <v>6596</v>
      </c>
      <c r="E1253" t="s">
        <v>2182</v>
      </c>
      <c r="F1253"/>
      <c r="G1253"/>
      <c r="H1253"/>
      <c r="I1253"/>
      <c r="J1253"/>
      <c r="K1253"/>
      <c r="L1253" s="10">
        <v>3837350</v>
      </c>
      <c r="M1253" s="10">
        <v>396840</v>
      </c>
      <c r="N1253" s="12">
        <v>15</v>
      </c>
      <c r="O1253" s="12" t="s">
        <v>6992</v>
      </c>
      <c r="P1253" t="s">
        <v>2183</v>
      </c>
      <c r="R1253"/>
      <c r="S1253" t="s">
        <v>2184</v>
      </c>
      <c r="T1253" s="12" t="s">
        <v>2185</v>
      </c>
      <c r="U1253" s="12" t="s">
        <v>2186</v>
      </c>
      <c r="V1253" s="12" t="s">
        <v>2187</v>
      </c>
      <c r="W1253" s="12">
        <v>0</v>
      </c>
      <c r="X1253" s="12">
        <v>1</v>
      </c>
      <c r="Y1253" s="12">
        <v>0</v>
      </c>
      <c r="Z1253" s="12">
        <v>0</v>
      </c>
      <c r="AA1253" s="12">
        <v>0</v>
      </c>
      <c r="AB1253" s="12">
        <v>0</v>
      </c>
      <c r="AC1253" s="12">
        <v>0</v>
      </c>
      <c r="AD1253" s="12">
        <v>0</v>
      </c>
      <c r="AE1253" s="12">
        <v>0</v>
      </c>
      <c r="AF1253" s="12">
        <v>0</v>
      </c>
      <c r="AG1253" s="12">
        <v>0</v>
      </c>
      <c r="AH1253" s="12">
        <v>0</v>
      </c>
      <c r="AI1253" s="12">
        <v>0</v>
      </c>
      <c r="AJ1253" s="12">
        <v>0</v>
      </c>
      <c r="AK1253" s="12">
        <v>0</v>
      </c>
      <c r="AL1253" s="12">
        <v>0</v>
      </c>
      <c r="AM1253" s="12"/>
      <c r="AN1253" s="12">
        <v>0</v>
      </c>
      <c r="AO1253" s="12">
        <v>0</v>
      </c>
      <c r="AP1253" s="12">
        <v>0</v>
      </c>
      <c r="AQ1253" s="12">
        <v>0</v>
      </c>
      <c r="AR1253" s="12">
        <v>0</v>
      </c>
      <c r="AS1253" s="12">
        <v>0</v>
      </c>
      <c r="AT1253" s="12">
        <v>0</v>
      </c>
      <c r="AU1253" s="12">
        <v>0</v>
      </c>
      <c r="AV1253" s="12">
        <v>0</v>
      </c>
      <c r="AW1253" s="12">
        <v>0</v>
      </c>
      <c r="AX1253" s="12">
        <v>0</v>
      </c>
      <c r="AY1253" s="12">
        <v>0</v>
      </c>
      <c r="AZ1253"/>
      <c r="BA1253"/>
      <c r="BB1253" s="12">
        <v>0</v>
      </c>
      <c r="BC1253" s="12">
        <v>0</v>
      </c>
      <c r="BD1253" s="12">
        <v>0</v>
      </c>
      <c r="BE1253" s="12">
        <v>0</v>
      </c>
      <c r="BF1253" s="12">
        <v>0</v>
      </c>
      <c r="BI1253" s="12">
        <v>0</v>
      </c>
      <c r="BJ1253" s="12">
        <v>0</v>
      </c>
    </row>
    <row r="1254" spans="1:62" x14ac:dyDescent="0.15">
      <c r="A1254" s="12"/>
      <c r="B1254" t="s">
        <v>2897</v>
      </c>
      <c r="C1254" t="s">
        <v>2897</v>
      </c>
      <c r="D1254" t="s">
        <v>6596</v>
      </c>
      <c r="E1254" t="s">
        <v>2182</v>
      </c>
      <c r="F1254"/>
      <c r="G1254"/>
      <c r="H1254"/>
      <c r="I1254"/>
      <c r="J1254"/>
      <c r="K1254"/>
      <c r="L1254" s="10">
        <v>3837590</v>
      </c>
      <c r="M1254" s="10">
        <v>396820</v>
      </c>
      <c r="N1254" s="12">
        <v>15</v>
      </c>
      <c r="O1254" s="12" t="s">
        <v>6992</v>
      </c>
      <c r="P1254" t="s">
        <v>2183</v>
      </c>
      <c r="R1254"/>
      <c r="S1254" t="s">
        <v>2184</v>
      </c>
      <c r="T1254" s="12" t="s">
        <v>2185</v>
      </c>
      <c r="U1254" s="12" t="s">
        <v>2186</v>
      </c>
      <c r="V1254" s="12" t="s">
        <v>2187</v>
      </c>
      <c r="W1254" s="12">
        <v>0</v>
      </c>
      <c r="X1254" s="12">
        <v>1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2">
        <v>0</v>
      </c>
      <c r="AK1254" s="12">
        <v>0</v>
      </c>
      <c r="AL1254" s="12">
        <v>0</v>
      </c>
      <c r="AM1254" s="12"/>
      <c r="AN1254" s="12">
        <v>0</v>
      </c>
      <c r="AO1254" s="12">
        <v>0</v>
      </c>
      <c r="AP1254" s="12">
        <v>0</v>
      </c>
      <c r="AQ1254" s="12">
        <v>0</v>
      </c>
      <c r="AR1254" s="12">
        <v>0</v>
      </c>
      <c r="AS1254" s="12">
        <v>0</v>
      </c>
      <c r="AT1254" s="12">
        <v>0</v>
      </c>
      <c r="AU1254" s="12">
        <v>0</v>
      </c>
      <c r="AV1254" s="12">
        <v>0</v>
      </c>
      <c r="AW1254" s="12">
        <v>0</v>
      </c>
      <c r="AX1254" s="12">
        <v>0</v>
      </c>
      <c r="AY1254" s="12">
        <v>0</v>
      </c>
      <c r="AZ1254"/>
      <c r="BA1254"/>
      <c r="BB1254" s="12">
        <v>0</v>
      </c>
      <c r="BC1254" s="12">
        <v>0</v>
      </c>
      <c r="BD1254" s="12">
        <v>0</v>
      </c>
      <c r="BE1254" s="12">
        <v>0</v>
      </c>
      <c r="BF1254" s="12">
        <v>0</v>
      </c>
      <c r="BI1254" s="12">
        <v>0</v>
      </c>
      <c r="BJ1254" s="12">
        <v>0</v>
      </c>
    </row>
    <row r="1255" spans="1:62" x14ac:dyDescent="0.15">
      <c r="A1255" s="12"/>
      <c r="B1255" t="s">
        <v>2898</v>
      </c>
      <c r="C1255" t="s">
        <v>2898</v>
      </c>
      <c r="D1255" t="s">
        <v>6596</v>
      </c>
      <c r="E1255" t="s">
        <v>2182</v>
      </c>
      <c r="F1255"/>
      <c r="G1255"/>
      <c r="H1255"/>
      <c r="I1255"/>
      <c r="J1255"/>
      <c r="K1255"/>
      <c r="L1255" s="10">
        <v>3837570</v>
      </c>
      <c r="M1255" s="10">
        <v>396750</v>
      </c>
      <c r="N1255" s="12">
        <v>15</v>
      </c>
      <c r="O1255" s="12" t="s">
        <v>6992</v>
      </c>
      <c r="P1255" t="s">
        <v>2183</v>
      </c>
      <c r="R1255"/>
      <c r="S1255" t="s">
        <v>2184</v>
      </c>
      <c r="T1255" s="12" t="s">
        <v>2185</v>
      </c>
      <c r="U1255" s="12" t="s">
        <v>2186</v>
      </c>
      <c r="V1255" s="12" t="s">
        <v>2187</v>
      </c>
      <c r="W1255" s="12">
        <v>0</v>
      </c>
      <c r="X1255" s="12">
        <v>1</v>
      </c>
      <c r="Y1255" s="12">
        <v>0</v>
      </c>
      <c r="Z1255" s="12">
        <v>0</v>
      </c>
      <c r="AA1255" s="12">
        <v>0</v>
      </c>
      <c r="AB1255" s="12">
        <v>0</v>
      </c>
      <c r="AC1255" s="12">
        <v>0</v>
      </c>
      <c r="AD1255" s="12">
        <v>0</v>
      </c>
      <c r="AE1255" s="12">
        <v>0</v>
      </c>
      <c r="AF1255" s="12">
        <v>0</v>
      </c>
      <c r="AG1255" s="12">
        <v>0</v>
      </c>
      <c r="AH1255" s="12">
        <v>0</v>
      </c>
      <c r="AI1255" s="12">
        <v>0</v>
      </c>
      <c r="AJ1255" s="12">
        <v>0</v>
      </c>
      <c r="AK1255" s="12">
        <v>0</v>
      </c>
      <c r="AL1255" s="12">
        <v>0</v>
      </c>
      <c r="AM1255" s="12"/>
      <c r="AN1255" s="12">
        <v>0</v>
      </c>
      <c r="AO1255" s="12">
        <v>0</v>
      </c>
      <c r="AP1255" s="12">
        <v>0</v>
      </c>
      <c r="AQ1255" s="12">
        <v>0</v>
      </c>
      <c r="AR1255" s="12">
        <v>0</v>
      </c>
      <c r="AS1255" s="12">
        <v>0</v>
      </c>
      <c r="AT1255" s="12">
        <v>0</v>
      </c>
      <c r="AU1255" s="12">
        <v>0</v>
      </c>
      <c r="AV1255" s="12">
        <v>0</v>
      </c>
      <c r="AW1255" s="12">
        <v>0</v>
      </c>
      <c r="AX1255" s="12">
        <v>0</v>
      </c>
      <c r="AY1255" s="12">
        <v>0</v>
      </c>
      <c r="AZ1255"/>
      <c r="BA1255"/>
      <c r="BB1255" s="12">
        <v>0</v>
      </c>
      <c r="BC1255" s="12">
        <v>0</v>
      </c>
      <c r="BD1255" s="12">
        <v>0</v>
      </c>
      <c r="BE1255" s="12">
        <v>0</v>
      </c>
      <c r="BF1255" s="12">
        <v>0</v>
      </c>
      <c r="BI1255" s="12">
        <v>0</v>
      </c>
      <c r="BJ1255" s="12">
        <v>0</v>
      </c>
    </row>
    <row r="1256" spans="1:62" x14ac:dyDescent="0.15">
      <c r="A1256" s="12"/>
      <c r="B1256" t="s">
        <v>2899</v>
      </c>
      <c r="C1256" t="s">
        <v>2899</v>
      </c>
      <c r="D1256" t="s">
        <v>6596</v>
      </c>
      <c r="E1256" t="s">
        <v>2182</v>
      </c>
      <c r="F1256"/>
      <c r="G1256"/>
      <c r="H1256"/>
      <c r="I1256"/>
      <c r="J1256"/>
      <c r="K1256"/>
      <c r="L1256" s="10">
        <v>3837420</v>
      </c>
      <c r="M1256" s="10">
        <v>396370</v>
      </c>
      <c r="N1256" s="12">
        <v>15</v>
      </c>
      <c r="O1256" s="12" t="s">
        <v>6992</v>
      </c>
      <c r="P1256" t="s">
        <v>2183</v>
      </c>
      <c r="R1256"/>
      <c r="S1256" t="s">
        <v>2184</v>
      </c>
      <c r="T1256" s="12" t="s">
        <v>2185</v>
      </c>
      <c r="U1256" s="12" t="s">
        <v>2186</v>
      </c>
      <c r="V1256" s="12" t="s">
        <v>2187</v>
      </c>
      <c r="W1256" s="12">
        <v>0</v>
      </c>
      <c r="X1256" s="12">
        <v>1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2">
        <v>0</v>
      </c>
      <c r="AK1256" s="12">
        <v>0</v>
      </c>
      <c r="AL1256" s="12">
        <v>0</v>
      </c>
      <c r="AM1256" s="12"/>
      <c r="AN1256" s="12">
        <v>0</v>
      </c>
      <c r="AO1256" s="12">
        <v>0</v>
      </c>
      <c r="AP1256" s="12">
        <v>0</v>
      </c>
      <c r="AQ1256" s="12">
        <v>0</v>
      </c>
      <c r="AR1256" s="12">
        <v>0</v>
      </c>
      <c r="AS1256" s="12">
        <v>0</v>
      </c>
      <c r="AT1256" s="12">
        <v>0</v>
      </c>
      <c r="AU1256" s="12">
        <v>0</v>
      </c>
      <c r="AV1256" s="12">
        <v>0</v>
      </c>
      <c r="AW1256" s="12">
        <v>0</v>
      </c>
      <c r="AX1256" s="12">
        <v>0</v>
      </c>
      <c r="AY1256" s="12">
        <v>0</v>
      </c>
      <c r="AZ1256"/>
      <c r="BA1256"/>
      <c r="BB1256" s="12">
        <v>0</v>
      </c>
      <c r="BC1256" s="12">
        <v>0</v>
      </c>
      <c r="BD1256" s="12">
        <v>0</v>
      </c>
      <c r="BE1256" s="12">
        <v>0</v>
      </c>
      <c r="BF1256" s="12">
        <v>0</v>
      </c>
      <c r="BI1256" s="12">
        <v>0</v>
      </c>
      <c r="BJ1256" s="12">
        <v>0</v>
      </c>
    </row>
    <row r="1257" spans="1:62" x14ac:dyDescent="0.15">
      <c r="A1257" s="12"/>
      <c r="B1257" t="s">
        <v>2900</v>
      </c>
      <c r="C1257" t="s">
        <v>2900</v>
      </c>
      <c r="D1257" t="s">
        <v>6596</v>
      </c>
      <c r="E1257" t="s">
        <v>2182</v>
      </c>
      <c r="F1257"/>
      <c r="G1257"/>
      <c r="H1257"/>
      <c r="I1257"/>
      <c r="J1257"/>
      <c r="K1257"/>
      <c r="L1257" s="10">
        <v>3837250</v>
      </c>
      <c r="M1257" s="10">
        <v>396350</v>
      </c>
      <c r="N1257" s="12">
        <v>15</v>
      </c>
      <c r="O1257" s="12" t="s">
        <v>6992</v>
      </c>
      <c r="P1257" t="s">
        <v>2183</v>
      </c>
      <c r="R1257"/>
      <c r="S1257" t="s">
        <v>2184</v>
      </c>
      <c r="T1257" s="12" t="s">
        <v>2185</v>
      </c>
      <c r="U1257" s="12" t="s">
        <v>2186</v>
      </c>
      <c r="V1257" s="12" t="s">
        <v>2187</v>
      </c>
      <c r="W1257" s="12">
        <v>0</v>
      </c>
      <c r="X1257" s="12">
        <v>1</v>
      </c>
      <c r="Y1257" s="12">
        <v>0</v>
      </c>
      <c r="Z1257" s="12">
        <v>0</v>
      </c>
      <c r="AA1257" s="12">
        <v>0</v>
      </c>
      <c r="AB1257" s="12">
        <v>0</v>
      </c>
      <c r="AC1257" s="12">
        <v>0</v>
      </c>
      <c r="AD1257" s="12">
        <v>0</v>
      </c>
      <c r="AE1257" s="12">
        <v>0</v>
      </c>
      <c r="AF1257" s="12">
        <v>0</v>
      </c>
      <c r="AG1257" s="12">
        <v>0</v>
      </c>
      <c r="AH1257" s="12">
        <v>0</v>
      </c>
      <c r="AI1257" s="12">
        <v>0</v>
      </c>
      <c r="AJ1257" s="12">
        <v>0</v>
      </c>
      <c r="AK1257" s="12">
        <v>0</v>
      </c>
      <c r="AL1257" s="12">
        <v>0</v>
      </c>
      <c r="AM1257" s="12"/>
      <c r="AN1257" s="12">
        <v>0</v>
      </c>
      <c r="AO1257" s="12">
        <v>0</v>
      </c>
      <c r="AP1257" s="12">
        <v>0</v>
      </c>
      <c r="AQ1257" s="12">
        <v>0</v>
      </c>
      <c r="AR1257" s="12">
        <v>0</v>
      </c>
      <c r="AS1257" s="12">
        <v>0</v>
      </c>
      <c r="AT1257" s="12">
        <v>0</v>
      </c>
      <c r="AU1257" s="12">
        <v>0</v>
      </c>
      <c r="AV1257" s="12">
        <v>0</v>
      </c>
      <c r="AW1257" s="12">
        <v>0</v>
      </c>
      <c r="AX1257" s="12">
        <v>0</v>
      </c>
      <c r="AY1257" s="12">
        <v>0</v>
      </c>
      <c r="AZ1257"/>
      <c r="BA1257"/>
      <c r="BB1257" s="12">
        <v>0</v>
      </c>
      <c r="BC1257" s="12">
        <v>0</v>
      </c>
      <c r="BD1257" s="12">
        <v>0</v>
      </c>
      <c r="BE1257" s="12">
        <v>0</v>
      </c>
      <c r="BF1257" s="12">
        <v>0</v>
      </c>
      <c r="BI1257" s="12">
        <v>0</v>
      </c>
      <c r="BJ1257" s="12">
        <v>0</v>
      </c>
    </row>
    <row r="1258" spans="1:62" x14ac:dyDescent="0.15">
      <c r="A1258" s="12"/>
      <c r="B1258" t="s">
        <v>2901</v>
      </c>
      <c r="C1258" t="s">
        <v>2901</v>
      </c>
      <c r="D1258" t="s">
        <v>6596</v>
      </c>
      <c r="E1258" t="s">
        <v>2182</v>
      </c>
      <c r="F1258"/>
      <c r="G1258"/>
      <c r="H1258"/>
      <c r="I1258"/>
      <c r="J1258"/>
      <c r="K1258"/>
      <c r="L1258" s="10">
        <v>3762000</v>
      </c>
      <c r="M1258" s="10">
        <v>657750</v>
      </c>
      <c r="N1258" s="12">
        <v>15</v>
      </c>
      <c r="O1258" s="12" t="s">
        <v>6992</v>
      </c>
      <c r="P1258" t="s">
        <v>2183</v>
      </c>
      <c r="R1258"/>
      <c r="S1258" t="s">
        <v>2184</v>
      </c>
      <c r="T1258" s="12" t="s">
        <v>2185</v>
      </c>
      <c r="U1258" s="12" t="s">
        <v>2186</v>
      </c>
      <c r="V1258" s="12" t="s">
        <v>2187</v>
      </c>
      <c r="W1258" s="12">
        <v>0</v>
      </c>
      <c r="X1258" s="12">
        <v>1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2">
        <v>0</v>
      </c>
      <c r="AK1258" s="12">
        <v>0</v>
      </c>
      <c r="AL1258" s="12">
        <v>0</v>
      </c>
      <c r="AM1258" s="12"/>
      <c r="AN1258" s="12">
        <v>0</v>
      </c>
      <c r="AO1258" s="12">
        <v>0</v>
      </c>
      <c r="AP1258" s="12">
        <v>0</v>
      </c>
      <c r="AQ1258" s="12">
        <v>0</v>
      </c>
      <c r="AR1258" s="12">
        <v>0</v>
      </c>
      <c r="AS1258" s="12">
        <v>0</v>
      </c>
      <c r="AT1258" s="12">
        <v>0</v>
      </c>
      <c r="AU1258" s="12">
        <v>0</v>
      </c>
      <c r="AV1258" s="12">
        <v>0</v>
      </c>
      <c r="AW1258" s="12">
        <v>0</v>
      </c>
      <c r="AX1258" s="12">
        <v>0</v>
      </c>
      <c r="AY1258" s="12">
        <v>0</v>
      </c>
      <c r="AZ1258"/>
      <c r="BA1258"/>
      <c r="BB1258" s="12">
        <v>0</v>
      </c>
      <c r="BC1258" s="12">
        <v>0</v>
      </c>
      <c r="BD1258" s="12">
        <v>0</v>
      </c>
      <c r="BE1258" s="12">
        <v>0</v>
      </c>
      <c r="BF1258" s="12">
        <v>0</v>
      </c>
      <c r="BI1258" s="12">
        <v>0</v>
      </c>
      <c r="BJ1258" s="12">
        <v>0</v>
      </c>
    </row>
    <row r="1259" spans="1:62" x14ac:dyDescent="0.15">
      <c r="A1259" s="12"/>
      <c r="B1259" t="s">
        <v>2902</v>
      </c>
      <c r="C1259" t="s">
        <v>2902</v>
      </c>
      <c r="D1259" t="s">
        <v>6596</v>
      </c>
      <c r="E1259" t="s">
        <v>2182</v>
      </c>
      <c r="F1259"/>
      <c r="G1259"/>
      <c r="H1259"/>
      <c r="I1259"/>
      <c r="J1259"/>
      <c r="K1259"/>
      <c r="L1259" s="10">
        <v>3762180</v>
      </c>
      <c r="M1259" s="10">
        <v>658500</v>
      </c>
      <c r="N1259" s="12">
        <v>15</v>
      </c>
      <c r="O1259" s="12" t="s">
        <v>6992</v>
      </c>
      <c r="P1259" t="s">
        <v>2183</v>
      </c>
      <c r="R1259"/>
      <c r="S1259" t="s">
        <v>2184</v>
      </c>
      <c r="T1259" s="12" t="s">
        <v>2185</v>
      </c>
      <c r="U1259" s="12" t="s">
        <v>2186</v>
      </c>
      <c r="V1259" s="12" t="s">
        <v>2187</v>
      </c>
      <c r="W1259" s="12">
        <v>0</v>
      </c>
      <c r="X1259" s="12">
        <v>1</v>
      </c>
      <c r="Y1259" s="12">
        <v>0</v>
      </c>
      <c r="Z1259" s="12">
        <v>0</v>
      </c>
      <c r="AA1259" s="12">
        <v>0</v>
      </c>
      <c r="AB1259" s="12">
        <v>0</v>
      </c>
      <c r="AC1259" s="12">
        <v>0</v>
      </c>
      <c r="AD1259" s="12">
        <v>0</v>
      </c>
      <c r="AE1259" s="12">
        <v>0</v>
      </c>
      <c r="AF1259" s="12">
        <v>0</v>
      </c>
      <c r="AG1259" s="12">
        <v>0</v>
      </c>
      <c r="AH1259" s="12">
        <v>0</v>
      </c>
      <c r="AI1259" s="12">
        <v>0</v>
      </c>
      <c r="AJ1259" s="12">
        <v>0</v>
      </c>
      <c r="AK1259" s="12">
        <v>0</v>
      </c>
      <c r="AL1259" s="12">
        <v>0</v>
      </c>
      <c r="AM1259" s="12"/>
      <c r="AN1259" s="12">
        <v>0</v>
      </c>
      <c r="AO1259" s="12">
        <v>0</v>
      </c>
      <c r="AP1259" s="12">
        <v>0</v>
      </c>
      <c r="AQ1259" s="12">
        <v>0</v>
      </c>
      <c r="AR1259" s="12">
        <v>0</v>
      </c>
      <c r="AS1259" s="12">
        <v>0</v>
      </c>
      <c r="AT1259" s="12">
        <v>0</v>
      </c>
      <c r="AU1259" s="12">
        <v>0</v>
      </c>
      <c r="AV1259" s="12">
        <v>0</v>
      </c>
      <c r="AW1259" s="12">
        <v>0</v>
      </c>
      <c r="AX1259" s="12">
        <v>0</v>
      </c>
      <c r="AY1259" s="12">
        <v>0</v>
      </c>
      <c r="AZ1259"/>
      <c r="BA1259"/>
      <c r="BB1259" s="12">
        <v>0</v>
      </c>
      <c r="BC1259" s="12">
        <v>0</v>
      </c>
      <c r="BD1259" s="12">
        <v>0</v>
      </c>
      <c r="BE1259" s="12">
        <v>0</v>
      </c>
      <c r="BF1259" s="12">
        <v>0</v>
      </c>
      <c r="BI1259" s="12">
        <v>0</v>
      </c>
      <c r="BJ1259" s="12">
        <v>0</v>
      </c>
    </row>
    <row r="1260" spans="1:62" x14ac:dyDescent="0.15">
      <c r="A1260" s="12"/>
      <c r="B1260" t="s">
        <v>2903</v>
      </c>
      <c r="C1260" t="s">
        <v>2903</v>
      </c>
      <c r="D1260" t="s">
        <v>6596</v>
      </c>
      <c r="E1260" t="s">
        <v>2182</v>
      </c>
      <c r="F1260"/>
      <c r="G1260"/>
      <c r="H1260"/>
      <c r="I1260"/>
      <c r="J1260"/>
      <c r="K1260"/>
      <c r="L1260" s="10">
        <v>3763120</v>
      </c>
      <c r="M1260" s="10">
        <v>657450</v>
      </c>
      <c r="N1260" s="12">
        <v>15</v>
      </c>
      <c r="O1260" s="12" t="s">
        <v>6992</v>
      </c>
      <c r="P1260" t="s">
        <v>2183</v>
      </c>
      <c r="R1260"/>
      <c r="S1260" t="s">
        <v>2184</v>
      </c>
      <c r="T1260" s="12" t="s">
        <v>2185</v>
      </c>
      <c r="U1260" s="12" t="s">
        <v>2186</v>
      </c>
      <c r="V1260" s="12" t="s">
        <v>2187</v>
      </c>
      <c r="W1260" s="12">
        <v>0</v>
      </c>
      <c r="X1260" s="12">
        <v>1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2">
        <v>0</v>
      </c>
      <c r="AK1260" s="12">
        <v>0</v>
      </c>
      <c r="AL1260" s="12">
        <v>0</v>
      </c>
      <c r="AM1260" s="12"/>
      <c r="AN1260" s="12">
        <v>0</v>
      </c>
      <c r="AO1260" s="12">
        <v>0</v>
      </c>
      <c r="AP1260" s="12">
        <v>0</v>
      </c>
      <c r="AQ1260" s="12">
        <v>0</v>
      </c>
      <c r="AR1260" s="12">
        <v>0</v>
      </c>
      <c r="AS1260" s="12">
        <v>0</v>
      </c>
      <c r="AT1260" s="12">
        <v>0</v>
      </c>
      <c r="AU1260" s="12">
        <v>0</v>
      </c>
      <c r="AV1260" s="12">
        <v>0</v>
      </c>
      <c r="AW1260" s="12">
        <v>0</v>
      </c>
      <c r="AX1260" s="12">
        <v>0</v>
      </c>
      <c r="AY1260" s="12">
        <v>0</v>
      </c>
      <c r="AZ1260"/>
      <c r="BA1260"/>
      <c r="BB1260" s="12">
        <v>0</v>
      </c>
      <c r="BC1260" s="12">
        <v>0</v>
      </c>
      <c r="BD1260" s="12">
        <v>0</v>
      </c>
      <c r="BE1260" s="12">
        <v>0</v>
      </c>
      <c r="BF1260" s="12">
        <v>0</v>
      </c>
      <c r="BI1260" s="12">
        <v>0</v>
      </c>
      <c r="BJ1260" s="12">
        <v>0</v>
      </c>
    </row>
    <row r="1261" spans="1:62" x14ac:dyDescent="0.15">
      <c r="A1261" s="12"/>
      <c r="B1261" t="s">
        <v>2904</v>
      </c>
      <c r="C1261" t="s">
        <v>2904</v>
      </c>
      <c r="D1261" t="s">
        <v>6596</v>
      </c>
      <c r="E1261" t="s">
        <v>2182</v>
      </c>
      <c r="F1261"/>
      <c r="G1261"/>
      <c r="H1261"/>
      <c r="I1261"/>
      <c r="J1261"/>
      <c r="K1261"/>
      <c r="L1261" s="10">
        <v>3764880</v>
      </c>
      <c r="M1261" s="10">
        <v>376470</v>
      </c>
      <c r="N1261" s="12">
        <v>15</v>
      </c>
      <c r="O1261" s="12" t="s">
        <v>6992</v>
      </c>
      <c r="P1261" t="s">
        <v>2183</v>
      </c>
      <c r="R1261"/>
      <c r="S1261" t="s">
        <v>2184</v>
      </c>
      <c r="T1261" s="12" t="s">
        <v>2185</v>
      </c>
      <c r="U1261" s="12" t="s">
        <v>2186</v>
      </c>
      <c r="V1261" s="12" t="s">
        <v>2187</v>
      </c>
      <c r="W1261" s="12">
        <v>0</v>
      </c>
      <c r="X1261" s="12">
        <v>1</v>
      </c>
      <c r="Y1261" s="12">
        <v>0</v>
      </c>
      <c r="Z1261" s="12">
        <v>0</v>
      </c>
      <c r="AA1261" s="12">
        <v>0</v>
      </c>
      <c r="AB1261" s="12">
        <v>0</v>
      </c>
      <c r="AC1261" s="12">
        <v>0</v>
      </c>
      <c r="AD1261" s="12">
        <v>0</v>
      </c>
      <c r="AE1261" s="12">
        <v>0</v>
      </c>
      <c r="AF1261" s="12">
        <v>0</v>
      </c>
      <c r="AG1261" s="12">
        <v>0</v>
      </c>
      <c r="AH1261" s="12">
        <v>0</v>
      </c>
      <c r="AI1261" s="12">
        <v>0</v>
      </c>
      <c r="AJ1261" s="12">
        <v>0</v>
      </c>
      <c r="AK1261" s="12">
        <v>0</v>
      </c>
      <c r="AL1261" s="12">
        <v>0</v>
      </c>
      <c r="AM1261" s="12"/>
      <c r="AN1261" s="12">
        <v>0</v>
      </c>
      <c r="AO1261" s="12">
        <v>0</v>
      </c>
      <c r="AP1261" s="12">
        <v>0</v>
      </c>
      <c r="AQ1261" s="12">
        <v>0</v>
      </c>
      <c r="AR1261" s="12">
        <v>0</v>
      </c>
      <c r="AS1261" s="12">
        <v>0</v>
      </c>
      <c r="AT1261" s="12">
        <v>0</v>
      </c>
      <c r="AU1261" s="12">
        <v>0</v>
      </c>
      <c r="AV1261" s="12">
        <v>0</v>
      </c>
      <c r="AW1261" s="12">
        <v>0</v>
      </c>
      <c r="AX1261" s="12">
        <v>0</v>
      </c>
      <c r="AY1261" s="12">
        <v>0</v>
      </c>
      <c r="AZ1261"/>
      <c r="BA1261"/>
      <c r="BB1261" s="12">
        <v>0</v>
      </c>
      <c r="BC1261" s="12">
        <v>0</v>
      </c>
      <c r="BD1261" s="12">
        <v>0</v>
      </c>
      <c r="BE1261" s="12">
        <v>0</v>
      </c>
      <c r="BF1261" s="12">
        <v>0</v>
      </c>
      <c r="BI1261" s="12">
        <v>0</v>
      </c>
      <c r="BJ1261" s="12">
        <v>0</v>
      </c>
    </row>
    <row r="1262" spans="1:62" x14ac:dyDescent="0.15">
      <c r="A1262" s="12"/>
      <c r="B1262" t="s">
        <v>2905</v>
      </c>
      <c r="C1262" t="s">
        <v>2905</v>
      </c>
      <c r="D1262" t="s">
        <v>6596</v>
      </c>
      <c r="E1262" t="s">
        <v>2182</v>
      </c>
      <c r="F1262"/>
      <c r="G1262"/>
      <c r="H1262"/>
      <c r="I1262"/>
      <c r="J1262"/>
      <c r="K1262"/>
      <c r="L1262" s="10">
        <v>3827250</v>
      </c>
      <c r="M1262" s="10">
        <v>588800</v>
      </c>
      <c r="N1262" s="12">
        <v>15</v>
      </c>
      <c r="O1262" s="12" t="s">
        <v>6992</v>
      </c>
      <c r="P1262" t="s">
        <v>2183</v>
      </c>
      <c r="R1262"/>
      <c r="S1262" t="s">
        <v>2184</v>
      </c>
      <c r="T1262" s="12" t="s">
        <v>2185</v>
      </c>
      <c r="U1262" s="12" t="s">
        <v>2186</v>
      </c>
      <c r="V1262" s="12" t="s">
        <v>2187</v>
      </c>
      <c r="W1262" s="12">
        <v>0</v>
      </c>
      <c r="X1262" s="12">
        <v>1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2">
        <v>0</v>
      </c>
      <c r="AK1262" s="12">
        <v>0</v>
      </c>
      <c r="AL1262" s="12">
        <v>0</v>
      </c>
      <c r="AM1262" s="12"/>
      <c r="AN1262" s="12">
        <v>0</v>
      </c>
      <c r="AO1262" s="12">
        <v>0</v>
      </c>
      <c r="AP1262" s="12">
        <v>0</v>
      </c>
      <c r="AQ1262" s="12">
        <v>0</v>
      </c>
      <c r="AR1262" s="12">
        <v>0</v>
      </c>
      <c r="AS1262" s="12">
        <v>0</v>
      </c>
      <c r="AT1262" s="12">
        <v>0</v>
      </c>
      <c r="AU1262" s="12">
        <v>0</v>
      </c>
      <c r="AV1262" s="12">
        <v>0</v>
      </c>
      <c r="AW1262" s="12">
        <v>0</v>
      </c>
      <c r="AX1262" s="12">
        <v>0</v>
      </c>
      <c r="AY1262" s="12">
        <v>0</v>
      </c>
      <c r="AZ1262"/>
      <c r="BA1262"/>
      <c r="BB1262" s="12">
        <v>0</v>
      </c>
      <c r="BC1262" s="12">
        <v>0</v>
      </c>
      <c r="BD1262" s="12">
        <v>0</v>
      </c>
      <c r="BE1262" s="12">
        <v>0</v>
      </c>
      <c r="BF1262" s="12">
        <v>0</v>
      </c>
      <c r="BI1262" s="12">
        <v>0</v>
      </c>
      <c r="BJ1262" s="12">
        <v>0</v>
      </c>
    </row>
    <row r="1263" spans="1:62" x14ac:dyDescent="0.15">
      <c r="A1263" s="12"/>
      <c r="B1263" t="s">
        <v>2906</v>
      </c>
      <c r="C1263" t="s">
        <v>2906</v>
      </c>
      <c r="D1263" t="s">
        <v>6596</v>
      </c>
      <c r="E1263" t="s">
        <v>2182</v>
      </c>
      <c r="F1263"/>
      <c r="G1263"/>
      <c r="H1263"/>
      <c r="I1263"/>
      <c r="J1263"/>
      <c r="K1263"/>
      <c r="L1263" s="10">
        <v>3803400</v>
      </c>
      <c r="M1263" s="10">
        <v>683575</v>
      </c>
      <c r="N1263" s="12">
        <v>15</v>
      </c>
      <c r="O1263" s="12" t="s">
        <v>6992</v>
      </c>
      <c r="P1263" t="s">
        <v>2183</v>
      </c>
      <c r="R1263"/>
      <c r="S1263" t="s">
        <v>2184</v>
      </c>
      <c r="T1263" s="12" t="s">
        <v>2185</v>
      </c>
      <c r="U1263" s="12" t="s">
        <v>2186</v>
      </c>
      <c r="V1263" s="12" t="s">
        <v>2187</v>
      </c>
      <c r="W1263" s="12">
        <v>0</v>
      </c>
      <c r="X1263" s="12">
        <v>1</v>
      </c>
      <c r="Y1263" s="12">
        <v>0</v>
      </c>
      <c r="Z1263" s="12">
        <v>0</v>
      </c>
      <c r="AA1263" s="12">
        <v>0</v>
      </c>
      <c r="AB1263" s="12">
        <v>0</v>
      </c>
      <c r="AC1263" s="12">
        <v>0</v>
      </c>
      <c r="AD1263" s="12">
        <v>0</v>
      </c>
      <c r="AE1263" s="12">
        <v>0</v>
      </c>
      <c r="AF1263" s="12">
        <v>0</v>
      </c>
      <c r="AG1263" s="12">
        <v>0</v>
      </c>
      <c r="AH1263" s="12">
        <v>0</v>
      </c>
      <c r="AI1263" s="12">
        <v>0</v>
      </c>
      <c r="AJ1263" s="12">
        <v>0</v>
      </c>
      <c r="AK1263" s="12">
        <v>0</v>
      </c>
      <c r="AL1263" s="12">
        <v>0</v>
      </c>
      <c r="AM1263" s="12"/>
      <c r="AN1263" s="12">
        <v>0</v>
      </c>
      <c r="AO1263" s="12">
        <v>0</v>
      </c>
      <c r="AP1263" s="12">
        <v>0</v>
      </c>
      <c r="AQ1263" s="12">
        <v>0</v>
      </c>
      <c r="AR1263" s="12">
        <v>0</v>
      </c>
      <c r="AS1263" s="12">
        <v>0</v>
      </c>
      <c r="AT1263" s="12">
        <v>0</v>
      </c>
      <c r="AU1263" s="12">
        <v>0</v>
      </c>
      <c r="AV1263" s="12">
        <v>0</v>
      </c>
      <c r="AW1263" s="12">
        <v>0</v>
      </c>
      <c r="AX1263" s="12">
        <v>0</v>
      </c>
      <c r="AY1263" s="12">
        <v>0</v>
      </c>
      <c r="AZ1263"/>
      <c r="BA1263"/>
      <c r="BB1263" s="12">
        <v>0</v>
      </c>
      <c r="BC1263" s="12">
        <v>0</v>
      </c>
      <c r="BD1263" s="12">
        <v>0</v>
      </c>
      <c r="BE1263" s="12">
        <v>0</v>
      </c>
      <c r="BF1263" s="12">
        <v>0</v>
      </c>
      <c r="BI1263" s="12">
        <v>0</v>
      </c>
      <c r="BJ1263" s="12">
        <v>0</v>
      </c>
    </row>
    <row r="1264" spans="1:62" x14ac:dyDescent="0.15">
      <c r="A1264" s="12"/>
      <c r="B1264" t="s">
        <v>2907</v>
      </c>
      <c r="C1264" t="s">
        <v>2907</v>
      </c>
      <c r="D1264" t="s">
        <v>6596</v>
      </c>
      <c r="E1264" t="s">
        <v>2182</v>
      </c>
      <c r="F1264"/>
      <c r="G1264"/>
      <c r="H1264"/>
      <c r="I1264"/>
      <c r="J1264"/>
      <c r="K1264"/>
      <c r="L1264" s="10">
        <v>3926630</v>
      </c>
      <c r="M1264" s="10">
        <v>706530</v>
      </c>
      <c r="N1264" s="12">
        <v>15</v>
      </c>
      <c r="O1264" s="12" t="s">
        <v>6992</v>
      </c>
      <c r="P1264" t="s">
        <v>2183</v>
      </c>
      <c r="R1264"/>
      <c r="S1264" t="s">
        <v>2184</v>
      </c>
      <c r="T1264" s="12" t="s">
        <v>2185</v>
      </c>
      <c r="U1264" s="12" t="s">
        <v>2186</v>
      </c>
      <c r="V1264" s="12" t="s">
        <v>2187</v>
      </c>
      <c r="W1264" s="12">
        <v>0</v>
      </c>
      <c r="X1264" s="12">
        <v>1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2">
        <v>0</v>
      </c>
      <c r="AK1264" s="12">
        <v>0</v>
      </c>
      <c r="AL1264" s="12">
        <v>0</v>
      </c>
      <c r="AM1264" s="12"/>
      <c r="AN1264" s="12">
        <v>0</v>
      </c>
      <c r="AO1264" s="12">
        <v>0</v>
      </c>
      <c r="AP1264" s="12">
        <v>0</v>
      </c>
      <c r="AQ1264" s="12">
        <v>0</v>
      </c>
      <c r="AR1264" s="12">
        <v>0</v>
      </c>
      <c r="AS1264" s="12">
        <v>0</v>
      </c>
      <c r="AT1264" s="12">
        <v>0</v>
      </c>
      <c r="AU1264" s="12">
        <v>0</v>
      </c>
      <c r="AV1264" s="12">
        <v>0</v>
      </c>
      <c r="AW1264" s="12">
        <v>0</v>
      </c>
      <c r="AX1264" s="12">
        <v>0</v>
      </c>
      <c r="AY1264" s="12">
        <v>0</v>
      </c>
      <c r="AZ1264"/>
      <c r="BA1264"/>
      <c r="BB1264" s="12">
        <v>0</v>
      </c>
      <c r="BC1264" s="12">
        <v>0</v>
      </c>
      <c r="BD1264" s="12">
        <v>0</v>
      </c>
      <c r="BE1264" s="12">
        <v>0</v>
      </c>
      <c r="BF1264" s="12">
        <v>0</v>
      </c>
      <c r="BI1264" s="12">
        <v>0</v>
      </c>
      <c r="BJ1264" s="12">
        <v>0</v>
      </c>
    </row>
    <row r="1265" spans="1:62" x14ac:dyDescent="0.15">
      <c r="A1265" s="12"/>
      <c r="B1265" t="s">
        <v>2908</v>
      </c>
      <c r="C1265" t="s">
        <v>2908</v>
      </c>
      <c r="D1265" t="s">
        <v>6596</v>
      </c>
      <c r="E1265" t="s">
        <v>2182</v>
      </c>
      <c r="F1265"/>
      <c r="G1265"/>
      <c r="H1265"/>
      <c r="I1265"/>
      <c r="J1265"/>
      <c r="K1265"/>
      <c r="L1265" s="10">
        <v>3834550</v>
      </c>
      <c r="M1265" s="10">
        <v>394750</v>
      </c>
      <c r="N1265" s="12">
        <v>15</v>
      </c>
      <c r="O1265" s="12" t="s">
        <v>6992</v>
      </c>
      <c r="P1265" t="s">
        <v>2183</v>
      </c>
      <c r="R1265"/>
      <c r="S1265" t="s">
        <v>2184</v>
      </c>
      <c r="T1265" s="12" t="s">
        <v>2185</v>
      </c>
      <c r="U1265" s="12" t="s">
        <v>2186</v>
      </c>
      <c r="V1265" s="12" t="s">
        <v>2187</v>
      </c>
      <c r="W1265" s="12">
        <v>0</v>
      </c>
      <c r="X1265" s="12">
        <v>1</v>
      </c>
      <c r="Y1265" s="12">
        <v>0</v>
      </c>
      <c r="Z1265" s="12">
        <v>0</v>
      </c>
      <c r="AA1265" s="12">
        <v>0</v>
      </c>
      <c r="AB1265" s="12">
        <v>0</v>
      </c>
      <c r="AC1265" s="12">
        <v>0</v>
      </c>
      <c r="AD1265" s="12">
        <v>0</v>
      </c>
      <c r="AE1265" s="12">
        <v>0</v>
      </c>
      <c r="AF1265" s="12">
        <v>0</v>
      </c>
      <c r="AG1265" s="12">
        <v>0</v>
      </c>
      <c r="AH1265" s="12">
        <v>0</v>
      </c>
      <c r="AI1265" s="12">
        <v>0</v>
      </c>
      <c r="AJ1265" s="12">
        <v>0</v>
      </c>
      <c r="AK1265" s="12">
        <v>0</v>
      </c>
      <c r="AL1265" s="12">
        <v>0</v>
      </c>
      <c r="AM1265" s="12"/>
      <c r="AN1265" s="12">
        <v>0</v>
      </c>
      <c r="AO1265" s="12">
        <v>0</v>
      </c>
      <c r="AP1265" s="12">
        <v>0</v>
      </c>
      <c r="AQ1265" s="12">
        <v>0</v>
      </c>
      <c r="AR1265" s="12">
        <v>0</v>
      </c>
      <c r="AS1265" s="12">
        <v>0</v>
      </c>
      <c r="AT1265" s="12">
        <v>0</v>
      </c>
      <c r="AU1265" s="12">
        <v>0</v>
      </c>
      <c r="AV1265" s="12">
        <v>0</v>
      </c>
      <c r="AW1265" s="12">
        <v>0</v>
      </c>
      <c r="AX1265" s="12">
        <v>0</v>
      </c>
      <c r="AY1265" s="12">
        <v>0</v>
      </c>
      <c r="AZ1265"/>
      <c r="BA1265"/>
      <c r="BB1265" s="12">
        <v>0</v>
      </c>
      <c r="BC1265" s="12">
        <v>0</v>
      </c>
      <c r="BD1265" s="12">
        <v>0</v>
      </c>
      <c r="BE1265" s="12">
        <v>0</v>
      </c>
      <c r="BF1265" s="12">
        <v>0</v>
      </c>
      <c r="BI1265" s="12">
        <v>0</v>
      </c>
      <c r="BJ1265" s="12">
        <v>0</v>
      </c>
    </row>
    <row r="1266" spans="1:62" x14ac:dyDescent="0.15">
      <c r="A1266" s="12"/>
      <c r="B1266" t="s">
        <v>2909</v>
      </c>
      <c r="C1266" t="s">
        <v>2909</v>
      </c>
      <c r="D1266" t="s">
        <v>6596</v>
      </c>
      <c r="E1266" t="s">
        <v>2182</v>
      </c>
      <c r="F1266"/>
      <c r="G1266"/>
      <c r="H1266"/>
      <c r="I1266"/>
      <c r="J1266"/>
      <c r="K1266"/>
      <c r="L1266" s="10">
        <v>3834000</v>
      </c>
      <c r="M1266" s="10">
        <v>394980</v>
      </c>
      <c r="N1266" s="12">
        <v>15</v>
      </c>
      <c r="O1266" s="12" t="s">
        <v>6992</v>
      </c>
      <c r="P1266" t="s">
        <v>2183</v>
      </c>
      <c r="R1266"/>
      <c r="S1266" t="s">
        <v>2184</v>
      </c>
      <c r="T1266" s="12" t="s">
        <v>2185</v>
      </c>
      <c r="U1266" s="12" t="s">
        <v>2186</v>
      </c>
      <c r="V1266" s="12" t="s">
        <v>2187</v>
      </c>
      <c r="W1266" s="12">
        <v>0</v>
      </c>
      <c r="X1266" s="12">
        <v>1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2">
        <v>0</v>
      </c>
      <c r="AK1266" s="12">
        <v>0</v>
      </c>
      <c r="AL1266" s="12">
        <v>0</v>
      </c>
      <c r="AM1266" s="12"/>
      <c r="AN1266" s="12">
        <v>0</v>
      </c>
      <c r="AO1266" s="12">
        <v>0</v>
      </c>
      <c r="AP1266" s="12">
        <v>0</v>
      </c>
      <c r="AQ1266" s="12">
        <v>0</v>
      </c>
      <c r="AR1266" s="12">
        <v>0</v>
      </c>
      <c r="AS1266" s="12">
        <v>0</v>
      </c>
      <c r="AT1266" s="12">
        <v>0</v>
      </c>
      <c r="AU1266" s="12">
        <v>0</v>
      </c>
      <c r="AV1266" s="12">
        <v>0</v>
      </c>
      <c r="AW1266" s="12">
        <v>0</v>
      </c>
      <c r="AX1266" s="12">
        <v>0</v>
      </c>
      <c r="AY1266" s="12">
        <v>0</v>
      </c>
      <c r="AZ1266"/>
      <c r="BA1266"/>
      <c r="BB1266" s="12">
        <v>0</v>
      </c>
      <c r="BC1266" s="12">
        <v>0</v>
      </c>
      <c r="BD1266" s="12">
        <v>0</v>
      </c>
      <c r="BE1266" s="12">
        <v>0</v>
      </c>
      <c r="BF1266" s="12">
        <v>0</v>
      </c>
      <c r="BI1266" s="12">
        <v>0</v>
      </c>
      <c r="BJ1266" s="12">
        <v>0</v>
      </c>
    </row>
    <row r="1267" spans="1:62" x14ac:dyDescent="0.15">
      <c r="A1267" s="12"/>
      <c r="B1267" t="s">
        <v>2910</v>
      </c>
      <c r="C1267" t="s">
        <v>2910</v>
      </c>
      <c r="D1267" t="s">
        <v>6596</v>
      </c>
      <c r="E1267" t="s">
        <v>2182</v>
      </c>
      <c r="F1267"/>
      <c r="G1267"/>
      <c r="H1267"/>
      <c r="I1267"/>
      <c r="J1267"/>
      <c r="K1267"/>
      <c r="L1267" s="10">
        <v>3834490</v>
      </c>
      <c r="M1267" s="10">
        <v>395095</v>
      </c>
      <c r="N1267" s="12">
        <v>15</v>
      </c>
      <c r="O1267" s="12" t="s">
        <v>6992</v>
      </c>
      <c r="P1267" t="s">
        <v>2183</v>
      </c>
      <c r="R1267"/>
      <c r="S1267" t="s">
        <v>2184</v>
      </c>
      <c r="T1267" s="12" t="s">
        <v>2185</v>
      </c>
      <c r="U1267" s="12" t="s">
        <v>2186</v>
      </c>
      <c r="V1267" s="12" t="s">
        <v>2187</v>
      </c>
      <c r="W1267" s="12">
        <v>0</v>
      </c>
      <c r="X1267" s="12">
        <v>1</v>
      </c>
      <c r="Y1267" s="12">
        <v>0</v>
      </c>
      <c r="Z1267" s="12">
        <v>0</v>
      </c>
      <c r="AA1267" s="12">
        <v>0</v>
      </c>
      <c r="AB1267" s="12">
        <v>0</v>
      </c>
      <c r="AC1267" s="12">
        <v>0</v>
      </c>
      <c r="AD1267" s="12">
        <v>0</v>
      </c>
      <c r="AE1267" s="12">
        <v>0</v>
      </c>
      <c r="AF1267" s="12">
        <v>0</v>
      </c>
      <c r="AG1267" s="12">
        <v>0</v>
      </c>
      <c r="AH1267" s="12">
        <v>0</v>
      </c>
      <c r="AI1267" s="12">
        <v>0</v>
      </c>
      <c r="AJ1267" s="12">
        <v>0</v>
      </c>
      <c r="AK1267" s="12">
        <v>0</v>
      </c>
      <c r="AL1267" s="12">
        <v>0</v>
      </c>
      <c r="AM1267" s="12"/>
      <c r="AN1267" s="12">
        <v>0</v>
      </c>
      <c r="AO1267" s="12">
        <v>0</v>
      </c>
      <c r="AP1267" s="12">
        <v>0</v>
      </c>
      <c r="AQ1267" s="12">
        <v>0</v>
      </c>
      <c r="AR1267" s="12">
        <v>0</v>
      </c>
      <c r="AS1267" s="12">
        <v>0</v>
      </c>
      <c r="AT1267" s="12">
        <v>0</v>
      </c>
      <c r="AU1267" s="12">
        <v>0</v>
      </c>
      <c r="AV1267" s="12">
        <v>0</v>
      </c>
      <c r="AW1267" s="12">
        <v>0</v>
      </c>
      <c r="AX1267" s="12">
        <v>0</v>
      </c>
      <c r="AY1267" s="12">
        <v>0</v>
      </c>
      <c r="AZ1267"/>
      <c r="BA1267"/>
      <c r="BB1267" s="12">
        <v>0</v>
      </c>
      <c r="BC1267" s="12">
        <v>0</v>
      </c>
      <c r="BD1267" s="12">
        <v>0</v>
      </c>
      <c r="BE1267" s="12">
        <v>0</v>
      </c>
      <c r="BF1267" s="12">
        <v>0</v>
      </c>
      <c r="BI1267" s="12">
        <v>0</v>
      </c>
      <c r="BJ1267" s="12">
        <v>0</v>
      </c>
    </row>
    <row r="1268" spans="1:62" x14ac:dyDescent="0.15">
      <c r="A1268" s="12"/>
      <c r="B1268" t="s">
        <v>2911</v>
      </c>
      <c r="C1268" t="s">
        <v>2911</v>
      </c>
      <c r="D1268" t="s">
        <v>6596</v>
      </c>
      <c r="E1268" t="s">
        <v>2182</v>
      </c>
      <c r="F1268"/>
      <c r="G1268"/>
      <c r="H1268"/>
      <c r="I1268"/>
      <c r="J1268"/>
      <c r="K1268"/>
      <c r="L1268" s="10">
        <v>3834250</v>
      </c>
      <c r="M1268" s="10">
        <v>395080</v>
      </c>
      <c r="N1268" s="12">
        <v>15</v>
      </c>
      <c r="O1268" s="12" t="s">
        <v>6992</v>
      </c>
      <c r="P1268" t="s">
        <v>2183</v>
      </c>
      <c r="R1268"/>
      <c r="S1268" t="s">
        <v>2184</v>
      </c>
      <c r="T1268" s="12" t="s">
        <v>2185</v>
      </c>
      <c r="U1268" s="12" t="s">
        <v>2186</v>
      </c>
      <c r="V1268" s="12" t="s">
        <v>2187</v>
      </c>
      <c r="W1268" s="12">
        <v>0</v>
      </c>
      <c r="X1268" s="12">
        <v>1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2">
        <v>0</v>
      </c>
      <c r="AK1268" s="12">
        <v>0</v>
      </c>
      <c r="AL1268" s="12">
        <v>0</v>
      </c>
      <c r="AM1268" s="12"/>
      <c r="AN1268" s="12">
        <v>0</v>
      </c>
      <c r="AO1268" s="12">
        <v>0</v>
      </c>
      <c r="AP1268" s="12">
        <v>0</v>
      </c>
      <c r="AQ1268" s="12">
        <v>0</v>
      </c>
      <c r="AR1268" s="12">
        <v>0</v>
      </c>
      <c r="AS1268" s="12">
        <v>0</v>
      </c>
      <c r="AT1268" s="12">
        <v>0</v>
      </c>
      <c r="AU1268" s="12">
        <v>0</v>
      </c>
      <c r="AV1268" s="12">
        <v>0</v>
      </c>
      <c r="AW1268" s="12">
        <v>0</v>
      </c>
      <c r="AX1268" s="12">
        <v>0</v>
      </c>
      <c r="AY1268" s="12">
        <v>0</v>
      </c>
      <c r="AZ1268"/>
      <c r="BA1268"/>
      <c r="BB1268" s="12">
        <v>0</v>
      </c>
      <c r="BC1268" s="12">
        <v>0</v>
      </c>
      <c r="BD1268" s="12">
        <v>0</v>
      </c>
      <c r="BE1268" s="12">
        <v>0</v>
      </c>
      <c r="BF1268" s="12">
        <v>0</v>
      </c>
      <c r="BI1268" s="12">
        <v>0</v>
      </c>
      <c r="BJ1268" s="12">
        <v>0</v>
      </c>
    </row>
    <row r="1269" spans="1:62" x14ac:dyDescent="0.15">
      <c r="A1269" s="12"/>
      <c r="B1269" t="s">
        <v>2912</v>
      </c>
      <c r="C1269" t="s">
        <v>2912</v>
      </c>
      <c r="D1269" t="s">
        <v>6596</v>
      </c>
      <c r="E1269" t="s">
        <v>2182</v>
      </c>
      <c r="F1269"/>
      <c r="G1269"/>
      <c r="H1269"/>
      <c r="I1269"/>
      <c r="J1269"/>
      <c r="K1269"/>
      <c r="L1269" s="10">
        <v>3834580</v>
      </c>
      <c r="M1269" s="10">
        <v>394560</v>
      </c>
      <c r="N1269" s="12">
        <v>15</v>
      </c>
      <c r="O1269" s="12" t="s">
        <v>6992</v>
      </c>
      <c r="P1269" t="s">
        <v>2183</v>
      </c>
      <c r="R1269"/>
      <c r="S1269" t="s">
        <v>2184</v>
      </c>
      <c r="T1269" s="12" t="s">
        <v>2185</v>
      </c>
      <c r="U1269" s="12" t="s">
        <v>2186</v>
      </c>
      <c r="V1269" s="12" t="s">
        <v>2187</v>
      </c>
      <c r="W1269" s="12">
        <v>0</v>
      </c>
      <c r="X1269" s="12">
        <v>1</v>
      </c>
      <c r="Y1269" s="12">
        <v>0</v>
      </c>
      <c r="Z1269" s="12">
        <v>0</v>
      </c>
      <c r="AA1269" s="12">
        <v>0</v>
      </c>
      <c r="AB1269" s="12">
        <v>0</v>
      </c>
      <c r="AC1269" s="12">
        <v>0</v>
      </c>
      <c r="AD1269" s="12">
        <v>0</v>
      </c>
      <c r="AE1269" s="12">
        <v>0</v>
      </c>
      <c r="AF1269" s="12">
        <v>0</v>
      </c>
      <c r="AG1269" s="12">
        <v>0</v>
      </c>
      <c r="AH1269" s="12">
        <v>0</v>
      </c>
      <c r="AI1269" s="12">
        <v>0</v>
      </c>
      <c r="AJ1269" s="12">
        <v>0</v>
      </c>
      <c r="AK1269" s="12">
        <v>0</v>
      </c>
      <c r="AL1269" s="12">
        <v>0</v>
      </c>
      <c r="AM1269" s="12"/>
      <c r="AN1269" s="12">
        <v>0</v>
      </c>
      <c r="AO1269" s="12">
        <v>0</v>
      </c>
      <c r="AP1269" s="12">
        <v>0</v>
      </c>
      <c r="AQ1269" s="12">
        <v>0</v>
      </c>
      <c r="AR1269" s="12">
        <v>0</v>
      </c>
      <c r="AS1269" s="12">
        <v>0</v>
      </c>
      <c r="AT1269" s="12">
        <v>0</v>
      </c>
      <c r="AU1269" s="12">
        <v>0</v>
      </c>
      <c r="AV1269" s="12">
        <v>0</v>
      </c>
      <c r="AW1269" s="12">
        <v>0</v>
      </c>
      <c r="AX1269" s="12">
        <v>0</v>
      </c>
      <c r="AY1269" s="12">
        <v>0</v>
      </c>
      <c r="AZ1269"/>
      <c r="BA1269"/>
      <c r="BB1269" s="12">
        <v>0</v>
      </c>
      <c r="BC1269" s="12">
        <v>0</v>
      </c>
      <c r="BD1269" s="12">
        <v>0</v>
      </c>
      <c r="BE1269" s="12">
        <v>0</v>
      </c>
      <c r="BF1269" s="12">
        <v>0</v>
      </c>
      <c r="BI1269" s="12">
        <v>0</v>
      </c>
      <c r="BJ1269" s="12">
        <v>0</v>
      </c>
    </row>
    <row r="1270" spans="1:62" x14ac:dyDescent="0.15">
      <c r="A1270" s="12"/>
      <c r="B1270" t="s">
        <v>2913</v>
      </c>
      <c r="C1270" t="s">
        <v>2913</v>
      </c>
      <c r="D1270" t="s">
        <v>6596</v>
      </c>
      <c r="E1270" t="s">
        <v>2182</v>
      </c>
      <c r="F1270"/>
      <c r="G1270"/>
      <c r="H1270"/>
      <c r="I1270"/>
      <c r="J1270"/>
      <c r="K1270"/>
      <c r="L1270" s="10">
        <v>3834320</v>
      </c>
      <c r="M1270" s="10">
        <v>395580</v>
      </c>
      <c r="N1270" s="12">
        <v>15</v>
      </c>
      <c r="O1270" s="12" t="s">
        <v>6992</v>
      </c>
      <c r="P1270" t="s">
        <v>2183</v>
      </c>
      <c r="R1270"/>
      <c r="S1270" t="s">
        <v>2184</v>
      </c>
      <c r="T1270" s="12" t="s">
        <v>2185</v>
      </c>
      <c r="U1270" s="12" t="s">
        <v>2186</v>
      </c>
      <c r="V1270" s="12" t="s">
        <v>2187</v>
      </c>
      <c r="W1270" s="12">
        <v>0</v>
      </c>
      <c r="X1270" s="12">
        <v>1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2">
        <v>0</v>
      </c>
      <c r="AK1270" s="12">
        <v>0</v>
      </c>
      <c r="AL1270" s="12">
        <v>0</v>
      </c>
      <c r="AM1270" s="12"/>
      <c r="AN1270" s="12">
        <v>0</v>
      </c>
      <c r="AO1270" s="12">
        <v>0</v>
      </c>
      <c r="AP1270" s="12">
        <v>0</v>
      </c>
      <c r="AQ1270" s="12">
        <v>0</v>
      </c>
      <c r="AR1270" s="12">
        <v>0</v>
      </c>
      <c r="AS1270" s="12">
        <v>0</v>
      </c>
      <c r="AT1270" s="12">
        <v>0</v>
      </c>
      <c r="AU1270" s="12">
        <v>0</v>
      </c>
      <c r="AV1270" s="12">
        <v>0</v>
      </c>
      <c r="AW1270" s="12">
        <v>0</v>
      </c>
      <c r="AX1270" s="12">
        <v>0</v>
      </c>
      <c r="AY1270" s="12">
        <v>0</v>
      </c>
      <c r="AZ1270"/>
      <c r="BA1270"/>
      <c r="BB1270" s="12">
        <v>0</v>
      </c>
      <c r="BC1270" s="12">
        <v>0</v>
      </c>
      <c r="BD1270" s="12">
        <v>0</v>
      </c>
      <c r="BE1270" s="12">
        <v>0</v>
      </c>
      <c r="BF1270" s="12">
        <v>0</v>
      </c>
      <c r="BI1270" s="12">
        <v>0</v>
      </c>
      <c r="BJ1270" s="12">
        <v>0</v>
      </c>
    </row>
    <row r="1271" spans="1:62" x14ac:dyDescent="0.15">
      <c r="A1271" s="12"/>
      <c r="B1271" t="s">
        <v>2914</v>
      </c>
      <c r="C1271" t="s">
        <v>2914</v>
      </c>
      <c r="D1271" t="s">
        <v>6596</v>
      </c>
      <c r="E1271" t="s">
        <v>2182</v>
      </c>
      <c r="F1271"/>
      <c r="G1271"/>
      <c r="H1271"/>
      <c r="I1271"/>
      <c r="J1271"/>
      <c r="K1271"/>
      <c r="L1271" s="10">
        <v>3896320</v>
      </c>
      <c r="M1271" s="10">
        <v>488650</v>
      </c>
      <c r="N1271" s="12">
        <v>15</v>
      </c>
      <c r="O1271" s="12" t="s">
        <v>6992</v>
      </c>
      <c r="P1271" t="s">
        <v>2183</v>
      </c>
      <c r="R1271"/>
      <c r="S1271" t="s">
        <v>2184</v>
      </c>
      <c r="T1271" s="12" t="s">
        <v>2185</v>
      </c>
      <c r="U1271" s="12" t="s">
        <v>2186</v>
      </c>
      <c r="V1271" s="12" t="s">
        <v>2187</v>
      </c>
      <c r="W1271" s="12">
        <v>0</v>
      </c>
      <c r="X1271" s="12">
        <v>1</v>
      </c>
      <c r="Y1271" s="12">
        <v>0</v>
      </c>
      <c r="Z1271" s="12">
        <v>0</v>
      </c>
      <c r="AA1271" s="12">
        <v>0</v>
      </c>
      <c r="AB1271" s="12">
        <v>0</v>
      </c>
      <c r="AC1271" s="12">
        <v>0</v>
      </c>
      <c r="AD1271" s="12">
        <v>0</v>
      </c>
      <c r="AE1271" s="12">
        <v>0</v>
      </c>
      <c r="AF1271" s="12">
        <v>0</v>
      </c>
      <c r="AG1271" s="12">
        <v>0</v>
      </c>
      <c r="AH1271" s="12">
        <v>0</v>
      </c>
      <c r="AI1271" s="12">
        <v>0</v>
      </c>
      <c r="AJ1271" s="12">
        <v>0</v>
      </c>
      <c r="AK1271" s="12">
        <v>0</v>
      </c>
      <c r="AL1271" s="12">
        <v>0</v>
      </c>
      <c r="AM1271" s="12"/>
      <c r="AN1271" s="12">
        <v>0</v>
      </c>
      <c r="AO1271" s="12">
        <v>0</v>
      </c>
      <c r="AP1271" s="12">
        <v>0</v>
      </c>
      <c r="AQ1271" s="12">
        <v>0</v>
      </c>
      <c r="AR1271" s="12">
        <v>0</v>
      </c>
      <c r="AS1271" s="12">
        <v>0</v>
      </c>
      <c r="AT1271" s="12">
        <v>0</v>
      </c>
      <c r="AU1271" s="12">
        <v>0</v>
      </c>
      <c r="AV1271" s="12">
        <v>0</v>
      </c>
      <c r="AW1271" s="12">
        <v>0</v>
      </c>
      <c r="AX1271" s="12">
        <v>0</v>
      </c>
      <c r="AY1271" s="12">
        <v>0</v>
      </c>
      <c r="AZ1271"/>
      <c r="BA1271"/>
      <c r="BB1271" s="12">
        <v>0</v>
      </c>
      <c r="BC1271" s="12">
        <v>0</v>
      </c>
      <c r="BD1271" s="12">
        <v>0</v>
      </c>
      <c r="BE1271" s="12">
        <v>0</v>
      </c>
      <c r="BF1271" s="12">
        <v>0</v>
      </c>
      <c r="BI1271" s="12">
        <v>0</v>
      </c>
      <c r="BJ1271" s="12">
        <v>0</v>
      </c>
    </row>
    <row r="1272" spans="1:62" x14ac:dyDescent="0.15">
      <c r="A1272" s="12"/>
      <c r="B1272" t="s">
        <v>2915</v>
      </c>
      <c r="C1272" t="s">
        <v>2915</v>
      </c>
      <c r="D1272" t="s">
        <v>6596</v>
      </c>
      <c r="E1272" t="s">
        <v>2182</v>
      </c>
      <c r="F1272"/>
      <c r="G1272"/>
      <c r="H1272"/>
      <c r="I1272"/>
      <c r="J1272"/>
      <c r="K1272"/>
      <c r="L1272" s="10">
        <v>3843900</v>
      </c>
      <c r="M1272" s="10">
        <v>641180</v>
      </c>
      <c r="N1272" s="12">
        <v>15</v>
      </c>
      <c r="O1272" s="12" t="s">
        <v>6992</v>
      </c>
      <c r="P1272" t="s">
        <v>2183</v>
      </c>
      <c r="R1272"/>
      <c r="S1272" t="s">
        <v>2184</v>
      </c>
      <c r="T1272" s="12" t="s">
        <v>2185</v>
      </c>
      <c r="U1272" s="12" t="s">
        <v>2186</v>
      </c>
      <c r="V1272" s="12" t="s">
        <v>2187</v>
      </c>
      <c r="W1272" s="12">
        <v>0</v>
      </c>
      <c r="X1272" s="12">
        <v>1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2">
        <v>0</v>
      </c>
      <c r="AK1272" s="12">
        <v>0</v>
      </c>
      <c r="AL1272" s="12">
        <v>0</v>
      </c>
      <c r="AM1272" s="12"/>
      <c r="AN1272" s="12">
        <v>0</v>
      </c>
      <c r="AO1272" s="12">
        <v>0</v>
      </c>
      <c r="AP1272" s="12">
        <v>0</v>
      </c>
      <c r="AQ1272" s="12">
        <v>0</v>
      </c>
      <c r="AR1272" s="12">
        <v>0</v>
      </c>
      <c r="AS1272" s="12">
        <v>0</v>
      </c>
      <c r="AT1272" s="12">
        <v>0</v>
      </c>
      <c r="AU1272" s="12">
        <v>0</v>
      </c>
      <c r="AV1272" s="12">
        <v>0</v>
      </c>
      <c r="AW1272" s="12">
        <v>0</v>
      </c>
      <c r="AX1272" s="12">
        <v>0</v>
      </c>
      <c r="AY1272" s="12">
        <v>0</v>
      </c>
      <c r="AZ1272"/>
      <c r="BA1272"/>
      <c r="BB1272" s="12">
        <v>0</v>
      </c>
      <c r="BC1272" s="12">
        <v>0</v>
      </c>
      <c r="BD1272" s="12">
        <v>0</v>
      </c>
      <c r="BE1272" s="12">
        <v>0</v>
      </c>
      <c r="BF1272" s="12">
        <v>0</v>
      </c>
      <c r="BI1272" s="12">
        <v>0</v>
      </c>
      <c r="BJ1272" s="12">
        <v>0</v>
      </c>
    </row>
    <row r="1273" spans="1:62" x14ac:dyDescent="0.15">
      <c r="A1273" s="12"/>
      <c r="B1273" t="s">
        <v>2916</v>
      </c>
      <c r="C1273" t="s">
        <v>2916</v>
      </c>
      <c r="D1273" t="s">
        <v>6596</v>
      </c>
      <c r="E1273" t="s">
        <v>2182</v>
      </c>
      <c r="F1273"/>
      <c r="G1273"/>
      <c r="H1273"/>
      <c r="I1273"/>
      <c r="J1273"/>
      <c r="K1273"/>
      <c r="L1273" s="10">
        <v>3892940</v>
      </c>
      <c r="M1273" s="10">
        <v>524870</v>
      </c>
      <c r="N1273" s="12">
        <v>15</v>
      </c>
      <c r="O1273" s="12" t="s">
        <v>6992</v>
      </c>
      <c r="P1273" t="s">
        <v>2183</v>
      </c>
      <c r="R1273"/>
      <c r="S1273" t="s">
        <v>2184</v>
      </c>
      <c r="T1273" s="12" t="s">
        <v>2185</v>
      </c>
      <c r="U1273" s="12" t="s">
        <v>2186</v>
      </c>
      <c r="V1273" s="12" t="s">
        <v>2187</v>
      </c>
      <c r="W1273" s="12">
        <v>0</v>
      </c>
      <c r="X1273" s="12">
        <v>1</v>
      </c>
      <c r="Y1273" s="12">
        <v>0</v>
      </c>
      <c r="Z1273" s="12">
        <v>0</v>
      </c>
      <c r="AA1273" s="12">
        <v>0</v>
      </c>
      <c r="AB1273" s="12">
        <v>0</v>
      </c>
      <c r="AC1273" s="12">
        <v>0</v>
      </c>
      <c r="AD1273" s="12">
        <v>0</v>
      </c>
      <c r="AE1273" s="12">
        <v>0</v>
      </c>
      <c r="AF1273" s="12">
        <v>0</v>
      </c>
      <c r="AG1273" s="12">
        <v>0</v>
      </c>
      <c r="AH1273" s="12">
        <v>0</v>
      </c>
      <c r="AI1273" s="12">
        <v>0</v>
      </c>
      <c r="AJ1273" s="12">
        <v>0</v>
      </c>
      <c r="AK1273" s="12">
        <v>0</v>
      </c>
      <c r="AL1273" s="12">
        <v>0</v>
      </c>
      <c r="AM1273" s="12"/>
      <c r="AN1273" s="12">
        <v>0</v>
      </c>
      <c r="AO1273" s="12">
        <v>0</v>
      </c>
      <c r="AP1273" s="12">
        <v>0</v>
      </c>
      <c r="AQ1273" s="12">
        <v>0</v>
      </c>
      <c r="AR1273" s="12">
        <v>0</v>
      </c>
      <c r="AS1273" s="12">
        <v>0</v>
      </c>
      <c r="AT1273" s="12">
        <v>0</v>
      </c>
      <c r="AU1273" s="12">
        <v>0</v>
      </c>
      <c r="AV1273" s="12">
        <v>0</v>
      </c>
      <c r="AW1273" s="12">
        <v>0</v>
      </c>
      <c r="AX1273" s="12">
        <v>0</v>
      </c>
      <c r="AY1273" s="12">
        <v>0</v>
      </c>
      <c r="AZ1273"/>
      <c r="BA1273"/>
      <c r="BB1273" s="12">
        <v>0</v>
      </c>
      <c r="BC1273" s="12">
        <v>0</v>
      </c>
      <c r="BD1273" s="12">
        <v>0</v>
      </c>
      <c r="BE1273" s="12">
        <v>0</v>
      </c>
      <c r="BF1273" s="12">
        <v>0</v>
      </c>
      <c r="BI1273" s="12">
        <v>0</v>
      </c>
      <c r="BJ1273" s="12">
        <v>0</v>
      </c>
    </row>
    <row r="1274" spans="1:62" x14ac:dyDescent="0.15">
      <c r="A1274" s="12"/>
      <c r="B1274" t="s">
        <v>2917</v>
      </c>
      <c r="C1274" t="s">
        <v>2917</v>
      </c>
      <c r="D1274" t="s">
        <v>6596</v>
      </c>
      <c r="E1274" t="s">
        <v>2182</v>
      </c>
      <c r="F1274"/>
      <c r="G1274"/>
      <c r="H1274"/>
      <c r="I1274"/>
      <c r="J1274"/>
      <c r="K1274"/>
      <c r="L1274" s="10">
        <v>3891140</v>
      </c>
      <c r="M1274" s="10">
        <v>525140</v>
      </c>
      <c r="N1274" s="12">
        <v>15</v>
      </c>
      <c r="O1274" s="12" t="s">
        <v>6992</v>
      </c>
      <c r="P1274" t="s">
        <v>2183</v>
      </c>
      <c r="R1274"/>
      <c r="S1274" t="s">
        <v>2184</v>
      </c>
      <c r="T1274" s="12" t="s">
        <v>2185</v>
      </c>
      <c r="U1274" s="12" t="s">
        <v>2186</v>
      </c>
      <c r="V1274" s="12" t="s">
        <v>2187</v>
      </c>
      <c r="W1274" s="12">
        <v>0</v>
      </c>
      <c r="X1274" s="12">
        <v>1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2">
        <v>0</v>
      </c>
      <c r="AK1274" s="12">
        <v>0</v>
      </c>
      <c r="AL1274" s="12">
        <v>0</v>
      </c>
      <c r="AM1274" s="12"/>
      <c r="AN1274" s="12">
        <v>0</v>
      </c>
      <c r="AO1274" s="12">
        <v>0</v>
      </c>
      <c r="AP1274" s="12">
        <v>0</v>
      </c>
      <c r="AQ1274" s="12">
        <v>0</v>
      </c>
      <c r="AR1274" s="12">
        <v>0</v>
      </c>
      <c r="AS1274" s="12">
        <v>0</v>
      </c>
      <c r="AT1274" s="12">
        <v>0</v>
      </c>
      <c r="AU1274" s="12">
        <v>0</v>
      </c>
      <c r="AV1274" s="12">
        <v>0</v>
      </c>
      <c r="AW1274" s="12">
        <v>0</v>
      </c>
      <c r="AX1274" s="12">
        <v>0</v>
      </c>
      <c r="AY1274" s="12">
        <v>0</v>
      </c>
      <c r="AZ1274"/>
      <c r="BA1274"/>
      <c r="BB1274" s="12">
        <v>0</v>
      </c>
      <c r="BC1274" s="12">
        <v>0</v>
      </c>
      <c r="BD1274" s="12">
        <v>0</v>
      </c>
      <c r="BE1274" s="12">
        <v>0</v>
      </c>
      <c r="BF1274" s="12">
        <v>0</v>
      </c>
      <c r="BI1274" s="12">
        <v>0</v>
      </c>
      <c r="BJ1274" s="12">
        <v>0</v>
      </c>
    </row>
    <row r="1275" spans="1:62" x14ac:dyDescent="0.15">
      <c r="A1275" s="12"/>
      <c r="B1275" t="s">
        <v>2918</v>
      </c>
      <c r="C1275" t="s">
        <v>2918</v>
      </c>
      <c r="D1275" t="s">
        <v>6596</v>
      </c>
      <c r="E1275" t="s">
        <v>2182</v>
      </c>
      <c r="F1275"/>
      <c r="G1275"/>
      <c r="H1275"/>
      <c r="I1275"/>
      <c r="J1275"/>
      <c r="K1275"/>
      <c r="L1275" s="10">
        <v>3890820</v>
      </c>
      <c r="M1275" s="10">
        <v>525245</v>
      </c>
      <c r="N1275" s="12">
        <v>15</v>
      </c>
      <c r="O1275" s="12" t="s">
        <v>6992</v>
      </c>
      <c r="P1275" t="s">
        <v>2183</v>
      </c>
      <c r="R1275"/>
      <c r="S1275" t="s">
        <v>2184</v>
      </c>
      <c r="T1275" s="12" t="s">
        <v>2185</v>
      </c>
      <c r="U1275" s="12" t="s">
        <v>2186</v>
      </c>
      <c r="V1275" s="12" t="s">
        <v>2187</v>
      </c>
      <c r="W1275" s="12">
        <v>0</v>
      </c>
      <c r="X1275" s="12">
        <v>1</v>
      </c>
      <c r="Y1275" s="12">
        <v>0</v>
      </c>
      <c r="Z1275" s="12">
        <v>0</v>
      </c>
      <c r="AA1275" s="12">
        <v>0</v>
      </c>
      <c r="AB1275" s="12">
        <v>0</v>
      </c>
      <c r="AC1275" s="12">
        <v>0</v>
      </c>
      <c r="AD1275" s="12">
        <v>0</v>
      </c>
      <c r="AE1275" s="12">
        <v>0</v>
      </c>
      <c r="AF1275" s="12">
        <v>0</v>
      </c>
      <c r="AG1275" s="12">
        <v>0</v>
      </c>
      <c r="AH1275" s="12">
        <v>0</v>
      </c>
      <c r="AI1275" s="12">
        <v>0</v>
      </c>
      <c r="AJ1275" s="12">
        <v>0</v>
      </c>
      <c r="AK1275" s="12">
        <v>0</v>
      </c>
      <c r="AL1275" s="12">
        <v>0</v>
      </c>
      <c r="AM1275" s="12"/>
      <c r="AN1275" s="12">
        <v>0</v>
      </c>
      <c r="AO1275" s="12">
        <v>0</v>
      </c>
      <c r="AP1275" s="12">
        <v>0</v>
      </c>
      <c r="AQ1275" s="12">
        <v>0</v>
      </c>
      <c r="AR1275" s="12">
        <v>0</v>
      </c>
      <c r="AS1275" s="12">
        <v>0</v>
      </c>
      <c r="AT1275" s="12">
        <v>0</v>
      </c>
      <c r="AU1275" s="12">
        <v>0</v>
      </c>
      <c r="AV1275" s="12">
        <v>0</v>
      </c>
      <c r="AW1275" s="12">
        <v>0</v>
      </c>
      <c r="AX1275" s="12">
        <v>0</v>
      </c>
      <c r="AY1275" s="12">
        <v>0</v>
      </c>
      <c r="AZ1275"/>
      <c r="BA1275"/>
      <c r="BB1275" s="12">
        <v>0</v>
      </c>
      <c r="BC1275" s="12">
        <v>0</v>
      </c>
      <c r="BD1275" s="12">
        <v>0</v>
      </c>
      <c r="BE1275" s="12">
        <v>0</v>
      </c>
      <c r="BF1275" s="12">
        <v>0</v>
      </c>
      <c r="BI1275" s="12">
        <v>0</v>
      </c>
      <c r="BJ1275" s="12">
        <v>0</v>
      </c>
    </row>
    <row r="1276" spans="1:62" x14ac:dyDescent="0.15">
      <c r="A1276" s="12"/>
      <c r="B1276" t="s">
        <v>2608</v>
      </c>
      <c r="C1276" t="s">
        <v>2608</v>
      </c>
      <c r="D1276" t="s">
        <v>6596</v>
      </c>
      <c r="E1276" t="s">
        <v>2182</v>
      </c>
      <c r="F1276"/>
      <c r="G1276"/>
      <c r="H1276"/>
      <c r="I1276"/>
      <c r="J1276"/>
      <c r="K1276"/>
      <c r="L1276" s="10">
        <v>3886920</v>
      </c>
      <c r="M1276" s="10">
        <v>528850</v>
      </c>
      <c r="N1276" s="12">
        <v>15</v>
      </c>
      <c r="O1276" s="12" t="s">
        <v>6992</v>
      </c>
      <c r="P1276" t="s">
        <v>2183</v>
      </c>
      <c r="R1276"/>
      <c r="S1276" t="s">
        <v>2184</v>
      </c>
      <c r="T1276" s="12" t="s">
        <v>2185</v>
      </c>
      <c r="U1276" s="12" t="s">
        <v>2186</v>
      </c>
      <c r="V1276" s="12" t="s">
        <v>2187</v>
      </c>
      <c r="W1276" s="12">
        <v>0</v>
      </c>
      <c r="X1276" s="12">
        <v>1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2">
        <v>0</v>
      </c>
      <c r="AK1276" s="12">
        <v>0</v>
      </c>
      <c r="AL1276" s="12">
        <v>0</v>
      </c>
      <c r="AM1276" s="12"/>
      <c r="AN1276" s="12">
        <v>0</v>
      </c>
      <c r="AO1276" s="12">
        <v>0</v>
      </c>
      <c r="AP1276" s="12">
        <v>0</v>
      </c>
      <c r="AQ1276" s="12">
        <v>0</v>
      </c>
      <c r="AR1276" s="12">
        <v>0</v>
      </c>
      <c r="AS1276" s="12">
        <v>0</v>
      </c>
      <c r="AT1276" s="12">
        <v>0</v>
      </c>
      <c r="AU1276" s="12">
        <v>0</v>
      </c>
      <c r="AV1276" s="12">
        <v>0</v>
      </c>
      <c r="AW1276" s="12">
        <v>0</v>
      </c>
      <c r="AX1276" s="12">
        <v>0</v>
      </c>
      <c r="AY1276" s="12">
        <v>0</v>
      </c>
      <c r="AZ1276"/>
      <c r="BA1276"/>
      <c r="BB1276" s="12">
        <v>0</v>
      </c>
      <c r="BC1276" s="12">
        <v>0</v>
      </c>
      <c r="BD1276" s="12">
        <v>0</v>
      </c>
      <c r="BE1276" s="12">
        <v>0</v>
      </c>
      <c r="BF1276" s="12">
        <v>0</v>
      </c>
      <c r="BI1276" s="12">
        <v>0</v>
      </c>
      <c r="BJ1276" s="12">
        <v>0</v>
      </c>
    </row>
    <row r="1277" spans="1:62" x14ac:dyDescent="0.15">
      <c r="A1277" s="12"/>
      <c r="B1277" t="s">
        <v>2609</v>
      </c>
      <c r="C1277" t="s">
        <v>2609</v>
      </c>
      <c r="D1277" t="s">
        <v>6596</v>
      </c>
      <c r="E1277" t="s">
        <v>2182</v>
      </c>
      <c r="F1277"/>
      <c r="G1277"/>
      <c r="H1277"/>
      <c r="I1277"/>
      <c r="J1277"/>
      <c r="K1277"/>
      <c r="L1277" s="10">
        <v>3886960</v>
      </c>
      <c r="M1277" s="10">
        <v>529060</v>
      </c>
      <c r="N1277" s="12">
        <v>15</v>
      </c>
      <c r="O1277" s="12" t="s">
        <v>6992</v>
      </c>
      <c r="P1277" t="s">
        <v>2183</v>
      </c>
      <c r="R1277"/>
      <c r="S1277" t="s">
        <v>2184</v>
      </c>
      <c r="T1277" s="12" t="s">
        <v>2185</v>
      </c>
      <c r="U1277" s="12" t="s">
        <v>2186</v>
      </c>
      <c r="V1277" s="12" t="s">
        <v>2187</v>
      </c>
      <c r="W1277" s="12">
        <v>0</v>
      </c>
      <c r="X1277" s="12">
        <v>1</v>
      </c>
      <c r="Y1277" s="12">
        <v>0</v>
      </c>
      <c r="Z1277" s="12">
        <v>0</v>
      </c>
      <c r="AA1277" s="12">
        <v>0</v>
      </c>
      <c r="AB1277" s="12">
        <v>0</v>
      </c>
      <c r="AC1277" s="12">
        <v>0</v>
      </c>
      <c r="AD1277" s="12">
        <v>0</v>
      </c>
      <c r="AE1277" s="12">
        <v>0</v>
      </c>
      <c r="AF1277" s="12">
        <v>0</v>
      </c>
      <c r="AG1277" s="12">
        <v>0</v>
      </c>
      <c r="AH1277" s="12">
        <v>0</v>
      </c>
      <c r="AI1277" s="12">
        <v>0</v>
      </c>
      <c r="AJ1277" s="12">
        <v>0</v>
      </c>
      <c r="AK1277" s="12">
        <v>0</v>
      </c>
      <c r="AL1277" s="12">
        <v>0</v>
      </c>
      <c r="AM1277" s="12"/>
      <c r="AN1277" s="12">
        <v>0</v>
      </c>
      <c r="AO1277" s="12">
        <v>0</v>
      </c>
      <c r="AP1277" s="12">
        <v>0</v>
      </c>
      <c r="AQ1277" s="12">
        <v>0</v>
      </c>
      <c r="AR1277" s="12">
        <v>0</v>
      </c>
      <c r="AS1277" s="12">
        <v>0</v>
      </c>
      <c r="AT1277" s="12">
        <v>0</v>
      </c>
      <c r="AU1277" s="12">
        <v>0</v>
      </c>
      <c r="AV1277" s="12">
        <v>0</v>
      </c>
      <c r="AW1277" s="12">
        <v>0</v>
      </c>
      <c r="AX1277" s="12">
        <v>0</v>
      </c>
      <c r="AY1277" s="12">
        <v>0</v>
      </c>
      <c r="AZ1277"/>
      <c r="BA1277"/>
      <c r="BB1277" s="12">
        <v>0</v>
      </c>
      <c r="BC1277" s="12">
        <v>0</v>
      </c>
      <c r="BD1277" s="12">
        <v>0</v>
      </c>
      <c r="BE1277" s="12">
        <v>0</v>
      </c>
      <c r="BF1277" s="12">
        <v>0</v>
      </c>
      <c r="BI1277" s="12">
        <v>0</v>
      </c>
      <c r="BJ1277" s="12">
        <v>0</v>
      </c>
    </row>
    <row r="1278" spans="1:62" x14ac:dyDescent="0.15">
      <c r="A1278" s="12"/>
      <c r="B1278" t="s">
        <v>2610</v>
      </c>
      <c r="C1278" t="s">
        <v>2610</v>
      </c>
      <c r="D1278" t="s">
        <v>6596</v>
      </c>
      <c r="E1278" t="s">
        <v>2182</v>
      </c>
      <c r="F1278"/>
      <c r="G1278"/>
      <c r="H1278"/>
      <c r="I1278"/>
      <c r="J1278"/>
      <c r="K1278"/>
      <c r="L1278" s="10">
        <v>3888980</v>
      </c>
      <c r="M1278" s="10">
        <v>524700</v>
      </c>
      <c r="N1278" s="12">
        <v>15</v>
      </c>
      <c r="O1278" s="12" t="s">
        <v>6992</v>
      </c>
      <c r="P1278" t="s">
        <v>2183</v>
      </c>
      <c r="R1278"/>
      <c r="S1278" t="s">
        <v>2184</v>
      </c>
      <c r="T1278" s="12" t="s">
        <v>2185</v>
      </c>
      <c r="U1278" s="12" t="s">
        <v>2186</v>
      </c>
      <c r="V1278" s="12" t="s">
        <v>2187</v>
      </c>
      <c r="W1278" s="12">
        <v>0</v>
      </c>
      <c r="X1278" s="12">
        <v>1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2">
        <v>0</v>
      </c>
      <c r="AK1278" s="12">
        <v>0</v>
      </c>
      <c r="AL1278" s="12">
        <v>0</v>
      </c>
      <c r="AM1278" s="12"/>
      <c r="AN1278" s="12">
        <v>0</v>
      </c>
      <c r="AO1278" s="12">
        <v>0</v>
      </c>
      <c r="AP1278" s="12">
        <v>0</v>
      </c>
      <c r="AQ1278" s="12">
        <v>0</v>
      </c>
      <c r="AR1278" s="12">
        <v>0</v>
      </c>
      <c r="AS1278" s="12">
        <v>0</v>
      </c>
      <c r="AT1278" s="12">
        <v>0</v>
      </c>
      <c r="AU1278" s="12">
        <v>0</v>
      </c>
      <c r="AV1278" s="12">
        <v>0</v>
      </c>
      <c r="AW1278" s="12">
        <v>0</v>
      </c>
      <c r="AX1278" s="12">
        <v>0</v>
      </c>
      <c r="AY1278" s="12">
        <v>0</v>
      </c>
      <c r="AZ1278"/>
      <c r="BA1278"/>
      <c r="BB1278" s="12">
        <v>0</v>
      </c>
      <c r="BC1278" s="12">
        <v>0</v>
      </c>
      <c r="BD1278" s="12">
        <v>0</v>
      </c>
      <c r="BE1278" s="12">
        <v>0</v>
      </c>
      <c r="BF1278" s="12">
        <v>0</v>
      </c>
      <c r="BI1278" s="12">
        <v>0</v>
      </c>
      <c r="BJ1278" s="12">
        <v>0</v>
      </c>
    </row>
    <row r="1279" spans="1:62" x14ac:dyDescent="0.15">
      <c r="A1279" s="12"/>
      <c r="B1279" t="s">
        <v>2611</v>
      </c>
      <c r="C1279" t="s">
        <v>2611</v>
      </c>
      <c r="D1279" t="s">
        <v>6596</v>
      </c>
      <c r="E1279" t="s">
        <v>2182</v>
      </c>
      <c r="F1279"/>
      <c r="G1279"/>
      <c r="H1279"/>
      <c r="I1279"/>
      <c r="J1279"/>
      <c r="K1279"/>
      <c r="L1279" s="10">
        <v>3890140</v>
      </c>
      <c r="M1279" s="10">
        <v>525240</v>
      </c>
      <c r="N1279" s="12">
        <v>15</v>
      </c>
      <c r="O1279" s="12" t="s">
        <v>6992</v>
      </c>
      <c r="P1279" t="s">
        <v>2183</v>
      </c>
      <c r="R1279"/>
      <c r="S1279" t="s">
        <v>2184</v>
      </c>
      <c r="T1279" s="12" t="s">
        <v>2185</v>
      </c>
      <c r="U1279" s="12" t="s">
        <v>2186</v>
      </c>
      <c r="V1279" s="12" t="s">
        <v>2187</v>
      </c>
      <c r="W1279" s="12">
        <v>0</v>
      </c>
      <c r="X1279" s="12">
        <v>1</v>
      </c>
      <c r="Y1279" s="12">
        <v>0</v>
      </c>
      <c r="Z1279" s="12">
        <v>0</v>
      </c>
      <c r="AA1279" s="12">
        <v>0</v>
      </c>
      <c r="AB1279" s="12">
        <v>0</v>
      </c>
      <c r="AC1279" s="12">
        <v>0</v>
      </c>
      <c r="AD1279" s="12">
        <v>0</v>
      </c>
      <c r="AE1279" s="12">
        <v>0</v>
      </c>
      <c r="AF1279" s="12">
        <v>0</v>
      </c>
      <c r="AG1279" s="12">
        <v>0</v>
      </c>
      <c r="AH1279" s="12">
        <v>0</v>
      </c>
      <c r="AI1279" s="12">
        <v>0</v>
      </c>
      <c r="AJ1279" s="12">
        <v>0</v>
      </c>
      <c r="AK1279" s="12">
        <v>0</v>
      </c>
      <c r="AL1279" s="12">
        <v>0</v>
      </c>
      <c r="AM1279" s="12"/>
      <c r="AN1279" s="12">
        <v>0</v>
      </c>
      <c r="AO1279" s="12">
        <v>0</v>
      </c>
      <c r="AP1279" s="12">
        <v>0</v>
      </c>
      <c r="AQ1279" s="12">
        <v>0</v>
      </c>
      <c r="AR1279" s="12">
        <v>0</v>
      </c>
      <c r="AS1279" s="12">
        <v>0</v>
      </c>
      <c r="AT1279" s="12">
        <v>0</v>
      </c>
      <c r="AU1279" s="12">
        <v>0</v>
      </c>
      <c r="AV1279" s="12">
        <v>0</v>
      </c>
      <c r="AW1279" s="12">
        <v>0</v>
      </c>
      <c r="AX1279" s="12">
        <v>0</v>
      </c>
      <c r="AY1279" s="12">
        <v>0</v>
      </c>
      <c r="AZ1279"/>
      <c r="BA1279"/>
      <c r="BB1279" s="12">
        <v>0</v>
      </c>
      <c r="BC1279" s="12">
        <v>0</v>
      </c>
      <c r="BD1279" s="12">
        <v>0</v>
      </c>
      <c r="BE1279" s="12">
        <v>0</v>
      </c>
      <c r="BF1279" s="12">
        <v>0</v>
      </c>
      <c r="BI1279" s="12">
        <v>0</v>
      </c>
      <c r="BJ1279" s="12">
        <v>0</v>
      </c>
    </row>
    <row r="1280" spans="1:62" x14ac:dyDescent="0.15">
      <c r="A1280" s="12"/>
      <c r="B1280" t="s">
        <v>2612</v>
      </c>
      <c r="C1280" t="s">
        <v>2612</v>
      </c>
      <c r="D1280" t="s">
        <v>6596</v>
      </c>
      <c r="E1280" t="s">
        <v>2182</v>
      </c>
      <c r="F1280"/>
      <c r="G1280"/>
      <c r="H1280"/>
      <c r="I1280"/>
      <c r="J1280"/>
      <c r="K1280"/>
      <c r="L1280" s="10">
        <v>3892510</v>
      </c>
      <c r="M1280" s="10">
        <v>524160</v>
      </c>
      <c r="N1280" s="12">
        <v>15</v>
      </c>
      <c r="O1280" s="12" t="s">
        <v>6992</v>
      </c>
      <c r="P1280" t="s">
        <v>2183</v>
      </c>
      <c r="R1280"/>
      <c r="S1280" t="s">
        <v>2184</v>
      </c>
      <c r="T1280" s="12" t="s">
        <v>2185</v>
      </c>
      <c r="U1280" s="12" t="s">
        <v>2186</v>
      </c>
      <c r="V1280" s="12" t="s">
        <v>2187</v>
      </c>
      <c r="W1280" s="12">
        <v>0</v>
      </c>
      <c r="X1280" s="12">
        <v>1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2">
        <v>0</v>
      </c>
      <c r="AK1280" s="12">
        <v>0</v>
      </c>
      <c r="AL1280" s="12">
        <v>0</v>
      </c>
      <c r="AM1280" s="12"/>
      <c r="AN1280" s="12">
        <v>0</v>
      </c>
      <c r="AO1280" s="12">
        <v>0</v>
      </c>
      <c r="AP1280" s="12">
        <v>0</v>
      </c>
      <c r="AQ1280" s="12">
        <v>0</v>
      </c>
      <c r="AR1280" s="12">
        <v>0</v>
      </c>
      <c r="AS1280" s="12">
        <v>0</v>
      </c>
      <c r="AT1280" s="12">
        <v>0</v>
      </c>
      <c r="AU1280" s="12">
        <v>0</v>
      </c>
      <c r="AV1280" s="12">
        <v>0</v>
      </c>
      <c r="AW1280" s="12">
        <v>0</v>
      </c>
      <c r="AX1280" s="12">
        <v>0</v>
      </c>
      <c r="AY1280" s="12">
        <v>0</v>
      </c>
      <c r="AZ1280"/>
      <c r="BA1280"/>
      <c r="BB1280" s="12">
        <v>0</v>
      </c>
      <c r="BC1280" s="12">
        <v>0</v>
      </c>
      <c r="BD1280" s="12">
        <v>0</v>
      </c>
      <c r="BE1280" s="12">
        <v>0</v>
      </c>
      <c r="BF1280" s="12">
        <v>0</v>
      </c>
      <c r="BI1280" s="12">
        <v>0</v>
      </c>
      <c r="BJ1280" s="12">
        <v>0</v>
      </c>
    </row>
    <row r="1281" spans="1:62" x14ac:dyDescent="0.15">
      <c r="A1281" s="12"/>
      <c r="B1281" t="s">
        <v>2613</v>
      </c>
      <c r="C1281" s="27" t="s">
        <v>2614</v>
      </c>
      <c r="D1281" t="s">
        <v>6596</v>
      </c>
      <c r="E1281" t="s">
        <v>2182</v>
      </c>
      <c r="F1281"/>
      <c r="G1281"/>
      <c r="H1281"/>
      <c r="I1281"/>
      <c r="J1281"/>
      <c r="K1281"/>
      <c r="L1281" s="10">
        <v>3834090</v>
      </c>
      <c r="M1281" s="10">
        <v>648100</v>
      </c>
      <c r="N1281" s="12">
        <v>15</v>
      </c>
      <c r="O1281" s="12" t="s">
        <v>6992</v>
      </c>
      <c r="P1281" t="s">
        <v>2183</v>
      </c>
      <c r="R1281"/>
      <c r="S1281" t="s">
        <v>2184</v>
      </c>
      <c r="T1281" s="12" t="s">
        <v>2185</v>
      </c>
      <c r="U1281" s="12" t="s">
        <v>2186</v>
      </c>
      <c r="V1281" s="12" t="s">
        <v>2187</v>
      </c>
      <c r="W1281" s="12">
        <v>0</v>
      </c>
      <c r="X1281" s="12">
        <v>1</v>
      </c>
      <c r="Y1281" s="12">
        <v>0</v>
      </c>
      <c r="Z1281" s="12">
        <v>0</v>
      </c>
      <c r="AA1281" s="12">
        <v>0</v>
      </c>
      <c r="AB1281" s="12">
        <v>0</v>
      </c>
      <c r="AC1281" s="12">
        <v>0</v>
      </c>
      <c r="AD1281" s="12">
        <v>0</v>
      </c>
      <c r="AE1281" s="12">
        <v>0</v>
      </c>
      <c r="AF1281" s="12">
        <v>0</v>
      </c>
      <c r="AG1281" s="12">
        <v>0</v>
      </c>
      <c r="AH1281" s="12">
        <v>0</v>
      </c>
      <c r="AI1281" s="12">
        <v>0</v>
      </c>
      <c r="AJ1281" s="12">
        <v>0</v>
      </c>
      <c r="AK1281" s="12">
        <v>0</v>
      </c>
      <c r="AL1281" s="12">
        <v>0</v>
      </c>
      <c r="AM1281" s="12"/>
      <c r="AN1281" s="12">
        <v>0</v>
      </c>
      <c r="AO1281" s="12">
        <v>0</v>
      </c>
      <c r="AP1281" s="12">
        <v>0</v>
      </c>
      <c r="AQ1281" s="12">
        <v>0</v>
      </c>
      <c r="AR1281" s="12">
        <v>0</v>
      </c>
      <c r="AS1281" s="12">
        <v>0</v>
      </c>
      <c r="AT1281" s="12">
        <v>0</v>
      </c>
      <c r="AU1281" s="12">
        <v>0</v>
      </c>
      <c r="AV1281" s="12">
        <v>0</v>
      </c>
      <c r="AW1281" s="12">
        <v>0</v>
      </c>
      <c r="AX1281" s="12">
        <v>0</v>
      </c>
      <c r="AY1281" s="12">
        <v>0</v>
      </c>
      <c r="AZ1281"/>
      <c r="BA1281"/>
      <c r="BB1281" s="12">
        <v>0</v>
      </c>
      <c r="BC1281" s="12">
        <v>0</v>
      </c>
      <c r="BD1281" s="12">
        <v>0</v>
      </c>
      <c r="BE1281" s="12">
        <v>0</v>
      </c>
      <c r="BF1281" s="12">
        <v>0</v>
      </c>
      <c r="BI1281" s="12">
        <v>0</v>
      </c>
      <c r="BJ1281" s="12">
        <v>0</v>
      </c>
    </row>
    <row r="1282" spans="1:62" x14ac:dyDescent="0.15">
      <c r="A1282" s="12"/>
      <c r="B1282" t="s">
        <v>2615</v>
      </c>
      <c r="C1282" t="s">
        <v>2615</v>
      </c>
      <c r="D1282" t="s">
        <v>6596</v>
      </c>
      <c r="E1282" t="s">
        <v>2182</v>
      </c>
      <c r="F1282"/>
      <c r="G1282"/>
      <c r="H1282"/>
      <c r="I1282"/>
      <c r="J1282"/>
      <c r="K1282"/>
      <c r="L1282" s="10">
        <v>3838700</v>
      </c>
      <c r="M1282" s="10">
        <v>645580</v>
      </c>
      <c r="N1282" s="12">
        <v>15</v>
      </c>
      <c r="O1282" s="12" t="s">
        <v>6992</v>
      </c>
      <c r="P1282" t="s">
        <v>2183</v>
      </c>
      <c r="R1282"/>
      <c r="S1282" t="s">
        <v>2184</v>
      </c>
      <c r="T1282" s="12" t="s">
        <v>2185</v>
      </c>
      <c r="U1282" s="12" t="s">
        <v>2186</v>
      </c>
      <c r="V1282" s="12" t="s">
        <v>2187</v>
      </c>
      <c r="W1282" s="12">
        <v>0</v>
      </c>
      <c r="X1282" s="12">
        <v>1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2">
        <v>0</v>
      </c>
      <c r="AK1282" s="12">
        <v>0</v>
      </c>
      <c r="AL1282" s="12">
        <v>0</v>
      </c>
      <c r="AM1282" s="12"/>
      <c r="AN1282" s="12">
        <v>0</v>
      </c>
      <c r="AO1282" s="12">
        <v>0</v>
      </c>
      <c r="AP1282" s="12">
        <v>0</v>
      </c>
      <c r="AQ1282" s="12">
        <v>0</v>
      </c>
      <c r="AR1282" s="12">
        <v>0</v>
      </c>
      <c r="AS1282" s="12">
        <v>0</v>
      </c>
      <c r="AT1282" s="12">
        <v>0</v>
      </c>
      <c r="AU1282" s="12">
        <v>0</v>
      </c>
      <c r="AV1282" s="12">
        <v>0</v>
      </c>
      <c r="AW1282" s="12">
        <v>0</v>
      </c>
      <c r="AX1282" s="12">
        <v>0</v>
      </c>
      <c r="AY1282" s="12">
        <v>0</v>
      </c>
      <c r="AZ1282"/>
      <c r="BA1282"/>
      <c r="BB1282" s="12">
        <v>0</v>
      </c>
      <c r="BC1282" s="12">
        <v>0</v>
      </c>
      <c r="BD1282" s="12">
        <v>0</v>
      </c>
      <c r="BE1282" s="12">
        <v>0</v>
      </c>
      <c r="BF1282" s="12">
        <v>0</v>
      </c>
      <c r="BI1282" s="12">
        <v>0</v>
      </c>
      <c r="BJ1282" s="12">
        <v>0</v>
      </c>
    </row>
    <row r="1283" spans="1:62" x14ac:dyDescent="0.15">
      <c r="A1283" s="12"/>
      <c r="B1283" t="s">
        <v>2616</v>
      </c>
      <c r="C1283" t="s">
        <v>2616</v>
      </c>
      <c r="D1283" t="s">
        <v>6596</v>
      </c>
      <c r="E1283" t="s">
        <v>2182</v>
      </c>
      <c r="F1283"/>
      <c r="G1283"/>
      <c r="H1283"/>
      <c r="I1283"/>
      <c r="J1283"/>
      <c r="K1283"/>
      <c r="L1283" s="10">
        <v>3843530</v>
      </c>
      <c r="M1283" s="10">
        <v>641550</v>
      </c>
      <c r="N1283" s="12">
        <v>15</v>
      </c>
      <c r="O1283" s="12" t="s">
        <v>6992</v>
      </c>
      <c r="P1283" t="s">
        <v>2183</v>
      </c>
      <c r="R1283"/>
      <c r="S1283" t="s">
        <v>2184</v>
      </c>
      <c r="T1283" s="12" t="s">
        <v>2185</v>
      </c>
      <c r="U1283" s="12" t="s">
        <v>2186</v>
      </c>
      <c r="V1283" s="12" t="s">
        <v>2187</v>
      </c>
      <c r="W1283" s="12">
        <v>0</v>
      </c>
      <c r="X1283" s="12">
        <v>1</v>
      </c>
      <c r="Y1283" s="12">
        <v>0</v>
      </c>
      <c r="Z1283" s="12">
        <v>0</v>
      </c>
      <c r="AA1283" s="12">
        <v>0</v>
      </c>
      <c r="AB1283" s="12">
        <v>0</v>
      </c>
      <c r="AC1283" s="12">
        <v>0</v>
      </c>
      <c r="AD1283" s="12">
        <v>0</v>
      </c>
      <c r="AE1283" s="12">
        <v>0</v>
      </c>
      <c r="AF1283" s="12">
        <v>0</v>
      </c>
      <c r="AG1283" s="12">
        <v>0</v>
      </c>
      <c r="AH1283" s="12">
        <v>0</v>
      </c>
      <c r="AI1283" s="12">
        <v>0</v>
      </c>
      <c r="AJ1283" s="12">
        <v>0</v>
      </c>
      <c r="AK1283" s="12">
        <v>0</v>
      </c>
      <c r="AL1283" s="12">
        <v>0</v>
      </c>
      <c r="AM1283" s="12"/>
      <c r="AN1283" s="12">
        <v>0</v>
      </c>
      <c r="AO1283" s="12">
        <v>0</v>
      </c>
      <c r="AP1283" s="12">
        <v>0</v>
      </c>
      <c r="AQ1283" s="12">
        <v>0</v>
      </c>
      <c r="AR1283" s="12">
        <v>0</v>
      </c>
      <c r="AS1283" s="12">
        <v>0</v>
      </c>
      <c r="AT1283" s="12">
        <v>0</v>
      </c>
      <c r="AU1283" s="12">
        <v>0</v>
      </c>
      <c r="AV1283" s="12">
        <v>0</v>
      </c>
      <c r="AW1283" s="12">
        <v>0</v>
      </c>
      <c r="AX1283" s="12">
        <v>0</v>
      </c>
      <c r="AY1283" s="12">
        <v>0</v>
      </c>
      <c r="AZ1283"/>
      <c r="BA1283"/>
      <c r="BB1283" s="12">
        <v>0</v>
      </c>
      <c r="BC1283" s="12">
        <v>0</v>
      </c>
      <c r="BD1283" s="12">
        <v>0</v>
      </c>
      <c r="BE1283" s="12">
        <v>0</v>
      </c>
      <c r="BF1283" s="12">
        <v>0</v>
      </c>
      <c r="BI1283" s="12">
        <v>0</v>
      </c>
      <c r="BJ1283" s="12">
        <v>0</v>
      </c>
    </row>
    <row r="1284" spans="1:62" x14ac:dyDescent="0.15">
      <c r="A1284" s="12"/>
      <c r="B1284" t="s">
        <v>2617</v>
      </c>
      <c r="C1284" t="s">
        <v>2617</v>
      </c>
      <c r="D1284" t="s">
        <v>6596</v>
      </c>
      <c r="E1284" t="s">
        <v>2182</v>
      </c>
      <c r="F1284"/>
      <c r="G1284"/>
      <c r="H1284"/>
      <c r="I1284"/>
      <c r="J1284"/>
      <c r="K1284"/>
      <c r="L1284" s="10">
        <v>3843990</v>
      </c>
      <c r="M1284" s="10">
        <v>641580</v>
      </c>
      <c r="N1284" s="12">
        <v>15</v>
      </c>
      <c r="O1284" s="12" t="s">
        <v>6992</v>
      </c>
      <c r="P1284" t="s">
        <v>2183</v>
      </c>
      <c r="R1284"/>
      <c r="S1284" t="s">
        <v>2184</v>
      </c>
      <c r="T1284" s="12" t="s">
        <v>2185</v>
      </c>
      <c r="U1284" s="12" t="s">
        <v>2186</v>
      </c>
      <c r="V1284" s="12" t="s">
        <v>2187</v>
      </c>
      <c r="W1284" s="12">
        <v>0</v>
      </c>
      <c r="X1284" s="12">
        <v>1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2">
        <v>0</v>
      </c>
      <c r="AK1284" s="12">
        <v>0</v>
      </c>
      <c r="AL1284" s="12">
        <v>0</v>
      </c>
      <c r="AM1284" s="12"/>
      <c r="AN1284" s="12">
        <v>0</v>
      </c>
      <c r="AO1284" s="12">
        <v>0</v>
      </c>
      <c r="AP1284" s="12">
        <v>0</v>
      </c>
      <c r="AQ1284" s="12">
        <v>0</v>
      </c>
      <c r="AR1284" s="12">
        <v>0</v>
      </c>
      <c r="AS1284" s="12">
        <v>0</v>
      </c>
      <c r="AT1284" s="12">
        <v>0</v>
      </c>
      <c r="AU1284" s="12">
        <v>0</v>
      </c>
      <c r="AV1284" s="12">
        <v>0</v>
      </c>
      <c r="AW1284" s="12">
        <v>0</v>
      </c>
      <c r="AX1284" s="12">
        <v>0</v>
      </c>
      <c r="AY1284" s="12">
        <v>0</v>
      </c>
      <c r="AZ1284"/>
      <c r="BA1284"/>
      <c r="BB1284" s="12">
        <v>0</v>
      </c>
      <c r="BC1284" s="12">
        <v>0</v>
      </c>
      <c r="BD1284" s="12">
        <v>0</v>
      </c>
      <c r="BE1284" s="12">
        <v>0</v>
      </c>
      <c r="BF1284" s="12">
        <v>0</v>
      </c>
      <c r="BI1284" s="12">
        <v>0</v>
      </c>
      <c r="BJ1284" s="12">
        <v>0</v>
      </c>
    </row>
    <row r="1285" spans="1:62" x14ac:dyDescent="0.15">
      <c r="A1285" s="12"/>
      <c r="B1285" t="s">
        <v>2618</v>
      </c>
      <c r="C1285" t="s">
        <v>2618</v>
      </c>
      <c r="D1285" t="s">
        <v>6596</v>
      </c>
      <c r="E1285" t="s">
        <v>2182</v>
      </c>
      <c r="F1285"/>
      <c r="G1285"/>
      <c r="H1285"/>
      <c r="I1285"/>
      <c r="J1285"/>
      <c r="K1285"/>
      <c r="L1285" s="10">
        <v>3836130</v>
      </c>
      <c r="M1285" s="10">
        <v>397320</v>
      </c>
      <c r="N1285" s="12">
        <v>15</v>
      </c>
      <c r="O1285" s="12" t="s">
        <v>6992</v>
      </c>
      <c r="P1285" t="s">
        <v>2183</v>
      </c>
      <c r="R1285"/>
      <c r="S1285" t="s">
        <v>2184</v>
      </c>
      <c r="T1285" s="12" t="s">
        <v>2185</v>
      </c>
      <c r="U1285" s="12" t="s">
        <v>2186</v>
      </c>
      <c r="V1285" s="12" t="s">
        <v>2187</v>
      </c>
      <c r="W1285" s="12">
        <v>0</v>
      </c>
      <c r="X1285" s="12">
        <v>1</v>
      </c>
      <c r="Y1285" s="12">
        <v>0</v>
      </c>
      <c r="Z1285" s="12">
        <v>0</v>
      </c>
      <c r="AA1285" s="12">
        <v>0</v>
      </c>
      <c r="AB1285" s="12">
        <v>0</v>
      </c>
      <c r="AC1285" s="12">
        <v>0</v>
      </c>
      <c r="AD1285" s="12">
        <v>0</v>
      </c>
      <c r="AE1285" s="12">
        <v>0</v>
      </c>
      <c r="AF1285" s="12">
        <v>0</v>
      </c>
      <c r="AG1285" s="12">
        <v>0</v>
      </c>
      <c r="AH1285" s="12">
        <v>0</v>
      </c>
      <c r="AI1285" s="12">
        <v>0</v>
      </c>
      <c r="AJ1285" s="12">
        <v>0</v>
      </c>
      <c r="AK1285" s="12">
        <v>0</v>
      </c>
      <c r="AL1285" s="12">
        <v>0</v>
      </c>
      <c r="AM1285" s="12"/>
      <c r="AN1285" s="12">
        <v>0</v>
      </c>
      <c r="AO1285" s="12">
        <v>0</v>
      </c>
      <c r="AP1285" s="12">
        <v>0</v>
      </c>
      <c r="AQ1285" s="12">
        <v>0</v>
      </c>
      <c r="AR1285" s="12">
        <v>0</v>
      </c>
      <c r="AS1285" s="12">
        <v>0</v>
      </c>
      <c r="AT1285" s="12">
        <v>0</v>
      </c>
      <c r="AU1285" s="12">
        <v>0</v>
      </c>
      <c r="AV1285" s="12">
        <v>0</v>
      </c>
      <c r="AW1285" s="12">
        <v>0</v>
      </c>
      <c r="AX1285" s="12">
        <v>0</v>
      </c>
      <c r="AY1285" s="12">
        <v>0</v>
      </c>
      <c r="AZ1285"/>
      <c r="BA1285"/>
      <c r="BB1285" s="12">
        <v>0</v>
      </c>
      <c r="BC1285" s="12">
        <v>0</v>
      </c>
      <c r="BD1285" s="12">
        <v>0</v>
      </c>
      <c r="BE1285" s="12">
        <v>0</v>
      </c>
      <c r="BF1285" s="12">
        <v>0</v>
      </c>
      <c r="BI1285" s="12">
        <v>0</v>
      </c>
      <c r="BJ1285" s="12">
        <v>0</v>
      </c>
    </row>
    <row r="1286" spans="1:62" x14ac:dyDescent="0.15">
      <c r="A1286" s="12"/>
      <c r="B1286" t="s">
        <v>2619</v>
      </c>
      <c r="C1286" t="s">
        <v>2619</v>
      </c>
      <c r="D1286" t="s">
        <v>6596</v>
      </c>
      <c r="E1286" t="s">
        <v>2182</v>
      </c>
      <c r="F1286"/>
      <c r="G1286"/>
      <c r="H1286"/>
      <c r="I1286"/>
      <c r="J1286"/>
      <c r="K1286"/>
      <c r="L1286" s="10">
        <v>3835960</v>
      </c>
      <c r="M1286" s="10">
        <v>397290</v>
      </c>
      <c r="N1286" s="12">
        <v>15</v>
      </c>
      <c r="O1286" s="12" t="s">
        <v>6992</v>
      </c>
      <c r="P1286" t="s">
        <v>2183</v>
      </c>
      <c r="R1286"/>
      <c r="S1286" t="s">
        <v>2184</v>
      </c>
      <c r="T1286" s="12" t="s">
        <v>2185</v>
      </c>
      <c r="U1286" s="12" t="s">
        <v>2186</v>
      </c>
      <c r="V1286" s="12" t="s">
        <v>2187</v>
      </c>
      <c r="W1286" s="12">
        <v>0</v>
      </c>
      <c r="X1286" s="12">
        <v>1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2">
        <v>0</v>
      </c>
      <c r="AK1286" s="12">
        <v>0</v>
      </c>
      <c r="AL1286" s="12">
        <v>0</v>
      </c>
      <c r="AM1286" s="12"/>
      <c r="AN1286" s="12">
        <v>0</v>
      </c>
      <c r="AO1286" s="12">
        <v>0</v>
      </c>
      <c r="AP1286" s="12">
        <v>0</v>
      </c>
      <c r="AQ1286" s="12">
        <v>0</v>
      </c>
      <c r="AR1286" s="12">
        <v>0</v>
      </c>
      <c r="AS1286" s="12">
        <v>0</v>
      </c>
      <c r="AT1286" s="12">
        <v>0</v>
      </c>
      <c r="AU1286" s="12">
        <v>0</v>
      </c>
      <c r="AV1286" s="12">
        <v>0</v>
      </c>
      <c r="AW1286" s="12">
        <v>0</v>
      </c>
      <c r="AX1286" s="12">
        <v>0</v>
      </c>
      <c r="AY1286" s="12">
        <v>0</v>
      </c>
      <c r="AZ1286"/>
      <c r="BA1286"/>
      <c r="BB1286" s="12">
        <v>0</v>
      </c>
      <c r="BC1286" s="12">
        <v>0</v>
      </c>
      <c r="BD1286" s="12">
        <v>0</v>
      </c>
      <c r="BE1286" s="12">
        <v>0</v>
      </c>
      <c r="BF1286" s="12">
        <v>0</v>
      </c>
      <c r="BI1286" s="12">
        <v>0</v>
      </c>
      <c r="BJ1286" s="12">
        <v>0</v>
      </c>
    </row>
    <row r="1287" spans="1:62" x14ac:dyDescent="0.15">
      <c r="A1287" s="12"/>
      <c r="B1287" t="s">
        <v>2620</v>
      </c>
      <c r="C1287" t="s">
        <v>2620</v>
      </c>
      <c r="D1287" t="s">
        <v>6596</v>
      </c>
      <c r="E1287" t="s">
        <v>2182</v>
      </c>
      <c r="F1287"/>
      <c r="G1287"/>
      <c r="H1287"/>
      <c r="I1287"/>
      <c r="J1287"/>
      <c r="K1287"/>
      <c r="L1287" s="10">
        <v>3840120</v>
      </c>
      <c r="M1287" s="10">
        <v>645650</v>
      </c>
      <c r="N1287" s="12">
        <v>15</v>
      </c>
      <c r="O1287" s="12" t="s">
        <v>6992</v>
      </c>
      <c r="P1287" t="s">
        <v>2183</v>
      </c>
      <c r="R1287"/>
      <c r="S1287" t="s">
        <v>2184</v>
      </c>
      <c r="T1287" s="12" t="s">
        <v>2185</v>
      </c>
      <c r="U1287" s="12" t="s">
        <v>2186</v>
      </c>
      <c r="V1287" s="12" t="s">
        <v>2187</v>
      </c>
      <c r="W1287" s="12">
        <v>0</v>
      </c>
      <c r="X1287" s="12">
        <v>1</v>
      </c>
      <c r="Y1287" s="12">
        <v>0</v>
      </c>
      <c r="Z1287" s="12">
        <v>0</v>
      </c>
      <c r="AA1287" s="12">
        <v>0</v>
      </c>
      <c r="AB1287" s="12">
        <v>0</v>
      </c>
      <c r="AC1287" s="12">
        <v>0</v>
      </c>
      <c r="AD1287" s="12">
        <v>0</v>
      </c>
      <c r="AE1287" s="12">
        <v>0</v>
      </c>
      <c r="AF1287" s="12">
        <v>0</v>
      </c>
      <c r="AG1287" s="12">
        <v>0</v>
      </c>
      <c r="AH1287" s="12">
        <v>0</v>
      </c>
      <c r="AI1287" s="12">
        <v>0</v>
      </c>
      <c r="AJ1287" s="12">
        <v>0</v>
      </c>
      <c r="AK1287" s="12">
        <v>0</v>
      </c>
      <c r="AL1287" s="12">
        <v>0</v>
      </c>
      <c r="AM1287" s="12"/>
      <c r="AN1287" s="12">
        <v>0</v>
      </c>
      <c r="AO1287" s="12">
        <v>0</v>
      </c>
      <c r="AP1287" s="12">
        <v>0</v>
      </c>
      <c r="AQ1287" s="12">
        <v>0</v>
      </c>
      <c r="AR1287" s="12">
        <v>0</v>
      </c>
      <c r="AS1287" s="12">
        <v>0</v>
      </c>
      <c r="AT1287" s="12">
        <v>0</v>
      </c>
      <c r="AU1287" s="12">
        <v>0</v>
      </c>
      <c r="AV1287" s="12">
        <v>0</v>
      </c>
      <c r="AW1287" s="12">
        <v>0</v>
      </c>
      <c r="AX1287" s="12">
        <v>0</v>
      </c>
      <c r="AY1287" s="12">
        <v>0</v>
      </c>
      <c r="AZ1287"/>
      <c r="BA1287"/>
      <c r="BB1287" s="12">
        <v>0</v>
      </c>
      <c r="BC1287" s="12">
        <v>0</v>
      </c>
      <c r="BD1287" s="12">
        <v>0</v>
      </c>
      <c r="BE1287" s="12">
        <v>0</v>
      </c>
      <c r="BF1287" s="12">
        <v>0</v>
      </c>
      <c r="BI1287" s="12">
        <v>0</v>
      </c>
      <c r="BJ1287" s="12">
        <v>0</v>
      </c>
    </row>
    <row r="1288" spans="1:62" x14ac:dyDescent="0.15">
      <c r="A1288" s="12"/>
      <c r="B1288" t="s">
        <v>2621</v>
      </c>
      <c r="C1288" t="s">
        <v>2621</v>
      </c>
      <c r="D1288" t="s">
        <v>6596</v>
      </c>
      <c r="E1288" t="s">
        <v>2182</v>
      </c>
      <c r="F1288"/>
      <c r="G1288"/>
      <c r="H1288"/>
      <c r="I1288"/>
      <c r="J1288"/>
      <c r="K1288"/>
      <c r="L1288" s="10">
        <v>3837550</v>
      </c>
      <c r="M1288" s="10">
        <v>396960</v>
      </c>
      <c r="N1288" s="12">
        <v>15</v>
      </c>
      <c r="O1288" s="12" t="s">
        <v>6992</v>
      </c>
      <c r="P1288" t="s">
        <v>2183</v>
      </c>
      <c r="R1288"/>
      <c r="S1288" t="s">
        <v>2184</v>
      </c>
      <c r="T1288" s="12" t="s">
        <v>2185</v>
      </c>
      <c r="U1288" s="12" t="s">
        <v>2186</v>
      </c>
      <c r="V1288" s="12" t="s">
        <v>2187</v>
      </c>
      <c r="W1288" s="12">
        <v>0</v>
      </c>
      <c r="X1288" s="12">
        <v>1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2">
        <v>0</v>
      </c>
      <c r="AK1288" s="12">
        <v>0</v>
      </c>
      <c r="AL1288" s="12">
        <v>0</v>
      </c>
      <c r="AM1288" s="12"/>
      <c r="AN1288" s="12">
        <v>0</v>
      </c>
      <c r="AO1288" s="12">
        <v>0</v>
      </c>
      <c r="AP1288" s="12">
        <v>0</v>
      </c>
      <c r="AQ1288" s="12">
        <v>0</v>
      </c>
      <c r="AR1288" s="12">
        <v>0</v>
      </c>
      <c r="AS1288" s="12">
        <v>0</v>
      </c>
      <c r="AT1288" s="12">
        <v>0</v>
      </c>
      <c r="AU1288" s="12">
        <v>0</v>
      </c>
      <c r="AV1288" s="12">
        <v>0</v>
      </c>
      <c r="AW1288" s="12">
        <v>0</v>
      </c>
      <c r="AX1288" s="12">
        <v>0</v>
      </c>
      <c r="AY1288" s="12">
        <v>0</v>
      </c>
      <c r="AZ1288"/>
      <c r="BA1288"/>
      <c r="BB1288" s="12">
        <v>0</v>
      </c>
      <c r="BC1288" s="12">
        <v>0</v>
      </c>
      <c r="BD1288" s="12">
        <v>0</v>
      </c>
      <c r="BE1288" s="12">
        <v>0</v>
      </c>
      <c r="BF1288" s="12">
        <v>0</v>
      </c>
      <c r="BI1288" s="12">
        <v>0</v>
      </c>
      <c r="BJ1288" s="12">
        <v>0</v>
      </c>
    </row>
    <row r="1289" spans="1:62" x14ac:dyDescent="0.15">
      <c r="A1289" s="12"/>
      <c r="B1289" t="s">
        <v>2622</v>
      </c>
      <c r="C1289" t="s">
        <v>2622</v>
      </c>
      <c r="D1289" t="s">
        <v>6596</v>
      </c>
      <c r="E1289" t="s">
        <v>2182</v>
      </c>
      <c r="F1289"/>
      <c r="G1289"/>
      <c r="H1289"/>
      <c r="I1289"/>
      <c r="J1289"/>
      <c r="K1289"/>
      <c r="L1289" s="10">
        <v>3836600</v>
      </c>
      <c r="M1289" s="10">
        <v>397500</v>
      </c>
      <c r="N1289" s="12">
        <v>15</v>
      </c>
      <c r="O1289" s="12" t="s">
        <v>6992</v>
      </c>
      <c r="P1289" t="s">
        <v>2183</v>
      </c>
      <c r="R1289"/>
      <c r="S1289" t="s">
        <v>2184</v>
      </c>
      <c r="T1289" s="12" t="s">
        <v>2185</v>
      </c>
      <c r="U1289" s="12" t="s">
        <v>2186</v>
      </c>
      <c r="V1289" s="12" t="s">
        <v>2187</v>
      </c>
      <c r="W1289" s="12">
        <v>0</v>
      </c>
      <c r="X1289" s="12">
        <v>1</v>
      </c>
      <c r="Y1289" s="12">
        <v>0</v>
      </c>
      <c r="Z1289" s="12">
        <v>0</v>
      </c>
      <c r="AA1289" s="12">
        <v>0</v>
      </c>
      <c r="AB1289" s="12">
        <v>0</v>
      </c>
      <c r="AC1289" s="12">
        <v>0</v>
      </c>
      <c r="AD1289" s="12">
        <v>0</v>
      </c>
      <c r="AE1289" s="12">
        <v>0</v>
      </c>
      <c r="AF1289" s="12">
        <v>0</v>
      </c>
      <c r="AG1289" s="12">
        <v>0</v>
      </c>
      <c r="AH1289" s="12">
        <v>0</v>
      </c>
      <c r="AI1289" s="12">
        <v>0</v>
      </c>
      <c r="AJ1289" s="12">
        <v>0</v>
      </c>
      <c r="AK1289" s="12">
        <v>0</v>
      </c>
      <c r="AL1289" s="12">
        <v>0</v>
      </c>
      <c r="AM1289" s="12"/>
      <c r="AN1289" s="12">
        <v>0</v>
      </c>
      <c r="AO1289" s="12">
        <v>0</v>
      </c>
      <c r="AP1289" s="12">
        <v>0</v>
      </c>
      <c r="AQ1289" s="12">
        <v>0</v>
      </c>
      <c r="AR1289" s="12">
        <v>0</v>
      </c>
      <c r="AS1289" s="12">
        <v>0</v>
      </c>
      <c r="AT1289" s="12">
        <v>0</v>
      </c>
      <c r="AU1289" s="12">
        <v>0</v>
      </c>
      <c r="AV1289" s="12">
        <v>0</v>
      </c>
      <c r="AW1289" s="12">
        <v>0</v>
      </c>
      <c r="AX1289" s="12">
        <v>0</v>
      </c>
      <c r="AY1289" s="12">
        <v>0</v>
      </c>
      <c r="AZ1289"/>
      <c r="BA1289"/>
      <c r="BB1289" s="12">
        <v>0</v>
      </c>
      <c r="BC1289" s="12">
        <v>0</v>
      </c>
      <c r="BD1289" s="12">
        <v>0</v>
      </c>
      <c r="BE1289" s="12">
        <v>0</v>
      </c>
      <c r="BF1289" s="12">
        <v>0</v>
      </c>
      <c r="BI1289" s="12">
        <v>0</v>
      </c>
      <c r="BJ1289" s="12">
        <v>0</v>
      </c>
    </row>
    <row r="1290" spans="1:62" x14ac:dyDescent="0.15">
      <c r="A1290" s="12"/>
      <c r="B1290" t="s">
        <v>2623</v>
      </c>
      <c r="C1290" t="s">
        <v>2623</v>
      </c>
      <c r="D1290" t="s">
        <v>6596</v>
      </c>
      <c r="E1290" t="s">
        <v>2182</v>
      </c>
      <c r="F1290"/>
      <c r="G1290"/>
      <c r="H1290"/>
      <c r="I1290"/>
      <c r="J1290"/>
      <c r="K1290"/>
      <c r="L1290" s="10">
        <v>3836210</v>
      </c>
      <c r="M1290" s="10">
        <v>397385</v>
      </c>
      <c r="N1290" s="12">
        <v>15</v>
      </c>
      <c r="O1290" s="12" t="s">
        <v>6992</v>
      </c>
      <c r="P1290" t="s">
        <v>2183</v>
      </c>
      <c r="R1290"/>
      <c r="S1290" t="s">
        <v>2184</v>
      </c>
      <c r="T1290" s="12" t="s">
        <v>2185</v>
      </c>
      <c r="U1290" s="12" t="s">
        <v>2186</v>
      </c>
      <c r="V1290" s="12" t="s">
        <v>2187</v>
      </c>
      <c r="W1290" s="12">
        <v>0</v>
      </c>
      <c r="X1290" s="12">
        <v>1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2">
        <v>0</v>
      </c>
      <c r="AK1290" s="12">
        <v>0</v>
      </c>
      <c r="AL1290" s="12">
        <v>0</v>
      </c>
      <c r="AM1290" s="12"/>
      <c r="AN1290" s="12">
        <v>0</v>
      </c>
      <c r="AO1290" s="12">
        <v>0</v>
      </c>
      <c r="AP1290" s="12">
        <v>0</v>
      </c>
      <c r="AQ1290" s="12">
        <v>0</v>
      </c>
      <c r="AR1290" s="12">
        <v>0</v>
      </c>
      <c r="AS1290" s="12">
        <v>0</v>
      </c>
      <c r="AT1290" s="12">
        <v>0</v>
      </c>
      <c r="AU1290" s="12">
        <v>0</v>
      </c>
      <c r="AV1290" s="12">
        <v>0</v>
      </c>
      <c r="AW1290" s="12">
        <v>0</v>
      </c>
      <c r="AX1290" s="12">
        <v>0</v>
      </c>
      <c r="AY1290" s="12">
        <v>0</v>
      </c>
      <c r="AZ1290"/>
      <c r="BA1290"/>
      <c r="BB1290" s="12">
        <v>0</v>
      </c>
      <c r="BC1290" s="12">
        <v>0</v>
      </c>
      <c r="BD1290" s="12">
        <v>0</v>
      </c>
      <c r="BE1290" s="12">
        <v>0</v>
      </c>
      <c r="BF1290" s="12">
        <v>0</v>
      </c>
      <c r="BI1290" s="12">
        <v>0</v>
      </c>
      <c r="BJ1290" s="12">
        <v>0</v>
      </c>
    </row>
    <row r="1291" spans="1:62" x14ac:dyDescent="0.15">
      <c r="A1291" s="12"/>
      <c r="B1291" t="s">
        <v>2624</v>
      </c>
      <c r="C1291" t="s">
        <v>2624</v>
      </c>
      <c r="D1291" t="s">
        <v>6596</v>
      </c>
      <c r="E1291" t="s">
        <v>2182</v>
      </c>
      <c r="F1291"/>
      <c r="G1291"/>
      <c r="H1291"/>
      <c r="I1291"/>
      <c r="J1291"/>
      <c r="K1291"/>
      <c r="L1291" s="10">
        <v>3836190</v>
      </c>
      <c r="M1291" s="10">
        <v>397890</v>
      </c>
      <c r="N1291" s="12">
        <v>15</v>
      </c>
      <c r="O1291" s="12" t="s">
        <v>6992</v>
      </c>
      <c r="P1291" t="s">
        <v>2183</v>
      </c>
      <c r="R1291"/>
      <c r="S1291" t="s">
        <v>2184</v>
      </c>
      <c r="T1291" s="12" t="s">
        <v>2185</v>
      </c>
      <c r="U1291" s="12" t="s">
        <v>2186</v>
      </c>
      <c r="V1291" s="12" t="s">
        <v>2187</v>
      </c>
      <c r="W1291" s="12">
        <v>0</v>
      </c>
      <c r="X1291" s="12">
        <v>1</v>
      </c>
      <c r="Y1291" s="12">
        <v>0</v>
      </c>
      <c r="Z1291" s="12">
        <v>0</v>
      </c>
      <c r="AA1291" s="12">
        <v>0</v>
      </c>
      <c r="AB1291" s="12">
        <v>0</v>
      </c>
      <c r="AC1291" s="12">
        <v>0</v>
      </c>
      <c r="AD1291" s="12">
        <v>0</v>
      </c>
      <c r="AE1291" s="12">
        <v>0</v>
      </c>
      <c r="AF1291" s="12">
        <v>0</v>
      </c>
      <c r="AG1291" s="12">
        <v>0</v>
      </c>
      <c r="AH1291" s="12">
        <v>0</v>
      </c>
      <c r="AI1291" s="12">
        <v>0</v>
      </c>
      <c r="AJ1291" s="12">
        <v>0</v>
      </c>
      <c r="AK1291" s="12">
        <v>0</v>
      </c>
      <c r="AL1291" s="12">
        <v>0</v>
      </c>
      <c r="AM1291" s="12"/>
      <c r="AN1291" s="12">
        <v>0</v>
      </c>
      <c r="AO1291" s="12">
        <v>0</v>
      </c>
      <c r="AP1291" s="12">
        <v>0</v>
      </c>
      <c r="AQ1291" s="12">
        <v>0</v>
      </c>
      <c r="AR1291" s="12">
        <v>0</v>
      </c>
      <c r="AS1291" s="12">
        <v>0</v>
      </c>
      <c r="AT1291" s="12">
        <v>0</v>
      </c>
      <c r="AU1291" s="12">
        <v>0</v>
      </c>
      <c r="AV1291" s="12">
        <v>0</v>
      </c>
      <c r="AW1291" s="12">
        <v>0</v>
      </c>
      <c r="AX1291" s="12">
        <v>0</v>
      </c>
      <c r="AY1291" s="12">
        <v>0</v>
      </c>
      <c r="AZ1291"/>
      <c r="BA1291"/>
      <c r="BB1291" s="12">
        <v>0</v>
      </c>
      <c r="BC1291" s="12">
        <v>0</v>
      </c>
      <c r="BD1291" s="12">
        <v>0</v>
      </c>
      <c r="BE1291" s="12">
        <v>0</v>
      </c>
      <c r="BF1291" s="12">
        <v>0</v>
      </c>
      <c r="BI1291" s="12">
        <v>0</v>
      </c>
      <c r="BJ1291" s="12">
        <v>0</v>
      </c>
    </row>
    <row r="1292" spans="1:62" x14ac:dyDescent="0.15">
      <c r="A1292" s="12"/>
      <c r="B1292" t="s">
        <v>2625</v>
      </c>
      <c r="C1292" t="s">
        <v>2625</v>
      </c>
      <c r="D1292" t="s">
        <v>6596</v>
      </c>
      <c r="E1292" t="s">
        <v>2182</v>
      </c>
      <c r="F1292"/>
      <c r="G1292"/>
      <c r="H1292"/>
      <c r="I1292"/>
      <c r="J1292"/>
      <c r="K1292"/>
      <c r="L1292" s="10">
        <v>3836320</v>
      </c>
      <c r="M1292" s="10">
        <v>397795</v>
      </c>
      <c r="N1292" s="12">
        <v>15</v>
      </c>
      <c r="O1292" s="12" t="s">
        <v>6992</v>
      </c>
      <c r="P1292" t="s">
        <v>2183</v>
      </c>
      <c r="R1292"/>
      <c r="S1292" t="s">
        <v>2184</v>
      </c>
      <c r="T1292" s="12" t="s">
        <v>2185</v>
      </c>
      <c r="U1292" s="12" t="s">
        <v>2186</v>
      </c>
      <c r="V1292" s="12" t="s">
        <v>2187</v>
      </c>
      <c r="W1292" s="12">
        <v>0</v>
      </c>
      <c r="X1292" s="12">
        <v>1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2">
        <v>0</v>
      </c>
      <c r="AK1292" s="12">
        <v>0</v>
      </c>
      <c r="AL1292" s="12">
        <v>0</v>
      </c>
      <c r="AM1292" s="12"/>
      <c r="AN1292" s="12">
        <v>0</v>
      </c>
      <c r="AO1292" s="12">
        <v>0</v>
      </c>
      <c r="AP1292" s="12">
        <v>0</v>
      </c>
      <c r="AQ1292" s="12">
        <v>0</v>
      </c>
      <c r="AR1292" s="12">
        <v>0</v>
      </c>
      <c r="AS1292" s="12">
        <v>0</v>
      </c>
      <c r="AT1292" s="12">
        <v>0</v>
      </c>
      <c r="AU1292" s="12">
        <v>0</v>
      </c>
      <c r="AV1292" s="12">
        <v>0</v>
      </c>
      <c r="AW1292" s="12">
        <v>0</v>
      </c>
      <c r="AX1292" s="12">
        <v>0</v>
      </c>
      <c r="AY1292" s="12">
        <v>0</v>
      </c>
      <c r="AZ1292"/>
      <c r="BA1292"/>
      <c r="BB1292" s="12">
        <v>0</v>
      </c>
      <c r="BC1292" s="12">
        <v>0</v>
      </c>
      <c r="BD1292" s="12">
        <v>0</v>
      </c>
      <c r="BE1292" s="12">
        <v>0</v>
      </c>
      <c r="BF1292" s="12">
        <v>0</v>
      </c>
      <c r="BI1292" s="12">
        <v>0</v>
      </c>
      <c r="BJ1292" s="12">
        <v>0</v>
      </c>
    </row>
    <row r="1293" spans="1:62" x14ac:dyDescent="0.15">
      <c r="A1293" s="12"/>
      <c r="B1293" t="s">
        <v>2626</v>
      </c>
      <c r="C1293" t="s">
        <v>2626</v>
      </c>
      <c r="D1293" t="s">
        <v>6596</v>
      </c>
      <c r="E1293" t="s">
        <v>2182</v>
      </c>
      <c r="F1293"/>
      <c r="G1293"/>
      <c r="H1293"/>
      <c r="I1293"/>
      <c r="J1293"/>
      <c r="K1293"/>
      <c r="L1293" s="10">
        <v>3836075</v>
      </c>
      <c r="M1293" s="10">
        <v>398035</v>
      </c>
      <c r="N1293" s="12">
        <v>15</v>
      </c>
      <c r="O1293" s="12" t="s">
        <v>6992</v>
      </c>
      <c r="P1293" t="s">
        <v>2183</v>
      </c>
      <c r="R1293"/>
      <c r="S1293" t="s">
        <v>2184</v>
      </c>
      <c r="T1293" s="12" t="s">
        <v>2185</v>
      </c>
      <c r="U1293" s="12" t="s">
        <v>2186</v>
      </c>
      <c r="V1293" s="12" t="s">
        <v>2187</v>
      </c>
      <c r="W1293" s="12">
        <v>0</v>
      </c>
      <c r="X1293" s="12">
        <v>1</v>
      </c>
      <c r="Y1293" s="12">
        <v>0</v>
      </c>
      <c r="Z1293" s="12">
        <v>0</v>
      </c>
      <c r="AA1293" s="12">
        <v>0</v>
      </c>
      <c r="AB1293" s="12">
        <v>0</v>
      </c>
      <c r="AC1293" s="12">
        <v>0</v>
      </c>
      <c r="AD1293" s="12">
        <v>0</v>
      </c>
      <c r="AE1293" s="12">
        <v>0</v>
      </c>
      <c r="AF1293" s="12">
        <v>0</v>
      </c>
      <c r="AG1293" s="12">
        <v>0</v>
      </c>
      <c r="AH1293" s="12">
        <v>0</v>
      </c>
      <c r="AI1293" s="12">
        <v>0</v>
      </c>
      <c r="AJ1293" s="12">
        <v>0</v>
      </c>
      <c r="AK1293" s="12">
        <v>0</v>
      </c>
      <c r="AL1293" s="12">
        <v>0</v>
      </c>
      <c r="AM1293" s="12"/>
      <c r="AN1293" s="12">
        <v>0</v>
      </c>
      <c r="AO1293" s="12">
        <v>0</v>
      </c>
      <c r="AP1293" s="12">
        <v>0</v>
      </c>
      <c r="AQ1293" s="12">
        <v>0</v>
      </c>
      <c r="AR1293" s="12">
        <v>0</v>
      </c>
      <c r="AS1293" s="12">
        <v>0</v>
      </c>
      <c r="AT1293" s="12">
        <v>0</v>
      </c>
      <c r="AU1293" s="12">
        <v>0</v>
      </c>
      <c r="AV1293" s="12">
        <v>0</v>
      </c>
      <c r="AW1293" s="12">
        <v>0</v>
      </c>
      <c r="AX1293" s="12">
        <v>0</v>
      </c>
      <c r="AY1293" s="12">
        <v>0</v>
      </c>
      <c r="AZ1293"/>
      <c r="BA1293"/>
      <c r="BB1293" s="12">
        <v>0</v>
      </c>
      <c r="BC1293" s="12">
        <v>0</v>
      </c>
      <c r="BD1293" s="12">
        <v>0</v>
      </c>
      <c r="BE1293" s="12">
        <v>0</v>
      </c>
      <c r="BF1293" s="12">
        <v>0</v>
      </c>
      <c r="BI1293" s="12">
        <v>0</v>
      </c>
      <c r="BJ1293" s="12">
        <v>0</v>
      </c>
    </row>
    <row r="1294" spans="1:62" x14ac:dyDescent="0.15">
      <c r="A1294" s="12"/>
      <c r="B1294" t="s">
        <v>2627</v>
      </c>
      <c r="C1294" t="s">
        <v>2627</v>
      </c>
      <c r="D1294" t="s">
        <v>6596</v>
      </c>
      <c r="E1294" t="s">
        <v>2182</v>
      </c>
      <c r="F1294"/>
      <c r="G1294"/>
      <c r="H1294"/>
      <c r="I1294"/>
      <c r="J1294"/>
      <c r="K1294"/>
      <c r="L1294" s="10">
        <v>3835980</v>
      </c>
      <c r="M1294" s="10">
        <v>397965</v>
      </c>
      <c r="N1294" s="12">
        <v>15</v>
      </c>
      <c r="O1294" s="12" t="s">
        <v>6992</v>
      </c>
      <c r="P1294" t="s">
        <v>2183</v>
      </c>
      <c r="R1294"/>
      <c r="S1294" t="s">
        <v>2184</v>
      </c>
      <c r="T1294" s="12" t="s">
        <v>2185</v>
      </c>
      <c r="U1294" s="12" t="s">
        <v>2186</v>
      </c>
      <c r="V1294" s="12" t="s">
        <v>2187</v>
      </c>
      <c r="W1294" s="12">
        <v>0</v>
      </c>
      <c r="X1294" s="12">
        <v>1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2">
        <v>0</v>
      </c>
      <c r="AK1294" s="12">
        <v>0</v>
      </c>
      <c r="AL1294" s="12">
        <v>0</v>
      </c>
      <c r="AM1294" s="12"/>
      <c r="AN1294" s="12">
        <v>0</v>
      </c>
      <c r="AO1294" s="12">
        <v>0</v>
      </c>
      <c r="AP1294" s="12">
        <v>0</v>
      </c>
      <c r="AQ1294" s="12">
        <v>0</v>
      </c>
      <c r="AR1294" s="12">
        <v>0</v>
      </c>
      <c r="AS1294" s="12">
        <v>0</v>
      </c>
      <c r="AT1294" s="12">
        <v>0</v>
      </c>
      <c r="AU1294" s="12">
        <v>0</v>
      </c>
      <c r="AV1294" s="12">
        <v>0</v>
      </c>
      <c r="AW1294" s="12">
        <v>0</v>
      </c>
      <c r="AX1294" s="12">
        <v>0</v>
      </c>
      <c r="AY1294" s="12">
        <v>0</v>
      </c>
      <c r="AZ1294"/>
      <c r="BA1294"/>
      <c r="BB1294" s="12">
        <v>0</v>
      </c>
      <c r="BC1294" s="12">
        <v>0</v>
      </c>
      <c r="BD1294" s="12">
        <v>0</v>
      </c>
      <c r="BE1294" s="12">
        <v>0</v>
      </c>
      <c r="BF1294" s="12">
        <v>0</v>
      </c>
      <c r="BI1294" s="12">
        <v>0</v>
      </c>
      <c r="BJ1294" s="12">
        <v>0</v>
      </c>
    </row>
    <row r="1295" spans="1:62" x14ac:dyDescent="0.15">
      <c r="A1295" s="12"/>
      <c r="B1295" t="s">
        <v>2628</v>
      </c>
      <c r="C1295" t="s">
        <v>2628</v>
      </c>
      <c r="D1295" t="s">
        <v>6596</v>
      </c>
      <c r="E1295" t="s">
        <v>2182</v>
      </c>
      <c r="F1295"/>
      <c r="G1295"/>
      <c r="H1295"/>
      <c r="I1295"/>
      <c r="J1295"/>
      <c r="K1295"/>
      <c r="L1295" s="10">
        <v>3836020</v>
      </c>
      <c r="M1295" s="10">
        <v>397320</v>
      </c>
      <c r="N1295" s="12">
        <v>15</v>
      </c>
      <c r="O1295" s="12" t="s">
        <v>6992</v>
      </c>
      <c r="P1295" t="s">
        <v>2183</v>
      </c>
      <c r="R1295"/>
      <c r="S1295" t="s">
        <v>2184</v>
      </c>
      <c r="T1295" s="12" t="s">
        <v>2185</v>
      </c>
      <c r="U1295" s="12" t="s">
        <v>2186</v>
      </c>
      <c r="V1295" s="12" t="s">
        <v>2187</v>
      </c>
      <c r="W1295" s="12">
        <v>0</v>
      </c>
      <c r="X1295" s="12">
        <v>1</v>
      </c>
      <c r="Y1295" s="12">
        <v>0</v>
      </c>
      <c r="Z1295" s="12">
        <v>0</v>
      </c>
      <c r="AA1295" s="12">
        <v>0</v>
      </c>
      <c r="AB1295" s="12">
        <v>0</v>
      </c>
      <c r="AC1295" s="12">
        <v>0</v>
      </c>
      <c r="AD1295" s="12">
        <v>0</v>
      </c>
      <c r="AE1295" s="12">
        <v>0</v>
      </c>
      <c r="AF1295" s="12">
        <v>0</v>
      </c>
      <c r="AG1295" s="12">
        <v>0</v>
      </c>
      <c r="AH1295" s="12">
        <v>0</v>
      </c>
      <c r="AI1295" s="12">
        <v>0</v>
      </c>
      <c r="AJ1295" s="12">
        <v>0</v>
      </c>
      <c r="AK1295" s="12">
        <v>0</v>
      </c>
      <c r="AL1295" s="12">
        <v>0</v>
      </c>
      <c r="AM1295" s="12"/>
      <c r="AN1295" s="12">
        <v>0</v>
      </c>
      <c r="AO1295" s="12">
        <v>0</v>
      </c>
      <c r="AP1295" s="12">
        <v>0</v>
      </c>
      <c r="AQ1295" s="12">
        <v>0</v>
      </c>
      <c r="AR1295" s="12">
        <v>0</v>
      </c>
      <c r="AS1295" s="12">
        <v>0</v>
      </c>
      <c r="AT1295" s="12">
        <v>0</v>
      </c>
      <c r="AU1295" s="12">
        <v>0</v>
      </c>
      <c r="AV1295" s="12">
        <v>0</v>
      </c>
      <c r="AW1295" s="12">
        <v>0</v>
      </c>
      <c r="AX1295" s="12">
        <v>0</v>
      </c>
      <c r="AY1295" s="12">
        <v>0</v>
      </c>
      <c r="AZ1295"/>
      <c r="BA1295"/>
      <c r="BB1295" s="12">
        <v>0</v>
      </c>
      <c r="BC1295" s="12">
        <v>0</v>
      </c>
      <c r="BD1295" s="12">
        <v>0</v>
      </c>
      <c r="BE1295" s="12">
        <v>0</v>
      </c>
      <c r="BF1295" s="12">
        <v>0</v>
      </c>
      <c r="BI1295" s="12">
        <v>0</v>
      </c>
      <c r="BJ1295" s="12">
        <v>0</v>
      </c>
    </row>
    <row r="1296" spans="1:62" x14ac:dyDescent="0.15">
      <c r="A1296" s="12"/>
      <c r="B1296" t="s">
        <v>2629</v>
      </c>
      <c r="C1296" t="s">
        <v>2629</v>
      </c>
      <c r="D1296" t="s">
        <v>6596</v>
      </c>
      <c r="E1296" t="s">
        <v>2182</v>
      </c>
      <c r="F1296"/>
      <c r="G1296"/>
      <c r="H1296"/>
      <c r="I1296"/>
      <c r="J1296"/>
      <c r="K1296"/>
      <c r="L1296" s="10">
        <v>3835685</v>
      </c>
      <c r="M1296" s="10">
        <v>397205</v>
      </c>
      <c r="N1296" s="12">
        <v>15</v>
      </c>
      <c r="O1296" s="12" t="s">
        <v>6992</v>
      </c>
      <c r="P1296" t="s">
        <v>2183</v>
      </c>
      <c r="R1296"/>
      <c r="S1296" t="s">
        <v>2184</v>
      </c>
      <c r="T1296" s="12" t="s">
        <v>2185</v>
      </c>
      <c r="U1296" s="12" t="s">
        <v>2186</v>
      </c>
      <c r="V1296" s="12" t="s">
        <v>2187</v>
      </c>
      <c r="W1296" s="12">
        <v>0</v>
      </c>
      <c r="X1296" s="12">
        <v>1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2">
        <v>0</v>
      </c>
      <c r="AK1296" s="12">
        <v>0</v>
      </c>
      <c r="AL1296" s="12">
        <v>0</v>
      </c>
      <c r="AM1296" s="12"/>
      <c r="AN1296" s="12">
        <v>0</v>
      </c>
      <c r="AO1296" s="12">
        <v>0</v>
      </c>
      <c r="AP1296" s="12">
        <v>0</v>
      </c>
      <c r="AQ1296" s="12">
        <v>0</v>
      </c>
      <c r="AR1296" s="12">
        <v>0</v>
      </c>
      <c r="AS1296" s="12">
        <v>0</v>
      </c>
      <c r="AT1296" s="12">
        <v>0</v>
      </c>
      <c r="AU1296" s="12">
        <v>0</v>
      </c>
      <c r="AV1296" s="12">
        <v>0</v>
      </c>
      <c r="AW1296" s="12">
        <v>0</v>
      </c>
      <c r="AX1296" s="12">
        <v>0</v>
      </c>
      <c r="AY1296" s="12">
        <v>0</v>
      </c>
      <c r="AZ1296"/>
      <c r="BA1296"/>
      <c r="BB1296" s="12">
        <v>0</v>
      </c>
      <c r="BC1296" s="12">
        <v>0</v>
      </c>
      <c r="BD1296" s="12">
        <v>0</v>
      </c>
      <c r="BE1296" s="12">
        <v>0</v>
      </c>
      <c r="BF1296" s="12">
        <v>0</v>
      </c>
      <c r="BI1296" s="12">
        <v>0</v>
      </c>
      <c r="BJ1296" s="12">
        <v>0</v>
      </c>
    </row>
    <row r="1297" spans="1:62" x14ac:dyDescent="0.15">
      <c r="A1297" s="12"/>
      <c r="B1297" t="s">
        <v>2630</v>
      </c>
      <c r="C1297" t="s">
        <v>2630</v>
      </c>
      <c r="D1297" t="s">
        <v>6596</v>
      </c>
      <c r="E1297" t="s">
        <v>2182</v>
      </c>
      <c r="F1297"/>
      <c r="G1297"/>
      <c r="H1297"/>
      <c r="I1297"/>
      <c r="J1297"/>
      <c r="K1297"/>
      <c r="L1297" s="10">
        <v>3835475</v>
      </c>
      <c r="M1297" s="10">
        <v>397300</v>
      </c>
      <c r="N1297" s="12">
        <v>15</v>
      </c>
      <c r="O1297" s="12" t="s">
        <v>6992</v>
      </c>
      <c r="P1297" t="s">
        <v>2183</v>
      </c>
      <c r="R1297"/>
      <c r="S1297" t="s">
        <v>2184</v>
      </c>
      <c r="T1297" s="12" t="s">
        <v>2185</v>
      </c>
      <c r="U1297" s="12" t="s">
        <v>2186</v>
      </c>
      <c r="V1297" s="12" t="s">
        <v>2187</v>
      </c>
      <c r="W1297" s="12">
        <v>0</v>
      </c>
      <c r="X1297" s="12">
        <v>1</v>
      </c>
      <c r="Y1297" s="12">
        <v>0</v>
      </c>
      <c r="Z1297" s="12">
        <v>0</v>
      </c>
      <c r="AA1297" s="12">
        <v>0</v>
      </c>
      <c r="AB1297" s="12">
        <v>0</v>
      </c>
      <c r="AC1297" s="12">
        <v>0</v>
      </c>
      <c r="AD1297" s="12">
        <v>0</v>
      </c>
      <c r="AE1297" s="12">
        <v>0</v>
      </c>
      <c r="AF1297" s="12">
        <v>0</v>
      </c>
      <c r="AG1297" s="12">
        <v>0</v>
      </c>
      <c r="AH1297" s="12">
        <v>0</v>
      </c>
      <c r="AI1297" s="12">
        <v>0</v>
      </c>
      <c r="AJ1297" s="12">
        <v>0</v>
      </c>
      <c r="AK1297" s="12">
        <v>0</v>
      </c>
      <c r="AL1297" s="12">
        <v>0</v>
      </c>
      <c r="AM1297" s="12"/>
      <c r="AN1297" s="12">
        <v>0</v>
      </c>
      <c r="AO1297" s="12">
        <v>0</v>
      </c>
      <c r="AP1297" s="12">
        <v>0</v>
      </c>
      <c r="AQ1297" s="12">
        <v>0</v>
      </c>
      <c r="AR1297" s="12">
        <v>0</v>
      </c>
      <c r="AS1297" s="12">
        <v>0</v>
      </c>
      <c r="AT1297" s="12">
        <v>0</v>
      </c>
      <c r="AU1297" s="12">
        <v>0</v>
      </c>
      <c r="AV1297" s="12">
        <v>0</v>
      </c>
      <c r="AW1297" s="12">
        <v>0</v>
      </c>
      <c r="AX1297" s="12">
        <v>0</v>
      </c>
      <c r="AY1297" s="12">
        <v>0</v>
      </c>
      <c r="AZ1297"/>
      <c r="BA1297"/>
      <c r="BB1297" s="12">
        <v>0</v>
      </c>
      <c r="BC1297" s="12">
        <v>0</v>
      </c>
      <c r="BD1297" s="12">
        <v>0</v>
      </c>
      <c r="BE1297" s="12">
        <v>0</v>
      </c>
      <c r="BF1297" s="12">
        <v>0</v>
      </c>
      <c r="BI1297" s="12">
        <v>0</v>
      </c>
      <c r="BJ1297" s="12">
        <v>0</v>
      </c>
    </row>
    <row r="1298" spans="1:62" x14ac:dyDescent="0.15">
      <c r="A1298" s="12"/>
      <c r="B1298" t="s">
        <v>2631</v>
      </c>
      <c r="C1298" t="s">
        <v>2631</v>
      </c>
      <c r="D1298" t="s">
        <v>6596</v>
      </c>
      <c r="E1298" t="s">
        <v>2182</v>
      </c>
      <c r="F1298"/>
      <c r="G1298"/>
      <c r="H1298"/>
      <c r="I1298"/>
      <c r="J1298"/>
      <c r="K1298"/>
      <c r="L1298" s="10">
        <v>3838710</v>
      </c>
      <c r="M1298" s="10">
        <v>642630</v>
      </c>
      <c r="N1298" s="12">
        <v>15</v>
      </c>
      <c r="O1298" s="12" t="s">
        <v>6992</v>
      </c>
      <c r="P1298" t="s">
        <v>2183</v>
      </c>
      <c r="R1298"/>
      <c r="S1298" t="s">
        <v>2184</v>
      </c>
      <c r="T1298" s="12" t="s">
        <v>2185</v>
      </c>
      <c r="U1298" s="12" t="s">
        <v>2186</v>
      </c>
      <c r="V1298" s="12" t="s">
        <v>2187</v>
      </c>
      <c r="W1298" s="12">
        <v>0</v>
      </c>
      <c r="X1298" s="12">
        <v>1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2">
        <v>0</v>
      </c>
      <c r="AK1298" s="12">
        <v>0</v>
      </c>
      <c r="AL1298" s="12">
        <v>0</v>
      </c>
      <c r="AM1298" s="12"/>
      <c r="AN1298" s="12">
        <v>0</v>
      </c>
      <c r="AO1298" s="12">
        <v>0</v>
      </c>
      <c r="AP1298" s="12">
        <v>0</v>
      </c>
      <c r="AQ1298" s="12">
        <v>0</v>
      </c>
      <c r="AR1298" s="12">
        <v>0</v>
      </c>
      <c r="AS1298" s="12">
        <v>0</v>
      </c>
      <c r="AT1298" s="12">
        <v>0</v>
      </c>
      <c r="AU1298" s="12">
        <v>0</v>
      </c>
      <c r="AV1298" s="12">
        <v>0</v>
      </c>
      <c r="AW1298" s="12">
        <v>0</v>
      </c>
      <c r="AX1298" s="12">
        <v>0</v>
      </c>
      <c r="AY1298" s="12">
        <v>0</v>
      </c>
      <c r="AZ1298"/>
      <c r="BA1298"/>
      <c r="BB1298" s="12">
        <v>0</v>
      </c>
      <c r="BC1298" s="12">
        <v>0</v>
      </c>
      <c r="BD1298" s="12">
        <v>0</v>
      </c>
      <c r="BE1298" s="12">
        <v>0</v>
      </c>
      <c r="BF1298" s="12">
        <v>0</v>
      </c>
      <c r="BI1298" s="12">
        <v>0</v>
      </c>
      <c r="BJ1298" s="12">
        <v>0</v>
      </c>
    </row>
    <row r="1299" spans="1:62" x14ac:dyDescent="0.15">
      <c r="A1299" s="12"/>
      <c r="B1299" t="s">
        <v>2632</v>
      </c>
      <c r="C1299" t="s">
        <v>2632</v>
      </c>
      <c r="D1299" t="s">
        <v>6596</v>
      </c>
      <c r="E1299" t="s">
        <v>2182</v>
      </c>
      <c r="F1299"/>
      <c r="G1299"/>
      <c r="H1299"/>
      <c r="I1299"/>
      <c r="J1299"/>
      <c r="K1299"/>
      <c r="L1299" s="10">
        <v>3803700</v>
      </c>
      <c r="M1299" s="10">
        <v>454090</v>
      </c>
      <c r="N1299" s="12">
        <v>15</v>
      </c>
      <c r="O1299" s="12" t="s">
        <v>6992</v>
      </c>
      <c r="P1299" t="s">
        <v>2183</v>
      </c>
      <c r="R1299"/>
      <c r="S1299" t="s">
        <v>2184</v>
      </c>
      <c r="T1299" s="12" t="s">
        <v>2185</v>
      </c>
      <c r="U1299" s="12" t="s">
        <v>2186</v>
      </c>
      <c r="V1299" s="12" t="s">
        <v>2187</v>
      </c>
      <c r="W1299" s="12">
        <v>0</v>
      </c>
      <c r="X1299" s="12">
        <v>1</v>
      </c>
      <c r="Y1299" s="12">
        <v>0</v>
      </c>
      <c r="Z1299" s="12">
        <v>0</v>
      </c>
      <c r="AA1299" s="12">
        <v>0</v>
      </c>
      <c r="AB1299" s="12">
        <v>0</v>
      </c>
      <c r="AC1299" s="12">
        <v>0</v>
      </c>
      <c r="AD1299" s="12">
        <v>0</v>
      </c>
      <c r="AE1299" s="12">
        <v>0</v>
      </c>
      <c r="AF1299" s="12">
        <v>0</v>
      </c>
      <c r="AG1299" s="12">
        <v>0</v>
      </c>
      <c r="AH1299" s="12">
        <v>0</v>
      </c>
      <c r="AI1299" s="12">
        <v>0</v>
      </c>
      <c r="AJ1299" s="12">
        <v>0</v>
      </c>
      <c r="AK1299" s="12">
        <v>0</v>
      </c>
      <c r="AL1299" s="12">
        <v>0</v>
      </c>
      <c r="AM1299" s="12"/>
      <c r="AN1299" s="12">
        <v>0</v>
      </c>
      <c r="AO1299" s="12">
        <v>0</v>
      </c>
      <c r="AP1299" s="12">
        <v>0</v>
      </c>
      <c r="AQ1299" s="12">
        <v>0</v>
      </c>
      <c r="AR1299" s="12">
        <v>0</v>
      </c>
      <c r="AS1299" s="12">
        <v>0</v>
      </c>
      <c r="AT1299" s="12">
        <v>0</v>
      </c>
      <c r="AU1299" s="12">
        <v>0</v>
      </c>
      <c r="AV1299" s="12">
        <v>0</v>
      </c>
      <c r="AW1299" s="12">
        <v>0</v>
      </c>
      <c r="AX1299" s="12">
        <v>0</v>
      </c>
      <c r="AY1299" s="12">
        <v>0</v>
      </c>
      <c r="AZ1299"/>
      <c r="BA1299"/>
      <c r="BB1299" s="12">
        <v>0</v>
      </c>
      <c r="BC1299" s="12">
        <v>0</v>
      </c>
      <c r="BD1299" s="12">
        <v>0</v>
      </c>
      <c r="BE1299" s="12">
        <v>0</v>
      </c>
      <c r="BF1299" s="12">
        <v>0</v>
      </c>
      <c r="BI1299" s="12">
        <v>0</v>
      </c>
      <c r="BJ1299" s="12">
        <v>0</v>
      </c>
    </row>
    <row r="1300" spans="1:62" x14ac:dyDescent="0.15">
      <c r="A1300" s="12"/>
      <c r="B1300" t="s">
        <v>2633</v>
      </c>
      <c r="C1300" t="s">
        <v>2633</v>
      </c>
      <c r="D1300" t="s">
        <v>6596</v>
      </c>
      <c r="E1300" t="s">
        <v>2182</v>
      </c>
      <c r="F1300"/>
      <c r="G1300"/>
      <c r="H1300"/>
      <c r="I1300"/>
      <c r="J1300"/>
      <c r="K1300"/>
      <c r="L1300" s="10">
        <v>3838590</v>
      </c>
      <c r="M1300" s="10">
        <v>641810</v>
      </c>
      <c r="N1300" s="12">
        <v>15</v>
      </c>
      <c r="O1300" s="12" t="s">
        <v>6992</v>
      </c>
      <c r="P1300" t="s">
        <v>2183</v>
      </c>
      <c r="R1300"/>
      <c r="S1300" t="s">
        <v>2184</v>
      </c>
      <c r="T1300" s="12" t="s">
        <v>2185</v>
      </c>
      <c r="U1300" s="12" t="s">
        <v>2186</v>
      </c>
      <c r="V1300" s="12" t="s">
        <v>2187</v>
      </c>
      <c r="W1300" s="12">
        <v>0</v>
      </c>
      <c r="X1300" s="12">
        <v>1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2">
        <v>0</v>
      </c>
      <c r="AK1300" s="12">
        <v>0</v>
      </c>
      <c r="AL1300" s="12">
        <v>0</v>
      </c>
      <c r="AM1300" s="12"/>
      <c r="AN1300" s="12">
        <v>0</v>
      </c>
      <c r="AO1300" s="12">
        <v>0</v>
      </c>
      <c r="AP1300" s="12">
        <v>0</v>
      </c>
      <c r="AQ1300" s="12">
        <v>0</v>
      </c>
      <c r="AR1300" s="12">
        <v>0</v>
      </c>
      <c r="AS1300" s="12">
        <v>0</v>
      </c>
      <c r="AT1300" s="12">
        <v>0</v>
      </c>
      <c r="AU1300" s="12">
        <v>0</v>
      </c>
      <c r="AV1300" s="12">
        <v>0</v>
      </c>
      <c r="AW1300" s="12">
        <v>0</v>
      </c>
      <c r="AX1300" s="12">
        <v>0</v>
      </c>
      <c r="AY1300" s="12">
        <v>0</v>
      </c>
      <c r="AZ1300"/>
      <c r="BA1300"/>
      <c r="BB1300" s="12">
        <v>0</v>
      </c>
      <c r="BC1300" s="12">
        <v>0</v>
      </c>
      <c r="BD1300" s="12">
        <v>0</v>
      </c>
      <c r="BE1300" s="12">
        <v>0</v>
      </c>
      <c r="BF1300" s="12">
        <v>0</v>
      </c>
      <c r="BI1300" s="12">
        <v>0</v>
      </c>
      <c r="BJ1300" s="12">
        <v>0</v>
      </c>
    </row>
    <row r="1301" spans="1:62" x14ac:dyDescent="0.15">
      <c r="A1301" s="12"/>
      <c r="B1301" t="s">
        <v>2634</v>
      </c>
      <c r="C1301" t="s">
        <v>2634</v>
      </c>
      <c r="D1301" t="s">
        <v>6596</v>
      </c>
      <c r="E1301" t="s">
        <v>2182</v>
      </c>
      <c r="F1301"/>
      <c r="G1301"/>
      <c r="H1301"/>
      <c r="I1301"/>
      <c r="J1301"/>
      <c r="K1301"/>
      <c r="L1301" s="10">
        <v>3844960</v>
      </c>
      <c r="M1301" s="10">
        <v>638820</v>
      </c>
      <c r="N1301" s="12">
        <v>15</v>
      </c>
      <c r="O1301" s="12" t="s">
        <v>6992</v>
      </c>
      <c r="P1301" t="s">
        <v>2183</v>
      </c>
      <c r="R1301"/>
      <c r="S1301" t="s">
        <v>2184</v>
      </c>
      <c r="T1301" s="12" t="s">
        <v>2185</v>
      </c>
      <c r="U1301" s="12" t="s">
        <v>2186</v>
      </c>
      <c r="V1301" s="12" t="s">
        <v>2187</v>
      </c>
      <c r="W1301" s="12">
        <v>0</v>
      </c>
      <c r="X1301" s="12">
        <v>1</v>
      </c>
      <c r="Y1301" s="12">
        <v>0</v>
      </c>
      <c r="Z1301" s="12">
        <v>0</v>
      </c>
      <c r="AA1301" s="12">
        <v>0</v>
      </c>
      <c r="AB1301" s="12">
        <v>0</v>
      </c>
      <c r="AC1301" s="12">
        <v>0</v>
      </c>
      <c r="AD1301" s="12">
        <v>0</v>
      </c>
      <c r="AE1301" s="12">
        <v>0</v>
      </c>
      <c r="AF1301" s="12">
        <v>0</v>
      </c>
      <c r="AG1301" s="12">
        <v>0</v>
      </c>
      <c r="AH1301" s="12">
        <v>0</v>
      </c>
      <c r="AI1301" s="12">
        <v>0</v>
      </c>
      <c r="AJ1301" s="12">
        <v>0</v>
      </c>
      <c r="AK1301" s="12">
        <v>0</v>
      </c>
      <c r="AL1301" s="12">
        <v>0</v>
      </c>
      <c r="AM1301" s="12"/>
      <c r="AN1301" s="12">
        <v>0</v>
      </c>
      <c r="AO1301" s="12">
        <v>0</v>
      </c>
      <c r="AP1301" s="12">
        <v>0</v>
      </c>
      <c r="AQ1301" s="12">
        <v>0</v>
      </c>
      <c r="AR1301" s="12">
        <v>0</v>
      </c>
      <c r="AS1301" s="12">
        <v>0</v>
      </c>
      <c r="AT1301" s="12">
        <v>0</v>
      </c>
      <c r="AU1301" s="12">
        <v>0</v>
      </c>
      <c r="AV1301" s="12">
        <v>0</v>
      </c>
      <c r="AW1301" s="12">
        <v>0</v>
      </c>
      <c r="AX1301" s="12">
        <v>0</v>
      </c>
      <c r="AY1301" s="12">
        <v>0</v>
      </c>
      <c r="AZ1301"/>
      <c r="BA1301"/>
      <c r="BB1301" s="12">
        <v>0</v>
      </c>
      <c r="BC1301" s="12">
        <v>0</v>
      </c>
      <c r="BD1301" s="12">
        <v>0</v>
      </c>
      <c r="BE1301" s="12">
        <v>0</v>
      </c>
      <c r="BF1301" s="12">
        <v>0</v>
      </c>
      <c r="BI1301" s="12">
        <v>0</v>
      </c>
      <c r="BJ1301" s="12">
        <v>0</v>
      </c>
    </row>
    <row r="1302" spans="1:62" x14ac:dyDescent="0.15">
      <c r="A1302" s="12"/>
      <c r="B1302" t="s">
        <v>2635</v>
      </c>
      <c r="C1302" t="s">
        <v>2635</v>
      </c>
      <c r="D1302" t="s">
        <v>6596</v>
      </c>
      <c r="E1302" t="s">
        <v>2182</v>
      </c>
      <c r="F1302"/>
      <c r="G1302"/>
      <c r="H1302"/>
      <c r="I1302"/>
      <c r="J1302"/>
      <c r="K1302"/>
      <c r="L1302" s="10">
        <v>3845840</v>
      </c>
      <c r="M1302" s="10">
        <v>638860</v>
      </c>
      <c r="N1302" s="12">
        <v>15</v>
      </c>
      <c r="O1302" s="12" t="s">
        <v>6992</v>
      </c>
      <c r="P1302" t="s">
        <v>2183</v>
      </c>
      <c r="R1302"/>
      <c r="S1302" t="s">
        <v>2184</v>
      </c>
      <c r="T1302" s="12" t="s">
        <v>2185</v>
      </c>
      <c r="U1302" s="12" t="s">
        <v>2186</v>
      </c>
      <c r="V1302" s="12" t="s">
        <v>2187</v>
      </c>
      <c r="W1302" s="12">
        <v>0</v>
      </c>
      <c r="X1302" s="12">
        <v>1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2">
        <v>0</v>
      </c>
      <c r="AK1302" s="12">
        <v>0</v>
      </c>
      <c r="AL1302" s="12">
        <v>0</v>
      </c>
      <c r="AM1302" s="12"/>
      <c r="AN1302" s="12">
        <v>0</v>
      </c>
      <c r="AO1302" s="12">
        <v>0</v>
      </c>
      <c r="AP1302" s="12">
        <v>0</v>
      </c>
      <c r="AQ1302" s="12">
        <v>0</v>
      </c>
      <c r="AR1302" s="12">
        <v>0</v>
      </c>
      <c r="AS1302" s="12">
        <v>0</v>
      </c>
      <c r="AT1302" s="12">
        <v>0</v>
      </c>
      <c r="AU1302" s="12">
        <v>0</v>
      </c>
      <c r="AV1302" s="12">
        <v>0</v>
      </c>
      <c r="AW1302" s="12">
        <v>0</v>
      </c>
      <c r="AX1302" s="12">
        <v>0</v>
      </c>
      <c r="AY1302" s="12">
        <v>0</v>
      </c>
      <c r="AZ1302"/>
      <c r="BA1302"/>
      <c r="BB1302" s="12">
        <v>0</v>
      </c>
      <c r="BC1302" s="12">
        <v>0</v>
      </c>
      <c r="BD1302" s="12">
        <v>0</v>
      </c>
      <c r="BE1302" s="12">
        <v>0</v>
      </c>
      <c r="BF1302" s="12">
        <v>0</v>
      </c>
      <c r="BI1302" s="12">
        <v>0</v>
      </c>
      <c r="BJ1302" s="12">
        <v>0</v>
      </c>
    </row>
    <row r="1303" spans="1:62" x14ac:dyDescent="0.15">
      <c r="A1303" s="12"/>
      <c r="B1303" t="s">
        <v>2636</v>
      </c>
      <c r="C1303" t="s">
        <v>2636</v>
      </c>
      <c r="D1303" t="s">
        <v>6596</v>
      </c>
      <c r="E1303" t="s">
        <v>2182</v>
      </c>
      <c r="F1303"/>
      <c r="G1303"/>
      <c r="H1303"/>
      <c r="I1303"/>
      <c r="J1303"/>
      <c r="K1303"/>
      <c r="L1303" s="10">
        <v>3838320</v>
      </c>
      <c r="M1303" s="10">
        <v>645590</v>
      </c>
      <c r="N1303" s="12">
        <v>15</v>
      </c>
      <c r="O1303" s="12" t="s">
        <v>6992</v>
      </c>
      <c r="P1303" t="s">
        <v>2183</v>
      </c>
      <c r="R1303"/>
      <c r="S1303" t="s">
        <v>2184</v>
      </c>
      <c r="T1303" s="12" t="s">
        <v>2185</v>
      </c>
      <c r="U1303" s="12" t="s">
        <v>2186</v>
      </c>
      <c r="V1303" s="12" t="s">
        <v>2187</v>
      </c>
      <c r="W1303" s="12">
        <v>0</v>
      </c>
      <c r="X1303" s="12">
        <v>1</v>
      </c>
      <c r="Y1303" s="12">
        <v>0</v>
      </c>
      <c r="Z1303" s="12">
        <v>0</v>
      </c>
      <c r="AA1303" s="12">
        <v>0</v>
      </c>
      <c r="AB1303" s="12">
        <v>0</v>
      </c>
      <c r="AC1303" s="12">
        <v>0</v>
      </c>
      <c r="AD1303" s="12">
        <v>0</v>
      </c>
      <c r="AE1303" s="12">
        <v>0</v>
      </c>
      <c r="AF1303" s="12">
        <v>0</v>
      </c>
      <c r="AG1303" s="12">
        <v>0</v>
      </c>
      <c r="AH1303" s="12">
        <v>0</v>
      </c>
      <c r="AI1303" s="12">
        <v>0</v>
      </c>
      <c r="AJ1303" s="12">
        <v>0</v>
      </c>
      <c r="AK1303" s="12">
        <v>0</v>
      </c>
      <c r="AL1303" s="12">
        <v>0</v>
      </c>
      <c r="AM1303" s="12"/>
      <c r="AN1303" s="12">
        <v>0</v>
      </c>
      <c r="AO1303" s="12">
        <v>0</v>
      </c>
      <c r="AP1303" s="12">
        <v>0</v>
      </c>
      <c r="AQ1303" s="12">
        <v>0</v>
      </c>
      <c r="AR1303" s="12">
        <v>0</v>
      </c>
      <c r="AS1303" s="12">
        <v>0</v>
      </c>
      <c r="AT1303" s="12">
        <v>0</v>
      </c>
      <c r="AU1303" s="12">
        <v>0</v>
      </c>
      <c r="AV1303" s="12">
        <v>0</v>
      </c>
      <c r="AW1303" s="12">
        <v>0</v>
      </c>
      <c r="AX1303" s="12">
        <v>0</v>
      </c>
      <c r="AY1303" s="12">
        <v>0</v>
      </c>
      <c r="AZ1303"/>
      <c r="BA1303"/>
      <c r="BB1303" s="12">
        <v>0</v>
      </c>
      <c r="BC1303" s="12">
        <v>0</v>
      </c>
      <c r="BD1303" s="12">
        <v>0</v>
      </c>
      <c r="BE1303" s="12">
        <v>0</v>
      </c>
      <c r="BF1303" s="12">
        <v>0</v>
      </c>
      <c r="BI1303" s="12">
        <v>0</v>
      </c>
      <c r="BJ1303" s="12">
        <v>0</v>
      </c>
    </row>
    <row r="1304" spans="1:62" x14ac:dyDescent="0.15">
      <c r="A1304" s="12"/>
      <c r="B1304" t="s">
        <v>2637</v>
      </c>
      <c r="C1304" t="s">
        <v>2637</v>
      </c>
      <c r="D1304" t="s">
        <v>6596</v>
      </c>
      <c r="E1304" t="s">
        <v>2182</v>
      </c>
      <c r="F1304"/>
      <c r="G1304"/>
      <c r="H1304"/>
      <c r="I1304"/>
      <c r="J1304"/>
      <c r="K1304"/>
      <c r="L1304" s="10">
        <v>3802634</v>
      </c>
      <c r="M1304" s="10">
        <v>405516</v>
      </c>
      <c r="N1304" s="12">
        <v>15</v>
      </c>
      <c r="O1304" s="12" t="s">
        <v>6992</v>
      </c>
      <c r="P1304" t="s">
        <v>2183</v>
      </c>
      <c r="R1304"/>
      <c r="S1304" t="s">
        <v>2184</v>
      </c>
      <c r="T1304" s="12" t="s">
        <v>2185</v>
      </c>
      <c r="U1304" s="12" t="s">
        <v>2186</v>
      </c>
      <c r="V1304" s="12" t="s">
        <v>2187</v>
      </c>
      <c r="W1304" s="12">
        <v>0</v>
      </c>
      <c r="X1304" s="12">
        <v>1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2">
        <v>0</v>
      </c>
      <c r="AK1304" s="12">
        <v>0</v>
      </c>
      <c r="AL1304" s="12">
        <v>0</v>
      </c>
      <c r="AM1304" s="12"/>
      <c r="AN1304" s="12">
        <v>0</v>
      </c>
      <c r="AO1304" s="12">
        <v>0</v>
      </c>
      <c r="AP1304" s="12">
        <v>0</v>
      </c>
      <c r="AQ1304" s="12">
        <v>0</v>
      </c>
      <c r="AR1304" s="12">
        <v>0</v>
      </c>
      <c r="AS1304" s="12">
        <v>0</v>
      </c>
      <c r="AT1304" s="12">
        <v>0</v>
      </c>
      <c r="AU1304" s="12">
        <v>0</v>
      </c>
      <c r="AV1304" s="12">
        <v>0</v>
      </c>
      <c r="AW1304" s="12">
        <v>0</v>
      </c>
      <c r="AX1304" s="12">
        <v>0</v>
      </c>
      <c r="AY1304" s="12">
        <v>0</v>
      </c>
      <c r="AZ1304"/>
      <c r="BA1304"/>
      <c r="BB1304" s="12">
        <v>0</v>
      </c>
      <c r="BC1304" s="12">
        <v>0</v>
      </c>
      <c r="BD1304" s="12">
        <v>0</v>
      </c>
      <c r="BE1304" s="12">
        <v>0</v>
      </c>
      <c r="BF1304" s="12">
        <v>0</v>
      </c>
      <c r="BI1304" s="12">
        <v>0</v>
      </c>
      <c r="BJ1304" s="12">
        <v>0</v>
      </c>
    </row>
    <row r="1305" spans="1:62" x14ac:dyDescent="0.15">
      <c r="A1305" s="12"/>
      <c r="B1305" t="s">
        <v>2638</v>
      </c>
      <c r="C1305" t="s">
        <v>2638</v>
      </c>
      <c r="D1305" t="s">
        <v>6596</v>
      </c>
      <c r="E1305" t="s">
        <v>2182</v>
      </c>
      <c r="F1305"/>
      <c r="G1305"/>
      <c r="H1305"/>
      <c r="I1305"/>
      <c r="J1305"/>
      <c r="K1305"/>
      <c r="L1305" s="10">
        <v>3839490</v>
      </c>
      <c r="M1305" s="10">
        <v>641520</v>
      </c>
      <c r="N1305" s="12">
        <v>15</v>
      </c>
      <c r="O1305" s="12" t="s">
        <v>6992</v>
      </c>
      <c r="P1305" t="s">
        <v>2183</v>
      </c>
      <c r="R1305"/>
      <c r="S1305" t="s">
        <v>2184</v>
      </c>
      <c r="T1305" s="12" t="s">
        <v>2185</v>
      </c>
      <c r="U1305" s="12" t="s">
        <v>2186</v>
      </c>
      <c r="V1305" s="12" t="s">
        <v>2187</v>
      </c>
      <c r="W1305" s="12">
        <v>0</v>
      </c>
      <c r="X1305" s="12">
        <v>1</v>
      </c>
      <c r="Y1305" s="12">
        <v>0</v>
      </c>
      <c r="Z1305" s="12">
        <v>0</v>
      </c>
      <c r="AA1305" s="12">
        <v>0</v>
      </c>
      <c r="AB1305" s="12">
        <v>0</v>
      </c>
      <c r="AC1305" s="12">
        <v>0</v>
      </c>
      <c r="AD1305" s="12">
        <v>0</v>
      </c>
      <c r="AE1305" s="12">
        <v>0</v>
      </c>
      <c r="AF1305" s="12">
        <v>0</v>
      </c>
      <c r="AG1305" s="12">
        <v>0</v>
      </c>
      <c r="AH1305" s="12">
        <v>0</v>
      </c>
      <c r="AI1305" s="12">
        <v>0</v>
      </c>
      <c r="AJ1305" s="12">
        <v>0</v>
      </c>
      <c r="AK1305" s="12">
        <v>0</v>
      </c>
      <c r="AL1305" s="12">
        <v>0</v>
      </c>
      <c r="AM1305" s="12"/>
      <c r="AN1305" s="12">
        <v>0</v>
      </c>
      <c r="AO1305" s="12">
        <v>0</v>
      </c>
      <c r="AP1305" s="12">
        <v>0</v>
      </c>
      <c r="AQ1305" s="12">
        <v>0</v>
      </c>
      <c r="AR1305" s="12">
        <v>0</v>
      </c>
      <c r="AS1305" s="12">
        <v>0</v>
      </c>
      <c r="AT1305" s="12">
        <v>0</v>
      </c>
      <c r="AU1305" s="12">
        <v>0</v>
      </c>
      <c r="AV1305" s="12">
        <v>0</v>
      </c>
      <c r="AW1305" s="12">
        <v>0</v>
      </c>
      <c r="AX1305" s="12">
        <v>0</v>
      </c>
      <c r="AY1305" s="12">
        <v>0</v>
      </c>
      <c r="AZ1305"/>
      <c r="BA1305"/>
      <c r="BB1305" s="12">
        <v>0</v>
      </c>
      <c r="BC1305" s="12">
        <v>0</v>
      </c>
      <c r="BD1305" s="12">
        <v>0</v>
      </c>
      <c r="BE1305" s="12">
        <v>0</v>
      </c>
      <c r="BF1305" s="12">
        <v>0</v>
      </c>
      <c r="BI1305" s="12">
        <v>0</v>
      </c>
      <c r="BJ1305" s="12">
        <v>0</v>
      </c>
    </row>
    <row r="1306" spans="1:62" x14ac:dyDescent="0.15">
      <c r="A1306" s="12"/>
      <c r="B1306" t="s">
        <v>2639</v>
      </c>
      <c r="C1306" t="s">
        <v>2639</v>
      </c>
      <c r="D1306" t="s">
        <v>6596</v>
      </c>
      <c r="E1306" t="s">
        <v>2182</v>
      </c>
      <c r="F1306"/>
      <c r="G1306"/>
      <c r="H1306"/>
      <c r="I1306"/>
      <c r="J1306"/>
      <c r="K1306"/>
      <c r="L1306" s="10">
        <v>3842040</v>
      </c>
      <c r="M1306" s="10">
        <v>639060</v>
      </c>
      <c r="N1306" s="12">
        <v>15</v>
      </c>
      <c r="O1306" s="12" t="s">
        <v>6992</v>
      </c>
      <c r="P1306" t="s">
        <v>2183</v>
      </c>
      <c r="R1306"/>
      <c r="S1306" t="s">
        <v>2184</v>
      </c>
      <c r="T1306" s="12" t="s">
        <v>2185</v>
      </c>
      <c r="U1306" s="12" t="s">
        <v>2186</v>
      </c>
      <c r="V1306" s="12" t="s">
        <v>2187</v>
      </c>
      <c r="W1306" s="12">
        <v>0</v>
      </c>
      <c r="X1306" s="12">
        <v>1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2">
        <v>0</v>
      </c>
      <c r="AK1306" s="12">
        <v>0</v>
      </c>
      <c r="AL1306" s="12">
        <v>0</v>
      </c>
      <c r="AM1306" s="12"/>
      <c r="AN1306" s="12">
        <v>0</v>
      </c>
      <c r="AO1306" s="12">
        <v>0</v>
      </c>
      <c r="AP1306" s="12">
        <v>0</v>
      </c>
      <c r="AQ1306" s="12">
        <v>0</v>
      </c>
      <c r="AR1306" s="12">
        <v>0</v>
      </c>
      <c r="AS1306" s="12">
        <v>0</v>
      </c>
      <c r="AT1306" s="12">
        <v>0</v>
      </c>
      <c r="AU1306" s="12">
        <v>0</v>
      </c>
      <c r="AV1306" s="12">
        <v>0</v>
      </c>
      <c r="AW1306" s="12">
        <v>0</v>
      </c>
      <c r="AX1306" s="12">
        <v>0</v>
      </c>
      <c r="AY1306" s="12">
        <v>0</v>
      </c>
      <c r="AZ1306"/>
      <c r="BA1306"/>
      <c r="BB1306" s="12">
        <v>0</v>
      </c>
      <c r="BC1306" s="12">
        <v>0</v>
      </c>
      <c r="BD1306" s="12">
        <v>0</v>
      </c>
      <c r="BE1306" s="12">
        <v>0</v>
      </c>
      <c r="BF1306" s="12">
        <v>0</v>
      </c>
      <c r="BI1306" s="12">
        <v>0</v>
      </c>
      <c r="BJ1306" s="12">
        <v>0</v>
      </c>
    </row>
    <row r="1307" spans="1:62" x14ac:dyDescent="0.15">
      <c r="A1307" s="12"/>
      <c r="B1307" t="s">
        <v>2640</v>
      </c>
      <c r="C1307" t="s">
        <v>2640</v>
      </c>
      <c r="D1307" t="s">
        <v>6596</v>
      </c>
      <c r="E1307" t="s">
        <v>2182</v>
      </c>
      <c r="F1307"/>
      <c r="G1307"/>
      <c r="H1307"/>
      <c r="I1307"/>
      <c r="J1307"/>
      <c r="K1307"/>
      <c r="L1307" s="10">
        <v>3833700</v>
      </c>
      <c r="M1307" s="10">
        <v>644020</v>
      </c>
      <c r="N1307" s="12">
        <v>15</v>
      </c>
      <c r="O1307" s="12" t="s">
        <v>6992</v>
      </c>
      <c r="P1307" t="s">
        <v>2183</v>
      </c>
      <c r="R1307"/>
      <c r="S1307" t="s">
        <v>2184</v>
      </c>
      <c r="T1307" s="12" t="s">
        <v>2185</v>
      </c>
      <c r="U1307" s="12" t="s">
        <v>2186</v>
      </c>
      <c r="V1307" s="12" t="s">
        <v>2187</v>
      </c>
      <c r="W1307" s="12">
        <v>0</v>
      </c>
      <c r="X1307" s="12">
        <v>1</v>
      </c>
      <c r="Y1307" s="12">
        <v>0</v>
      </c>
      <c r="Z1307" s="12">
        <v>0</v>
      </c>
      <c r="AA1307" s="12">
        <v>0</v>
      </c>
      <c r="AB1307" s="12">
        <v>0</v>
      </c>
      <c r="AC1307" s="12">
        <v>0</v>
      </c>
      <c r="AD1307" s="12">
        <v>0</v>
      </c>
      <c r="AE1307" s="12">
        <v>0</v>
      </c>
      <c r="AF1307" s="12">
        <v>0</v>
      </c>
      <c r="AG1307" s="12">
        <v>0</v>
      </c>
      <c r="AH1307" s="12">
        <v>0</v>
      </c>
      <c r="AI1307" s="12">
        <v>0</v>
      </c>
      <c r="AJ1307" s="12">
        <v>0</v>
      </c>
      <c r="AK1307" s="12">
        <v>0</v>
      </c>
      <c r="AL1307" s="12">
        <v>0</v>
      </c>
      <c r="AM1307" s="12"/>
      <c r="AN1307" s="12">
        <v>0</v>
      </c>
      <c r="AO1307" s="12">
        <v>0</v>
      </c>
      <c r="AP1307" s="12">
        <v>0</v>
      </c>
      <c r="AQ1307" s="12">
        <v>0</v>
      </c>
      <c r="AR1307" s="12">
        <v>0</v>
      </c>
      <c r="AS1307" s="12">
        <v>0</v>
      </c>
      <c r="AT1307" s="12">
        <v>0</v>
      </c>
      <c r="AU1307" s="12">
        <v>0</v>
      </c>
      <c r="AV1307" s="12">
        <v>0</v>
      </c>
      <c r="AW1307" s="12">
        <v>0</v>
      </c>
      <c r="AX1307" s="12">
        <v>0</v>
      </c>
      <c r="AY1307" s="12">
        <v>0</v>
      </c>
      <c r="AZ1307"/>
      <c r="BA1307"/>
      <c r="BB1307" s="12">
        <v>0</v>
      </c>
      <c r="BC1307" s="12">
        <v>0</v>
      </c>
      <c r="BD1307" s="12">
        <v>0</v>
      </c>
      <c r="BE1307" s="12">
        <v>0</v>
      </c>
      <c r="BF1307" s="12">
        <v>0</v>
      </c>
      <c r="BI1307" s="12">
        <v>0</v>
      </c>
      <c r="BJ1307" s="12">
        <v>0</v>
      </c>
    </row>
    <row r="1308" spans="1:62" x14ac:dyDescent="0.15">
      <c r="A1308" s="12"/>
      <c r="B1308" t="s">
        <v>2641</v>
      </c>
      <c r="C1308" t="s">
        <v>2641</v>
      </c>
      <c r="D1308" t="s">
        <v>6596</v>
      </c>
      <c r="E1308" t="s">
        <v>2182</v>
      </c>
      <c r="F1308"/>
      <c r="G1308"/>
      <c r="H1308"/>
      <c r="I1308"/>
      <c r="J1308"/>
      <c r="K1308"/>
      <c r="L1308" s="10">
        <v>3839140</v>
      </c>
      <c r="M1308" s="10">
        <v>645600</v>
      </c>
      <c r="N1308" s="12">
        <v>15</v>
      </c>
      <c r="O1308" s="12" t="s">
        <v>6992</v>
      </c>
      <c r="P1308" t="s">
        <v>2183</v>
      </c>
      <c r="R1308"/>
      <c r="S1308" t="s">
        <v>2184</v>
      </c>
      <c r="T1308" s="12" t="s">
        <v>2185</v>
      </c>
      <c r="U1308" s="12" t="s">
        <v>2186</v>
      </c>
      <c r="V1308" s="12" t="s">
        <v>2187</v>
      </c>
      <c r="W1308" s="12">
        <v>0</v>
      </c>
      <c r="X1308" s="12">
        <v>1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2">
        <v>0</v>
      </c>
      <c r="AK1308" s="12">
        <v>0</v>
      </c>
      <c r="AL1308" s="12">
        <v>0</v>
      </c>
      <c r="AM1308" s="12"/>
      <c r="AN1308" s="12">
        <v>0</v>
      </c>
      <c r="AO1308" s="12">
        <v>0</v>
      </c>
      <c r="AP1308" s="12">
        <v>0</v>
      </c>
      <c r="AQ1308" s="12">
        <v>0</v>
      </c>
      <c r="AR1308" s="12">
        <v>0</v>
      </c>
      <c r="AS1308" s="12">
        <v>0</v>
      </c>
      <c r="AT1308" s="12">
        <v>0</v>
      </c>
      <c r="AU1308" s="12">
        <v>0</v>
      </c>
      <c r="AV1308" s="12">
        <v>0</v>
      </c>
      <c r="AW1308" s="12">
        <v>0</v>
      </c>
      <c r="AX1308" s="12">
        <v>0</v>
      </c>
      <c r="AY1308" s="12">
        <v>0</v>
      </c>
      <c r="AZ1308"/>
      <c r="BA1308"/>
      <c r="BB1308" s="12">
        <v>0</v>
      </c>
      <c r="BC1308" s="12">
        <v>0</v>
      </c>
      <c r="BD1308" s="12">
        <v>0</v>
      </c>
      <c r="BE1308" s="12">
        <v>0</v>
      </c>
      <c r="BF1308" s="12">
        <v>0</v>
      </c>
      <c r="BI1308" s="12">
        <v>0</v>
      </c>
      <c r="BJ1308" s="12">
        <v>0</v>
      </c>
    </row>
    <row r="1309" spans="1:62" x14ac:dyDescent="0.15">
      <c r="A1309" s="12"/>
      <c r="B1309" t="s">
        <v>2642</v>
      </c>
      <c r="C1309" t="s">
        <v>2642</v>
      </c>
      <c r="D1309" t="s">
        <v>6596</v>
      </c>
      <c r="E1309" t="s">
        <v>2182</v>
      </c>
      <c r="F1309"/>
      <c r="G1309"/>
      <c r="H1309"/>
      <c r="I1309"/>
      <c r="J1309"/>
      <c r="K1309"/>
      <c r="L1309" s="10">
        <v>3802560</v>
      </c>
      <c r="M1309" s="10">
        <v>453250</v>
      </c>
      <c r="N1309" s="12">
        <v>15</v>
      </c>
      <c r="O1309" s="12" t="s">
        <v>6992</v>
      </c>
      <c r="P1309" t="s">
        <v>2183</v>
      </c>
      <c r="R1309"/>
      <c r="S1309" t="s">
        <v>2184</v>
      </c>
      <c r="T1309" s="12" t="s">
        <v>2185</v>
      </c>
      <c r="U1309" s="12" t="s">
        <v>2186</v>
      </c>
      <c r="V1309" s="12" t="s">
        <v>2187</v>
      </c>
      <c r="W1309" s="12">
        <v>0</v>
      </c>
      <c r="X1309" s="12">
        <v>1</v>
      </c>
      <c r="Y1309" s="12">
        <v>0</v>
      </c>
      <c r="Z1309" s="12">
        <v>0</v>
      </c>
      <c r="AA1309" s="12">
        <v>0</v>
      </c>
      <c r="AB1309" s="12">
        <v>0</v>
      </c>
      <c r="AC1309" s="12">
        <v>0</v>
      </c>
      <c r="AD1309" s="12">
        <v>0</v>
      </c>
      <c r="AE1309" s="12">
        <v>0</v>
      </c>
      <c r="AF1309" s="12">
        <v>0</v>
      </c>
      <c r="AG1309" s="12">
        <v>0</v>
      </c>
      <c r="AH1309" s="12">
        <v>0</v>
      </c>
      <c r="AI1309" s="12">
        <v>0</v>
      </c>
      <c r="AJ1309" s="12">
        <v>0</v>
      </c>
      <c r="AK1309" s="12">
        <v>0</v>
      </c>
      <c r="AL1309" s="12">
        <v>0</v>
      </c>
      <c r="AM1309" s="12"/>
      <c r="AN1309" s="12">
        <v>0</v>
      </c>
      <c r="AO1309" s="12">
        <v>0</v>
      </c>
      <c r="AP1309" s="12">
        <v>0</v>
      </c>
      <c r="AQ1309" s="12">
        <v>0</v>
      </c>
      <c r="AR1309" s="12">
        <v>0</v>
      </c>
      <c r="AS1309" s="12">
        <v>0</v>
      </c>
      <c r="AT1309" s="12">
        <v>0</v>
      </c>
      <c r="AU1309" s="12">
        <v>0</v>
      </c>
      <c r="AV1309" s="12">
        <v>0</v>
      </c>
      <c r="AW1309" s="12">
        <v>0</v>
      </c>
      <c r="AX1309" s="12">
        <v>0</v>
      </c>
      <c r="AY1309" s="12">
        <v>0</v>
      </c>
      <c r="AZ1309"/>
      <c r="BA1309"/>
      <c r="BB1309" s="12">
        <v>0</v>
      </c>
      <c r="BC1309" s="12">
        <v>0</v>
      </c>
      <c r="BD1309" s="12">
        <v>0</v>
      </c>
      <c r="BE1309" s="12">
        <v>0</v>
      </c>
      <c r="BF1309" s="12">
        <v>0</v>
      </c>
      <c r="BI1309" s="12">
        <v>0</v>
      </c>
      <c r="BJ1309" s="12">
        <v>0</v>
      </c>
    </row>
    <row r="1310" spans="1:62" x14ac:dyDescent="0.15">
      <c r="A1310" s="12"/>
      <c r="B1310" t="s">
        <v>2643</v>
      </c>
      <c r="C1310" t="s">
        <v>2643</v>
      </c>
      <c r="D1310" t="s">
        <v>6596</v>
      </c>
      <c r="E1310" t="s">
        <v>2182</v>
      </c>
      <c r="F1310"/>
      <c r="G1310"/>
      <c r="H1310"/>
      <c r="I1310"/>
      <c r="J1310"/>
      <c r="K1310"/>
      <c r="L1310" s="10">
        <v>3802660</v>
      </c>
      <c r="M1310" s="10">
        <v>453240</v>
      </c>
      <c r="N1310" s="12">
        <v>15</v>
      </c>
      <c r="O1310" s="12" t="s">
        <v>6992</v>
      </c>
      <c r="P1310" t="s">
        <v>2183</v>
      </c>
      <c r="R1310"/>
      <c r="S1310" t="s">
        <v>2184</v>
      </c>
      <c r="T1310" s="12" t="s">
        <v>2185</v>
      </c>
      <c r="U1310" s="12" t="s">
        <v>2186</v>
      </c>
      <c r="V1310" s="12" t="s">
        <v>2187</v>
      </c>
      <c r="W1310" s="12">
        <v>0</v>
      </c>
      <c r="X1310" s="12">
        <v>1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2">
        <v>0</v>
      </c>
      <c r="AK1310" s="12">
        <v>0</v>
      </c>
      <c r="AL1310" s="12">
        <v>0</v>
      </c>
      <c r="AM1310" s="12"/>
      <c r="AN1310" s="12">
        <v>0</v>
      </c>
      <c r="AO1310" s="12">
        <v>0</v>
      </c>
      <c r="AP1310" s="12">
        <v>0</v>
      </c>
      <c r="AQ1310" s="12">
        <v>0</v>
      </c>
      <c r="AR1310" s="12">
        <v>0</v>
      </c>
      <c r="AS1310" s="12">
        <v>0</v>
      </c>
      <c r="AT1310" s="12">
        <v>0</v>
      </c>
      <c r="AU1310" s="12">
        <v>0</v>
      </c>
      <c r="AV1310" s="12">
        <v>0</v>
      </c>
      <c r="AW1310" s="12">
        <v>0</v>
      </c>
      <c r="AX1310" s="12">
        <v>0</v>
      </c>
      <c r="AY1310" s="12">
        <v>0</v>
      </c>
      <c r="AZ1310"/>
      <c r="BA1310"/>
      <c r="BB1310" s="12">
        <v>0</v>
      </c>
      <c r="BC1310" s="12">
        <v>0</v>
      </c>
      <c r="BD1310" s="12">
        <v>0</v>
      </c>
      <c r="BE1310" s="12">
        <v>0</v>
      </c>
      <c r="BF1310" s="12">
        <v>0</v>
      </c>
      <c r="BI1310" s="12">
        <v>0</v>
      </c>
      <c r="BJ1310" s="12">
        <v>0</v>
      </c>
    </row>
    <row r="1311" spans="1:62" x14ac:dyDescent="0.15">
      <c r="A1311" s="12"/>
      <c r="B1311" t="s">
        <v>2644</v>
      </c>
      <c r="C1311" t="s">
        <v>2644</v>
      </c>
      <c r="D1311" t="s">
        <v>6596</v>
      </c>
      <c r="E1311" t="s">
        <v>2182</v>
      </c>
      <c r="F1311"/>
      <c r="G1311"/>
      <c r="H1311"/>
      <c r="I1311"/>
      <c r="J1311"/>
      <c r="K1311"/>
      <c r="L1311" s="10">
        <v>3802550</v>
      </c>
      <c r="M1311" s="10">
        <v>452960</v>
      </c>
      <c r="N1311" s="12">
        <v>15</v>
      </c>
      <c r="O1311" s="12" t="s">
        <v>6992</v>
      </c>
      <c r="P1311" t="s">
        <v>2183</v>
      </c>
      <c r="R1311"/>
      <c r="S1311" t="s">
        <v>2184</v>
      </c>
      <c r="T1311" s="12" t="s">
        <v>2185</v>
      </c>
      <c r="U1311" s="12" t="s">
        <v>2186</v>
      </c>
      <c r="V1311" s="12" t="s">
        <v>2187</v>
      </c>
      <c r="W1311" s="12">
        <v>0</v>
      </c>
      <c r="X1311" s="12">
        <v>1</v>
      </c>
      <c r="Y1311" s="12">
        <v>0</v>
      </c>
      <c r="Z1311" s="12">
        <v>0</v>
      </c>
      <c r="AA1311" s="12">
        <v>0</v>
      </c>
      <c r="AB1311" s="12">
        <v>0</v>
      </c>
      <c r="AC1311" s="12">
        <v>0</v>
      </c>
      <c r="AD1311" s="12">
        <v>0</v>
      </c>
      <c r="AE1311" s="12">
        <v>0</v>
      </c>
      <c r="AF1311" s="12">
        <v>0</v>
      </c>
      <c r="AG1311" s="12">
        <v>0</v>
      </c>
      <c r="AH1311" s="12">
        <v>0</v>
      </c>
      <c r="AI1311" s="12">
        <v>0</v>
      </c>
      <c r="AJ1311" s="12">
        <v>0</v>
      </c>
      <c r="AK1311" s="12">
        <v>0</v>
      </c>
      <c r="AL1311" s="12">
        <v>0</v>
      </c>
      <c r="AM1311" s="12"/>
      <c r="AN1311" s="12">
        <v>0</v>
      </c>
      <c r="AO1311" s="12">
        <v>0</v>
      </c>
      <c r="AP1311" s="12">
        <v>0</v>
      </c>
      <c r="AQ1311" s="12">
        <v>0</v>
      </c>
      <c r="AR1311" s="12">
        <v>0</v>
      </c>
      <c r="AS1311" s="12">
        <v>0</v>
      </c>
      <c r="AT1311" s="12">
        <v>0</v>
      </c>
      <c r="AU1311" s="12">
        <v>0</v>
      </c>
      <c r="AV1311" s="12">
        <v>0</v>
      </c>
      <c r="AW1311" s="12">
        <v>0</v>
      </c>
      <c r="AX1311" s="12">
        <v>0</v>
      </c>
      <c r="AY1311" s="12">
        <v>0</v>
      </c>
      <c r="AZ1311"/>
      <c r="BA1311"/>
      <c r="BB1311" s="12">
        <v>0</v>
      </c>
      <c r="BC1311" s="12">
        <v>0</v>
      </c>
      <c r="BD1311" s="12">
        <v>0</v>
      </c>
      <c r="BE1311" s="12">
        <v>0</v>
      </c>
      <c r="BF1311" s="12">
        <v>0</v>
      </c>
      <c r="BI1311" s="12">
        <v>0</v>
      </c>
      <c r="BJ1311" s="12">
        <v>0</v>
      </c>
    </row>
    <row r="1312" spans="1:62" x14ac:dyDescent="0.15">
      <c r="A1312" s="12"/>
      <c r="B1312" t="s">
        <v>2645</v>
      </c>
      <c r="C1312" t="s">
        <v>2645</v>
      </c>
      <c r="D1312" t="s">
        <v>6596</v>
      </c>
      <c r="E1312" t="s">
        <v>2182</v>
      </c>
      <c r="F1312"/>
      <c r="G1312"/>
      <c r="H1312"/>
      <c r="I1312"/>
      <c r="J1312"/>
      <c r="K1312"/>
      <c r="L1312" s="10">
        <v>3802450</v>
      </c>
      <c r="M1312" s="10">
        <v>453080</v>
      </c>
      <c r="N1312" s="12">
        <v>15</v>
      </c>
      <c r="O1312" s="12" t="s">
        <v>6992</v>
      </c>
      <c r="P1312" t="s">
        <v>2183</v>
      </c>
      <c r="R1312"/>
      <c r="S1312" t="s">
        <v>2184</v>
      </c>
      <c r="T1312" s="12" t="s">
        <v>2185</v>
      </c>
      <c r="U1312" s="12" t="s">
        <v>2186</v>
      </c>
      <c r="V1312" s="12" t="s">
        <v>2187</v>
      </c>
      <c r="W1312" s="12">
        <v>0</v>
      </c>
      <c r="X1312" s="12">
        <v>1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2">
        <v>0</v>
      </c>
      <c r="AK1312" s="12">
        <v>0</v>
      </c>
      <c r="AL1312" s="12">
        <v>0</v>
      </c>
      <c r="AM1312" s="12"/>
      <c r="AN1312" s="12">
        <v>0</v>
      </c>
      <c r="AO1312" s="12">
        <v>0</v>
      </c>
      <c r="AP1312" s="12">
        <v>0</v>
      </c>
      <c r="AQ1312" s="12">
        <v>0</v>
      </c>
      <c r="AR1312" s="12">
        <v>0</v>
      </c>
      <c r="AS1312" s="12">
        <v>0</v>
      </c>
      <c r="AT1312" s="12">
        <v>0</v>
      </c>
      <c r="AU1312" s="12">
        <v>0</v>
      </c>
      <c r="AV1312" s="12">
        <v>0</v>
      </c>
      <c r="AW1312" s="12">
        <v>0</v>
      </c>
      <c r="AX1312" s="12">
        <v>0</v>
      </c>
      <c r="AY1312" s="12">
        <v>0</v>
      </c>
      <c r="AZ1312"/>
      <c r="BA1312"/>
      <c r="BB1312" s="12">
        <v>0</v>
      </c>
      <c r="BC1312" s="12">
        <v>0</v>
      </c>
      <c r="BD1312" s="12">
        <v>0</v>
      </c>
      <c r="BE1312" s="12">
        <v>0</v>
      </c>
      <c r="BF1312" s="12">
        <v>0</v>
      </c>
      <c r="BI1312" s="12">
        <v>0</v>
      </c>
      <c r="BJ1312" s="12">
        <v>0</v>
      </c>
    </row>
    <row r="1313" spans="1:62" x14ac:dyDescent="0.15">
      <c r="A1313" s="12"/>
      <c r="B1313" t="s">
        <v>2646</v>
      </c>
      <c r="C1313" t="s">
        <v>2646</v>
      </c>
      <c r="D1313" t="s">
        <v>6596</v>
      </c>
      <c r="E1313" t="s">
        <v>2182</v>
      </c>
      <c r="F1313"/>
      <c r="G1313"/>
      <c r="H1313"/>
      <c r="I1313"/>
      <c r="J1313"/>
      <c r="K1313"/>
      <c r="L1313" s="10">
        <v>3802470</v>
      </c>
      <c r="M1313" s="10">
        <v>453150</v>
      </c>
      <c r="N1313" s="12">
        <v>15</v>
      </c>
      <c r="O1313" s="12" t="s">
        <v>6992</v>
      </c>
      <c r="P1313" t="s">
        <v>2183</v>
      </c>
      <c r="R1313"/>
      <c r="S1313" t="s">
        <v>2184</v>
      </c>
      <c r="T1313" s="12" t="s">
        <v>2185</v>
      </c>
      <c r="U1313" s="12" t="s">
        <v>2186</v>
      </c>
      <c r="V1313" s="12" t="s">
        <v>2187</v>
      </c>
      <c r="W1313" s="12">
        <v>0</v>
      </c>
      <c r="X1313" s="12">
        <v>1</v>
      </c>
      <c r="Y1313" s="12">
        <v>0</v>
      </c>
      <c r="Z1313" s="12">
        <v>0</v>
      </c>
      <c r="AA1313" s="12">
        <v>0</v>
      </c>
      <c r="AB1313" s="12">
        <v>0</v>
      </c>
      <c r="AC1313" s="12">
        <v>0</v>
      </c>
      <c r="AD1313" s="12">
        <v>0</v>
      </c>
      <c r="AE1313" s="12">
        <v>0</v>
      </c>
      <c r="AF1313" s="12">
        <v>0</v>
      </c>
      <c r="AG1313" s="12">
        <v>0</v>
      </c>
      <c r="AH1313" s="12">
        <v>0</v>
      </c>
      <c r="AI1313" s="12">
        <v>0</v>
      </c>
      <c r="AJ1313" s="12">
        <v>0</v>
      </c>
      <c r="AK1313" s="12">
        <v>0</v>
      </c>
      <c r="AL1313" s="12">
        <v>0</v>
      </c>
      <c r="AM1313" s="12"/>
      <c r="AN1313" s="12">
        <v>0</v>
      </c>
      <c r="AO1313" s="12">
        <v>0</v>
      </c>
      <c r="AP1313" s="12">
        <v>0</v>
      </c>
      <c r="AQ1313" s="12">
        <v>0</v>
      </c>
      <c r="AR1313" s="12">
        <v>0</v>
      </c>
      <c r="AS1313" s="12">
        <v>0</v>
      </c>
      <c r="AT1313" s="12">
        <v>0</v>
      </c>
      <c r="AU1313" s="12">
        <v>0</v>
      </c>
      <c r="AV1313" s="12">
        <v>0</v>
      </c>
      <c r="AW1313" s="12">
        <v>0</v>
      </c>
      <c r="AX1313" s="12">
        <v>0</v>
      </c>
      <c r="AY1313" s="12">
        <v>0</v>
      </c>
      <c r="AZ1313"/>
      <c r="BA1313"/>
      <c r="BB1313" s="12">
        <v>0</v>
      </c>
      <c r="BC1313" s="12">
        <v>0</v>
      </c>
      <c r="BD1313" s="12">
        <v>0</v>
      </c>
      <c r="BE1313" s="12">
        <v>0</v>
      </c>
      <c r="BF1313" s="12">
        <v>0</v>
      </c>
      <c r="BI1313" s="12">
        <v>0</v>
      </c>
      <c r="BJ1313" s="12">
        <v>0</v>
      </c>
    </row>
    <row r="1314" spans="1:62" x14ac:dyDescent="0.15">
      <c r="A1314" s="12"/>
      <c r="B1314" t="s">
        <v>2647</v>
      </c>
      <c r="C1314" t="s">
        <v>2647</v>
      </c>
      <c r="D1314" t="s">
        <v>6596</v>
      </c>
      <c r="E1314" t="s">
        <v>2182</v>
      </c>
      <c r="F1314"/>
      <c r="G1314"/>
      <c r="H1314"/>
      <c r="I1314"/>
      <c r="J1314"/>
      <c r="K1314"/>
      <c r="L1314" s="10">
        <v>3802580</v>
      </c>
      <c r="M1314" s="10">
        <v>452900</v>
      </c>
      <c r="N1314" s="12">
        <v>15</v>
      </c>
      <c r="O1314" s="12" t="s">
        <v>6992</v>
      </c>
      <c r="P1314" t="s">
        <v>2183</v>
      </c>
      <c r="R1314"/>
      <c r="S1314" t="s">
        <v>2184</v>
      </c>
      <c r="T1314" s="12" t="s">
        <v>2185</v>
      </c>
      <c r="U1314" s="12" t="s">
        <v>2186</v>
      </c>
      <c r="V1314" s="12" t="s">
        <v>2187</v>
      </c>
      <c r="W1314" s="12">
        <v>0</v>
      </c>
      <c r="X1314" s="12">
        <v>1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2">
        <v>0</v>
      </c>
      <c r="AK1314" s="12">
        <v>0</v>
      </c>
      <c r="AL1314" s="12">
        <v>0</v>
      </c>
      <c r="AM1314" s="12"/>
      <c r="AN1314" s="12">
        <v>0</v>
      </c>
      <c r="AO1314" s="12">
        <v>0</v>
      </c>
      <c r="AP1314" s="12">
        <v>0</v>
      </c>
      <c r="AQ1314" s="12">
        <v>0</v>
      </c>
      <c r="AR1314" s="12">
        <v>0</v>
      </c>
      <c r="AS1314" s="12">
        <v>0</v>
      </c>
      <c r="AT1314" s="12">
        <v>0</v>
      </c>
      <c r="AU1314" s="12">
        <v>0</v>
      </c>
      <c r="AV1314" s="12">
        <v>0</v>
      </c>
      <c r="AW1314" s="12">
        <v>0</v>
      </c>
      <c r="AX1314" s="12">
        <v>0</v>
      </c>
      <c r="AY1314" s="12">
        <v>0</v>
      </c>
      <c r="AZ1314"/>
      <c r="BA1314"/>
      <c r="BB1314" s="12">
        <v>0</v>
      </c>
      <c r="BC1314" s="12">
        <v>0</v>
      </c>
      <c r="BD1314" s="12">
        <v>0</v>
      </c>
      <c r="BE1314" s="12">
        <v>0</v>
      </c>
      <c r="BF1314" s="12">
        <v>0</v>
      </c>
      <c r="BI1314" s="12">
        <v>0</v>
      </c>
      <c r="BJ1314" s="12">
        <v>0</v>
      </c>
    </row>
    <row r="1315" spans="1:62" x14ac:dyDescent="0.15">
      <c r="A1315" s="12"/>
      <c r="B1315" t="s">
        <v>2648</v>
      </c>
      <c r="C1315" t="s">
        <v>2648</v>
      </c>
      <c r="D1315" t="s">
        <v>6596</v>
      </c>
      <c r="E1315" t="s">
        <v>2182</v>
      </c>
      <c r="F1315"/>
      <c r="G1315"/>
      <c r="H1315"/>
      <c r="I1315"/>
      <c r="J1315"/>
      <c r="K1315"/>
      <c r="L1315" s="10">
        <v>3802480</v>
      </c>
      <c r="M1315" s="10">
        <v>452780</v>
      </c>
      <c r="N1315" s="12">
        <v>15</v>
      </c>
      <c r="O1315" s="12" t="s">
        <v>6992</v>
      </c>
      <c r="P1315" t="s">
        <v>2183</v>
      </c>
      <c r="R1315"/>
      <c r="S1315" t="s">
        <v>2184</v>
      </c>
      <c r="T1315" s="12" t="s">
        <v>2185</v>
      </c>
      <c r="U1315" s="12" t="s">
        <v>2186</v>
      </c>
      <c r="V1315" s="12" t="s">
        <v>2187</v>
      </c>
      <c r="W1315" s="12">
        <v>0</v>
      </c>
      <c r="X1315" s="12">
        <v>1</v>
      </c>
      <c r="Y1315" s="12">
        <v>0</v>
      </c>
      <c r="Z1315" s="12">
        <v>0</v>
      </c>
      <c r="AA1315" s="12">
        <v>0</v>
      </c>
      <c r="AB1315" s="12">
        <v>0</v>
      </c>
      <c r="AC1315" s="12">
        <v>0</v>
      </c>
      <c r="AD1315" s="12">
        <v>0</v>
      </c>
      <c r="AE1315" s="12">
        <v>0</v>
      </c>
      <c r="AF1315" s="12">
        <v>0</v>
      </c>
      <c r="AG1315" s="12">
        <v>0</v>
      </c>
      <c r="AH1315" s="12">
        <v>0</v>
      </c>
      <c r="AI1315" s="12">
        <v>0</v>
      </c>
      <c r="AJ1315" s="12">
        <v>0</v>
      </c>
      <c r="AK1315" s="12">
        <v>0</v>
      </c>
      <c r="AL1315" s="12">
        <v>0</v>
      </c>
      <c r="AM1315" s="12"/>
      <c r="AN1315" s="12">
        <v>0</v>
      </c>
      <c r="AO1315" s="12">
        <v>0</v>
      </c>
      <c r="AP1315" s="12">
        <v>0</v>
      </c>
      <c r="AQ1315" s="12">
        <v>0</v>
      </c>
      <c r="AR1315" s="12">
        <v>0</v>
      </c>
      <c r="AS1315" s="12">
        <v>0</v>
      </c>
      <c r="AT1315" s="12">
        <v>0</v>
      </c>
      <c r="AU1315" s="12">
        <v>0</v>
      </c>
      <c r="AV1315" s="12">
        <v>0</v>
      </c>
      <c r="AW1315" s="12">
        <v>0</v>
      </c>
      <c r="AX1315" s="12">
        <v>0</v>
      </c>
      <c r="AY1315" s="12">
        <v>0</v>
      </c>
      <c r="AZ1315"/>
      <c r="BA1315"/>
      <c r="BB1315" s="12">
        <v>0</v>
      </c>
      <c r="BC1315" s="12">
        <v>0</v>
      </c>
      <c r="BD1315" s="12">
        <v>0</v>
      </c>
      <c r="BE1315" s="12">
        <v>0</v>
      </c>
      <c r="BF1315" s="12">
        <v>0</v>
      </c>
      <c r="BI1315" s="12">
        <v>0</v>
      </c>
      <c r="BJ1315" s="12">
        <v>0</v>
      </c>
    </row>
    <row r="1316" spans="1:62" x14ac:dyDescent="0.15">
      <c r="A1316" s="12"/>
      <c r="B1316" t="s">
        <v>2649</v>
      </c>
      <c r="C1316" t="s">
        <v>2649</v>
      </c>
      <c r="D1316" t="s">
        <v>6596</v>
      </c>
      <c r="E1316" t="s">
        <v>2182</v>
      </c>
      <c r="F1316"/>
      <c r="G1316"/>
      <c r="H1316"/>
      <c r="I1316"/>
      <c r="J1316"/>
      <c r="K1316"/>
      <c r="L1316" s="10">
        <v>3838610</v>
      </c>
      <c r="M1316" s="10">
        <v>645600</v>
      </c>
      <c r="N1316" s="12">
        <v>15</v>
      </c>
      <c r="O1316" s="12" t="s">
        <v>6992</v>
      </c>
      <c r="P1316" t="s">
        <v>2183</v>
      </c>
      <c r="R1316"/>
      <c r="S1316" t="s">
        <v>2184</v>
      </c>
      <c r="T1316" s="12" t="s">
        <v>2185</v>
      </c>
      <c r="U1316" s="12" t="s">
        <v>2186</v>
      </c>
      <c r="V1316" s="12" t="s">
        <v>2187</v>
      </c>
      <c r="W1316" s="12">
        <v>0</v>
      </c>
      <c r="X1316" s="12">
        <v>1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2">
        <v>0</v>
      </c>
      <c r="AK1316" s="12">
        <v>0</v>
      </c>
      <c r="AL1316" s="12">
        <v>0</v>
      </c>
      <c r="AM1316" s="12"/>
      <c r="AN1316" s="12">
        <v>0</v>
      </c>
      <c r="AO1316" s="12">
        <v>0</v>
      </c>
      <c r="AP1316" s="12">
        <v>0</v>
      </c>
      <c r="AQ1316" s="12">
        <v>0</v>
      </c>
      <c r="AR1316" s="12">
        <v>0</v>
      </c>
      <c r="AS1316" s="12">
        <v>0</v>
      </c>
      <c r="AT1316" s="12">
        <v>0</v>
      </c>
      <c r="AU1316" s="12">
        <v>0</v>
      </c>
      <c r="AV1316" s="12">
        <v>0</v>
      </c>
      <c r="AW1316" s="12">
        <v>0</v>
      </c>
      <c r="AX1316" s="12">
        <v>0</v>
      </c>
      <c r="AY1316" s="12">
        <v>0</v>
      </c>
      <c r="AZ1316"/>
      <c r="BA1316"/>
      <c r="BB1316" s="12">
        <v>0</v>
      </c>
      <c r="BC1316" s="12">
        <v>0</v>
      </c>
      <c r="BD1316" s="12">
        <v>0</v>
      </c>
      <c r="BE1316" s="12">
        <v>0</v>
      </c>
      <c r="BF1316" s="12">
        <v>0</v>
      </c>
      <c r="BI1316" s="12">
        <v>0</v>
      </c>
      <c r="BJ1316" s="12">
        <v>0</v>
      </c>
    </row>
    <row r="1317" spans="1:62" x14ac:dyDescent="0.15">
      <c r="A1317" s="12"/>
      <c r="B1317" t="s">
        <v>2650</v>
      </c>
      <c r="C1317" t="s">
        <v>2650</v>
      </c>
      <c r="D1317" t="s">
        <v>6596</v>
      </c>
      <c r="E1317" t="s">
        <v>2182</v>
      </c>
      <c r="F1317"/>
      <c r="G1317"/>
      <c r="H1317"/>
      <c r="I1317"/>
      <c r="J1317"/>
      <c r="K1317"/>
      <c r="L1317" s="10">
        <v>3802440</v>
      </c>
      <c r="M1317" s="10">
        <v>452880</v>
      </c>
      <c r="N1317" s="12">
        <v>15</v>
      </c>
      <c r="O1317" s="12" t="s">
        <v>6992</v>
      </c>
      <c r="P1317" t="s">
        <v>2183</v>
      </c>
      <c r="R1317"/>
      <c r="S1317" t="s">
        <v>2184</v>
      </c>
      <c r="T1317" s="12" t="s">
        <v>2185</v>
      </c>
      <c r="U1317" s="12" t="s">
        <v>2186</v>
      </c>
      <c r="V1317" s="12" t="s">
        <v>2187</v>
      </c>
      <c r="W1317" s="12">
        <v>0</v>
      </c>
      <c r="X1317" s="12">
        <v>1</v>
      </c>
      <c r="Y1317" s="12">
        <v>0</v>
      </c>
      <c r="Z1317" s="12">
        <v>0</v>
      </c>
      <c r="AA1317" s="12">
        <v>0</v>
      </c>
      <c r="AB1317" s="12">
        <v>0</v>
      </c>
      <c r="AC1317" s="12">
        <v>0</v>
      </c>
      <c r="AD1317" s="12">
        <v>0</v>
      </c>
      <c r="AE1317" s="12">
        <v>0</v>
      </c>
      <c r="AF1317" s="12">
        <v>0</v>
      </c>
      <c r="AG1317" s="12">
        <v>0</v>
      </c>
      <c r="AH1317" s="12">
        <v>0</v>
      </c>
      <c r="AI1317" s="12">
        <v>0</v>
      </c>
      <c r="AJ1317" s="12">
        <v>0</v>
      </c>
      <c r="AK1317" s="12">
        <v>0</v>
      </c>
      <c r="AL1317" s="12">
        <v>0</v>
      </c>
      <c r="AM1317" s="12"/>
      <c r="AN1317" s="12">
        <v>0</v>
      </c>
      <c r="AO1317" s="12">
        <v>0</v>
      </c>
      <c r="AP1317" s="12">
        <v>0</v>
      </c>
      <c r="AQ1317" s="12">
        <v>0</v>
      </c>
      <c r="AR1317" s="12">
        <v>0</v>
      </c>
      <c r="AS1317" s="12">
        <v>0</v>
      </c>
      <c r="AT1317" s="12">
        <v>0</v>
      </c>
      <c r="AU1317" s="12">
        <v>0</v>
      </c>
      <c r="AV1317" s="12">
        <v>0</v>
      </c>
      <c r="AW1317" s="12">
        <v>0</v>
      </c>
      <c r="AX1317" s="12">
        <v>0</v>
      </c>
      <c r="AY1317" s="12">
        <v>0</v>
      </c>
      <c r="AZ1317"/>
      <c r="BA1317"/>
      <c r="BB1317" s="12">
        <v>0</v>
      </c>
      <c r="BC1317" s="12">
        <v>0</v>
      </c>
      <c r="BD1317" s="12">
        <v>0</v>
      </c>
      <c r="BE1317" s="12">
        <v>0</v>
      </c>
      <c r="BF1317" s="12">
        <v>0</v>
      </c>
      <c r="BI1317" s="12">
        <v>0</v>
      </c>
      <c r="BJ1317" s="12">
        <v>0</v>
      </c>
    </row>
    <row r="1318" spans="1:62" x14ac:dyDescent="0.15">
      <c r="A1318" s="12"/>
      <c r="B1318" t="s">
        <v>2651</v>
      </c>
      <c r="C1318" t="s">
        <v>2651</v>
      </c>
      <c r="D1318" t="s">
        <v>6596</v>
      </c>
      <c r="E1318" t="s">
        <v>2182</v>
      </c>
      <c r="F1318"/>
      <c r="G1318"/>
      <c r="H1318"/>
      <c r="I1318"/>
      <c r="J1318"/>
      <c r="K1318"/>
      <c r="L1318" s="10">
        <v>3802820</v>
      </c>
      <c r="M1318" s="10">
        <v>453550</v>
      </c>
      <c r="N1318" s="12">
        <v>15</v>
      </c>
      <c r="O1318" s="12" t="s">
        <v>6992</v>
      </c>
      <c r="P1318" t="s">
        <v>2183</v>
      </c>
      <c r="R1318"/>
      <c r="S1318" t="s">
        <v>2184</v>
      </c>
      <c r="T1318" s="12" t="s">
        <v>2185</v>
      </c>
      <c r="U1318" s="12" t="s">
        <v>2186</v>
      </c>
      <c r="V1318" s="12" t="s">
        <v>2187</v>
      </c>
      <c r="W1318" s="12">
        <v>0</v>
      </c>
      <c r="X1318" s="12">
        <v>1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2">
        <v>0</v>
      </c>
      <c r="AK1318" s="12">
        <v>0</v>
      </c>
      <c r="AL1318" s="12">
        <v>0</v>
      </c>
      <c r="AM1318" s="12"/>
      <c r="AN1318" s="12">
        <v>0</v>
      </c>
      <c r="AO1318" s="12">
        <v>0</v>
      </c>
      <c r="AP1318" s="12">
        <v>0</v>
      </c>
      <c r="AQ1318" s="12">
        <v>0</v>
      </c>
      <c r="AR1318" s="12">
        <v>0</v>
      </c>
      <c r="AS1318" s="12">
        <v>0</v>
      </c>
      <c r="AT1318" s="12">
        <v>0</v>
      </c>
      <c r="AU1318" s="12">
        <v>0</v>
      </c>
      <c r="AV1318" s="12">
        <v>0</v>
      </c>
      <c r="AW1318" s="12">
        <v>0</v>
      </c>
      <c r="AX1318" s="12">
        <v>0</v>
      </c>
      <c r="AY1318" s="12">
        <v>0</v>
      </c>
      <c r="AZ1318"/>
      <c r="BA1318"/>
      <c r="BB1318" s="12">
        <v>0</v>
      </c>
      <c r="BC1318" s="12">
        <v>0</v>
      </c>
      <c r="BD1318" s="12">
        <v>0</v>
      </c>
      <c r="BE1318" s="12">
        <v>0</v>
      </c>
      <c r="BF1318" s="12">
        <v>0</v>
      </c>
      <c r="BI1318" s="12">
        <v>0</v>
      </c>
      <c r="BJ1318" s="12">
        <v>0</v>
      </c>
    </row>
    <row r="1319" spans="1:62" x14ac:dyDescent="0.15">
      <c r="A1319" s="12"/>
      <c r="B1319" t="s">
        <v>2652</v>
      </c>
      <c r="C1319" t="s">
        <v>2652</v>
      </c>
      <c r="D1319" t="s">
        <v>6596</v>
      </c>
      <c r="E1319" t="s">
        <v>2182</v>
      </c>
      <c r="F1319"/>
      <c r="G1319"/>
      <c r="H1319"/>
      <c r="I1319"/>
      <c r="J1319"/>
      <c r="K1319"/>
      <c r="L1319" s="10">
        <v>3803120</v>
      </c>
      <c r="M1319" s="10">
        <v>453750</v>
      </c>
      <c r="N1319" s="12">
        <v>15</v>
      </c>
      <c r="O1319" s="12" t="s">
        <v>6992</v>
      </c>
      <c r="P1319" t="s">
        <v>2183</v>
      </c>
      <c r="R1319"/>
      <c r="S1319" t="s">
        <v>2184</v>
      </c>
      <c r="T1319" s="12" t="s">
        <v>2185</v>
      </c>
      <c r="U1319" s="12" t="s">
        <v>2186</v>
      </c>
      <c r="V1319" s="12" t="s">
        <v>2187</v>
      </c>
      <c r="W1319" s="12">
        <v>0</v>
      </c>
      <c r="X1319" s="12">
        <v>1</v>
      </c>
      <c r="Y1319" s="12">
        <v>0</v>
      </c>
      <c r="Z1319" s="12">
        <v>0</v>
      </c>
      <c r="AA1319" s="12">
        <v>0</v>
      </c>
      <c r="AB1319" s="12">
        <v>0</v>
      </c>
      <c r="AC1319" s="12">
        <v>0</v>
      </c>
      <c r="AD1319" s="12">
        <v>0</v>
      </c>
      <c r="AE1319" s="12">
        <v>0</v>
      </c>
      <c r="AF1319" s="12">
        <v>0</v>
      </c>
      <c r="AG1319" s="12">
        <v>0</v>
      </c>
      <c r="AH1319" s="12">
        <v>0</v>
      </c>
      <c r="AI1319" s="12">
        <v>0</v>
      </c>
      <c r="AJ1319" s="12">
        <v>0</v>
      </c>
      <c r="AK1319" s="12">
        <v>0</v>
      </c>
      <c r="AL1319" s="12">
        <v>0</v>
      </c>
      <c r="AM1319" s="12"/>
      <c r="AN1319" s="12">
        <v>0</v>
      </c>
      <c r="AO1319" s="12">
        <v>0</v>
      </c>
      <c r="AP1319" s="12">
        <v>0</v>
      </c>
      <c r="AQ1319" s="12">
        <v>0</v>
      </c>
      <c r="AR1319" s="12">
        <v>0</v>
      </c>
      <c r="AS1319" s="12">
        <v>0</v>
      </c>
      <c r="AT1319" s="12">
        <v>0</v>
      </c>
      <c r="AU1319" s="12">
        <v>0</v>
      </c>
      <c r="AV1319" s="12">
        <v>0</v>
      </c>
      <c r="AW1319" s="12">
        <v>0</v>
      </c>
      <c r="AX1319" s="12">
        <v>0</v>
      </c>
      <c r="AY1319" s="12">
        <v>0</v>
      </c>
      <c r="AZ1319"/>
      <c r="BA1319"/>
      <c r="BB1319" s="12">
        <v>0</v>
      </c>
      <c r="BC1319" s="12">
        <v>0</v>
      </c>
      <c r="BD1319" s="12">
        <v>0</v>
      </c>
      <c r="BE1319" s="12">
        <v>0</v>
      </c>
      <c r="BF1319" s="12">
        <v>0</v>
      </c>
      <c r="BI1319" s="12">
        <v>0</v>
      </c>
      <c r="BJ1319" s="12">
        <v>0</v>
      </c>
    </row>
    <row r="1320" spans="1:62" x14ac:dyDescent="0.15">
      <c r="A1320" s="12"/>
      <c r="B1320" t="s">
        <v>2653</v>
      </c>
      <c r="C1320" t="s">
        <v>2653</v>
      </c>
      <c r="D1320" t="s">
        <v>6596</v>
      </c>
      <c r="E1320" t="s">
        <v>2182</v>
      </c>
      <c r="F1320"/>
      <c r="G1320"/>
      <c r="H1320"/>
      <c r="I1320"/>
      <c r="J1320"/>
      <c r="K1320"/>
      <c r="L1320" s="10">
        <v>3830550</v>
      </c>
      <c r="M1320" s="10">
        <v>405340</v>
      </c>
      <c r="N1320" s="12">
        <v>15</v>
      </c>
      <c r="O1320" s="12" t="s">
        <v>6992</v>
      </c>
      <c r="P1320" t="s">
        <v>2183</v>
      </c>
      <c r="R1320"/>
      <c r="S1320" t="s">
        <v>2184</v>
      </c>
      <c r="T1320" s="12" t="s">
        <v>2185</v>
      </c>
      <c r="U1320" s="12" t="s">
        <v>2186</v>
      </c>
      <c r="V1320" s="12" t="s">
        <v>2187</v>
      </c>
      <c r="W1320" s="12">
        <v>0</v>
      </c>
      <c r="X1320" s="12">
        <v>1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2">
        <v>0</v>
      </c>
      <c r="AK1320" s="12">
        <v>0</v>
      </c>
      <c r="AL1320" s="12">
        <v>0</v>
      </c>
      <c r="AM1320" s="12"/>
      <c r="AN1320" s="12">
        <v>0</v>
      </c>
      <c r="AO1320" s="12">
        <v>0</v>
      </c>
      <c r="AP1320" s="12">
        <v>0</v>
      </c>
      <c r="AQ1320" s="12">
        <v>0</v>
      </c>
      <c r="AR1320" s="12">
        <v>0</v>
      </c>
      <c r="AS1320" s="12">
        <v>0</v>
      </c>
      <c r="AT1320" s="12">
        <v>0</v>
      </c>
      <c r="AU1320" s="12">
        <v>0</v>
      </c>
      <c r="AV1320" s="12">
        <v>0</v>
      </c>
      <c r="AW1320" s="12">
        <v>0</v>
      </c>
      <c r="AX1320" s="12">
        <v>0</v>
      </c>
      <c r="AY1320" s="12">
        <v>0</v>
      </c>
      <c r="AZ1320"/>
      <c r="BA1320"/>
      <c r="BB1320" s="12">
        <v>0</v>
      </c>
      <c r="BC1320" s="12">
        <v>0</v>
      </c>
      <c r="BD1320" s="12">
        <v>0</v>
      </c>
      <c r="BE1320" s="12">
        <v>0</v>
      </c>
      <c r="BF1320" s="12">
        <v>0</v>
      </c>
      <c r="BI1320" s="12">
        <v>0</v>
      </c>
      <c r="BJ1320" s="12">
        <v>0</v>
      </c>
    </row>
    <row r="1321" spans="1:62" x14ac:dyDescent="0.15">
      <c r="A1321" s="12"/>
      <c r="B1321" t="s">
        <v>2654</v>
      </c>
      <c r="C1321" t="s">
        <v>2654</v>
      </c>
      <c r="D1321" t="s">
        <v>6596</v>
      </c>
      <c r="E1321" t="s">
        <v>2182</v>
      </c>
      <c r="F1321"/>
      <c r="G1321"/>
      <c r="H1321"/>
      <c r="I1321"/>
      <c r="J1321"/>
      <c r="K1321"/>
      <c r="L1321" s="10">
        <v>3850500</v>
      </c>
      <c r="M1321" s="10">
        <v>378700</v>
      </c>
      <c r="N1321" s="12">
        <v>15</v>
      </c>
      <c r="O1321" s="12" t="s">
        <v>6992</v>
      </c>
      <c r="P1321" t="s">
        <v>2183</v>
      </c>
      <c r="R1321"/>
      <c r="S1321" t="s">
        <v>2184</v>
      </c>
      <c r="T1321" s="12" t="s">
        <v>2185</v>
      </c>
      <c r="U1321" s="12" t="s">
        <v>2186</v>
      </c>
      <c r="V1321" s="12" t="s">
        <v>2187</v>
      </c>
      <c r="W1321" s="12">
        <v>0</v>
      </c>
      <c r="X1321" s="12">
        <v>1</v>
      </c>
      <c r="Y1321" s="12">
        <v>0</v>
      </c>
      <c r="Z1321" s="12">
        <v>0</v>
      </c>
      <c r="AA1321" s="12">
        <v>0</v>
      </c>
      <c r="AB1321" s="12">
        <v>0</v>
      </c>
      <c r="AC1321" s="12">
        <v>0</v>
      </c>
      <c r="AD1321" s="12">
        <v>0</v>
      </c>
      <c r="AE1321" s="12">
        <v>0</v>
      </c>
      <c r="AF1321" s="12">
        <v>0</v>
      </c>
      <c r="AG1321" s="12">
        <v>0</v>
      </c>
      <c r="AH1321" s="12">
        <v>0</v>
      </c>
      <c r="AI1321" s="12">
        <v>0</v>
      </c>
      <c r="AJ1321" s="12">
        <v>0</v>
      </c>
      <c r="AK1321" s="12">
        <v>0</v>
      </c>
      <c r="AL1321" s="12">
        <v>0</v>
      </c>
      <c r="AM1321" s="12"/>
      <c r="AN1321" s="12">
        <v>0</v>
      </c>
      <c r="AO1321" s="12">
        <v>0</v>
      </c>
      <c r="AP1321" s="12">
        <v>0</v>
      </c>
      <c r="AQ1321" s="12">
        <v>0</v>
      </c>
      <c r="AR1321" s="12">
        <v>0</v>
      </c>
      <c r="AS1321" s="12">
        <v>0</v>
      </c>
      <c r="AT1321" s="12">
        <v>0</v>
      </c>
      <c r="AU1321" s="12">
        <v>0</v>
      </c>
      <c r="AV1321" s="12">
        <v>0</v>
      </c>
      <c r="AW1321" s="12">
        <v>0</v>
      </c>
      <c r="AX1321" s="12">
        <v>0</v>
      </c>
      <c r="AY1321" s="12">
        <v>0</v>
      </c>
      <c r="AZ1321"/>
      <c r="BA1321"/>
      <c r="BB1321" s="12">
        <v>0</v>
      </c>
      <c r="BC1321" s="12">
        <v>0</v>
      </c>
      <c r="BD1321" s="12">
        <v>0</v>
      </c>
      <c r="BE1321" s="12">
        <v>0</v>
      </c>
      <c r="BF1321" s="12">
        <v>0</v>
      </c>
      <c r="BI1321" s="12">
        <v>0</v>
      </c>
      <c r="BJ1321" s="12">
        <v>0</v>
      </c>
    </row>
    <row r="1322" spans="1:62" x14ac:dyDescent="0.15">
      <c r="A1322" s="12"/>
      <c r="B1322" t="s">
        <v>2655</v>
      </c>
      <c r="C1322" t="s">
        <v>2655</v>
      </c>
      <c r="D1322" t="s">
        <v>6596</v>
      </c>
      <c r="E1322" t="s">
        <v>2182</v>
      </c>
      <c r="F1322"/>
      <c r="G1322"/>
      <c r="H1322"/>
      <c r="I1322"/>
      <c r="J1322"/>
      <c r="K1322"/>
      <c r="L1322" s="10">
        <v>3831240</v>
      </c>
      <c r="M1322" s="10">
        <v>406110</v>
      </c>
      <c r="N1322" s="12">
        <v>15</v>
      </c>
      <c r="O1322" s="12" t="s">
        <v>6992</v>
      </c>
      <c r="P1322" t="s">
        <v>2183</v>
      </c>
      <c r="R1322"/>
      <c r="S1322" t="s">
        <v>2184</v>
      </c>
      <c r="T1322" s="12" t="s">
        <v>2185</v>
      </c>
      <c r="U1322" s="12" t="s">
        <v>2186</v>
      </c>
      <c r="V1322" s="12" t="s">
        <v>2187</v>
      </c>
      <c r="W1322" s="12">
        <v>0</v>
      </c>
      <c r="X1322" s="12">
        <v>1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2">
        <v>0</v>
      </c>
      <c r="AK1322" s="12">
        <v>0</v>
      </c>
      <c r="AL1322" s="12">
        <v>0</v>
      </c>
      <c r="AM1322" s="12"/>
      <c r="AN1322" s="12">
        <v>0</v>
      </c>
      <c r="AO1322" s="12">
        <v>0</v>
      </c>
      <c r="AP1322" s="12">
        <v>0</v>
      </c>
      <c r="AQ1322" s="12">
        <v>0</v>
      </c>
      <c r="AR1322" s="12">
        <v>0</v>
      </c>
      <c r="AS1322" s="12">
        <v>0</v>
      </c>
      <c r="AT1322" s="12">
        <v>0</v>
      </c>
      <c r="AU1322" s="12">
        <v>0</v>
      </c>
      <c r="AV1322" s="12">
        <v>0</v>
      </c>
      <c r="AW1322" s="12">
        <v>0</v>
      </c>
      <c r="AX1322" s="12">
        <v>0</v>
      </c>
      <c r="AY1322" s="12">
        <v>0</v>
      </c>
      <c r="AZ1322"/>
      <c r="BA1322"/>
      <c r="BB1322" s="12">
        <v>0</v>
      </c>
      <c r="BC1322" s="12">
        <v>0</v>
      </c>
      <c r="BD1322" s="12">
        <v>0</v>
      </c>
      <c r="BE1322" s="12">
        <v>0</v>
      </c>
      <c r="BF1322" s="12">
        <v>0</v>
      </c>
      <c r="BI1322" s="12">
        <v>0</v>
      </c>
      <c r="BJ1322" s="12">
        <v>0</v>
      </c>
    </row>
    <row r="1323" spans="1:62" x14ac:dyDescent="0.15">
      <c r="A1323" s="12"/>
      <c r="B1323" t="s">
        <v>2656</v>
      </c>
      <c r="C1323" t="s">
        <v>2656</v>
      </c>
      <c r="D1323" t="s">
        <v>6596</v>
      </c>
      <c r="E1323" t="s">
        <v>2182</v>
      </c>
      <c r="F1323"/>
      <c r="G1323"/>
      <c r="H1323"/>
      <c r="I1323"/>
      <c r="J1323"/>
      <c r="K1323"/>
      <c r="L1323" s="10">
        <v>3831300</v>
      </c>
      <c r="M1323" s="10">
        <v>648140</v>
      </c>
      <c r="N1323" s="12">
        <v>15</v>
      </c>
      <c r="O1323" s="12" t="s">
        <v>6992</v>
      </c>
      <c r="P1323" t="s">
        <v>2183</v>
      </c>
      <c r="R1323"/>
      <c r="S1323" t="s">
        <v>2184</v>
      </c>
      <c r="T1323" s="12" t="s">
        <v>2185</v>
      </c>
      <c r="U1323" s="12" t="s">
        <v>2186</v>
      </c>
      <c r="V1323" s="12" t="s">
        <v>2187</v>
      </c>
      <c r="W1323" s="12">
        <v>0</v>
      </c>
      <c r="X1323" s="12">
        <v>1</v>
      </c>
      <c r="Y1323" s="12">
        <v>0</v>
      </c>
      <c r="Z1323" s="12">
        <v>0</v>
      </c>
      <c r="AA1323" s="12">
        <v>0</v>
      </c>
      <c r="AB1323" s="12">
        <v>0</v>
      </c>
      <c r="AC1323" s="12">
        <v>0</v>
      </c>
      <c r="AD1323" s="12">
        <v>0</v>
      </c>
      <c r="AE1323" s="12">
        <v>0</v>
      </c>
      <c r="AF1323" s="12">
        <v>0</v>
      </c>
      <c r="AG1323" s="12">
        <v>0</v>
      </c>
      <c r="AH1323" s="12">
        <v>0</v>
      </c>
      <c r="AI1323" s="12">
        <v>0</v>
      </c>
      <c r="AJ1323" s="12">
        <v>0</v>
      </c>
      <c r="AK1323" s="12">
        <v>0</v>
      </c>
      <c r="AL1323" s="12">
        <v>0</v>
      </c>
      <c r="AM1323" s="12"/>
      <c r="AN1323" s="12">
        <v>0</v>
      </c>
      <c r="AO1323" s="12">
        <v>0</v>
      </c>
      <c r="AP1323" s="12">
        <v>0</v>
      </c>
      <c r="AQ1323" s="12">
        <v>0</v>
      </c>
      <c r="AR1323" s="12">
        <v>0</v>
      </c>
      <c r="AS1323" s="12">
        <v>0</v>
      </c>
      <c r="AT1323" s="12">
        <v>0</v>
      </c>
      <c r="AU1323" s="12">
        <v>0</v>
      </c>
      <c r="AV1323" s="12">
        <v>0</v>
      </c>
      <c r="AW1323" s="12">
        <v>0</v>
      </c>
      <c r="AX1323" s="12">
        <v>0</v>
      </c>
      <c r="AY1323" s="12">
        <v>0</v>
      </c>
      <c r="AZ1323"/>
      <c r="BA1323"/>
      <c r="BB1323" s="12">
        <v>0</v>
      </c>
      <c r="BC1323" s="12">
        <v>0</v>
      </c>
      <c r="BD1323" s="12">
        <v>0</v>
      </c>
      <c r="BE1323" s="12">
        <v>0</v>
      </c>
      <c r="BF1323" s="12">
        <v>0</v>
      </c>
      <c r="BI1323" s="12">
        <v>0</v>
      </c>
      <c r="BJ1323" s="12">
        <v>0</v>
      </c>
    </row>
    <row r="1324" spans="1:62" x14ac:dyDescent="0.15">
      <c r="A1324" s="12"/>
      <c r="B1324" t="s">
        <v>2657</v>
      </c>
      <c r="C1324" t="s">
        <v>2657</v>
      </c>
      <c r="D1324" t="s">
        <v>6596</v>
      </c>
      <c r="E1324" t="s">
        <v>2182</v>
      </c>
      <c r="F1324"/>
      <c r="G1324"/>
      <c r="H1324"/>
      <c r="I1324"/>
      <c r="J1324"/>
      <c r="K1324"/>
      <c r="L1324" s="10">
        <v>3805640</v>
      </c>
      <c r="M1324" s="10">
        <v>451960</v>
      </c>
      <c r="N1324" s="12">
        <v>15</v>
      </c>
      <c r="O1324" s="12" t="s">
        <v>6992</v>
      </c>
      <c r="P1324" t="s">
        <v>2183</v>
      </c>
      <c r="R1324"/>
      <c r="S1324" t="s">
        <v>2184</v>
      </c>
      <c r="T1324" s="12" t="s">
        <v>2185</v>
      </c>
      <c r="U1324" s="12" t="s">
        <v>2186</v>
      </c>
      <c r="V1324" s="12" t="s">
        <v>2187</v>
      </c>
      <c r="W1324" s="12">
        <v>0</v>
      </c>
      <c r="X1324" s="12">
        <v>1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2">
        <v>0</v>
      </c>
      <c r="AK1324" s="12">
        <v>0</v>
      </c>
      <c r="AL1324" s="12">
        <v>0</v>
      </c>
      <c r="AM1324" s="12"/>
      <c r="AN1324" s="12">
        <v>0</v>
      </c>
      <c r="AO1324" s="12">
        <v>0</v>
      </c>
      <c r="AP1324" s="12">
        <v>0</v>
      </c>
      <c r="AQ1324" s="12">
        <v>0</v>
      </c>
      <c r="AR1324" s="12">
        <v>0</v>
      </c>
      <c r="AS1324" s="12">
        <v>0</v>
      </c>
      <c r="AT1324" s="12">
        <v>0</v>
      </c>
      <c r="AU1324" s="12">
        <v>0</v>
      </c>
      <c r="AV1324" s="12">
        <v>0</v>
      </c>
      <c r="AW1324" s="12">
        <v>0</v>
      </c>
      <c r="AX1324" s="12">
        <v>0</v>
      </c>
      <c r="AY1324" s="12">
        <v>0</v>
      </c>
      <c r="AZ1324"/>
      <c r="BA1324"/>
      <c r="BB1324" s="12">
        <v>0</v>
      </c>
      <c r="BC1324" s="12">
        <v>0</v>
      </c>
      <c r="BD1324" s="12">
        <v>0</v>
      </c>
      <c r="BE1324" s="12">
        <v>0</v>
      </c>
      <c r="BF1324" s="12">
        <v>0</v>
      </c>
      <c r="BI1324" s="12">
        <v>0</v>
      </c>
      <c r="BJ1324" s="12">
        <v>0</v>
      </c>
    </row>
    <row r="1325" spans="1:62" x14ac:dyDescent="0.15">
      <c r="A1325" s="12"/>
      <c r="B1325" t="s">
        <v>2658</v>
      </c>
      <c r="C1325" t="s">
        <v>2658</v>
      </c>
      <c r="D1325" t="s">
        <v>6596</v>
      </c>
      <c r="E1325" t="s">
        <v>2182</v>
      </c>
      <c r="F1325"/>
      <c r="G1325"/>
      <c r="H1325"/>
      <c r="I1325"/>
      <c r="J1325"/>
      <c r="K1325"/>
      <c r="L1325" s="10">
        <v>3805390</v>
      </c>
      <c r="M1325" s="10">
        <v>451940</v>
      </c>
      <c r="N1325" s="12">
        <v>15</v>
      </c>
      <c r="O1325" s="12" t="s">
        <v>6992</v>
      </c>
      <c r="P1325" t="s">
        <v>2183</v>
      </c>
      <c r="R1325"/>
      <c r="S1325" t="s">
        <v>2184</v>
      </c>
      <c r="T1325" s="12" t="s">
        <v>2185</v>
      </c>
      <c r="U1325" s="12" t="s">
        <v>2186</v>
      </c>
      <c r="V1325" s="12" t="s">
        <v>2187</v>
      </c>
      <c r="W1325" s="12">
        <v>0</v>
      </c>
      <c r="X1325" s="12">
        <v>1</v>
      </c>
      <c r="Y1325" s="12">
        <v>0</v>
      </c>
      <c r="Z1325" s="12">
        <v>0</v>
      </c>
      <c r="AA1325" s="12">
        <v>0</v>
      </c>
      <c r="AB1325" s="12">
        <v>0</v>
      </c>
      <c r="AC1325" s="12">
        <v>0</v>
      </c>
      <c r="AD1325" s="12">
        <v>0</v>
      </c>
      <c r="AE1325" s="12">
        <v>0</v>
      </c>
      <c r="AF1325" s="12">
        <v>0</v>
      </c>
      <c r="AG1325" s="12">
        <v>0</v>
      </c>
      <c r="AH1325" s="12">
        <v>0</v>
      </c>
      <c r="AI1325" s="12">
        <v>0</v>
      </c>
      <c r="AJ1325" s="12">
        <v>0</v>
      </c>
      <c r="AK1325" s="12">
        <v>0</v>
      </c>
      <c r="AL1325" s="12">
        <v>0</v>
      </c>
      <c r="AM1325" s="12"/>
      <c r="AN1325" s="12">
        <v>0</v>
      </c>
      <c r="AO1325" s="12">
        <v>0</v>
      </c>
      <c r="AP1325" s="12">
        <v>0</v>
      </c>
      <c r="AQ1325" s="12">
        <v>0</v>
      </c>
      <c r="AR1325" s="12">
        <v>0</v>
      </c>
      <c r="AS1325" s="12">
        <v>0</v>
      </c>
      <c r="AT1325" s="12">
        <v>0</v>
      </c>
      <c r="AU1325" s="12">
        <v>0</v>
      </c>
      <c r="AV1325" s="12">
        <v>0</v>
      </c>
      <c r="AW1325" s="12">
        <v>0</v>
      </c>
      <c r="AX1325" s="12">
        <v>0</v>
      </c>
      <c r="AY1325" s="12">
        <v>0</v>
      </c>
      <c r="AZ1325"/>
      <c r="BA1325"/>
      <c r="BB1325" s="12">
        <v>0</v>
      </c>
      <c r="BC1325" s="12">
        <v>0</v>
      </c>
      <c r="BD1325" s="12">
        <v>0</v>
      </c>
      <c r="BE1325" s="12">
        <v>0</v>
      </c>
      <c r="BF1325" s="12">
        <v>0</v>
      </c>
      <c r="BI1325" s="12">
        <v>0</v>
      </c>
      <c r="BJ1325" s="12">
        <v>0</v>
      </c>
    </row>
    <row r="1326" spans="1:62" x14ac:dyDescent="0.15">
      <c r="A1326" s="12"/>
      <c r="B1326" t="s">
        <v>2659</v>
      </c>
      <c r="C1326" t="s">
        <v>2659</v>
      </c>
      <c r="D1326" t="s">
        <v>6596</v>
      </c>
      <c r="E1326" t="s">
        <v>2182</v>
      </c>
      <c r="F1326"/>
      <c r="G1326"/>
      <c r="H1326"/>
      <c r="I1326"/>
      <c r="J1326"/>
      <c r="K1326"/>
      <c r="L1326" s="10">
        <v>3805400</v>
      </c>
      <c r="M1326" s="10">
        <v>451750</v>
      </c>
      <c r="N1326" s="12">
        <v>15</v>
      </c>
      <c r="O1326" s="12" t="s">
        <v>6992</v>
      </c>
      <c r="P1326" t="s">
        <v>2183</v>
      </c>
      <c r="R1326"/>
      <c r="S1326" t="s">
        <v>2184</v>
      </c>
      <c r="T1326" s="12" t="s">
        <v>2185</v>
      </c>
      <c r="U1326" s="12" t="s">
        <v>2186</v>
      </c>
      <c r="V1326" s="12" t="s">
        <v>2187</v>
      </c>
      <c r="W1326" s="12">
        <v>0</v>
      </c>
      <c r="X1326" s="12">
        <v>1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2">
        <v>0</v>
      </c>
      <c r="AK1326" s="12">
        <v>0</v>
      </c>
      <c r="AL1326" s="12">
        <v>0</v>
      </c>
      <c r="AM1326" s="12"/>
      <c r="AN1326" s="12">
        <v>0</v>
      </c>
      <c r="AO1326" s="12">
        <v>0</v>
      </c>
      <c r="AP1326" s="12">
        <v>0</v>
      </c>
      <c r="AQ1326" s="12">
        <v>0</v>
      </c>
      <c r="AR1326" s="12">
        <v>0</v>
      </c>
      <c r="AS1326" s="12">
        <v>0</v>
      </c>
      <c r="AT1326" s="12">
        <v>0</v>
      </c>
      <c r="AU1326" s="12">
        <v>0</v>
      </c>
      <c r="AV1326" s="12">
        <v>0</v>
      </c>
      <c r="AW1326" s="12">
        <v>0</v>
      </c>
      <c r="AX1326" s="12">
        <v>0</v>
      </c>
      <c r="AY1326" s="12">
        <v>0</v>
      </c>
      <c r="AZ1326"/>
      <c r="BA1326"/>
      <c r="BB1326" s="12">
        <v>0</v>
      </c>
      <c r="BC1326" s="12">
        <v>0</v>
      </c>
      <c r="BD1326" s="12">
        <v>0</v>
      </c>
      <c r="BE1326" s="12">
        <v>0</v>
      </c>
      <c r="BF1326" s="12">
        <v>0</v>
      </c>
      <c r="BI1326" s="12">
        <v>0</v>
      </c>
      <c r="BJ1326" s="12">
        <v>0</v>
      </c>
    </row>
    <row r="1327" spans="1:62" x14ac:dyDescent="0.15">
      <c r="A1327" s="12"/>
      <c r="B1327" t="s">
        <v>2660</v>
      </c>
      <c r="C1327" t="s">
        <v>2660</v>
      </c>
      <c r="D1327" t="s">
        <v>6596</v>
      </c>
      <c r="E1327" t="s">
        <v>2182</v>
      </c>
      <c r="F1327"/>
      <c r="G1327"/>
      <c r="H1327"/>
      <c r="I1327"/>
      <c r="J1327"/>
      <c r="K1327"/>
      <c r="L1327" s="10">
        <v>3842100</v>
      </c>
      <c r="M1327" s="10">
        <v>635400</v>
      </c>
      <c r="N1327" s="12">
        <v>15</v>
      </c>
      <c r="O1327" s="12" t="s">
        <v>6992</v>
      </c>
      <c r="P1327" t="s">
        <v>2183</v>
      </c>
      <c r="R1327"/>
      <c r="S1327" t="s">
        <v>2184</v>
      </c>
      <c r="T1327" s="12" t="s">
        <v>2185</v>
      </c>
      <c r="U1327" s="12" t="s">
        <v>2186</v>
      </c>
      <c r="V1327" s="12" t="s">
        <v>2187</v>
      </c>
      <c r="W1327" s="12">
        <v>0</v>
      </c>
      <c r="X1327" s="12">
        <v>1</v>
      </c>
      <c r="Y1327" s="12">
        <v>0</v>
      </c>
      <c r="Z1327" s="12">
        <v>0</v>
      </c>
      <c r="AA1327" s="12">
        <v>0</v>
      </c>
      <c r="AB1327" s="12">
        <v>0</v>
      </c>
      <c r="AC1327" s="12">
        <v>0</v>
      </c>
      <c r="AD1327" s="12">
        <v>0</v>
      </c>
      <c r="AE1327" s="12">
        <v>0</v>
      </c>
      <c r="AF1327" s="12">
        <v>0</v>
      </c>
      <c r="AG1327" s="12">
        <v>0</v>
      </c>
      <c r="AH1327" s="12">
        <v>0</v>
      </c>
      <c r="AI1327" s="12">
        <v>0</v>
      </c>
      <c r="AJ1327" s="12">
        <v>0</v>
      </c>
      <c r="AK1327" s="12">
        <v>0</v>
      </c>
      <c r="AL1327" s="12">
        <v>0</v>
      </c>
      <c r="AM1327" s="12"/>
      <c r="AN1327" s="12">
        <v>0</v>
      </c>
      <c r="AO1327" s="12">
        <v>0</v>
      </c>
      <c r="AP1327" s="12">
        <v>0</v>
      </c>
      <c r="AQ1327" s="12">
        <v>0</v>
      </c>
      <c r="AR1327" s="12">
        <v>0</v>
      </c>
      <c r="AS1327" s="12">
        <v>0</v>
      </c>
      <c r="AT1327" s="12">
        <v>0</v>
      </c>
      <c r="AU1327" s="12">
        <v>0</v>
      </c>
      <c r="AV1327" s="12">
        <v>0</v>
      </c>
      <c r="AW1327" s="12">
        <v>0</v>
      </c>
      <c r="AX1327" s="12">
        <v>0</v>
      </c>
      <c r="AY1327" s="12">
        <v>0</v>
      </c>
      <c r="AZ1327"/>
      <c r="BA1327"/>
      <c r="BB1327" s="12">
        <v>0</v>
      </c>
      <c r="BC1327" s="12">
        <v>0</v>
      </c>
      <c r="BD1327" s="12">
        <v>0</v>
      </c>
      <c r="BE1327" s="12">
        <v>0</v>
      </c>
      <c r="BF1327" s="12">
        <v>0</v>
      </c>
      <c r="BI1327" s="12">
        <v>0</v>
      </c>
      <c r="BJ1327" s="12">
        <v>0</v>
      </c>
    </row>
    <row r="1328" spans="1:62" x14ac:dyDescent="0.15">
      <c r="A1328" s="12"/>
      <c r="B1328" t="s">
        <v>2661</v>
      </c>
      <c r="C1328" t="s">
        <v>2661</v>
      </c>
      <c r="D1328" t="s">
        <v>6596</v>
      </c>
      <c r="E1328" t="s">
        <v>2182</v>
      </c>
      <c r="F1328"/>
      <c r="G1328"/>
      <c r="H1328"/>
      <c r="I1328"/>
      <c r="J1328"/>
      <c r="K1328"/>
      <c r="L1328" s="10">
        <v>3808980</v>
      </c>
      <c r="M1328" s="10">
        <v>456740</v>
      </c>
      <c r="N1328" s="12">
        <v>15</v>
      </c>
      <c r="O1328" s="12" t="s">
        <v>6992</v>
      </c>
      <c r="P1328" t="s">
        <v>2183</v>
      </c>
      <c r="R1328"/>
      <c r="S1328" t="s">
        <v>2184</v>
      </c>
      <c r="T1328" s="12" t="s">
        <v>2185</v>
      </c>
      <c r="U1328" s="12" t="s">
        <v>2186</v>
      </c>
      <c r="V1328" s="12" t="s">
        <v>2187</v>
      </c>
      <c r="W1328" s="12">
        <v>0</v>
      </c>
      <c r="X1328" s="12">
        <v>1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2">
        <v>0</v>
      </c>
      <c r="AK1328" s="12">
        <v>0</v>
      </c>
      <c r="AL1328" s="12">
        <v>0</v>
      </c>
      <c r="AM1328" s="12"/>
      <c r="AN1328" s="12">
        <v>0</v>
      </c>
      <c r="AO1328" s="12">
        <v>0</v>
      </c>
      <c r="AP1328" s="12">
        <v>0</v>
      </c>
      <c r="AQ1328" s="12">
        <v>0</v>
      </c>
      <c r="AR1328" s="12">
        <v>0</v>
      </c>
      <c r="AS1328" s="12">
        <v>0</v>
      </c>
      <c r="AT1328" s="12">
        <v>0</v>
      </c>
      <c r="AU1328" s="12">
        <v>0</v>
      </c>
      <c r="AV1328" s="12">
        <v>0</v>
      </c>
      <c r="AW1328" s="12">
        <v>0</v>
      </c>
      <c r="AX1328" s="12">
        <v>0</v>
      </c>
      <c r="AY1328" s="12">
        <v>0</v>
      </c>
      <c r="AZ1328"/>
      <c r="BA1328"/>
      <c r="BB1328" s="12">
        <v>0</v>
      </c>
      <c r="BC1328" s="12">
        <v>0</v>
      </c>
      <c r="BD1328" s="12">
        <v>0</v>
      </c>
      <c r="BE1328" s="12">
        <v>0</v>
      </c>
      <c r="BF1328" s="12">
        <v>0</v>
      </c>
      <c r="BI1328" s="12">
        <v>0</v>
      </c>
      <c r="BJ1328" s="12">
        <v>0</v>
      </c>
    </row>
    <row r="1329" spans="1:62" x14ac:dyDescent="0.15">
      <c r="A1329" s="12"/>
      <c r="B1329" t="s">
        <v>2662</v>
      </c>
      <c r="C1329" t="s">
        <v>2662</v>
      </c>
      <c r="D1329" t="s">
        <v>6596</v>
      </c>
      <c r="E1329" t="s">
        <v>2182</v>
      </c>
      <c r="F1329"/>
      <c r="G1329"/>
      <c r="H1329"/>
      <c r="I1329"/>
      <c r="J1329"/>
      <c r="K1329"/>
      <c r="L1329" s="10">
        <v>3846290</v>
      </c>
      <c r="M1329" s="10">
        <v>640890</v>
      </c>
      <c r="N1329" s="12">
        <v>15</v>
      </c>
      <c r="O1329" s="12" t="s">
        <v>6992</v>
      </c>
      <c r="P1329" t="s">
        <v>2183</v>
      </c>
      <c r="R1329"/>
      <c r="S1329" t="s">
        <v>2184</v>
      </c>
      <c r="T1329" s="12" t="s">
        <v>2185</v>
      </c>
      <c r="U1329" s="12" t="s">
        <v>2186</v>
      </c>
      <c r="V1329" s="12" t="s">
        <v>2187</v>
      </c>
      <c r="W1329" s="12">
        <v>0</v>
      </c>
      <c r="X1329" s="12">
        <v>1</v>
      </c>
      <c r="Y1329" s="12">
        <v>0</v>
      </c>
      <c r="Z1329" s="12">
        <v>0</v>
      </c>
      <c r="AA1329" s="12">
        <v>0</v>
      </c>
      <c r="AB1329" s="12">
        <v>0</v>
      </c>
      <c r="AC1329" s="12">
        <v>0</v>
      </c>
      <c r="AD1329" s="12">
        <v>0</v>
      </c>
      <c r="AE1329" s="12">
        <v>0</v>
      </c>
      <c r="AF1329" s="12">
        <v>0</v>
      </c>
      <c r="AG1329" s="12">
        <v>0</v>
      </c>
      <c r="AH1329" s="12">
        <v>0</v>
      </c>
      <c r="AI1329" s="12">
        <v>0</v>
      </c>
      <c r="AJ1329" s="12">
        <v>0</v>
      </c>
      <c r="AK1329" s="12">
        <v>0</v>
      </c>
      <c r="AL1329" s="12">
        <v>0</v>
      </c>
      <c r="AM1329" s="12"/>
      <c r="AN1329" s="12">
        <v>0</v>
      </c>
      <c r="AO1329" s="12">
        <v>0</v>
      </c>
      <c r="AP1329" s="12">
        <v>0</v>
      </c>
      <c r="AQ1329" s="12">
        <v>0</v>
      </c>
      <c r="AR1329" s="12">
        <v>0</v>
      </c>
      <c r="AS1329" s="12">
        <v>0</v>
      </c>
      <c r="AT1329" s="12">
        <v>0</v>
      </c>
      <c r="AU1329" s="12">
        <v>0</v>
      </c>
      <c r="AV1329" s="12">
        <v>0</v>
      </c>
      <c r="AW1329" s="12">
        <v>0</v>
      </c>
      <c r="AX1329" s="12">
        <v>0</v>
      </c>
      <c r="AY1329" s="12">
        <v>0</v>
      </c>
      <c r="AZ1329"/>
      <c r="BA1329"/>
      <c r="BB1329" s="12">
        <v>0</v>
      </c>
      <c r="BC1329" s="12">
        <v>0</v>
      </c>
      <c r="BD1329" s="12">
        <v>0</v>
      </c>
      <c r="BE1329" s="12">
        <v>0</v>
      </c>
      <c r="BF1329" s="12">
        <v>0</v>
      </c>
      <c r="BI1329" s="12">
        <v>0</v>
      </c>
      <c r="BJ1329" s="12">
        <v>0</v>
      </c>
    </row>
    <row r="1330" spans="1:62" x14ac:dyDescent="0.15">
      <c r="A1330" s="12"/>
      <c r="B1330" t="s">
        <v>2663</v>
      </c>
      <c r="C1330" t="s">
        <v>2663</v>
      </c>
      <c r="D1330" t="s">
        <v>6596</v>
      </c>
      <c r="E1330" t="s">
        <v>2182</v>
      </c>
      <c r="F1330"/>
      <c r="G1330"/>
      <c r="H1330"/>
      <c r="I1330"/>
      <c r="J1330"/>
      <c r="K1330"/>
      <c r="L1330" s="10">
        <v>3808960</v>
      </c>
      <c r="M1330" s="10">
        <v>457020</v>
      </c>
      <c r="N1330" s="12">
        <v>15</v>
      </c>
      <c r="O1330" s="12" t="s">
        <v>6992</v>
      </c>
      <c r="P1330" t="s">
        <v>2183</v>
      </c>
      <c r="R1330"/>
      <c r="S1330" t="s">
        <v>2184</v>
      </c>
      <c r="T1330" s="12" t="s">
        <v>2185</v>
      </c>
      <c r="U1330" s="12" t="s">
        <v>2186</v>
      </c>
      <c r="V1330" s="12" t="s">
        <v>2187</v>
      </c>
      <c r="W1330" s="12">
        <v>0</v>
      </c>
      <c r="X1330" s="12">
        <v>1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2">
        <v>0</v>
      </c>
      <c r="AK1330" s="12">
        <v>0</v>
      </c>
      <c r="AL1330" s="12">
        <v>0</v>
      </c>
      <c r="AM1330" s="12"/>
      <c r="AN1330" s="12">
        <v>0</v>
      </c>
      <c r="AO1330" s="12">
        <v>0</v>
      </c>
      <c r="AP1330" s="12">
        <v>0</v>
      </c>
      <c r="AQ1330" s="12">
        <v>0</v>
      </c>
      <c r="AR1330" s="12">
        <v>0</v>
      </c>
      <c r="AS1330" s="12">
        <v>0</v>
      </c>
      <c r="AT1330" s="12">
        <v>0</v>
      </c>
      <c r="AU1330" s="12">
        <v>0</v>
      </c>
      <c r="AV1330" s="12">
        <v>0</v>
      </c>
      <c r="AW1330" s="12">
        <v>0</v>
      </c>
      <c r="AX1330" s="12">
        <v>0</v>
      </c>
      <c r="AY1330" s="12">
        <v>0</v>
      </c>
      <c r="AZ1330"/>
      <c r="BA1330"/>
      <c r="BB1330" s="12">
        <v>0</v>
      </c>
      <c r="BC1330" s="12">
        <v>0</v>
      </c>
      <c r="BD1330" s="12">
        <v>0</v>
      </c>
      <c r="BE1330" s="12">
        <v>0</v>
      </c>
      <c r="BF1330" s="12">
        <v>0</v>
      </c>
      <c r="BI1330" s="12">
        <v>0</v>
      </c>
      <c r="BJ1330" s="12">
        <v>0</v>
      </c>
    </row>
    <row r="1331" spans="1:62" x14ac:dyDescent="0.15">
      <c r="A1331" s="12"/>
      <c r="B1331" t="s">
        <v>2664</v>
      </c>
      <c r="C1331" t="s">
        <v>2664</v>
      </c>
      <c r="D1331" t="s">
        <v>6596</v>
      </c>
      <c r="E1331" t="s">
        <v>2182</v>
      </c>
      <c r="F1331"/>
      <c r="G1331"/>
      <c r="H1331"/>
      <c r="I1331"/>
      <c r="J1331"/>
      <c r="K1331"/>
      <c r="L1331" s="10">
        <v>3813000</v>
      </c>
      <c r="M1331" s="10">
        <v>443320</v>
      </c>
      <c r="N1331" s="12">
        <v>15</v>
      </c>
      <c r="O1331" s="12" t="s">
        <v>6992</v>
      </c>
      <c r="P1331" t="s">
        <v>2183</v>
      </c>
      <c r="R1331"/>
      <c r="S1331" t="s">
        <v>2184</v>
      </c>
      <c r="T1331" s="12" t="s">
        <v>2185</v>
      </c>
      <c r="U1331" s="12" t="s">
        <v>2186</v>
      </c>
      <c r="V1331" s="12" t="s">
        <v>2187</v>
      </c>
      <c r="W1331" s="12">
        <v>0</v>
      </c>
      <c r="X1331" s="12">
        <v>1</v>
      </c>
      <c r="Y1331" s="12">
        <v>0</v>
      </c>
      <c r="Z1331" s="12">
        <v>0</v>
      </c>
      <c r="AA1331" s="12">
        <v>0</v>
      </c>
      <c r="AB1331" s="12">
        <v>0</v>
      </c>
      <c r="AC1331" s="12">
        <v>0</v>
      </c>
      <c r="AD1331" s="12">
        <v>0</v>
      </c>
      <c r="AE1331" s="12">
        <v>0</v>
      </c>
      <c r="AF1331" s="12">
        <v>0</v>
      </c>
      <c r="AG1331" s="12">
        <v>0</v>
      </c>
      <c r="AH1331" s="12">
        <v>0</v>
      </c>
      <c r="AI1331" s="12">
        <v>0</v>
      </c>
      <c r="AJ1331" s="12">
        <v>0</v>
      </c>
      <c r="AK1331" s="12">
        <v>0</v>
      </c>
      <c r="AL1331" s="12">
        <v>0</v>
      </c>
      <c r="AM1331" s="12"/>
      <c r="AN1331" s="12">
        <v>0</v>
      </c>
      <c r="AO1331" s="12">
        <v>0</v>
      </c>
      <c r="AP1331" s="12">
        <v>0</v>
      </c>
      <c r="AQ1331" s="12">
        <v>0</v>
      </c>
      <c r="AR1331" s="12">
        <v>0</v>
      </c>
      <c r="AS1331" s="12">
        <v>0</v>
      </c>
      <c r="AT1331" s="12">
        <v>0</v>
      </c>
      <c r="AU1331" s="12">
        <v>0</v>
      </c>
      <c r="AV1331" s="12">
        <v>0</v>
      </c>
      <c r="AW1331" s="12">
        <v>0</v>
      </c>
      <c r="AX1331" s="12">
        <v>0</v>
      </c>
      <c r="AY1331" s="12">
        <v>0</v>
      </c>
      <c r="AZ1331"/>
      <c r="BA1331"/>
      <c r="BB1331" s="12">
        <v>0</v>
      </c>
      <c r="BC1331" s="12">
        <v>0</v>
      </c>
      <c r="BD1331" s="12">
        <v>0</v>
      </c>
      <c r="BE1331" s="12">
        <v>0</v>
      </c>
      <c r="BF1331" s="12">
        <v>0</v>
      </c>
      <c r="BI1331" s="12">
        <v>0</v>
      </c>
      <c r="BJ1331" s="12">
        <v>0</v>
      </c>
    </row>
    <row r="1332" spans="1:62" x14ac:dyDescent="0.15">
      <c r="A1332" s="12"/>
      <c r="B1332" t="s">
        <v>2665</v>
      </c>
      <c r="C1332" t="s">
        <v>2665</v>
      </c>
      <c r="D1332" t="s">
        <v>6596</v>
      </c>
      <c r="E1332" t="s">
        <v>2182</v>
      </c>
      <c r="F1332"/>
      <c r="G1332"/>
      <c r="H1332"/>
      <c r="I1332"/>
      <c r="J1332"/>
      <c r="K1332"/>
      <c r="L1332" s="10">
        <v>3846600</v>
      </c>
      <c r="M1332" s="10">
        <v>640890</v>
      </c>
      <c r="N1332" s="12">
        <v>15</v>
      </c>
      <c r="O1332" s="12" t="s">
        <v>6992</v>
      </c>
      <c r="P1332" t="s">
        <v>2183</v>
      </c>
      <c r="R1332"/>
      <c r="S1332" t="s">
        <v>2184</v>
      </c>
      <c r="T1332" s="12" t="s">
        <v>2185</v>
      </c>
      <c r="U1332" s="12" t="s">
        <v>2186</v>
      </c>
      <c r="V1332" s="12" t="s">
        <v>2187</v>
      </c>
      <c r="W1332" s="12">
        <v>0</v>
      </c>
      <c r="X1332" s="12">
        <v>1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2">
        <v>0</v>
      </c>
      <c r="AK1332" s="12">
        <v>0</v>
      </c>
      <c r="AL1332" s="12">
        <v>0</v>
      </c>
      <c r="AM1332" s="12"/>
      <c r="AN1332" s="12">
        <v>0</v>
      </c>
      <c r="AO1332" s="12">
        <v>0</v>
      </c>
      <c r="AP1332" s="12">
        <v>0</v>
      </c>
      <c r="AQ1332" s="12">
        <v>0</v>
      </c>
      <c r="AR1332" s="12">
        <v>0</v>
      </c>
      <c r="AS1332" s="12">
        <v>0</v>
      </c>
      <c r="AT1332" s="12">
        <v>0</v>
      </c>
      <c r="AU1332" s="12">
        <v>0</v>
      </c>
      <c r="AV1332" s="12">
        <v>0</v>
      </c>
      <c r="AW1332" s="12">
        <v>0</v>
      </c>
      <c r="AX1332" s="12">
        <v>0</v>
      </c>
      <c r="AY1332" s="12">
        <v>0</v>
      </c>
      <c r="AZ1332"/>
      <c r="BA1332"/>
      <c r="BB1332" s="12">
        <v>0</v>
      </c>
      <c r="BC1332" s="12">
        <v>0</v>
      </c>
      <c r="BD1332" s="12">
        <v>0</v>
      </c>
      <c r="BE1332" s="12">
        <v>0</v>
      </c>
      <c r="BF1332" s="12">
        <v>0</v>
      </c>
      <c r="BI1332" s="12">
        <v>0</v>
      </c>
      <c r="BJ1332" s="12">
        <v>0</v>
      </c>
    </row>
    <row r="1333" spans="1:62" x14ac:dyDescent="0.15">
      <c r="A1333" s="12"/>
      <c r="B1333" t="s">
        <v>2666</v>
      </c>
      <c r="C1333" t="s">
        <v>2666</v>
      </c>
      <c r="D1333" t="s">
        <v>6596</v>
      </c>
      <c r="E1333" t="s">
        <v>2182</v>
      </c>
      <c r="F1333"/>
      <c r="G1333"/>
      <c r="H1333"/>
      <c r="I1333"/>
      <c r="J1333"/>
      <c r="K1333"/>
      <c r="L1333" s="10">
        <v>3872860</v>
      </c>
      <c r="M1333" s="10">
        <v>440370</v>
      </c>
      <c r="N1333" s="12">
        <v>15</v>
      </c>
      <c r="O1333" s="12" t="s">
        <v>6992</v>
      </c>
      <c r="P1333" t="s">
        <v>2183</v>
      </c>
      <c r="R1333"/>
      <c r="S1333" t="s">
        <v>2184</v>
      </c>
      <c r="T1333" s="12" t="s">
        <v>2185</v>
      </c>
      <c r="U1333" s="12" t="s">
        <v>2186</v>
      </c>
      <c r="V1333" s="12" t="s">
        <v>2187</v>
      </c>
      <c r="W1333" s="12">
        <v>0</v>
      </c>
      <c r="X1333" s="12">
        <v>1</v>
      </c>
      <c r="Y1333" s="12">
        <v>0</v>
      </c>
      <c r="Z1333" s="12">
        <v>0</v>
      </c>
      <c r="AA1333" s="12">
        <v>0</v>
      </c>
      <c r="AB1333" s="12">
        <v>0</v>
      </c>
      <c r="AC1333" s="12">
        <v>0</v>
      </c>
      <c r="AD1333" s="12">
        <v>0</v>
      </c>
      <c r="AE1333" s="12">
        <v>0</v>
      </c>
      <c r="AF1333" s="12">
        <v>0</v>
      </c>
      <c r="AG1333" s="12">
        <v>0</v>
      </c>
      <c r="AH1333" s="12">
        <v>0</v>
      </c>
      <c r="AI1333" s="12">
        <v>0</v>
      </c>
      <c r="AJ1333" s="12">
        <v>0</v>
      </c>
      <c r="AK1333" s="12">
        <v>0</v>
      </c>
      <c r="AL1333" s="12">
        <v>0</v>
      </c>
      <c r="AM1333" s="12"/>
      <c r="AN1333" s="12">
        <v>0</v>
      </c>
      <c r="AO1333" s="12">
        <v>0</v>
      </c>
      <c r="AP1333" s="12">
        <v>0</v>
      </c>
      <c r="AQ1333" s="12">
        <v>0</v>
      </c>
      <c r="AR1333" s="12">
        <v>0</v>
      </c>
      <c r="AS1333" s="12">
        <v>0</v>
      </c>
      <c r="AT1333" s="12">
        <v>0</v>
      </c>
      <c r="AU1333" s="12">
        <v>0</v>
      </c>
      <c r="AV1333" s="12">
        <v>0</v>
      </c>
      <c r="AW1333" s="12">
        <v>0</v>
      </c>
      <c r="AX1333" s="12">
        <v>0</v>
      </c>
      <c r="AY1333" s="12">
        <v>0</v>
      </c>
      <c r="AZ1333"/>
      <c r="BA1333"/>
      <c r="BB1333" s="12">
        <v>0</v>
      </c>
      <c r="BC1333" s="12">
        <v>0</v>
      </c>
      <c r="BD1333" s="12">
        <v>0</v>
      </c>
      <c r="BE1333" s="12">
        <v>0</v>
      </c>
      <c r="BF1333" s="12">
        <v>0</v>
      </c>
      <c r="BI1333" s="12">
        <v>0</v>
      </c>
      <c r="BJ1333" s="12">
        <v>0</v>
      </c>
    </row>
    <row r="1334" spans="1:62" x14ac:dyDescent="0.15">
      <c r="A1334" s="12"/>
      <c r="B1334" t="s">
        <v>2667</v>
      </c>
      <c r="C1334" t="s">
        <v>2667</v>
      </c>
      <c r="D1334" t="s">
        <v>6596</v>
      </c>
      <c r="E1334" t="s">
        <v>2182</v>
      </c>
      <c r="F1334"/>
      <c r="G1334"/>
      <c r="H1334"/>
      <c r="I1334"/>
      <c r="J1334"/>
      <c r="K1334"/>
      <c r="L1334" s="10">
        <v>3846340</v>
      </c>
      <c r="M1334" s="10">
        <v>640660</v>
      </c>
      <c r="N1334" s="12">
        <v>15</v>
      </c>
      <c r="O1334" s="12" t="s">
        <v>6992</v>
      </c>
      <c r="P1334" t="s">
        <v>2183</v>
      </c>
      <c r="R1334"/>
      <c r="S1334" t="s">
        <v>2184</v>
      </c>
      <c r="T1334" s="12" t="s">
        <v>2185</v>
      </c>
      <c r="U1334" s="12" t="s">
        <v>2186</v>
      </c>
      <c r="V1334" s="12" t="s">
        <v>2187</v>
      </c>
      <c r="W1334" s="12">
        <v>0</v>
      </c>
      <c r="X1334" s="12">
        <v>1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2">
        <v>0</v>
      </c>
      <c r="AK1334" s="12">
        <v>0</v>
      </c>
      <c r="AL1334" s="12">
        <v>0</v>
      </c>
      <c r="AM1334" s="12"/>
      <c r="AN1334" s="12">
        <v>0</v>
      </c>
      <c r="AO1334" s="12">
        <v>0</v>
      </c>
      <c r="AP1334" s="12">
        <v>0</v>
      </c>
      <c r="AQ1334" s="12">
        <v>0</v>
      </c>
      <c r="AR1334" s="12">
        <v>0</v>
      </c>
      <c r="AS1334" s="12">
        <v>0</v>
      </c>
      <c r="AT1334" s="12">
        <v>0</v>
      </c>
      <c r="AU1334" s="12">
        <v>0</v>
      </c>
      <c r="AV1334" s="12">
        <v>0</v>
      </c>
      <c r="AW1334" s="12">
        <v>0</v>
      </c>
      <c r="AX1334" s="12">
        <v>0</v>
      </c>
      <c r="AY1334" s="12">
        <v>0</v>
      </c>
      <c r="AZ1334"/>
      <c r="BA1334"/>
      <c r="BB1334" s="12">
        <v>0</v>
      </c>
      <c r="BC1334" s="12">
        <v>0</v>
      </c>
      <c r="BD1334" s="12">
        <v>0</v>
      </c>
      <c r="BE1334" s="12">
        <v>0</v>
      </c>
      <c r="BF1334" s="12">
        <v>0</v>
      </c>
      <c r="BI1334" s="12">
        <v>0</v>
      </c>
      <c r="BJ1334" s="12">
        <v>0</v>
      </c>
    </row>
    <row r="1335" spans="1:62" x14ac:dyDescent="0.15">
      <c r="A1335" s="12"/>
      <c r="B1335" t="s">
        <v>2668</v>
      </c>
      <c r="C1335" t="s">
        <v>2668</v>
      </c>
      <c r="D1335" t="s">
        <v>6596</v>
      </c>
      <c r="E1335" t="s">
        <v>2182</v>
      </c>
      <c r="F1335"/>
      <c r="G1335"/>
      <c r="H1335"/>
      <c r="I1335"/>
      <c r="J1335"/>
      <c r="K1335"/>
      <c r="L1335" s="10">
        <v>3849520</v>
      </c>
      <c r="M1335" s="10">
        <v>638320</v>
      </c>
      <c r="N1335" s="12">
        <v>15</v>
      </c>
      <c r="O1335" s="12" t="s">
        <v>6992</v>
      </c>
      <c r="P1335" t="s">
        <v>2183</v>
      </c>
      <c r="R1335"/>
      <c r="S1335" t="s">
        <v>2184</v>
      </c>
      <c r="T1335" s="12" t="s">
        <v>2185</v>
      </c>
      <c r="U1335" s="12" t="s">
        <v>2186</v>
      </c>
      <c r="V1335" s="12" t="s">
        <v>2187</v>
      </c>
      <c r="W1335" s="12">
        <v>0</v>
      </c>
      <c r="X1335" s="12">
        <v>1</v>
      </c>
      <c r="Y1335" s="12">
        <v>0</v>
      </c>
      <c r="Z1335" s="12">
        <v>0</v>
      </c>
      <c r="AA1335" s="12">
        <v>0</v>
      </c>
      <c r="AB1335" s="12">
        <v>0</v>
      </c>
      <c r="AC1335" s="12">
        <v>0</v>
      </c>
      <c r="AD1335" s="12">
        <v>0</v>
      </c>
      <c r="AE1335" s="12">
        <v>0</v>
      </c>
      <c r="AF1335" s="12">
        <v>0</v>
      </c>
      <c r="AG1335" s="12">
        <v>0</v>
      </c>
      <c r="AH1335" s="12">
        <v>0</v>
      </c>
      <c r="AI1335" s="12">
        <v>0</v>
      </c>
      <c r="AJ1335" s="12">
        <v>0</v>
      </c>
      <c r="AK1335" s="12">
        <v>0</v>
      </c>
      <c r="AL1335" s="12">
        <v>0</v>
      </c>
      <c r="AM1335" s="12"/>
      <c r="AN1335" s="12">
        <v>0</v>
      </c>
      <c r="AO1335" s="12">
        <v>0</v>
      </c>
      <c r="AP1335" s="12">
        <v>0</v>
      </c>
      <c r="AQ1335" s="12">
        <v>0</v>
      </c>
      <c r="AR1335" s="12">
        <v>0</v>
      </c>
      <c r="AS1335" s="12">
        <v>0</v>
      </c>
      <c r="AT1335" s="12">
        <v>0</v>
      </c>
      <c r="AU1335" s="12">
        <v>0</v>
      </c>
      <c r="AV1335" s="12">
        <v>0</v>
      </c>
      <c r="AW1335" s="12">
        <v>0</v>
      </c>
      <c r="AX1335" s="12">
        <v>0</v>
      </c>
      <c r="AY1335" s="12">
        <v>0</v>
      </c>
      <c r="AZ1335"/>
      <c r="BA1335"/>
      <c r="BB1335" s="12">
        <v>0</v>
      </c>
      <c r="BC1335" s="12">
        <v>0</v>
      </c>
      <c r="BD1335" s="12">
        <v>0</v>
      </c>
      <c r="BE1335" s="12">
        <v>0</v>
      </c>
      <c r="BF1335" s="12">
        <v>0</v>
      </c>
      <c r="BI1335" s="12">
        <v>0</v>
      </c>
      <c r="BJ1335" s="12">
        <v>0</v>
      </c>
    </row>
    <row r="1336" spans="1:62" x14ac:dyDescent="0.15">
      <c r="A1336" s="12"/>
      <c r="B1336" t="s">
        <v>2669</v>
      </c>
      <c r="C1336" t="s">
        <v>2669</v>
      </c>
      <c r="D1336" t="s">
        <v>6596</v>
      </c>
      <c r="E1336" t="s">
        <v>2182</v>
      </c>
      <c r="F1336"/>
      <c r="G1336"/>
      <c r="H1336"/>
      <c r="I1336"/>
      <c r="J1336"/>
      <c r="K1336"/>
      <c r="L1336" s="10">
        <v>3804000</v>
      </c>
      <c r="M1336" s="10">
        <v>434440</v>
      </c>
      <c r="N1336" s="12">
        <v>15</v>
      </c>
      <c r="O1336" s="12" t="s">
        <v>6992</v>
      </c>
      <c r="P1336" t="s">
        <v>2183</v>
      </c>
      <c r="R1336"/>
      <c r="S1336" t="s">
        <v>2184</v>
      </c>
      <c r="T1336" s="12" t="s">
        <v>2185</v>
      </c>
      <c r="U1336" s="12" t="s">
        <v>2186</v>
      </c>
      <c r="V1336" s="12" t="s">
        <v>2187</v>
      </c>
      <c r="W1336" s="12">
        <v>0</v>
      </c>
      <c r="X1336" s="12">
        <v>1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2">
        <v>0</v>
      </c>
      <c r="AK1336" s="12">
        <v>0</v>
      </c>
      <c r="AL1336" s="12">
        <v>0</v>
      </c>
      <c r="AM1336" s="12"/>
      <c r="AN1336" s="12">
        <v>0</v>
      </c>
      <c r="AO1336" s="12">
        <v>0</v>
      </c>
      <c r="AP1336" s="12">
        <v>0</v>
      </c>
      <c r="AQ1336" s="12">
        <v>0</v>
      </c>
      <c r="AR1336" s="12">
        <v>0</v>
      </c>
      <c r="AS1336" s="12">
        <v>0</v>
      </c>
      <c r="AT1336" s="12">
        <v>0</v>
      </c>
      <c r="AU1336" s="12">
        <v>0</v>
      </c>
      <c r="AV1336" s="12">
        <v>0</v>
      </c>
      <c r="AW1336" s="12">
        <v>0</v>
      </c>
      <c r="AX1336" s="12">
        <v>0</v>
      </c>
      <c r="AY1336" s="12">
        <v>0</v>
      </c>
      <c r="AZ1336"/>
      <c r="BA1336"/>
      <c r="BB1336" s="12">
        <v>0</v>
      </c>
      <c r="BC1336" s="12">
        <v>0</v>
      </c>
      <c r="BD1336" s="12">
        <v>0</v>
      </c>
      <c r="BE1336" s="12">
        <v>0</v>
      </c>
      <c r="BF1336" s="12">
        <v>0</v>
      </c>
      <c r="BI1336" s="12">
        <v>0</v>
      </c>
      <c r="BJ1336" s="12">
        <v>0</v>
      </c>
    </row>
    <row r="1337" spans="1:62" x14ac:dyDescent="0.15">
      <c r="A1337" s="12"/>
      <c r="B1337" t="s">
        <v>2670</v>
      </c>
      <c r="C1337" t="s">
        <v>2670</v>
      </c>
      <c r="D1337" t="s">
        <v>6596</v>
      </c>
      <c r="E1337" t="s">
        <v>2182</v>
      </c>
      <c r="F1337"/>
      <c r="G1337"/>
      <c r="H1337"/>
      <c r="I1337"/>
      <c r="J1337"/>
      <c r="K1337"/>
      <c r="L1337" s="10">
        <v>3849630</v>
      </c>
      <c r="M1337" s="10">
        <v>639180</v>
      </c>
      <c r="N1337" s="12">
        <v>15</v>
      </c>
      <c r="O1337" s="12" t="s">
        <v>6992</v>
      </c>
      <c r="P1337" t="s">
        <v>2183</v>
      </c>
      <c r="R1337"/>
      <c r="S1337" t="s">
        <v>2184</v>
      </c>
      <c r="T1337" s="12" t="s">
        <v>2185</v>
      </c>
      <c r="U1337" s="12" t="s">
        <v>2186</v>
      </c>
      <c r="V1337" s="12" t="s">
        <v>2187</v>
      </c>
      <c r="W1337" s="12">
        <v>0</v>
      </c>
      <c r="X1337" s="12">
        <v>1</v>
      </c>
      <c r="Y1337" s="12">
        <v>0</v>
      </c>
      <c r="Z1337" s="12">
        <v>0</v>
      </c>
      <c r="AA1337" s="12">
        <v>0</v>
      </c>
      <c r="AB1337" s="12">
        <v>0</v>
      </c>
      <c r="AC1337" s="12">
        <v>0</v>
      </c>
      <c r="AD1337" s="12">
        <v>0</v>
      </c>
      <c r="AE1337" s="12">
        <v>0</v>
      </c>
      <c r="AF1337" s="12">
        <v>0</v>
      </c>
      <c r="AG1337" s="12">
        <v>0</v>
      </c>
      <c r="AH1337" s="12">
        <v>0</v>
      </c>
      <c r="AI1337" s="12">
        <v>0</v>
      </c>
      <c r="AJ1337" s="12">
        <v>0</v>
      </c>
      <c r="AK1337" s="12">
        <v>0</v>
      </c>
      <c r="AL1337" s="12">
        <v>0</v>
      </c>
      <c r="AM1337" s="12"/>
      <c r="AN1337" s="12">
        <v>0</v>
      </c>
      <c r="AO1337" s="12">
        <v>0</v>
      </c>
      <c r="AP1337" s="12">
        <v>0</v>
      </c>
      <c r="AQ1337" s="12">
        <v>0</v>
      </c>
      <c r="AR1337" s="12">
        <v>0</v>
      </c>
      <c r="AS1337" s="12">
        <v>0</v>
      </c>
      <c r="AT1337" s="12">
        <v>0</v>
      </c>
      <c r="AU1337" s="12">
        <v>0</v>
      </c>
      <c r="AV1337" s="12">
        <v>0</v>
      </c>
      <c r="AW1337" s="12">
        <v>0</v>
      </c>
      <c r="AX1337" s="12">
        <v>0</v>
      </c>
      <c r="AY1337" s="12">
        <v>0</v>
      </c>
      <c r="AZ1337"/>
      <c r="BA1337"/>
      <c r="BB1337" s="12">
        <v>0</v>
      </c>
      <c r="BC1337" s="12">
        <v>0</v>
      </c>
      <c r="BD1337" s="12">
        <v>0</v>
      </c>
      <c r="BE1337" s="12">
        <v>0</v>
      </c>
      <c r="BF1337" s="12">
        <v>0</v>
      </c>
      <c r="BI1337" s="12">
        <v>0</v>
      </c>
      <c r="BJ1337" s="12">
        <v>0</v>
      </c>
    </row>
    <row r="1338" spans="1:62" x14ac:dyDescent="0.15">
      <c r="A1338" s="12"/>
      <c r="B1338" t="s">
        <v>2671</v>
      </c>
      <c r="C1338" t="s">
        <v>2671</v>
      </c>
      <c r="D1338" t="s">
        <v>6596</v>
      </c>
      <c r="E1338" t="s">
        <v>2182</v>
      </c>
      <c r="F1338"/>
      <c r="G1338"/>
      <c r="H1338"/>
      <c r="I1338"/>
      <c r="J1338"/>
      <c r="K1338"/>
      <c r="L1338" s="10">
        <v>3846920</v>
      </c>
      <c r="M1338" s="10">
        <v>391750</v>
      </c>
      <c r="N1338" s="12">
        <v>15</v>
      </c>
      <c r="O1338" s="12" t="s">
        <v>6992</v>
      </c>
      <c r="P1338" t="s">
        <v>2183</v>
      </c>
      <c r="R1338"/>
      <c r="S1338" t="s">
        <v>2184</v>
      </c>
      <c r="T1338" s="12" t="s">
        <v>2185</v>
      </c>
      <c r="U1338" s="12" t="s">
        <v>2186</v>
      </c>
      <c r="V1338" s="12" t="s">
        <v>2187</v>
      </c>
      <c r="W1338" s="12">
        <v>0</v>
      </c>
      <c r="X1338" s="12">
        <v>1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2">
        <v>0</v>
      </c>
      <c r="AK1338" s="12">
        <v>0</v>
      </c>
      <c r="AL1338" s="12">
        <v>0</v>
      </c>
      <c r="AM1338" s="12"/>
      <c r="AN1338" s="12">
        <v>0</v>
      </c>
      <c r="AO1338" s="12">
        <v>0</v>
      </c>
      <c r="AP1338" s="12">
        <v>0</v>
      </c>
      <c r="AQ1338" s="12">
        <v>0</v>
      </c>
      <c r="AR1338" s="12">
        <v>0</v>
      </c>
      <c r="AS1338" s="12">
        <v>0</v>
      </c>
      <c r="AT1338" s="12">
        <v>0</v>
      </c>
      <c r="AU1338" s="12">
        <v>0</v>
      </c>
      <c r="AV1338" s="12">
        <v>0</v>
      </c>
      <c r="AW1338" s="12">
        <v>0</v>
      </c>
      <c r="AX1338" s="12">
        <v>0</v>
      </c>
      <c r="AY1338" s="12">
        <v>0</v>
      </c>
      <c r="AZ1338"/>
      <c r="BA1338"/>
      <c r="BB1338" s="12">
        <v>0</v>
      </c>
      <c r="BC1338" s="12">
        <v>0</v>
      </c>
      <c r="BD1338" s="12">
        <v>0</v>
      </c>
      <c r="BE1338" s="12">
        <v>0</v>
      </c>
      <c r="BF1338" s="12">
        <v>0</v>
      </c>
      <c r="BI1338" s="12">
        <v>0</v>
      </c>
      <c r="BJ1338" s="12">
        <v>0</v>
      </c>
    </row>
    <row r="1339" spans="1:62" x14ac:dyDescent="0.15">
      <c r="A1339" s="12"/>
      <c r="B1339" t="s">
        <v>2672</v>
      </c>
      <c r="C1339" t="s">
        <v>2672</v>
      </c>
      <c r="D1339" t="s">
        <v>6596</v>
      </c>
      <c r="E1339" t="s">
        <v>2182</v>
      </c>
      <c r="F1339"/>
      <c r="G1339"/>
      <c r="H1339"/>
      <c r="I1339"/>
      <c r="J1339"/>
      <c r="K1339"/>
      <c r="L1339" s="10">
        <v>3850820</v>
      </c>
      <c r="M1339" s="10">
        <v>640890</v>
      </c>
      <c r="N1339" s="12">
        <v>15</v>
      </c>
      <c r="O1339" s="12" t="s">
        <v>6992</v>
      </c>
      <c r="P1339" t="s">
        <v>2183</v>
      </c>
      <c r="R1339"/>
      <c r="S1339" t="s">
        <v>2184</v>
      </c>
      <c r="T1339" s="12" t="s">
        <v>2185</v>
      </c>
      <c r="U1339" s="12" t="s">
        <v>2186</v>
      </c>
      <c r="V1339" s="12" t="s">
        <v>2187</v>
      </c>
      <c r="W1339" s="12">
        <v>0</v>
      </c>
      <c r="X1339" s="12">
        <v>1</v>
      </c>
      <c r="Y1339" s="12">
        <v>0</v>
      </c>
      <c r="Z1339" s="12">
        <v>0</v>
      </c>
      <c r="AA1339" s="12">
        <v>0</v>
      </c>
      <c r="AB1339" s="12">
        <v>0</v>
      </c>
      <c r="AC1339" s="12">
        <v>0</v>
      </c>
      <c r="AD1339" s="12">
        <v>0</v>
      </c>
      <c r="AE1339" s="12">
        <v>0</v>
      </c>
      <c r="AF1339" s="12">
        <v>0</v>
      </c>
      <c r="AG1339" s="12">
        <v>0</v>
      </c>
      <c r="AH1339" s="12">
        <v>0</v>
      </c>
      <c r="AI1339" s="12">
        <v>0</v>
      </c>
      <c r="AJ1339" s="12">
        <v>0</v>
      </c>
      <c r="AK1339" s="12">
        <v>0</v>
      </c>
      <c r="AL1339" s="12">
        <v>0</v>
      </c>
      <c r="AM1339" s="12"/>
      <c r="AN1339" s="12">
        <v>0</v>
      </c>
      <c r="AO1339" s="12">
        <v>0</v>
      </c>
      <c r="AP1339" s="12">
        <v>0</v>
      </c>
      <c r="AQ1339" s="12">
        <v>0</v>
      </c>
      <c r="AR1339" s="12">
        <v>0</v>
      </c>
      <c r="AS1339" s="12">
        <v>0</v>
      </c>
      <c r="AT1339" s="12">
        <v>0</v>
      </c>
      <c r="AU1339" s="12">
        <v>0</v>
      </c>
      <c r="AV1339" s="12">
        <v>0</v>
      </c>
      <c r="AW1339" s="12">
        <v>0</v>
      </c>
      <c r="AX1339" s="12">
        <v>0</v>
      </c>
      <c r="AY1339" s="12">
        <v>0</v>
      </c>
      <c r="AZ1339"/>
      <c r="BA1339"/>
      <c r="BB1339" s="12">
        <v>0</v>
      </c>
      <c r="BC1339" s="12">
        <v>0</v>
      </c>
      <c r="BD1339" s="12">
        <v>0</v>
      </c>
      <c r="BE1339" s="12">
        <v>0</v>
      </c>
      <c r="BF1339" s="12">
        <v>0</v>
      </c>
      <c r="BI1339" s="12">
        <v>0</v>
      </c>
      <c r="BJ1339" s="12">
        <v>0</v>
      </c>
    </row>
    <row r="1340" spans="1:62" x14ac:dyDescent="0.15">
      <c r="A1340" s="12"/>
      <c r="B1340" t="s">
        <v>2673</v>
      </c>
      <c r="C1340" t="s">
        <v>2673</v>
      </c>
      <c r="D1340" t="s">
        <v>6596</v>
      </c>
      <c r="E1340" t="s">
        <v>2182</v>
      </c>
      <c r="F1340"/>
      <c r="G1340"/>
      <c r="H1340"/>
      <c r="I1340"/>
      <c r="J1340"/>
      <c r="K1340"/>
      <c r="L1340" s="10">
        <v>3827450</v>
      </c>
      <c r="M1340" s="10">
        <v>435270</v>
      </c>
      <c r="N1340" s="12">
        <v>15</v>
      </c>
      <c r="O1340" s="12" t="s">
        <v>6992</v>
      </c>
      <c r="P1340" t="s">
        <v>2183</v>
      </c>
      <c r="R1340"/>
      <c r="S1340" t="s">
        <v>2184</v>
      </c>
      <c r="T1340" s="12" t="s">
        <v>2185</v>
      </c>
      <c r="U1340" s="12" t="s">
        <v>2186</v>
      </c>
      <c r="V1340" s="12" t="s">
        <v>2187</v>
      </c>
      <c r="W1340" s="12">
        <v>0</v>
      </c>
      <c r="X1340" s="12">
        <v>1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2">
        <v>0</v>
      </c>
      <c r="AK1340" s="12">
        <v>0</v>
      </c>
      <c r="AL1340" s="12">
        <v>0</v>
      </c>
      <c r="AM1340" s="12"/>
      <c r="AN1340" s="12">
        <v>0</v>
      </c>
      <c r="AO1340" s="12">
        <v>0</v>
      </c>
      <c r="AP1340" s="12">
        <v>0</v>
      </c>
      <c r="AQ1340" s="12">
        <v>0</v>
      </c>
      <c r="AR1340" s="12">
        <v>0</v>
      </c>
      <c r="AS1340" s="12">
        <v>0</v>
      </c>
      <c r="AT1340" s="12">
        <v>0</v>
      </c>
      <c r="AU1340" s="12">
        <v>0</v>
      </c>
      <c r="AV1340" s="12">
        <v>0</v>
      </c>
      <c r="AW1340" s="12">
        <v>0</v>
      </c>
      <c r="AX1340" s="12">
        <v>0</v>
      </c>
      <c r="AY1340" s="12">
        <v>0</v>
      </c>
      <c r="AZ1340"/>
      <c r="BA1340"/>
      <c r="BB1340" s="12">
        <v>0</v>
      </c>
      <c r="BC1340" s="12">
        <v>0</v>
      </c>
      <c r="BD1340" s="12">
        <v>0</v>
      </c>
      <c r="BE1340" s="12">
        <v>0</v>
      </c>
      <c r="BF1340" s="12">
        <v>0</v>
      </c>
      <c r="BI1340" s="12">
        <v>0</v>
      </c>
      <c r="BJ1340" s="12">
        <v>0</v>
      </c>
    </row>
    <row r="1341" spans="1:62" x14ac:dyDescent="0.15">
      <c r="A1341" s="12"/>
      <c r="B1341" t="s">
        <v>2674</v>
      </c>
      <c r="C1341" t="s">
        <v>2674</v>
      </c>
      <c r="D1341" t="s">
        <v>6596</v>
      </c>
      <c r="E1341" t="s">
        <v>2182</v>
      </c>
      <c r="F1341"/>
      <c r="G1341"/>
      <c r="H1341"/>
      <c r="I1341"/>
      <c r="J1341"/>
      <c r="K1341"/>
      <c r="L1341" s="10">
        <v>3833880</v>
      </c>
      <c r="M1341" s="10">
        <v>630180</v>
      </c>
      <c r="N1341" s="12">
        <v>15</v>
      </c>
      <c r="O1341" s="12" t="s">
        <v>6992</v>
      </c>
      <c r="P1341" t="s">
        <v>2183</v>
      </c>
      <c r="R1341"/>
      <c r="S1341" t="s">
        <v>2184</v>
      </c>
      <c r="T1341" s="12" t="s">
        <v>2185</v>
      </c>
      <c r="U1341" s="12" t="s">
        <v>2186</v>
      </c>
      <c r="V1341" s="12" t="s">
        <v>2187</v>
      </c>
      <c r="W1341" s="12">
        <v>0</v>
      </c>
      <c r="X1341" s="12">
        <v>1</v>
      </c>
      <c r="Y1341" s="12">
        <v>0</v>
      </c>
      <c r="Z1341" s="12">
        <v>0</v>
      </c>
      <c r="AA1341" s="12">
        <v>0</v>
      </c>
      <c r="AB1341" s="12">
        <v>0</v>
      </c>
      <c r="AC1341" s="12">
        <v>0</v>
      </c>
      <c r="AD1341" s="12">
        <v>0</v>
      </c>
      <c r="AE1341" s="12">
        <v>0</v>
      </c>
      <c r="AF1341" s="12">
        <v>0</v>
      </c>
      <c r="AG1341" s="12">
        <v>0</v>
      </c>
      <c r="AH1341" s="12">
        <v>0</v>
      </c>
      <c r="AI1341" s="12">
        <v>0</v>
      </c>
      <c r="AJ1341" s="12">
        <v>0</v>
      </c>
      <c r="AK1341" s="12">
        <v>0</v>
      </c>
      <c r="AL1341" s="12">
        <v>0</v>
      </c>
      <c r="AM1341" s="12"/>
      <c r="AN1341" s="12">
        <v>0</v>
      </c>
      <c r="AO1341" s="12">
        <v>0</v>
      </c>
      <c r="AP1341" s="12">
        <v>0</v>
      </c>
      <c r="AQ1341" s="12">
        <v>0</v>
      </c>
      <c r="AR1341" s="12">
        <v>0</v>
      </c>
      <c r="AS1341" s="12">
        <v>0</v>
      </c>
      <c r="AT1341" s="12">
        <v>0</v>
      </c>
      <c r="AU1341" s="12">
        <v>0</v>
      </c>
      <c r="AV1341" s="12">
        <v>0</v>
      </c>
      <c r="AW1341" s="12">
        <v>0</v>
      </c>
      <c r="AX1341" s="12">
        <v>0</v>
      </c>
      <c r="AY1341" s="12">
        <v>0</v>
      </c>
      <c r="AZ1341"/>
      <c r="BA1341"/>
      <c r="BB1341" s="12">
        <v>0</v>
      </c>
      <c r="BC1341" s="12">
        <v>0</v>
      </c>
      <c r="BD1341" s="12">
        <v>0</v>
      </c>
      <c r="BE1341" s="12">
        <v>0</v>
      </c>
      <c r="BF1341" s="12">
        <v>0</v>
      </c>
      <c r="BI1341" s="12">
        <v>0</v>
      </c>
      <c r="BJ1341" s="12">
        <v>0</v>
      </c>
    </row>
    <row r="1342" spans="1:62" x14ac:dyDescent="0.15">
      <c r="A1342" s="12"/>
      <c r="B1342" t="s">
        <v>2675</v>
      </c>
      <c r="C1342" t="s">
        <v>2675</v>
      </c>
      <c r="D1342" t="s">
        <v>6596</v>
      </c>
      <c r="E1342" t="s">
        <v>2182</v>
      </c>
      <c r="F1342"/>
      <c r="G1342"/>
      <c r="H1342"/>
      <c r="I1342"/>
      <c r="J1342"/>
      <c r="K1342"/>
      <c r="L1342" s="10">
        <v>3947380</v>
      </c>
      <c r="M1342" s="10">
        <v>419120</v>
      </c>
      <c r="N1342" s="12">
        <v>15</v>
      </c>
      <c r="O1342" s="12" t="s">
        <v>6992</v>
      </c>
      <c r="P1342" t="s">
        <v>2183</v>
      </c>
      <c r="R1342"/>
      <c r="S1342" t="s">
        <v>2184</v>
      </c>
      <c r="T1342" s="12" t="s">
        <v>2185</v>
      </c>
      <c r="U1342" s="12" t="s">
        <v>2186</v>
      </c>
      <c r="V1342" s="12" t="s">
        <v>2187</v>
      </c>
      <c r="W1342" s="12">
        <v>0</v>
      </c>
      <c r="X1342" s="12">
        <v>1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2">
        <v>0</v>
      </c>
      <c r="AK1342" s="12">
        <v>0</v>
      </c>
      <c r="AL1342" s="12">
        <v>0</v>
      </c>
      <c r="AM1342" s="12"/>
      <c r="AN1342" s="12">
        <v>0</v>
      </c>
      <c r="AO1342" s="12">
        <v>0</v>
      </c>
      <c r="AP1342" s="12">
        <v>0</v>
      </c>
      <c r="AQ1342" s="12">
        <v>0</v>
      </c>
      <c r="AR1342" s="12">
        <v>0</v>
      </c>
      <c r="AS1342" s="12">
        <v>0</v>
      </c>
      <c r="AT1342" s="12">
        <v>0</v>
      </c>
      <c r="AU1342" s="12">
        <v>0</v>
      </c>
      <c r="AV1342" s="12">
        <v>0</v>
      </c>
      <c r="AW1342" s="12">
        <v>0</v>
      </c>
      <c r="AX1342" s="12">
        <v>0</v>
      </c>
      <c r="AY1342" s="12">
        <v>0</v>
      </c>
      <c r="AZ1342"/>
      <c r="BA1342"/>
      <c r="BB1342" s="12">
        <v>0</v>
      </c>
      <c r="BC1342" s="12">
        <v>0</v>
      </c>
      <c r="BD1342" s="12">
        <v>0</v>
      </c>
      <c r="BE1342" s="12">
        <v>0</v>
      </c>
      <c r="BF1342" s="12">
        <v>0</v>
      </c>
      <c r="BI1342" s="12">
        <v>0</v>
      </c>
      <c r="BJ1342" s="12">
        <v>0</v>
      </c>
    </row>
    <row r="1343" spans="1:62" x14ac:dyDescent="0.15">
      <c r="A1343" s="12"/>
      <c r="B1343" t="s">
        <v>2676</v>
      </c>
      <c r="C1343" s="27" t="s">
        <v>2677</v>
      </c>
      <c r="D1343" t="s">
        <v>6596</v>
      </c>
      <c r="E1343" t="s">
        <v>2182</v>
      </c>
      <c r="F1343"/>
      <c r="G1343"/>
      <c r="H1343"/>
      <c r="I1343"/>
      <c r="J1343"/>
      <c r="K1343"/>
      <c r="L1343" s="10">
        <v>3657280</v>
      </c>
      <c r="M1343" s="10">
        <v>625630</v>
      </c>
      <c r="N1343" s="12">
        <v>15</v>
      </c>
      <c r="O1343" s="12" t="s">
        <v>6992</v>
      </c>
      <c r="P1343" t="s">
        <v>2183</v>
      </c>
      <c r="R1343"/>
      <c r="S1343" t="s">
        <v>2184</v>
      </c>
      <c r="T1343" s="12" t="s">
        <v>2185</v>
      </c>
      <c r="U1343" s="12" t="s">
        <v>2186</v>
      </c>
      <c r="V1343" s="12" t="s">
        <v>2187</v>
      </c>
      <c r="W1343" s="12">
        <v>0</v>
      </c>
      <c r="X1343" s="12">
        <v>1</v>
      </c>
      <c r="Y1343" s="12">
        <v>0</v>
      </c>
      <c r="Z1343" s="12">
        <v>0</v>
      </c>
      <c r="AA1343" s="12">
        <v>0</v>
      </c>
      <c r="AB1343" s="12">
        <v>0</v>
      </c>
      <c r="AC1343" s="12">
        <v>0</v>
      </c>
      <c r="AD1343" s="12">
        <v>0</v>
      </c>
      <c r="AE1343" s="12">
        <v>0</v>
      </c>
      <c r="AF1343" s="12">
        <v>0</v>
      </c>
      <c r="AG1343" s="12">
        <v>0</v>
      </c>
      <c r="AH1343" s="12">
        <v>0</v>
      </c>
      <c r="AI1343" s="12">
        <v>0</v>
      </c>
      <c r="AJ1343" s="12">
        <v>0</v>
      </c>
      <c r="AK1343" s="12">
        <v>0</v>
      </c>
      <c r="AL1343" s="12">
        <v>0</v>
      </c>
      <c r="AM1343" s="12"/>
      <c r="AN1343" s="12">
        <v>0</v>
      </c>
      <c r="AO1343" s="12">
        <v>0</v>
      </c>
      <c r="AP1343" s="12">
        <v>0</v>
      </c>
      <c r="AQ1343" s="12">
        <v>0</v>
      </c>
      <c r="AR1343" s="12">
        <v>0</v>
      </c>
      <c r="AS1343" s="12">
        <v>0</v>
      </c>
      <c r="AT1343" s="12">
        <v>0</v>
      </c>
      <c r="AU1343" s="12">
        <v>0</v>
      </c>
      <c r="AV1343" s="12">
        <v>0</v>
      </c>
      <c r="AW1343" s="12">
        <v>0</v>
      </c>
      <c r="AX1343" s="12">
        <v>0</v>
      </c>
      <c r="AY1343" s="12">
        <v>0</v>
      </c>
      <c r="AZ1343"/>
      <c r="BA1343"/>
      <c r="BB1343" s="12">
        <v>0</v>
      </c>
      <c r="BC1343" s="12">
        <v>0</v>
      </c>
      <c r="BD1343" s="12">
        <v>0</v>
      </c>
      <c r="BE1343" s="12">
        <v>0</v>
      </c>
      <c r="BF1343" s="12">
        <v>0</v>
      </c>
      <c r="BI1343" s="12">
        <v>0</v>
      </c>
      <c r="BJ1343" s="12">
        <v>0</v>
      </c>
    </row>
    <row r="1344" spans="1:62" x14ac:dyDescent="0.15">
      <c r="A1344" s="12"/>
      <c r="B1344" t="s">
        <v>2678</v>
      </c>
      <c r="C1344" s="27" t="s">
        <v>2679</v>
      </c>
      <c r="D1344" t="s">
        <v>6596</v>
      </c>
      <c r="E1344" t="s">
        <v>2182</v>
      </c>
      <c r="F1344"/>
      <c r="G1344"/>
      <c r="H1344"/>
      <c r="I1344"/>
      <c r="J1344"/>
      <c r="K1344"/>
      <c r="L1344" s="10">
        <v>4034700</v>
      </c>
      <c r="M1344" s="10">
        <v>735400</v>
      </c>
      <c r="N1344" s="12">
        <v>15</v>
      </c>
      <c r="O1344" s="12" t="s">
        <v>6992</v>
      </c>
      <c r="P1344" t="s">
        <v>2183</v>
      </c>
      <c r="R1344"/>
      <c r="S1344" t="s">
        <v>2184</v>
      </c>
      <c r="T1344" s="12" t="s">
        <v>2185</v>
      </c>
      <c r="U1344" s="12" t="s">
        <v>2186</v>
      </c>
      <c r="V1344" s="12" t="s">
        <v>2187</v>
      </c>
      <c r="W1344" s="12">
        <v>0</v>
      </c>
      <c r="X1344" s="12">
        <v>1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2">
        <v>0</v>
      </c>
      <c r="AK1344" s="12">
        <v>0</v>
      </c>
      <c r="AL1344" s="12">
        <v>0</v>
      </c>
      <c r="AM1344" s="12"/>
      <c r="AN1344" s="12">
        <v>0</v>
      </c>
      <c r="AO1344" s="12">
        <v>0</v>
      </c>
      <c r="AP1344" s="12">
        <v>0</v>
      </c>
      <c r="AQ1344" s="12">
        <v>0</v>
      </c>
      <c r="AR1344" s="12">
        <v>0</v>
      </c>
      <c r="AS1344" s="12">
        <v>0</v>
      </c>
      <c r="AT1344" s="12">
        <v>0</v>
      </c>
      <c r="AU1344" s="12">
        <v>0</v>
      </c>
      <c r="AV1344" s="12">
        <v>0</v>
      </c>
      <c r="AW1344" s="12">
        <v>0</v>
      </c>
      <c r="AX1344" s="12">
        <v>0</v>
      </c>
      <c r="AY1344" s="12">
        <v>0</v>
      </c>
      <c r="AZ1344"/>
      <c r="BA1344"/>
      <c r="BB1344" s="12">
        <v>0</v>
      </c>
      <c r="BC1344" s="12">
        <v>0</v>
      </c>
      <c r="BD1344" s="12">
        <v>0</v>
      </c>
      <c r="BE1344" s="12">
        <v>0</v>
      </c>
      <c r="BF1344" s="12">
        <v>0</v>
      </c>
      <c r="BI1344" s="12">
        <v>0</v>
      </c>
      <c r="BJ1344" s="12">
        <v>0</v>
      </c>
    </row>
    <row r="1345" spans="1:62" x14ac:dyDescent="0.15">
      <c r="A1345" s="12"/>
      <c r="B1345" t="s">
        <v>2680</v>
      </c>
      <c r="C1345" s="27" t="s">
        <v>6427</v>
      </c>
      <c r="D1345" t="s">
        <v>6596</v>
      </c>
      <c r="E1345" t="s">
        <v>2182</v>
      </c>
      <c r="F1345"/>
      <c r="G1345"/>
      <c r="H1345"/>
      <c r="I1345"/>
      <c r="J1345"/>
      <c r="K1345"/>
      <c r="L1345" s="10">
        <v>4033400</v>
      </c>
      <c r="M1345" s="10">
        <v>710940</v>
      </c>
      <c r="N1345" s="12">
        <v>15</v>
      </c>
      <c r="O1345" s="12" t="s">
        <v>6992</v>
      </c>
      <c r="P1345" t="s">
        <v>2183</v>
      </c>
      <c r="R1345"/>
      <c r="S1345" t="s">
        <v>2184</v>
      </c>
      <c r="T1345" s="12" t="s">
        <v>2185</v>
      </c>
      <c r="U1345" s="12" t="s">
        <v>2186</v>
      </c>
      <c r="V1345" s="12" t="s">
        <v>2187</v>
      </c>
      <c r="W1345" s="12">
        <v>0</v>
      </c>
      <c r="X1345" s="12">
        <v>1</v>
      </c>
      <c r="Y1345" s="12">
        <v>0</v>
      </c>
      <c r="Z1345" s="12">
        <v>0</v>
      </c>
      <c r="AA1345" s="12">
        <v>0</v>
      </c>
      <c r="AB1345" s="12">
        <v>0</v>
      </c>
      <c r="AC1345" s="12">
        <v>0</v>
      </c>
      <c r="AD1345" s="12">
        <v>0</v>
      </c>
      <c r="AE1345" s="12">
        <v>0</v>
      </c>
      <c r="AF1345" s="12">
        <v>0</v>
      </c>
      <c r="AG1345" s="12">
        <v>0</v>
      </c>
      <c r="AH1345" s="12">
        <v>0</v>
      </c>
      <c r="AI1345" s="12">
        <v>0</v>
      </c>
      <c r="AJ1345" s="12">
        <v>0</v>
      </c>
      <c r="AK1345" s="12">
        <v>0</v>
      </c>
      <c r="AL1345" s="12">
        <v>0</v>
      </c>
      <c r="AM1345" s="12"/>
      <c r="AN1345" s="12">
        <v>0</v>
      </c>
      <c r="AO1345" s="12">
        <v>0</v>
      </c>
      <c r="AP1345" s="12">
        <v>0</v>
      </c>
      <c r="AQ1345" s="12">
        <v>0</v>
      </c>
      <c r="AR1345" s="12">
        <v>0</v>
      </c>
      <c r="AS1345" s="12">
        <v>0</v>
      </c>
      <c r="AT1345" s="12">
        <v>0</v>
      </c>
      <c r="AU1345" s="12">
        <v>0</v>
      </c>
      <c r="AV1345" s="12">
        <v>0</v>
      </c>
      <c r="AW1345" s="12">
        <v>0</v>
      </c>
      <c r="AX1345" s="12">
        <v>0</v>
      </c>
      <c r="AY1345" s="12">
        <v>0</v>
      </c>
      <c r="AZ1345"/>
      <c r="BA1345"/>
      <c r="BB1345" s="12">
        <v>0</v>
      </c>
      <c r="BC1345" s="12">
        <v>0</v>
      </c>
      <c r="BD1345" s="12">
        <v>0</v>
      </c>
      <c r="BE1345" s="12">
        <v>0</v>
      </c>
      <c r="BF1345" s="12">
        <v>0</v>
      </c>
      <c r="BI1345" s="12">
        <v>0</v>
      </c>
      <c r="BJ1345" s="12">
        <v>0</v>
      </c>
    </row>
    <row r="1346" spans="1:62" x14ac:dyDescent="0.15">
      <c r="A1346" s="12"/>
      <c r="B1346" t="s">
        <v>2681</v>
      </c>
      <c r="C1346" t="s">
        <v>2681</v>
      </c>
      <c r="D1346" t="s">
        <v>6596</v>
      </c>
      <c r="E1346" t="s">
        <v>2182</v>
      </c>
      <c r="F1346"/>
      <c r="G1346"/>
      <c r="H1346"/>
      <c r="I1346"/>
      <c r="J1346"/>
      <c r="K1346"/>
      <c r="L1346" s="10">
        <v>4030650</v>
      </c>
      <c r="M1346" s="10">
        <v>734020</v>
      </c>
      <c r="N1346" s="12">
        <v>15</v>
      </c>
      <c r="O1346" s="12" t="s">
        <v>6992</v>
      </c>
      <c r="P1346" t="s">
        <v>2183</v>
      </c>
      <c r="R1346"/>
      <c r="S1346" t="s">
        <v>2184</v>
      </c>
      <c r="T1346" s="12" t="s">
        <v>2185</v>
      </c>
      <c r="U1346" s="12" t="s">
        <v>2186</v>
      </c>
      <c r="V1346" s="12" t="s">
        <v>2187</v>
      </c>
      <c r="W1346" s="12">
        <v>0</v>
      </c>
      <c r="X1346" s="12">
        <v>1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2">
        <v>0</v>
      </c>
      <c r="AK1346" s="12">
        <v>0</v>
      </c>
      <c r="AL1346" s="12">
        <v>0</v>
      </c>
      <c r="AM1346" s="12"/>
      <c r="AN1346" s="12">
        <v>0</v>
      </c>
      <c r="AO1346" s="12">
        <v>0</v>
      </c>
      <c r="AP1346" s="12">
        <v>0</v>
      </c>
      <c r="AQ1346" s="12">
        <v>0</v>
      </c>
      <c r="AR1346" s="12">
        <v>0</v>
      </c>
      <c r="AS1346" s="12">
        <v>0</v>
      </c>
      <c r="AT1346" s="12">
        <v>0</v>
      </c>
      <c r="AU1346" s="12">
        <v>0</v>
      </c>
      <c r="AV1346" s="12">
        <v>0</v>
      </c>
      <c r="AW1346" s="12">
        <v>0</v>
      </c>
      <c r="AX1346" s="12">
        <v>0</v>
      </c>
      <c r="AY1346" s="12">
        <v>0</v>
      </c>
      <c r="AZ1346"/>
      <c r="BA1346"/>
      <c r="BB1346" s="12">
        <v>0</v>
      </c>
      <c r="BC1346" s="12">
        <v>0</v>
      </c>
      <c r="BD1346" s="12">
        <v>0</v>
      </c>
      <c r="BE1346" s="12">
        <v>0</v>
      </c>
      <c r="BF1346" s="12">
        <v>0</v>
      </c>
      <c r="BI1346" s="12">
        <v>0</v>
      </c>
      <c r="BJ1346" s="12">
        <v>0</v>
      </c>
    </row>
    <row r="1347" spans="1:62" x14ac:dyDescent="0.15">
      <c r="A1347" s="12"/>
      <c r="B1347" t="s">
        <v>2682</v>
      </c>
      <c r="C1347" t="s">
        <v>2682</v>
      </c>
      <c r="D1347" t="s">
        <v>6596</v>
      </c>
      <c r="E1347" t="s">
        <v>2182</v>
      </c>
      <c r="F1347"/>
      <c r="G1347"/>
      <c r="H1347"/>
      <c r="I1347"/>
      <c r="J1347"/>
      <c r="K1347"/>
      <c r="L1347" s="10">
        <v>4028280</v>
      </c>
      <c r="M1347" s="10">
        <v>730070</v>
      </c>
      <c r="N1347" s="12">
        <v>15</v>
      </c>
      <c r="O1347" s="12" t="s">
        <v>6992</v>
      </c>
      <c r="P1347" t="s">
        <v>2183</v>
      </c>
      <c r="R1347"/>
      <c r="S1347" t="s">
        <v>2184</v>
      </c>
      <c r="T1347" s="12" t="s">
        <v>2185</v>
      </c>
      <c r="U1347" s="12" t="s">
        <v>2186</v>
      </c>
      <c r="V1347" s="12" t="s">
        <v>2187</v>
      </c>
      <c r="W1347" s="12">
        <v>0</v>
      </c>
      <c r="X1347" s="12">
        <v>1</v>
      </c>
      <c r="Y1347" s="12">
        <v>0</v>
      </c>
      <c r="Z1347" s="12">
        <v>0</v>
      </c>
      <c r="AA1347" s="12">
        <v>0</v>
      </c>
      <c r="AB1347" s="12">
        <v>0</v>
      </c>
      <c r="AC1347" s="12">
        <v>0</v>
      </c>
      <c r="AD1347" s="12">
        <v>0</v>
      </c>
      <c r="AE1347" s="12">
        <v>0</v>
      </c>
      <c r="AF1347" s="12">
        <v>0</v>
      </c>
      <c r="AG1347" s="12">
        <v>0</v>
      </c>
      <c r="AH1347" s="12">
        <v>0</v>
      </c>
      <c r="AI1347" s="12">
        <v>0</v>
      </c>
      <c r="AJ1347" s="12">
        <v>0</v>
      </c>
      <c r="AK1347" s="12">
        <v>0</v>
      </c>
      <c r="AL1347" s="12">
        <v>0</v>
      </c>
      <c r="AM1347" s="12"/>
      <c r="AN1347" s="12">
        <v>0</v>
      </c>
      <c r="AO1347" s="12">
        <v>0</v>
      </c>
      <c r="AP1347" s="12">
        <v>0</v>
      </c>
      <c r="AQ1347" s="12">
        <v>0</v>
      </c>
      <c r="AR1347" s="12">
        <v>0</v>
      </c>
      <c r="AS1347" s="12">
        <v>0</v>
      </c>
      <c r="AT1347" s="12">
        <v>0</v>
      </c>
      <c r="AU1347" s="12">
        <v>0</v>
      </c>
      <c r="AV1347" s="12">
        <v>0</v>
      </c>
      <c r="AW1347" s="12">
        <v>0</v>
      </c>
      <c r="AX1347" s="12">
        <v>0</v>
      </c>
      <c r="AY1347" s="12">
        <v>0</v>
      </c>
      <c r="AZ1347"/>
      <c r="BA1347"/>
      <c r="BB1347" s="12">
        <v>0</v>
      </c>
      <c r="BC1347" s="12">
        <v>0</v>
      </c>
      <c r="BD1347" s="12">
        <v>0</v>
      </c>
      <c r="BE1347" s="12">
        <v>0</v>
      </c>
      <c r="BF1347" s="12">
        <v>0</v>
      </c>
      <c r="BI1347" s="12">
        <v>0</v>
      </c>
      <c r="BJ1347" s="12">
        <v>0</v>
      </c>
    </row>
    <row r="1348" spans="1:62" x14ac:dyDescent="0.15">
      <c r="A1348" s="12"/>
      <c r="B1348" t="s">
        <v>2683</v>
      </c>
      <c r="C1348" t="s">
        <v>2683</v>
      </c>
      <c r="D1348" t="s">
        <v>6596</v>
      </c>
      <c r="E1348" t="s">
        <v>2182</v>
      </c>
      <c r="F1348"/>
      <c r="G1348"/>
      <c r="H1348"/>
      <c r="I1348"/>
      <c r="J1348"/>
      <c r="K1348"/>
      <c r="L1348" s="10">
        <v>3731710</v>
      </c>
      <c r="M1348" s="10">
        <v>602590</v>
      </c>
      <c r="N1348" s="12">
        <v>15</v>
      </c>
      <c r="O1348" s="12" t="s">
        <v>6992</v>
      </c>
      <c r="P1348" t="s">
        <v>2183</v>
      </c>
      <c r="R1348"/>
      <c r="S1348" t="s">
        <v>2184</v>
      </c>
      <c r="T1348" s="12" t="s">
        <v>2185</v>
      </c>
      <c r="U1348" s="12" t="s">
        <v>2186</v>
      </c>
      <c r="V1348" s="12" t="s">
        <v>2187</v>
      </c>
      <c r="W1348" s="12">
        <v>0</v>
      </c>
      <c r="X1348" s="12">
        <v>1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2">
        <v>0</v>
      </c>
      <c r="AK1348" s="12">
        <v>0</v>
      </c>
      <c r="AL1348" s="12">
        <v>0</v>
      </c>
      <c r="AM1348" s="12"/>
      <c r="AN1348" s="12">
        <v>0</v>
      </c>
      <c r="AO1348" s="12">
        <v>0</v>
      </c>
      <c r="AP1348" s="12">
        <v>0</v>
      </c>
      <c r="AQ1348" s="12">
        <v>0</v>
      </c>
      <c r="AR1348" s="12">
        <v>0</v>
      </c>
      <c r="AS1348" s="12">
        <v>0</v>
      </c>
      <c r="AT1348" s="12">
        <v>0</v>
      </c>
      <c r="AU1348" s="12">
        <v>0</v>
      </c>
      <c r="AV1348" s="12">
        <v>0</v>
      </c>
      <c r="AW1348" s="12">
        <v>0</v>
      </c>
      <c r="AX1348" s="12">
        <v>0</v>
      </c>
      <c r="AY1348" s="12">
        <v>0</v>
      </c>
      <c r="AZ1348"/>
      <c r="BA1348"/>
      <c r="BB1348" s="12">
        <v>0</v>
      </c>
      <c r="BC1348" s="12">
        <v>0</v>
      </c>
      <c r="BD1348" s="12">
        <v>0</v>
      </c>
      <c r="BE1348" s="12">
        <v>0</v>
      </c>
      <c r="BF1348" s="12">
        <v>0</v>
      </c>
      <c r="BI1348" s="12">
        <v>0</v>
      </c>
      <c r="BJ1348" s="12">
        <v>0</v>
      </c>
    </row>
    <row r="1349" spans="1:62" x14ac:dyDescent="0.15">
      <c r="A1349" s="12"/>
      <c r="B1349" t="s">
        <v>2684</v>
      </c>
      <c r="C1349" s="27" t="s">
        <v>2685</v>
      </c>
      <c r="D1349" t="s">
        <v>6596</v>
      </c>
      <c r="E1349" t="s">
        <v>2182</v>
      </c>
      <c r="F1349"/>
      <c r="G1349"/>
      <c r="H1349"/>
      <c r="I1349"/>
      <c r="J1349"/>
      <c r="K1349"/>
      <c r="L1349" s="10">
        <v>3991180</v>
      </c>
      <c r="M1349" s="10">
        <v>701370</v>
      </c>
      <c r="N1349" s="12">
        <v>15</v>
      </c>
      <c r="O1349" s="12" t="s">
        <v>6992</v>
      </c>
      <c r="P1349" t="s">
        <v>2183</v>
      </c>
      <c r="R1349"/>
      <c r="S1349" t="s">
        <v>2184</v>
      </c>
      <c r="T1349" s="12" t="s">
        <v>2185</v>
      </c>
      <c r="U1349" s="12" t="s">
        <v>2186</v>
      </c>
      <c r="V1349" s="12" t="s">
        <v>2187</v>
      </c>
      <c r="W1349" s="12">
        <v>0</v>
      </c>
      <c r="X1349" s="12">
        <v>1</v>
      </c>
      <c r="Y1349" s="12">
        <v>0</v>
      </c>
      <c r="Z1349" s="12">
        <v>0</v>
      </c>
      <c r="AA1349" s="12">
        <v>0</v>
      </c>
      <c r="AB1349" s="12">
        <v>0</v>
      </c>
      <c r="AC1349" s="12">
        <v>0</v>
      </c>
      <c r="AD1349" s="12">
        <v>0</v>
      </c>
      <c r="AE1349" s="12">
        <v>0</v>
      </c>
      <c r="AF1349" s="12">
        <v>0</v>
      </c>
      <c r="AG1349" s="12">
        <v>0</v>
      </c>
      <c r="AH1349" s="12">
        <v>0</v>
      </c>
      <c r="AI1349" s="12">
        <v>0</v>
      </c>
      <c r="AJ1349" s="12">
        <v>0</v>
      </c>
      <c r="AK1349" s="12">
        <v>0</v>
      </c>
      <c r="AL1349" s="12">
        <v>0</v>
      </c>
      <c r="AM1349" s="12"/>
      <c r="AN1349" s="12">
        <v>0</v>
      </c>
      <c r="AO1349" s="12">
        <v>0</v>
      </c>
      <c r="AP1349" s="12">
        <v>0</v>
      </c>
      <c r="AQ1349" s="12">
        <v>0</v>
      </c>
      <c r="AR1349" s="12">
        <v>0</v>
      </c>
      <c r="AS1349" s="12">
        <v>0</v>
      </c>
      <c r="AT1349" s="12">
        <v>0</v>
      </c>
      <c r="AU1349" s="12">
        <v>0</v>
      </c>
      <c r="AV1349" s="12">
        <v>0</v>
      </c>
      <c r="AW1349" s="12">
        <v>0</v>
      </c>
      <c r="AX1349" s="12">
        <v>0</v>
      </c>
      <c r="AY1349" s="12">
        <v>0</v>
      </c>
      <c r="AZ1349"/>
      <c r="BA1349"/>
      <c r="BB1349" s="12">
        <v>0</v>
      </c>
      <c r="BC1349" s="12">
        <v>0</v>
      </c>
      <c r="BD1349" s="12">
        <v>0</v>
      </c>
      <c r="BE1349" s="12">
        <v>0</v>
      </c>
      <c r="BF1349" s="12">
        <v>0</v>
      </c>
      <c r="BI1349" s="12">
        <v>0</v>
      </c>
      <c r="BJ1349" s="12">
        <v>0</v>
      </c>
    </row>
    <row r="1350" spans="1:62" x14ac:dyDescent="0.15">
      <c r="A1350" s="12"/>
      <c r="B1350" t="s">
        <v>2686</v>
      </c>
      <c r="C1350" t="s">
        <v>2686</v>
      </c>
      <c r="D1350" t="s">
        <v>6596</v>
      </c>
      <c r="E1350" t="s">
        <v>2182</v>
      </c>
      <c r="F1350"/>
      <c r="G1350"/>
      <c r="H1350"/>
      <c r="I1350"/>
      <c r="J1350"/>
      <c r="K1350"/>
      <c r="L1350" s="10">
        <v>3987620</v>
      </c>
      <c r="M1350" s="10">
        <v>698620</v>
      </c>
      <c r="N1350" s="12">
        <v>15</v>
      </c>
      <c r="O1350" s="12" t="s">
        <v>6992</v>
      </c>
      <c r="P1350" t="s">
        <v>2183</v>
      </c>
      <c r="R1350"/>
      <c r="S1350" t="s">
        <v>2184</v>
      </c>
      <c r="T1350" s="12" t="s">
        <v>2185</v>
      </c>
      <c r="U1350" s="12" t="s">
        <v>2186</v>
      </c>
      <c r="V1350" s="12" t="s">
        <v>2187</v>
      </c>
      <c r="W1350" s="12">
        <v>0</v>
      </c>
      <c r="X1350" s="12">
        <v>1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2">
        <v>0</v>
      </c>
      <c r="AK1350" s="12">
        <v>0</v>
      </c>
      <c r="AL1350" s="12">
        <v>0</v>
      </c>
      <c r="AM1350" s="12"/>
      <c r="AN1350" s="12">
        <v>0</v>
      </c>
      <c r="AO1350" s="12">
        <v>0</v>
      </c>
      <c r="AP1350" s="12">
        <v>0</v>
      </c>
      <c r="AQ1350" s="12">
        <v>0</v>
      </c>
      <c r="AR1350" s="12">
        <v>0</v>
      </c>
      <c r="AS1350" s="12">
        <v>0</v>
      </c>
      <c r="AT1350" s="12">
        <v>0</v>
      </c>
      <c r="AU1350" s="12">
        <v>0</v>
      </c>
      <c r="AV1350" s="12">
        <v>0</v>
      </c>
      <c r="AW1350" s="12">
        <v>0</v>
      </c>
      <c r="AX1350" s="12">
        <v>0</v>
      </c>
      <c r="AY1350" s="12">
        <v>0</v>
      </c>
      <c r="AZ1350"/>
      <c r="BA1350"/>
      <c r="BB1350" s="12">
        <v>0</v>
      </c>
      <c r="BC1350" s="12">
        <v>0</v>
      </c>
      <c r="BD1350" s="12">
        <v>0</v>
      </c>
      <c r="BE1350" s="12">
        <v>0</v>
      </c>
      <c r="BF1350" s="12">
        <v>0</v>
      </c>
      <c r="BI1350" s="12">
        <v>0</v>
      </c>
      <c r="BJ1350" s="12">
        <v>0</v>
      </c>
    </row>
    <row r="1351" spans="1:62" x14ac:dyDescent="0.15">
      <c r="A1351" s="12"/>
      <c r="B1351" t="s">
        <v>2687</v>
      </c>
      <c r="C1351" t="s">
        <v>2687</v>
      </c>
      <c r="D1351" t="s">
        <v>6596</v>
      </c>
      <c r="E1351" t="s">
        <v>2182</v>
      </c>
      <c r="F1351"/>
      <c r="G1351"/>
      <c r="H1351"/>
      <c r="I1351"/>
      <c r="J1351"/>
      <c r="K1351"/>
      <c r="L1351" s="10">
        <v>3986120</v>
      </c>
      <c r="M1351" s="10">
        <v>697500</v>
      </c>
      <c r="N1351" s="12">
        <v>15</v>
      </c>
      <c r="O1351" s="12" t="s">
        <v>6992</v>
      </c>
      <c r="P1351" t="s">
        <v>2183</v>
      </c>
      <c r="R1351"/>
      <c r="S1351" t="s">
        <v>2184</v>
      </c>
      <c r="T1351" s="12" t="s">
        <v>2185</v>
      </c>
      <c r="U1351" s="12" t="s">
        <v>2186</v>
      </c>
      <c r="V1351" s="12" t="s">
        <v>2187</v>
      </c>
      <c r="W1351" s="12">
        <v>0</v>
      </c>
      <c r="X1351" s="12">
        <v>1</v>
      </c>
      <c r="Y1351" s="12">
        <v>0</v>
      </c>
      <c r="Z1351" s="12">
        <v>0</v>
      </c>
      <c r="AA1351" s="12">
        <v>0</v>
      </c>
      <c r="AB1351" s="12">
        <v>0</v>
      </c>
      <c r="AC1351" s="12">
        <v>0</v>
      </c>
      <c r="AD1351" s="12">
        <v>0</v>
      </c>
      <c r="AE1351" s="12">
        <v>0</v>
      </c>
      <c r="AF1351" s="12">
        <v>0</v>
      </c>
      <c r="AG1351" s="12">
        <v>0</v>
      </c>
      <c r="AH1351" s="12">
        <v>0</v>
      </c>
      <c r="AI1351" s="12">
        <v>0</v>
      </c>
      <c r="AJ1351" s="12">
        <v>0</v>
      </c>
      <c r="AK1351" s="12">
        <v>0</v>
      </c>
      <c r="AL1351" s="12">
        <v>0</v>
      </c>
      <c r="AM1351" s="12"/>
      <c r="AN1351" s="12">
        <v>0</v>
      </c>
      <c r="AO1351" s="12">
        <v>0</v>
      </c>
      <c r="AP1351" s="12">
        <v>0</v>
      </c>
      <c r="AQ1351" s="12">
        <v>0</v>
      </c>
      <c r="AR1351" s="12">
        <v>0</v>
      </c>
      <c r="AS1351" s="12">
        <v>0</v>
      </c>
      <c r="AT1351" s="12">
        <v>0</v>
      </c>
      <c r="AU1351" s="12">
        <v>0</v>
      </c>
      <c r="AV1351" s="12">
        <v>0</v>
      </c>
      <c r="AW1351" s="12">
        <v>0</v>
      </c>
      <c r="AX1351" s="12">
        <v>0</v>
      </c>
      <c r="AY1351" s="12">
        <v>0</v>
      </c>
      <c r="AZ1351"/>
      <c r="BA1351"/>
      <c r="BB1351" s="12">
        <v>0</v>
      </c>
      <c r="BC1351" s="12">
        <v>0</v>
      </c>
      <c r="BD1351" s="12">
        <v>0</v>
      </c>
      <c r="BE1351" s="12">
        <v>0</v>
      </c>
      <c r="BF1351" s="12">
        <v>0</v>
      </c>
      <c r="BI1351" s="12">
        <v>0</v>
      </c>
      <c r="BJ1351" s="12">
        <v>0</v>
      </c>
    </row>
    <row r="1352" spans="1:62" x14ac:dyDescent="0.15">
      <c r="A1352" s="12"/>
      <c r="B1352" t="s">
        <v>2688</v>
      </c>
      <c r="C1352" s="27" t="s">
        <v>2689</v>
      </c>
      <c r="D1352" t="s">
        <v>6596</v>
      </c>
      <c r="E1352" t="s">
        <v>2182</v>
      </c>
      <c r="F1352"/>
      <c r="G1352"/>
      <c r="H1352"/>
      <c r="I1352"/>
      <c r="J1352"/>
      <c r="K1352"/>
      <c r="L1352" s="10">
        <v>3764160</v>
      </c>
      <c r="M1352" s="10">
        <v>606770</v>
      </c>
      <c r="N1352" s="12">
        <v>15</v>
      </c>
      <c r="O1352" s="12" t="s">
        <v>6992</v>
      </c>
      <c r="P1352" t="s">
        <v>2183</v>
      </c>
      <c r="R1352"/>
      <c r="S1352" t="s">
        <v>2184</v>
      </c>
      <c r="T1352" s="12" t="s">
        <v>2185</v>
      </c>
      <c r="U1352" s="12" t="s">
        <v>2186</v>
      </c>
      <c r="V1352" s="12" t="s">
        <v>2187</v>
      </c>
      <c r="W1352" s="12">
        <v>0</v>
      </c>
      <c r="X1352" s="12">
        <v>1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2">
        <v>0</v>
      </c>
      <c r="AK1352" s="12">
        <v>0</v>
      </c>
      <c r="AL1352" s="12">
        <v>0</v>
      </c>
      <c r="AM1352" s="12"/>
      <c r="AN1352" s="12">
        <v>0</v>
      </c>
      <c r="AO1352" s="12">
        <v>0</v>
      </c>
      <c r="AP1352" s="12">
        <v>0</v>
      </c>
      <c r="AQ1352" s="12">
        <v>0</v>
      </c>
      <c r="AR1352" s="12">
        <v>0</v>
      </c>
      <c r="AS1352" s="12">
        <v>0</v>
      </c>
      <c r="AT1352" s="12">
        <v>0</v>
      </c>
      <c r="AU1352" s="12">
        <v>0</v>
      </c>
      <c r="AV1352" s="12">
        <v>0</v>
      </c>
      <c r="AW1352" s="12">
        <v>0</v>
      </c>
      <c r="AX1352" s="12">
        <v>0</v>
      </c>
      <c r="AY1352" s="12">
        <v>0</v>
      </c>
      <c r="AZ1352"/>
      <c r="BA1352"/>
      <c r="BB1352" s="12">
        <v>0</v>
      </c>
      <c r="BC1352" s="12">
        <v>0</v>
      </c>
      <c r="BD1352" s="12">
        <v>0</v>
      </c>
      <c r="BE1352" s="12">
        <v>0</v>
      </c>
      <c r="BF1352" s="12">
        <v>0</v>
      </c>
      <c r="BI1352" s="12">
        <v>0</v>
      </c>
      <c r="BJ1352" s="12">
        <v>0</v>
      </c>
    </row>
    <row r="1353" spans="1:62" x14ac:dyDescent="0.15">
      <c r="A1353" s="12"/>
      <c r="B1353" t="s">
        <v>2690</v>
      </c>
      <c r="C1353" s="27" t="s">
        <v>2691</v>
      </c>
      <c r="D1353" t="s">
        <v>6596</v>
      </c>
      <c r="E1353" t="s">
        <v>2182</v>
      </c>
      <c r="F1353"/>
      <c r="G1353"/>
      <c r="H1353"/>
      <c r="I1353"/>
      <c r="J1353"/>
      <c r="K1353"/>
      <c r="L1353" s="10">
        <v>3763040</v>
      </c>
      <c r="M1353" s="10">
        <v>609050</v>
      </c>
      <c r="N1353" s="12">
        <v>15</v>
      </c>
      <c r="O1353" s="12" t="s">
        <v>6992</v>
      </c>
      <c r="P1353" t="s">
        <v>2183</v>
      </c>
      <c r="R1353"/>
      <c r="S1353" t="s">
        <v>2184</v>
      </c>
      <c r="T1353" s="12" t="s">
        <v>2185</v>
      </c>
      <c r="U1353" s="12" t="s">
        <v>2186</v>
      </c>
      <c r="V1353" s="12" t="s">
        <v>2187</v>
      </c>
      <c r="W1353" s="12">
        <v>0</v>
      </c>
      <c r="X1353" s="12">
        <v>1</v>
      </c>
      <c r="Y1353" s="12">
        <v>0</v>
      </c>
      <c r="Z1353" s="12">
        <v>0</v>
      </c>
      <c r="AA1353" s="12">
        <v>0</v>
      </c>
      <c r="AB1353" s="12">
        <v>0</v>
      </c>
      <c r="AC1353" s="12">
        <v>0</v>
      </c>
      <c r="AD1353" s="12">
        <v>0</v>
      </c>
      <c r="AE1353" s="12">
        <v>0</v>
      </c>
      <c r="AF1353" s="12">
        <v>0</v>
      </c>
      <c r="AG1353" s="12">
        <v>0</v>
      </c>
      <c r="AH1353" s="12">
        <v>0</v>
      </c>
      <c r="AI1353" s="12">
        <v>0</v>
      </c>
      <c r="AJ1353" s="12">
        <v>0</v>
      </c>
      <c r="AK1353" s="12">
        <v>0</v>
      </c>
      <c r="AL1353" s="12">
        <v>0</v>
      </c>
      <c r="AM1353" s="12"/>
      <c r="AN1353" s="12">
        <v>0</v>
      </c>
      <c r="AO1353" s="12">
        <v>0</v>
      </c>
      <c r="AP1353" s="12">
        <v>0</v>
      </c>
      <c r="AQ1353" s="12">
        <v>0</v>
      </c>
      <c r="AR1353" s="12">
        <v>0</v>
      </c>
      <c r="AS1353" s="12">
        <v>0</v>
      </c>
      <c r="AT1353" s="12">
        <v>0</v>
      </c>
      <c r="AU1353" s="12">
        <v>0</v>
      </c>
      <c r="AV1353" s="12">
        <v>0</v>
      </c>
      <c r="AW1353" s="12">
        <v>0</v>
      </c>
      <c r="AX1353" s="12">
        <v>0</v>
      </c>
      <c r="AY1353" s="12">
        <v>0</v>
      </c>
      <c r="AZ1353"/>
      <c r="BA1353"/>
      <c r="BB1353" s="12">
        <v>0</v>
      </c>
      <c r="BC1353" s="12">
        <v>0</v>
      </c>
      <c r="BD1353" s="12">
        <v>0</v>
      </c>
      <c r="BE1353" s="12">
        <v>0</v>
      </c>
      <c r="BF1353" s="12">
        <v>0</v>
      </c>
      <c r="BI1353" s="12">
        <v>0</v>
      </c>
      <c r="BJ1353" s="12">
        <v>0</v>
      </c>
    </row>
    <row r="1354" spans="1:62" x14ac:dyDescent="0.15">
      <c r="A1354" s="12"/>
      <c r="B1354" t="s">
        <v>2692</v>
      </c>
      <c r="C1354" s="27" t="s">
        <v>2693</v>
      </c>
      <c r="D1354" t="s">
        <v>6596</v>
      </c>
      <c r="E1354" t="s">
        <v>2182</v>
      </c>
      <c r="F1354"/>
      <c r="G1354"/>
      <c r="H1354"/>
      <c r="I1354"/>
      <c r="J1354"/>
      <c r="K1354"/>
      <c r="L1354" s="10">
        <v>3759810</v>
      </c>
      <c r="M1354" s="10">
        <v>614250</v>
      </c>
      <c r="N1354" s="12">
        <v>15</v>
      </c>
      <c r="O1354" s="12" t="s">
        <v>6992</v>
      </c>
      <c r="P1354" t="s">
        <v>2183</v>
      </c>
      <c r="R1354"/>
      <c r="S1354" t="s">
        <v>2184</v>
      </c>
      <c r="T1354" s="12" t="s">
        <v>2185</v>
      </c>
      <c r="U1354" s="12" t="s">
        <v>2186</v>
      </c>
      <c r="V1354" s="12" t="s">
        <v>2187</v>
      </c>
      <c r="W1354" s="12">
        <v>0</v>
      </c>
      <c r="X1354" s="12">
        <v>1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2">
        <v>0</v>
      </c>
      <c r="AK1354" s="12">
        <v>0</v>
      </c>
      <c r="AL1354" s="12">
        <v>0</v>
      </c>
      <c r="AM1354" s="12"/>
      <c r="AN1354" s="12">
        <v>0</v>
      </c>
      <c r="AO1354" s="12">
        <v>0</v>
      </c>
      <c r="AP1354" s="12">
        <v>0</v>
      </c>
      <c r="AQ1354" s="12">
        <v>0</v>
      </c>
      <c r="AR1354" s="12">
        <v>0</v>
      </c>
      <c r="AS1354" s="12">
        <v>0</v>
      </c>
      <c r="AT1354" s="12">
        <v>0</v>
      </c>
      <c r="AU1354" s="12">
        <v>0</v>
      </c>
      <c r="AV1354" s="12">
        <v>0</v>
      </c>
      <c r="AW1354" s="12">
        <v>0</v>
      </c>
      <c r="AX1354" s="12">
        <v>0</v>
      </c>
      <c r="AY1354" s="12">
        <v>0</v>
      </c>
      <c r="AZ1354"/>
      <c r="BA1354"/>
      <c r="BB1354" s="12">
        <v>0</v>
      </c>
      <c r="BC1354" s="12">
        <v>0</v>
      </c>
      <c r="BD1354" s="12">
        <v>0</v>
      </c>
      <c r="BE1354" s="12">
        <v>0</v>
      </c>
      <c r="BF1354" s="12">
        <v>0</v>
      </c>
      <c r="BI1354" s="12">
        <v>0</v>
      </c>
      <c r="BJ1354" s="12">
        <v>0</v>
      </c>
    </row>
    <row r="1355" spans="1:62" x14ac:dyDescent="0.15">
      <c r="A1355" s="12"/>
      <c r="B1355" t="s">
        <v>2694</v>
      </c>
      <c r="C1355" s="27" t="s">
        <v>2695</v>
      </c>
      <c r="D1355" t="s">
        <v>6596</v>
      </c>
      <c r="E1355" t="s">
        <v>2182</v>
      </c>
      <c r="F1355"/>
      <c r="G1355"/>
      <c r="H1355"/>
      <c r="I1355"/>
      <c r="J1355"/>
      <c r="K1355"/>
      <c r="L1355" s="10">
        <v>3740980</v>
      </c>
      <c r="M1355" s="10">
        <v>627910</v>
      </c>
      <c r="N1355" s="12">
        <v>15</v>
      </c>
      <c r="O1355" s="12" t="s">
        <v>6992</v>
      </c>
      <c r="P1355" t="s">
        <v>2183</v>
      </c>
      <c r="R1355"/>
      <c r="S1355" t="s">
        <v>2184</v>
      </c>
      <c r="T1355" s="12" t="s">
        <v>2185</v>
      </c>
      <c r="U1355" s="12" t="s">
        <v>2186</v>
      </c>
      <c r="V1355" s="12" t="s">
        <v>2187</v>
      </c>
      <c r="W1355" s="12">
        <v>0</v>
      </c>
      <c r="X1355" s="12">
        <v>1</v>
      </c>
      <c r="Y1355" s="12">
        <v>0</v>
      </c>
      <c r="Z1355" s="12">
        <v>0</v>
      </c>
      <c r="AA1355" s="12">
        <v>0</v>
      </c>
      <c r="AB1355" s="12">
        <v>0</v>
      </c>
      <c r="AC1355" s="12">
        <v>0</v>
      </c>
      <c r="AD1355" s="12">
        <v>0</v>
      </c>
      <c r="AE1355" s="12">
        <v>0</v>
      </c>
      <c r="AF1355" s="12">
        <v>0</v>
      </c>
      <c r="AG1355" s="12">
        <v>0</v>
      </c>
      <c r="AH1355" s="12">
        <v>0</v>
      </c>
      <c r="AI1355" s="12">
        <v>0</v>
      </c>
      <c r="AJ1355" s="12">
        <v>0</v>
      </c>
      <c r="AK1355" s="12">
        <v>0</v>
      </c>
      <c r="AL1355" s="12">
        <v>0</v>
      </c>
      <c r="AM1355" s="12"/>
      <c r="AN1355" s="12">
        <v>0</v>
      </c>
      <c r="AO1355" s="12">
        <v>0</v>
      </c>
      <c r="AP1355" s="12">
        <v>0</v>
      </c>
      <c r="AQ1355" s="12">
        <v>0</v>
      </c>
      <c r="AR1355" s="12">
        <v>0</v>
      </c>
      <c r="AS1355" s="12">
        <v>0</v>
      </c>
      <c r="AT1355" s="12">
        <v>0</v>
      </c>
      <c r="AU1355" s="12">
        <v>0</v>
      </c>
      <c r="AV1355" s="12">
        <v>0</v>
      </c>
      <c r="AW1355" s="12">
        <v>0</v>
      </c>
      <c r="AX1355" s="12">
        <v>0</v>
      </c>
      <c r="AY1355" s="12">
        <v>0</v>
      </c>
      <c r="AZ1355"/>
      <c r="BA1355"/>
      <c r="BB1355" s="12">
        <v>0</v>
      </c>
      <c r="BC1355" s="12">
        <v>0</v>
      </c>
      <c r="BD1355" s="12">
        <v>0</v>
      </c>
      <c r="BE1355" s="12">
        <v>0</v>
      </c>
      <c r="BF1355" s="12">
        <v>0</v>
      </c>
      <c r="BI1355" s="12">
        <v>0</v>
      </c>
      <c r="BJ1355" s="12">
        <v>0</v>
      </c>
    </row>
    <row r="1356" spans="1:62" x14ac:dyDescent="0.15">
      <c r="A1356" s="12"/>
      <c r="B1356" t="s">
        <v>2696</v>
      </c>
      <c r="C1356" s="27" t="s">
        <v>2697</v>
      </c>
      <c r="D1356" t="s">
        <v>6596</v>
      </c>
      <c r="E1356" t="s">
        <v>2182</v>
      </c>
      <c r="F1356"/>
      <c r="G1356"/>
      <c r="H1356"/>
      <c r="I1356"/>
      <c r="J1356"/>
      <c r="K1356"/>
      <c r="L1356" s="10">
        <v>4009350</v>
      </c>
      <c r="M1356" s="10">
        <v>714650</v>
      </c>
      <c r="N1356" s="12">
        <v>15</v>
      </c>
      <c r="O1356" s="12" t="s">
        <v>6992</v>
      </c>
      <c r="P1356" t="s">
        <v>2183</v>
      </c>
      <c r="R1356"/>
      <c r="S1356" t="s">
        <v>2184</v>
      </c>
      <c r="T1356" s="12" t="s">
        <v>2185</v>
      </c>
      <c r="U1356" s="12" t="s">
        <v>2186</v>
      </c>
      <c r="V1356" s="12" t="s">
        <v>2187</v>
      </c>
      <c r="W1356" s="12">
        <v>0</v>
      </c>
      <c r="X1356" s="12">
        <v>1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2">
        <v>0</v>
      </c>
      <c r="AK1356" s="12">
        <v>0</v>
      </c>
      <c r="AL1356" s="12">
        <v>0</v>
      </c>
      <c r="AM1356" s="12"/>
      <c r="AN1356" s="12">
        <v>0</v>
      </c>
      <c r="AO1356" s="12">
        <v>0</v>
      </c>
      <c r="AP1356" s="12">
        <v>0</v>
      </c>
      <c r="AQ1356" s="12">
        <v>0</v>
      </c>
      <c r="AR1356" s="12">
        <v>0</v>
      </c>
      <c r="AS1356" s="12">
        <v>0</v>
      </c>
      <c r="AT1356" s="12">
        <v>0</v>
      </c>
      <c r="AU1356" s="12">
        <v>0</v>
      </c>
      <c r="AV1356" s="12">
        <v>0</v>
      </c>
      <c r="AW1356" s="12">
        <v>0</v>
      </c>
      <c r="AX1356" s="12">
        <v>0</v>
      </c>
      <c r="AY1356" s="12">
        <v>0</v>
      </c>
      <c r="AZ1356"/>
      <c r="BA1356"/>
      <c r="BB1356" s="12">
        <v>0</v>
      </c>
      <c r="BC1356" s="12">
        <v>0</v>
      </c>
      <c r="BD1356" s="12">
        <v>0</v>
      </c>
      <c r="BE1356" s="12">
        <v>0</v>
      </c>
      <c r="BF1356" s="12">
        <v>0</v>
      </c>
      <c r="BI1356" s="12">
        <v>0</v>
      </c>
      <c r="BJ1356" s="12">
        <v>0</v>
      </c>
    </row>
    <row r="1357" spans="1:62" x14ac:dyDescent="0.15">
      <c r="A1357" s="12"/>
      <c r="B1357" t="s">
        <v>2698</v>
      </c>
      <c r="C1357" s="27" t="s">
        <v>2699</v>
      </c>
      <c r="D1357" t="s">
        <v>6596</v>
      </c>
      <c r="E1357" t="s">
        <v>2182</v>
      </c>
      <c r="F1357"/>
      <c r="G1357"/>
      <c r="H1357"/>
      <c r="I1357"/>
      <c r="J1357"/>
      <c r="K1357"/>
      <c r="L1357" s="10">
        <v>3688900</v>
      </c>
      <c r="M1357" s="10">
        <v>596580</v>
      </c>
      <c r="N1357" s="12">
        <v>15</v>
      </c>
      <c r="O1357" s="12" t="s">
        <v>6992</v>
      </c>
      <c r="P1357" t="s">
        <v>2183</v>
      </c>
      <c r="R1357"/>
      <c r="S1357" t="s">
        <v>2184</v>
      </c>
      <c r="T1357" s="12" t="s">
        <v>2185</v>
      </c>
      <c r="U1357" s="12" t="s">
        <v>2186</v>
      </c>
      <c r="V1357" s="12" t="s">
        <v>2187</v>
      </c>
      <c r="W1357" s="12">
        <v>0</v>
      </c>
      <c r="X1357" s="12">
        <v>1</v>
      </c>
      <c r="Y1357" s="12">
        <v>0</v>
      </c>
      <c r="Z1357" s="12">
        <v>0</v>
      </c>
      <c r="AA1357" s="12">
        <v>0</v>
      </c>
      <c r="AB1357" s="12">
        <v>0</v>
      </c>
      <c r="AC1357" s="12">
        <v>0</v>
      </c>
      <c r="AD1357" s="12">
        <v>0</v>
      </c>
      <c r="AE1357" s="12">
        <v>0</v>
      </c>
      <c r="AF1357" s="12">
        <v>0</v>
      </c>
      <c r="AG1357" s="12">
        <v>0</v>
      </c>
      <c r="AH1357" s="12">
        <v>0</v>
      </c>
      <c r="AI1357" s="12">
        <v>0</v>
      </c>
      <c r="AJ1357" s="12">
        <v>0</v>
      </c>
      <c r="AK1357" s="12">
        <v>0</v>
      </c>
      <c r="AL1357" s="12">
        <v>0</v>
      </c>
      <c r="AM1357" s="12"/>
      <c r="AN1357" s="12">
        <v>0</v>
      </c>
      <c r="AO1357" s="12">
        <v>0</v>
      </c>
      <c r="AP1357" s="12">
        <v>0</v>
      </c>
      <c r="AQ1357" s="12">
        <v>0</v>
      </c>
      <c r="AR1357" s="12">
        <v>0</v>
      </c>
      <c r="AS1357" s="12">
        <v>0</v>
      </c>
      <c r="AT1357" s="12">
        <v>0</v>
      </c>
      <c r="AU1357" s="12">
        <v>0</v>
      </c>
      <c r="AV1357" s="12">
        <v>0</v>
      </c>
      <c r="AW1357" s="12">
        <v>0</v>
      </c>
      <c r="AX1357" s="12">
        <v>0</v>
      </c>
      <c r="AY1357" s="12">
        <v>0</v>
      </c>
      <c r="AZ1357"/>
      <c r="BA1357"/>
      <c r="BB1357" s="12">
        <v>0</v>
      </c>
      <c r="BC1357" s="12">
        <v>0</v>
      </c>
      <c r="BD1357" s="12">
        <v>0</v>
      </c>
      <c r="BE1357" s="12">
        <v>0</v>
      </c>
      <c r="BF1357" s="12">
        <v>0</v>
      </c>
      <c r="BI1357" s="12">
        <v>0</v>
      </c>
      <c r="BJ1357" s="12">
        <v>0</v>
      </c>
    </row>
    <row r="1358" spans="1:62" x14ac:dyDescent="0.15">
      <c r="A1358" s="12"/>
      <c r="B1358" t="s">
        <v>2700</v>
      </c>
      <c r="C1358" t="s">
        <v>2700</v>
      </c>
      <c r="D1358" t="s">
        <v>6596</v>
      </c>
      <c r="E1358" t="s">
        <v>2182</v>
      </c>
      <c r="F1358"/>
      <c r="G1358"/>
      <c r="H1358"/>
      <c r="I1358"/>
      <c r="J1358"/>
      <c r="K1358"/>
      <c r="L1358" s="10">
        <v>3722980</v>
      </c>
      <c r="M1358" s="10">
        <v>625320</v>
      </c>
      <c r="N1358" s="12">
        <v>15</v>
      </c>
      <c r="O1358" s="12" t="s">
        <v>6992</v>
      </c>
      <c r="P1358" t="s">
        <v>2183</v>
      </c>
      <c r="R1358"/>
      <c r="S1358" t="s">
        <v>2184</v>
      </c>
      <c r="T1358" s="12" t="s">
        <v>2185</v>
      </c>
      <c r="U1358" s="12" t="s">
        <v>2186</v>
      </c>
      <c r="V1358" s="12" t="s">
        <v>2187</v>
      </c>
      <c r="W1358" s="12">
        <v>0</v>
      </c>
      <c r="X1358" s="12">
        <v>1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2">
        <v>0</v>
      </c>
      <c r="AK1358" s="12">
        <v>0</v>
      </c>
      <c r="AL1358" s="12">
        <v>0</v>
      </c>
      <c r="AM1358" s="12"/>
      <c r="AN1358" s="12">
        <v>0</v>
      </c>
      <c r="AO1358" s="12">
        <v>0</v>
      </c>
      <c r="AP1358" s="12">
        <v>0</v>
      </c>
      <c r="AQ1358" s="12">
        <v>0</v>
      </c>
      <c r="AR1358" s="12">
        <v>0</v>
      </c>
      <c r="AS1358" s="12">
        <v>0</v>
      </c>
      <c r="AT1358" s="12">
        <v>0</v>
      </c>
      <c r="AU1358" s="12">
        <v>0</v>
      </c>
      <c r="AV1358" s="12">
        <v>0</v>
      </c>
      <c r="AW1358" s="12">
        <v>0</v>
      </c>
      <c r="AX1358" s="12">
        <v>0</v>
      </c>
      <c r="AY1358" s="12">
        <v>0</v>
      </c>
      <c r="AZ1358"/>
      <c r="BA1358"/>
      <c r="BB1358" s="12">
        <v>0</v>
      </c>
      <c r="BC1358" s="12">
        <v>0</v>
      </c>
      <c r="BD1358" s="12">
        <v>0</v>
      </c>
      <c r="BE1358" s="12">
        <v>0</v>
      </c>
      <c r="BF1358" s="12">
        <v>0</v>
      </c>
      <c r="BI1358" s="12">
        <v>0</v>
      </c>
      <c r="BJ1358" s="12">
        <v>0</v>
      </c>
    </row>
    <row r="1359" spans="1:62" x14ac:dyDescent="0.15">
      <c r="A1359" s="12"/>
      <c r="B1359" t="s">
        <v>2701</v>
      </c>
      <c r="C1359" s="27" t="s">
        <v>2702</v>
      </c>
      <c r="D1359" t="s">
        <v>6596</v>
      </c>
      <c r="E1359" t="s">
        <v>2182</v>
      </c>
      <c r="F1359"/>
      <c r="G1359"/>
      <c r="H1359"/>
      <c r="I1359"/>
      <c r="J1359"/>
      <c r="K1359"/>
      <c r="L1359" s="10">
        <v>3700710</v>
      </c>
      <c r="M1359" s="10">
        <v>593280</v>
      </c>
      <c r="N1359" s="12">
        <v>15</v>
      </c>
      <c r="O1359" s="12" t="s">
        <v>6992</v>
      </c>
      <c r="P1359" t="s">
        <v>2183</v>
      </c>
      <c r="R1359"/>
      <c r="S1359" t="s">
        <v>2184</v>
      </c>
      <c r="T1359" s="12" t="s">
        <v>2185</v>
      </c>
      <c r="U1359" s="12" t="s">
        <v>2186</v>
      </c>
      <c r="V1359" s="12" t="s">
        <v>2187</v>
      </c>
      <c r="W1359" s="12">
        <v>0</v>
      </c>
      <c r="X1359" s="12">
        <v>1</v>
      </c>
      <c r="Y1359" s="12">
        <v>0</v>
      </c>
      <c r="Z1359" s="12">
        <v>0</v>
      </c>
      <c r="AA1359" s="12">
        <v>0</v>
      </c>
      <c r="AB1359" s="12">
        <v>0</v>
      </c>
      <c r="AC1359" s="12">
        <v>0</v>
      </c>
      <c r="AD1359" s="12">
        <v>0</v>
      </c>
      <c r="AE1359" s="12">
        <v>0</v>
      </c>
      <c r="AF1359" s="12">
        <v>0</v>
      </c>
      <c r="AG1359" s="12">
        <v>0</v>
      </c>
      <c r="AH1359" s="12">
        <v>0</v>
      </c>
      <c r="AI1359" s="12">
        <v>0</v>
      </c>
      <c r="AJ1359" s="12">
        <v>0</v>
      </c>
      <c r="AK1359" s="12">
        <v>0</v>
      </c>
      <c r="AL1359" s="12">
        <v>0</v>
      </c>
      <c r="AM1359" s="12"/>
      <c r="AN1359" s="12">
        <v>0</v>
      </c>
      <c r="AO1359" s="12">
        <v>0</v>
      </c>
      <c r="AP1359" s="12">
        <v>0</v>
      </c>
      <c r="AQ1359" s="12">
        <v>0</v>
      </c>
      <c r="AR1359" s="12">
        <v>0</v>
      </c>
      <c r="AS1359" s="12">
        <v>0</v>
      </c>
      <c r="AT1359" s="12">
        <v>0</v>
      </c>
      <c r="AU1359" s="12">
        <v>0</v>
      </c>
      <c r="AV1359" s="12">
        <v>0</v>
      </c>
      <c r="AW1359" s="12">
        <v>0</v>
      </c>
      <c r="AX1359" s="12">
        <v>0</v>
      </c>
      <c r="AY1359" s="12">
        <v>0</v>
      </c>
      <c r="AZ1359"/>
      <c r="BA1359"/>
      <c r="BB1359" s="12">
        <v>0</v>
      </c>
      <c r="BC1359" s="12">
        <v>0</v>
      </c>
      <c r="BD1359" s="12">
        <v>0</v>
      </c>
      <c r="BE1359" s="12">
        <v>0</v>
      </c>
      <c r="BF1359" s="12">
        <v>0</v>
      </c>
      <c r="BI1359" s="12">
        <v>0</v>
      </c>
      <c r="BJ1359" s="12">
        <v>0</v>
      </c>
    </row>
    <row r="1360" spans="1:62" x14ac:dyDescent="0.15">
      <c r="A1360" s="12"/>
      <c r="B1360" t="s">
        <v>2703</v>
      </c>
      <c r="C1360" s="27" t="s">
        <v>2704</v>
      </c>
      <c r="D1360" t="s">
        <v>6596</v>
      </c>
      <c r="E1360" t="s">
        <v>2182</v>
      </c>
      <c r="F1360"/>
      <c r="G1360"/>
      <c r="H1360"/>
      <c r="I1360"/>
      <c r="J1360"/>
      <c r="K1360"/>
      <c r="L1360" s="10">
        <v>4025150</v>
      </c>
      <c r="M1360" s="10">
        <v>731200</v>
      </c>
      <c r="N1360" s="12">
        <v>15</v>
      </c>
      <c r="O1360" s="12" t="s">
        <v>6992</v>
      </c>
      <c r="P1360" t="s">
        <v>2183</v>
      </c>
      <c r="R1360"/>
      <c r="S1360" t="s">
        <v>2184</v>
      </c>
      <c r="T1360" s="12" t="s">
        <v>2185</v>
      </c>
      <c r="U1360" s="12" t="s">
        <v>2186</v>
      </c>
      <c r="V1360" s="12" t="s">
        <v>2187</v>
      </c>
      <c r="W1360" s="12">
        <v>0</v>
      </c>
      <c r="X1360" s="12">
        <v>1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2">
        <v>0</v>
      </c>
      <c r="AK1360" s="12">
        <v>0</v>
      </c>
      <c r="AL1360" s="12">
        <v>0</v>
      </c>
      <c r="AM1360" s="12"/>
      <c r="AN1360" s="12">
        <v>0</v>
      </c>
      <c r="AO1360" s="12">
        <v>0</v>
      </c>
      <c r="AP1360" s="12">
        <v>0</v>
      </c>
      <c r="AQ1360" s="12">
        <v>0</v>
      </c>
      <c r="AR1360" s="12">
        <v>0</v>
      </c>
      <c r="AS1360" s="12">
        <v>0</v>
      </c>
      <c r="AT1360" s="12">
        <v>0</v>
      </c>
      <c r="AU1360" s="12">
        <v>0</v>
      </c>
      <c r="AV1360" s="12">
        <v>0</v>
      </c>
      <c r="AW1360" s="12">
        <v>0</v>
      </c>
      <c r="AX1360" s="12">
        <v>0</v>
      </c>
      <c r="AY1360" s="12">
        <v>0</v>
      </c>
      <c r="AZ1360"/>
      <c r="BA1360"/>
      <c r="BB1360" s="12">
        <v>0</v>
      </c>
      <c r="BC1360" s="12">
        <v>0</v>
      </c>
      <c r="BD1360" s="12">
        <v>0</v>
      </c>
      <c r="BE1360" s="12">
        <v>0</v>
      </c>
      <c r="BF1360" s="12">
        <v>0</v>
      </c>
      <c r="BI1360" s="12">
        <v>0</v>
      </c>
      <c r="BJ1360" s="12">
        <v>0</v>
      </c>
    </row>
    <row r="1361" spans="1:62" x14ac:dyDescent="0.15">
      <c r="A1361" s="12"/>
      <c r="B1361" t="s">
        <v>2705</v>
      </c>
      <c r="C1361" s="27" t="s">
        <v>2706</v>
      </c>
      <c r="D1361" t="s">
        <v>6596</v>
      </c>
      <c r="E1361" t="s">
        <v>2182</v>
      </c>
      <c r="F1361"/>
      <c r="G1361"/>
      <c r="H1361"/>
      <c r="I1361"/>
      <c r="J1361"/>
      <c r="K1361"/>
      <c r="L1361" s="10">
        <v>4023000</v>
      </c>
      <c r="M1361" s="10">
        <v>729650</v>
      </c>
      <c r="N1361" s="12">
        <v>15</v>
      </c>
      <c r="O1361" s="12" t="s">
        <v>6992</v>
      </c>
      <c r="P1361" t="s">
        <v>2183</v>
      </c>
      <c r="R1361"/>
      <c r="S1361" t="s">
        <v>2184</v>
      </c>
      <c r="T1361" s="12" t="s">
        <v>2185</v>
      </c>
      <c r="U1361" s="12" t="s">
        <v>2186</v>
      </c>
      <c r="V1361" s="12" t="s">
        <v>2187</v>
      </c>
      <c r="W1361" s="12">
        <v>0</v>
      </c>
      <c r="X1361" s="12">
        <v>1</v>
      </c>
      <c r="Y1361" s="12">
        <v>0</v>
      </c>
      <c r="Z1361" s="12">
        <v>0</v>
      </c>
      <c r="AA1361" s="12">
        <v>0</v>
      </c>
      <c r="AB1361" s="12">
        <v>0</v>
      </c>
      <c r="AC1361" s="12">
        <v>0</v>
      </c>
      <c r="AD1361" s="12">
        <v>0</v>
      </c>
      <c r="AE1361" s="12">
        <v>0</v>
      </c>
      <c r="AF1361" s="12">
        <v>0</v>
      </c>
      <c r="AG1361" s="12">
        <v>0</v>
      </c>
      <c r="AH1361" s="12">
        <v>0</v>
      </c>
      <c r="AI1361" s="12">
        <v>0</v>
      </c>
      <c r="AJ1361" s="12">
        <v>0</v>
      </c>
      <c r="AK1361" s="12">
        <v>0</v>
      </c>
      <c r="AL1361" s="12">
        <v>0</v>
      </c>
      <c r="AM1361" s="12"/>
      <c r="AN1361" s="12">
        <v>0</v>
      </c>
      <c r="AO1361" s="12">
        <v>0</v>
      </c>
      <c r="AP1361" s="12">
        <v>0</v>
      </c>
      <c r="AQ1361" s="12">
        <v>0</v>
      </c>
      <c r="AR1361" s="12">
        <v>0</v>
      </c>
      <c r="AS1361" s="12">
        <v>0</v>
      </c>
      <c r="AT1361" s="12">
        <v>0</v>
      </c>
      <c r="AU1361" s="12">
        <v>0</v>
      </c>
      <c r="AV1361" s="12">
        <v>0</v>
      </c>
      <c r="AW1361" s="12">
        <v>0</v>
      </c>
      <c r="AX1361" s="12">
        <v>0</v>
      </c>
      <c r="AY1361" s="12">
        <v>0</v>
      </c>
      <c r="AZ1361"/>
      <c r="BA1361"/>
      <c r="BB1361" s="12">
        <v>0</v>
      </c>
      <c r="BC1361" s="12">
        <v>0</v>
      </c>
      <c r="BD1361" s="12">
        <v>0</v>
      </c>
      <c r="BE1361" s="12">
        <v>0</v>
      </c>
      <c r="BF1361" s="12">
        <v>0</v>
      </c>
      <c r="BI1361" s="12">
        <v>0</v>
      </c>
      <c r="BJ1361" s="12">
        <v>0</v>
      </c>
    </row>
    <row r="1362" spans="1:62" x14ac:dyDescent="0.15">
      <c r="A1362" s="12"/>
      <c r="B1362" t="s">
        <v>2707</v>
      </c>
      <c r="C1362" s="27" t="s">
        <v>2708</v>
      </c>
      <c r="D1362" t="s">
        <v>6596</v>
      </c>
      <c r="E1362" t="s">
        <v>2182</v>
      </c>
      <c r="F1362"/>
      <c r="G1362"/>
      <c r="H1362"/>
      <c r="I1362"/>
      <c r="J1362"/>
      <c r="K1362"/>
      <c r="L1362" s="10">
        <v>4031760</v>
      </c>
      <c r="M1362" s="10">
        <v>710260</v>
      </c>
      <c r="N1362" s="12">
        <v>15</v>
      </c>
      <c r="O1362" s="12" t="s">
        <v>6992</v>
      </c>
      <c r="P1362" t="s">
        <v>2183</v>
      </c>
      <c r="R1362"/>
      <c r="S1362" t="s">
        <v>2184</v>
      </c>
      <c r="T1362" s="12" t="s">
        <v>2185</v>
      </c>
      <c r="U1362" s="12" t="s">
        <v>2186</v>
      </c>
      <c r="V1362" s="12" t="s">
        <v>2187</v>
      </c>
      <c r="W1362" s="12">
        <v>0</v>
      </c>
      <c r="X1362" s="12">
        <v>1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2">
        <v>0</v>
      </c>
      <c r="AK1362" s="12">
        <v>0</v>
      </c>
      <c r="AL1362" s="12">
        <v>0</v>
      </c>
      <c r="AM1362" s="12"/>
      <c r="AN1362" s="12">
        <v>0</v>
      </c>
      <c r="AO1362" s="12">
        <v>0</v>
      </c>
      <c r="AP1362" s="12">
        <v>0</v>
      </c>
      <c r="AQ1362" s="12">
        <v>0</v>
      </c>
      <c r="AR1362" s="12">
        <v>0</v>
      </c>
      <c r="AS1362" s="12">
        <v>0</v>
      </c>
      <c r="AT1362" s="12">
        <v>0</v>
      </c>
      <c r="AU1362" s="12">
        <v>0</v>
      </c>
      <c r="AV1362" s="12">
        <v>0</v>
      </c>
      <c r="AW1362" s="12">
        <v>0</v>
      </c>
      <c r="AX1362" s="12">
        <v>0</v>
      </c>
      <c r="AY1362" s="12">
        <v>0</v>
      </c>
      <c r="AZ1362"/>
      <c r="BA1362"/>
      <c r="BB1362" s="12">
        <v>0</v>
      </c>
      <c r="BC1362" s="12">
        <v>0</v>
      </c>
      <c r="BD1362" s="12">
        <v>0</v>
      </c>
      <c r="BE1362" s="12">
        <v>0</v>
      </c>
      <c r="BF1362" s="12">
        <v>0</v>
      </c>
      <c r="BI1362" s="12">
        <v>0</v>
      </c>
      <c r="BJ1362" s="12">
        <v>0</v>
      </c>
    </row>
    <row r="1363" spans="1:62" x14ac:dyDescent="0.15">
      <c r="A1363" s="12"/>
      <c r="B1363" t="s">
        <v>2709</v>
      </c>
      <c r="C1363" s="27" t="s">
        <v>2710</v>
      </c>
      <c r="D1363" t="s">
        <v>6596</v>
      </c>
      <c r="E1363" t="s">
        <v>2182</v>
      </c>
      <c r="F1363"/>
      <c r="G1363"/>
      <c r="H1363"/>
      <c r="I1363"/>
      <c r="J1363"/>
      <c r="K1363"/>
      <c r="L1363" s="10">
        <v>4030920</v>
      </c>
      <c r="M1363" s="10">
        <v>712840</v>
      </c>
      <c r="N1363" s="12">
        <v>15</v>
      </c>
      <c r="O1363" s="12" t="s">
        <v>6992</v>
      </c>
      <c r="P1363" t="s">
        <v>2183</v>
      </c>
      <c r="R1363"/>
      <c r="S1363" t="s">
        <v>2184</v>
      </c>
      <c r="T1363" s="12" t="s">
        <v>2185</v>
      </c>
      <c r="U1363" s="12" t="s">
        <v>2186</v>
      </c>
      <c r="V1363" s="12" t="s">
        <v>2187</v>
      </c>
      <c r="W1363" s="12">
        <v>0</v>
      </c>
      <c r="X1363" s="12">
        <v>1</v>
      </c>
      <c r="Y1363" s="12">
        <v>0</v>
      </c>
      <c r="Z1363" s="12">
        <v>0</v>
      </c>
      <c r="AA1363" s="12">
        <v>0</v>
      </c>
      <c r="AB1363" s="12">
        <v>0</v>
      </c>
      <c r="AC1363" s="12">
        <v>0</v>
      </c>
      <c r="AD1363" s="12">
        <v>0</v>
      </c>
      <c r="AE1363" s="12">
        <v>0</v>
      </c>
      <c r="AF1363" s="12">
        <v>0</v>
      </c>
      <c r="AG1363" s="12">
        <v>0</v>
      </c>
      <c r="AH1363" s="12">
        <v>0</v>
      </c>
      <c r="AI1363" s="12">
        <v>0</v>
      </c>
      <c r="AJ1363" s="12">
        <v>0</v>
      </c>
      <c r="AK1363" s="12">
        <v>0</v>
      </c>
      <c r="AL1363" s="12">
        <v>0</v>
      </c>
      <c r="AM1363" s="12"/>
      <c r="AN1363" s="12">
        <v>0</v>
      </c>
      <c r="AO1363" s="12">
        <v>0</v>
      </c>
      <c r="AP1363" s="12">
        <v>0</v>
      </c>
      <c r="AQ1363" s="12">
        <v>0</v>
      </c>
      <c r="AR1363" s="12">
        <v>0</v>
      </c>
      <c r="AS1363" s="12">
        <v>0</v>
      </c>
      <c r="AT1363" s="12">
        <v>0</v>
      </c>
      <c r="AU1363" s="12">
        <v>0</v>
      </c>
      <c r="AV1363" s="12">
        <v>0</v>
      </c>
      <c r="AW1363" s="12">
        <v>0</v>
      </c>
      <c r="AX1363" s="12">
        <v>0</v>
      </c>
      <c r="AY1363" s="12">
        <v>0</v>
      </c>
      <c r="AZ1363"/>
      <c r="BA1363"/>
      <c r="BB1363" s="12">
        <v>0</v>
      </c>
      <c r="BC1363" s="12">
        <v>0</v>
      </c>
      <c r="BD1363" s="12">
        <v>0</v>
      </c>
      <c r="BE1363" s="12">
        <v>0</v>
      </c>
      <c r="BF1363" s="12">
        <v>0</v>
      </c>
      <c r="BI1363" s="12">
        <v>0</v>
      </c>
      <c r="BJ1363" s="12">
        <v>0</v>
      </c>
    </row>
    <row r="1364" spans="1:62" x14ac:dyDescent="0.15">
      <c r="A1364" s="12"/>
      <c r="B1364" t="s">
        <v>2711</v>
      </c>
      <c r="C1364" s="27" t="s">
        <v>2712</v>
      </c>
      <c r="D1364" t="s">
        <v>6596</v>
      </c>
      <c r="E1364" t="s">
        <v>2182</v>
      </c>
      <c r="F1364"/>
      <c r="G1364"/>
      <c r="H1364"/>
      <c r="I1364"/>
      <c r="J1364"/>
      <c r="K1364"/>
      <c r="L1364" s="10">
        <v>4030490</v>
      </c>
      <c r="M1364" s="10">
        <v>710610</v>
      </c>
      <c r="N1364" s="12">
        <v>15</v>
      </c>
      <c r="O1364" s="12" t="s">
        <v>6992</v>
      </c>
      <c r="P1364" t="s">
        <v>2183</v>
      </c>
      <c r="R1364"/>
      <c r="S1364" t="s">
        <v>2184</v>
      </c>
      <c r="T1364" s="12" t="s">
        <v>2185</v>
      </c>
      <c r="U1364" s="12" t="s">
        <v>2186</v>
      </c>
      <c r="V1364" s="12" t="s">
        <v>2187</v>
      </c>
      <c r="W1364" s="12">
        <v>0</v>
      </c>
      <c r="X1364" s="12">
        <v>1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2">
        <v>0</v>
      </c>
      <c r="AK1364" s="12">
        <v>0</v>
      </c>
      <c r="AL1364" s="12">
        <v>0</v>
      </c>
      <c r="AM1364" s="12"/>
      <c r="AN1364" s="12">
        <v>0</v>
      </c>
      <c r="AO1364" s="12">
        <v>0</v>
      </c>
      <c r="AP1364" s="12">
        <v>0</v>
      </c>
      <c r="AQ1364" s="12">
        <v>0</v>
      </c>
      <c r="AR1364" s="12">
        <v>0</v>
      </c>
      <c r="AS1364" s="12">
        <v>0</v>
      </c>
      <c r="AT1364" s="12">
        <v>0</v>
      </c>
      <c r="AU1364" s="12">
        <v>0</v>
      </c>
      <c r="AV1364" s="12">
        <v>0</v>
      </c>
      <c r="AW1364" s="12">
        <v>0</v>
      </c>
      <c r="AX1364" s="12">
        <v>0</v>
      </c>
      <c r="AY1364" s="12">
        <v>0</v>
      </c>
      <c r="AZ1364"/>
      <c r="BA1364"/>
      <c r="BB1364" s="12">
        <v>0</v>
      </c>
      <c r="BC1364" s="12">
        <v>0</v>
      </c>
      <c r="BD1364" s="12">
        <v>0</v>
      </c>
      <c r="BE1364" s="12">
        <v>0</v>
      </c>
      <c r="BF1364" s="12">
        <v>0</v>
      </c>
      <c r="BI1364" s="12">
        <v>0</v>
      </c>
      <c r="BJ1364" s="12">
        <v>0</v>
      </c>
    </row>
    <row r="1365" spans="1:62" x14ac:dyDescent="0.15">
      <c r="A1365" s="12"/>
      <c r="B1365" t="s">
        <v>2713</v>
      </c>
      <c r="C1365" s="27" t="s">
        <v>2714</v>
      </c>
      <c r="D1365" t="s">
        <v>6596</v>
      </c>
      <c r="E1365" t="s">
        <v>2182</v>
      </c>
      <c r="F1365"/>
      <c r="G1365"/>
      <c r="H1365"/>
      <c r="I1365"/>
      <c r="J1365"/>
      <c r="K1365"/>
      <c r="L1365" s="10">
        <v>4022530</v>
      </c>
      <c r="M1365" s="10">
        <v>704330</v>
      </c>
      <c r="N1365" s="12">
        <v>15</v>
      </c>
      <c r="O1365" s="12" t="s">
        <v>6992</v>
      </c>
      <c r="P1365" t="s">
        <v>2183</v>
      </c>
      <c r="R1365"/>
      <c r="S1365" t="s">
        <v>2184</v>
      </c>
      <c r="T1365" s="12" t="s">
        <v>2185</v>
      </c>
      <c r="U1365" s="12" t="s">
        <v>2186</v>
      </c>
      <c r="V1365" s="12" t="s">
        <v>2187</v>
      </c>
      <c r="W1365" s="12">
        <v>0</v>
      </c>
      <c r="X1365" s="12">
        <v>1</v>
      </c>
      <c r="Y1365" s="12">
        <v>0</v>
      </c>
      <c r="Z1365" s="12">
        <v>0</v>
      </c>
      <c r="AA1365" s="12">
        <v>0</v>
      </c>
      <c r="AB1365" s="12">
        <v>0</v>
      </c>
      <c r="AC1365" s="12">
        <v>0</v>
      </c>
      <c r="AD1365" s="12">
        <v>0</v>
      </c>
      <c r="AE1365" s="12">
        <v>0</v>
      </c>
      <c r="AF1365" s="12">
        <v>0</v>
      </c>
      <c r="AG1365" s="12">
        <v>0</v>
      </c>
      <c r="AH1365" s="12">
        <v>0</v>
      </c>
      <c r="AI1365" s="12">
        <v>0</v>
      </c>
      <c r="AJ1365" s="12">
        <v>0</v>
      </c>
      <c r="AK1365" s="12">
        <v>0</v>
      </c>
      <c r="AL1365" s="12">
        <v>0</v>
      </c>
      <c r="AM1365" s="12"/>
      <c r="AN1365" s="12">
        <v>0</v>
      </c>
      <c r="AO1365" s="12">
        <v>0</v>
      </c>
      <c r="AP1365" s="12">
        <v>0</v>
      </c>
      <c r="AQ1365" s="12">
        <v>0</v>
      </c>
      <c r="AR1365" s="12">
        <v>0</v>
      </c>
      <c r="AS1365" s="12">
        <v>0</v>
      </c>
      <c r="AT1365" s="12">
        <v>0</v>
      </c>
      <c r="AU1365" s="12">
        <v>0</v>
      </c>
      <c r="AV1365" s="12">
        <v>0</v>
      </c>
      <c r="AW1365" s="12">
        <v>0</v>
      </c>
      <c r="AX1365" s="12">
        <v>0</v>
      </c>
      <c r="AY1365" s="12">
        <v>0</v>
      </c>
      <c r="AZ1365"/>
      <c r="BA1365"/>
      <c r="BB1365" s="12">
        <v>0</v>
      </c>
      <c r="BC1365" s="12">
        <v>0</v>
      </c>
      <c r="BD1365" s="12">
        <v>0</v>
      </c>
      <c r="BE1365" s="12">
        <v>0</v>
      </c>
      <c r="BF1365" s="12">
        <v>0</v>
      </c>
      <c r="BI1365" s="12">
        <v>0</v>
      </c>
      <c r="BJ1365" s="12">
        <v>0</v>
      </c>
    </row>
    <row r="1366" spans="1:62" x14ac:dyDescent="0.15">
      <c r="A1366" s="12"/>
      <c r="B1366" t="s">
        <v>2715</v>
      </c>
      <c r="C1366" s="27" t="s">
        <v>2716</v>
      </c>
      <c r="D1366" t="s">
        <v>6596</v>
      </c>
      <c r="E1366" t="s">
        <v>2182</v>
      </c>
      <c r="F1366"/>
      <c r="G1366"/>
      <c r="H1366"/>
      <c r="I1366"/>
      <c r="J1366"/>
      <c r="K1366"/>
      <c r="L1366" s="10">
        <v>4020920</v>
      </c>
      <c r="M1366" s="10">
        <v>710940</v>
      </c>
      <c r="N1366" s="12">
        <v>15</v>
      </c>
      <c r="O1366" s="12" t="s">
        <v>6992</v>
      </c>
      <c r="P1366" t="s">
        <v>2183</v>
      </c>
      <c r="R1366"/>
      <c r="S1366" t="s">
        <v>2184</v>
      </c>
      <c r="T1366" s="12" t="s">
        <v>2185</v>
      </c>
      <c r="U1366" s="12" t="s">
        <v>2186</v>
      </c>
      <c r="V1366" s="12" t="s">
        <v>2187</v>
      </c>
      <c r="W1366" s="12">
        <v>0</v>
      </c>
      <c r="X1366" s="12">
        <v>1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2">
        <v>0</v>
      </c>
      <c r="AK1366" s="12">
        <v>0</v>
      </c>
      <c r="AL1366" s="12">
        <v>0</v>
      </c>
      <c r="AM1366" s="12"/>
      <c r="AN1366" s="12">
        <v>0</v>
      </c>
      <c r="AO1366" s="12">
        <v>0</v>
      </c>
      <c r="AP1366" s="12">
        <v>0</v>
      </c>
      <c r="AQ1366" s="12">
        <v>0</v>
      </c>
      <c r="AR1366" s="12">
        <v>0</v>
      </c>
      <c r="AS1366" s="12">
        <v>0</v>
      </c>
      <c r="AT1366" s="12">
        <v>0</v>
      </c>
      <c r="AU1366" s="12">
        <v>0</v>
      </c>
      <c r="AV1366" s="12">
        <v>0</v>
      </c>
      <c r="AW1366" s="12">
        <v>0</v>
      </c>
      <c r="AX1366" s="12">
        <v>0</v>
      </c>
      <c r="AY1366" s="12">
        <v>0</v>
      </c>
      <c r="AZ1366"/>
      <c r="BA1366"/>
      <c r="BB1366" s="12">
        <v>0</v>
      </c>
      <c r="BC1366" s="12">
        <v>0</v>
      </c>
      <c r="BD1366" s="12">
        <v>0</v>
      </c>
      <c r="BE1366" s="12">
        <v>0</v>
      </c>
      <c r="BF1366" s="12">
        <v>0</v>
      </c>
      <c r="BI1366" s="12">
        <v>0</v>
      </c>
      <c r="BJ1366" s="12">
        <v>0</v>
      </c>
    </row>
    <row r="1367" spans="1:62" x14ac:dyDescent="0.15">
      <c r="A1367" s="12"/>
      <c r="B1367" t="s">
        <v>2717</v>
      </c>
      <c r="C1367" s="27" t="s">
        <v>2718</v>
      </c>
      <c r="D1367" t="s">
        <v>6596</v>
      </c>
      <c r="E1367" t="s">
        <v>2182</v>
      </c>
      <c r="F1367"/>
      <c r="G1367"/>
      <c r="H1367"/>
      <c r="I1367"/>
      <c r="J1367"/>
      <c r="K1367"/>
      <c r="L1367" s="10">
        <v>4026080</v>
      </c>
      <c r="M1367" s="10">
        <v>731640</v>
      </c>
      <c r="N1367" s="12">
        <v>15</v>
      </c>
      <c r="O1367" s="12" t="s">
        <v>6992</v>
      </c>
      <c r="P1367" t="s">
        <v>2183</v>
      </c>
      <c r="R1367"/>
      <c r="S1367" t="s">
        <v>2184</v>
      </c>
      <c r="T1367" s="12" t="s">
        <v>2185</v>
      </c>
      <c r="U1367" s="12" t="s">
        <v>2186</v>
      </c>
      <c r="V1367" s="12" t="s">
        <v>2187</v>
      </c>
      <c r="W1367" s="12">
        <v>0</v>
      </c>
      <c r="X1367" s="12">
        <v>1</v>
      </c>
      <c r="Y1367" s="12">
        <v>0</v>
      </c>
      <c r="Z1367" s="12">
        <v>0</v>
      </c>
      <c r="AA1367" s="12">
        <v>0</v>
      </c>
      <c r="AB1367" s="12">
        <v>0</v>
      </c>
      <c r="AC1367" s="12">
        <v>0</v>
      </c>
      <c r="AD1367" s="12">
        <v>0</v>
      </c>
      <c r="AE1367" s="12">
        <v>0</v>
      </c>
      <c r="AF1367" s="12">
        <v>0</v>
      </c>
      <c r="AG1367" s="12">
        <v>0</v>
      </c>
      <c r="AH1367" s="12">
        <v>0</v>
      </c>
      <c r="AI1367" s="12">
        <v>0</v>
      </c>
      <c r="AJ1367" s="12">
        <v>0</v>
      </c>
      <c r="AK1367" s="12">
        <v>0</v>
      </c>
      <c r="AL1367" s="12">
        <v>0</v>
      </c>
      <c r="AM1367" s="12"/>
      <c r="AN1367" s="12">
        <v>0</v>
      </c>
      <c r="AO1367" s="12">
        <v>0</v>
      </c>
      <c r="AP1367" s="12">
        <v>0</v>
      </c>
      <c r="AQ1367" s="12">
        <v>0</v>
      </c>
      <c r="AR1367" s="12">
        <v>0</v>
      </c>
      <c r="AS1367" s="12">
        <v>0</v>
      </c>
      <c r="AT1367" s="12">
        <v>0</v>
      </c>
      <c r="AU1367" s="12">
        <v>0</v>
      </c>
      <c r="AV1367" s="12">
        <v>0</v>
      </c>
      <c r="AW1367" s="12">
        <v>0</v>
      </c>
      <c r="AX1367" s="12">
        <v>0</v>
      </c>
      <c r="AY1367" s="12">
        <v>0</v>
      </c>
      <c r="AZ1367"/>
      <c r="BA1367"/>
      <c r="BB1367" s="12">
        <v>0</v>
      </c>
      <c r="BC1367" s="12">
        <v>0</v>
      </c>
      <c r="BD1367" s="12">
        <v>0</v>
      </c>
      <c r="BE1367" s="12">
        <v>0</v>
      </c>
      <c r="BF1367" s="12">
        <v>0</v>
      </c>
      <c r="BI1367" s="12">
        <v>0</v>
      </c>
      <c r="BJ1367" s="12">
        <v>0</v>
      </c>
    </row>
    <row r="1368" spans="1:62" x14ac:dyDescent="0.15">
      <c r="A1368" s="12"/>
      <c r="B1368" t="s">
        <v>2719</v>
      </c>
      <c r="C1368" s="27" t="s">
        <v>2720</v>
      </c>
      <c r="D1368" t="s">
        <v>6596</v>
      </c>
      <c r="E1368" t="s">
        <v>2182</v>
      </c>
      <c r="F1368"/>
      <c r="G1368"/>
      <c r="H1368"/>
      <c r="I1368"/>
      <c r="J1368"/>
      <c r="K1368"/>
      <c r="L1368" s="10">
        <v>4035240</v>
      </c>
      <c r="M1368" s="10">
        <v>703160</v>
      </c>
      <c r="N1368" s="12">
        <v>15</v>
      </c>
      <c r="O1368" s="12" t="s">
        <v>6992</v>
      </c>
      <c r="P1368" t="s">
        <v>2183</v>
      </c>
      <c r="R1368"/>
      <c r="S1368" t="s">
        <v>2184</v>
      </c>
      <c r="T1368" s="12" t="s">
        <v>2185</v>
      </c>
      <c r="U1368" s="12" t="s">
        <v>2186</v>
      </c>
      <c r="V1368" s="12" t="s">
        <v>2187</v>
      </c>
      <c r="W1368" s="12">
        <v>0</v>
      </c>
      <c r="X1368" s="12">
        <v>1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2">
        <v>0</v>
      </c>
      <c r="AK1368" s="12">
        <v>0</v>
      </c>
      <c r="AL1368" s="12">
        <v>0</v>
      </c>
      <c r="AM1368" s="12"/>
      <c r="AN1368" s="12">
        <v>0</v>
      </c>
      <c r="AO1368" s="12">
        <v>0</v>
      </c>
      <c r="AP1368" s="12">
        <v>0</v>
      </c>
      <c r="AQ1368" s="12">
        <v>0</v>
      </c>
      <c r="AR1368" s="12">
        <v>0</v>
      </c>
      <c r="AS1368" s="12">
        <v>0</v>
      </c>
      <c r="AT1368" s="12">
        <v>0</v>
      </c>
      <c r="AU1368" s="12">
        <v>0</v>
      </c>
      <c r="AV1368" s="12">
        <v>0</v>
      </c>
      <c r="AW1368" s="12">
        <v>0</v>
      </c>
      <c r="AX1368" s="12">
        <v>0</v>
      </c>
      <c r="AY1368" s="12">
        <v>0</v>
      </c>
      <c r="AZ1368"/>
      <c r="BA1368"/>
      <c r="BB1368" s="12">
        <v>0</v>
      </c>
      <c r="BC1368" s="12">
        <v>0</v>
      </c>
      <c r="BD1368" s="12">
        <v>0</v>
      </c>
      <c r="BE1368" s="12">
        <v>0</v>
      </c>
      <c r="BF1368" s="12">
        <v>0</v>
      </c>
      <c r="BI1368" s="12">
        <v>0</v>
      </c>
      <c r="BJ1368" s="12">
        <v>0</v>
      </c>
    </row>
    <row r="1369" spans="1:62" x14ac:dyDescent="0.15">
      <c r="A1369" s="12"/>
      <c r="B1369" t="s">
        <v>2721</v>
      </c>
      <c r="C1369" s="27" t="s">
        <v>2722</v>
      </c>
      <c r="D1369" t="s">
        <v>6596</v>
      </c>
      <c r="E1369" t="s">
        <v>2182</v>
      </c>
      <c r="F1369"/>
      <c r="G1369"/>
      <c r="H1369"/>
      <c r="I1369"/>
      <c r="J1369"/>
      <c r="K1369"/>
      <c r="L1369" s="10">
        <v>3991460</v>
      </c>
      <c r="M1369" s="10">
        <v>702610</v>
      </c>
      <c r="N1369" s="12">
        <v>15</v>
      </c>
      <c r="O1369" s="12" t="s">
        <v>6992</v>
      </c>
      <c r="P1369" t="s">
        <v>2183</v>
      </c>
      <c r="R1369"/>
      <c r="S1369" t="s">
        <v>2184</v>
      </c>
      <c r="T1369" s="12" t="s">
        <v>2185</v>
      </c>
      <c r="U1369" s="12" t="s">
        <v>2186</v>
      </c>
      <c r="V1369" s="12" t="s">
        <v>2187</v>
      </c>
      <c r="W1369" s="12">
        <v>0</v>
      </c>
      <c r="X1369" s="12">
        <v>1</v>
      </c>
      <c r="Y1369" s="12">
        <v>0</v>
      </c>
      <c r="Z1369" s="12">
        <v>0</v>
      </c>
      <c r="AA1369" s="12">
        <v>0</v>
      </c>
      <c r="AB1369" s="12">
        <v>0</v>
      </c>
      <c r="AC1369" s="12">
        <v>0</v>
      </c>
      <c r="AD1369" s="12">
        <v>0</v>
      </c>
      <c r="AE1369" s="12">
        <v>0</v>
      </c>
      <c r="AF1369" s="12">
        <v>0</v>
      </c>
      <c r="AG1369" s="12">
        <v>0</v>
      </c>
      <c r="AH1369" s="12">
        <v>0</v>
      </c>
      <c r="AI1369" s="12">
        <v>0</v>
      </c>
      <c r="AJ1369" s="12">
        <v>0</v>
      </c>
      <c r="AK1369" s="12">
        <v>0</v>
      </c>
      <c r="AL1369" s="12">
        <v>0</v>
      </c>
      <c r="AM1369" s="12"/>
      <c r="AN1369" s="12">
        <v>0</v>
      </c>
      <c r="AO1369" s="12">
        <v>0</v>
      </c>
      <c r="AP1369" s="12">
        <v>0</v>
      </c>
      <c r="AQ1369" s="12">
        <v>0</v>
      </c>
      <c r="AR1369" s="12">
        <v>0</v>
      </c>
      <c r="AS1369" s="12">
        <v>0</v>
      </c>
      <c r="AT1369" s="12">
        <v>0</v>
      </c>
      <c r="AU1369" s="12">
        <v>0</v>
      </c>
      <c r="AV1369" s="12">
        <v>0</v>
      </c>
      <c r="AW1369" s="12">
        <v>0</v>
      </c>
      <c r="AX1369" s="12">
        <v>0</v>
      </c>
      <c r="AY1369" s="12">
        <v>0</v>
      </c>
      <c r="AZ1369"/>
      <c r="BA1369"/>
      <c r="BB1369" s="12">
        <v>0</v>
      </c>
      <c r="BC1369" s="12">
        <v>0</v>
      </c>
      <c r="BD1369" s="12">
        <v>0</v>
      </c>
      <c r="BE1369" s="12">
        <v>0</v>
      </c>
      <c r="BF1369" s="12">
        <v>0</v>
      </c>
      <c r="BI1369" s="12">
        <v>0</v>
      </c>
      <c r="BJ1369" s="12">
        <v>0</v>
      </c>
    </row>
    <row r="1370" spans="1:62" x14ac:dyDescent="0.15">
      <c r="A1370" s="12"/>
      <c r="B1370" t="s">
        <v>2723</v>
      </c>
      <c r="C1370" s="27" t="s">
        <v>2724</v>
      </c>
      <c r="D1370" t="s">
        <v>6596</v>
      </c>
      <c r="E1370" t="s">
        <v>2182</v>
      </c>
      <c r="F1370"/>
      <c r="G1370"/>
      <c r="H1370"/>
      <c r="I1370"/>
      <c r="J1370"/>
      <c r="K1370"/>
      <c r="L1370" s="10">
        <v>3993650</v>
      </c>
      <c r="M1370" s="10">
        <v>699080</v>
      </c>
      <c r="N1370" s="12">
        <v>15</v>
      </c>
      <c r="O1370" s="12" t="s">
        <v>6992</v>
      </c>
      <c r="P1370" t="s">
        <v>2183</v>
      </c>
      <c r="R1370"/>
      <c r="S1370" t="s">
        <v>2184</v>
      </c>
      <c r="T1370" s="12" t="s">
        <v>2185</v>
      </c>
      <c r="U1370" s="12" t="s">
        <v>2186</v>
      </c>
      <c r="V1370" s="12" t="s">
        <v>2187</v>
      </c>
      <c r="W1370" s="12">
        <v>0</v>
      </c>
      <c r="X1370" s="12">
        <v>1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2">
        <v>0</v>
      </c>
      <c r="AK1370" s="12">
        <v>0</v>
      </c>
      <c r="AL1370" s="12">
        <v>0</v>
      </c>
      <c r="AM1370" s="12"/>
      <c r="AN1370" s="12">
        <v>0</v>
      </c>
      <c r="AO1370" s="12">
        <v>0</v>
      </c>
      <c r="AP1370" s="12">
        <v>0</v>
      </c>
      <c r="AQ1370" s="12">
        <v>0</v>
      </c>
      <c r="AR1370" s="12">
        <v>0</v>
      </c>
      <c r="AS1370" s="12">
        <v>0</v>
      </c>
      <c r="AT1370" s="12">
        <v>0</v>
      </c>
      <c r="AU1370" s="12">
        <v>0</v>
      </c>
      <c r="AV1370" s="12">
        <v>0</v>
      </c>
      <c r="AW1370" s="12">
        <v>0</v>
      </c>
      <c r="AX1370" s="12">
        <v>0</v>
      </c>
      <c r="AY1370" s="12">
        <v>0</v>
      </c>
      <c r="AZ1370"/>
      <c r="BA1370"/>
      <c r="BB1370" s="12">
        <v>0</v>
      </c>
      <c r="BC1370" s="12">
        <v>0</v>
      </c>
      <c r="BD1370" s="12">
        <v>0</v>
      </c>
      <c r="BE1370" s="12">
        <v>0</v>
      </c>
      <c r="BF1370" s="12">
        <v>0</v>
      </c>
      <c r="BI1370" s="12">
        <v>0</v>
      </c>
      <c r="BJ1370" s="12">
        <v>0</v>
      </c>
    </row>
    <row r="1371" spans="1:62" x14ac:dyDescent="0.15">
      <c r="A1371" s="12"/>
      <c r="B1371" t="s">
        <v>2725</v>
      </c>
      <c r="C1371" s="27" t="s">
        <v>8290</v>
      </c>
      <c r="D1371" t="s">
        <v>6596</v>
      </c>
      <c r="E1371" t="s">
        <v>2182</v>
      </c>
      <c r="F1371"/>
      <c r="G1371"/>
      <c r="H1371"/>
      <c r="I1371"/>
      <c r="J1371"/>
      <c r="K1371"/>
      <c r="L1371" s="10">
        <v>4004590</v>
      </c>
      <c r="M1371" s="10">
        <v>740830</v>
      </c>
      <c r="N1371" s="12">
        <v>15</v>
      </c>
      <c r="O1371" s="12" t="s">
        <v>6992</v>
      </c>
      <c r="P1371" t="s">
        <v>2183</v>
      </c>
      <c r="R1371"/>
      <c r="S1371" t="s">
        <v>2184</v>
      </c>
      <c r="T1371" s="12" t="s">
        <v>2185</v>
      </c>
      <c r="U1371" s="12" t="s">
        <v>2186</v>
      </c>
      <c r="V1371" s="12" t="s">
        <v>2187</v>
      </c>
      <c r="W1371" s="12">
        <v>0</v>
      </c>
      <c r="X1371" s="12">
        <v>1</v>
      </c>
      <c r="Y1371" s="12">
        <v>0</v>
      </c>
      <c r="Z1371" s="12">
        <v>0</v>
      </c>
      <c r="AA1371" s="12">
        <v>0</v>
      </c>
      <c r="AB1371" s="12">
        <v>0</v>
      </c>
      <c r="AC1371" s="12">
        <v>0</v>
      </c>
      <c r="AD1371" s="12">
        <v>0</v>
      </c>
      <c r="AE1371" s="12">
        <v>0</v>
      </c>
      <c r="AF1371" s="12">
        <v>0</v>
      </c>
      <c r="AG1371" s="12">
        <v>0</v>
      </c>
      <c r="AH1371" s="12">
        <v>0</v>
      </c>
      <c r="AI1371" s="12">
        <v>0</v>
      </c>
      <c r="AJ1371" s="12">
        <v>0</v>
      </c>
      <c r="AK1371" s="12">
        <v>0</v>
      </c>
      <c r="AL1371" s="12">
        <v>0</v>
      </c>
      <c r="AM1371" s="12"/>
      <c r="AN1371" s="12">
        <v>0</v>
      </c>
      <c r="AO1371" s="12">
        <v>0</v>
      </c>
      <c r="AP1371" s="12">
        <v>0</v>
      </c>
      <c r="AQ1371" s="12">
        <v>0</v>
      </c>
      <c r="AR1371" s="12">
        <v>0</v>
      </c>
      <c r="AS1371" s="12">
        <v>0</v>
      </c>
      <c r="AT1371" s="12">
        <v>0</v>
      </c>
      <c r="AU1371" s="12">
        <v>0</v>
      </c>
      <c r="AV1371" s="12">
        <v>0</v>
      </c>
      <c r="AW1371" s="12">
        <v>0</v>
      </c>
      <c r="AX1371" s="12">
        <v>0</v>
      </c>
      <c r="AY1371" s="12">
        <v>0</v>
      </c>
      <c r="AZ1371"/>
      <c r="BA1371"/>
      <c r="BB1371" s="12">
        <v>0</v>
      </c>
      <c r="BC1371" s="12">
        <v>0</v>
      </c>
      <c r="BD1371" s="12">
        <v>0</v>
      </c>
      <c r="BE1371" s="12">
        <v>0</v>
      </c>
      <c r="BF1371" s="12">
        <v>0</v>
      </c>
      <c r="BI1371" s="12">
        <v>0</v>
      </c>
      <c r="BJ1371" s="12">
        <v>0</v>
      </c>
    </row>
    <row r="1372" spans="1:62" x14ac:dyDescent="0.15">
      <c r="A1372" s="12"/>
      <c r="B1372" t="s">
        <v>8291</v>
      </c>
      <c r="C1372" s="27" t="s">
        <v>4782</v>
      </c>
      <c r="D1372" t="s">
        <v>6596</v>
      </c>
      <c r="E1372" t="s">
        <v>2182</v>
      </c>
      <c r="F1372"/>
      <c r="G1372"/>
      <c r="H1372"/>
      <c r="I1372"/>
      <c r="J1372"/>
      <c r="K1372"/>
      <c r="L1372" s="10">
        <v>3994890</v>
      </c>
      <c r="M1372" s="10">
        <v>733220</v>
      </c>
      <c r="N1372" s="12">
        <v>15</v>
      </c>
      <c r="O1372" s="12" t="s">
        <v>6992</v>
      </c>
      <c r="P1372" t="s">
        <v>2183</v>
      </c>
      <c r="R1372"/>
      <c r="S1372" t="s">
        <v>2184</v>
      </c>
      <c r="T1372" s="12" t="s">
        <v>2185</v>
      </c>
      <c r="U1372" s="12" t="s">
        <v>2186</v>
      </c>
      <c r="V1372" s="12" t="s">
        <v>2187</v>
      </c>
      <c r="W1372" s="12">
        <v>0</v>
      </c>
      <c r="X1372" s="12">
        <v>1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2">
        <v>0</v>
      </c>
      <c r="AK1372" s="12">
        <v>0</v>
      </c>
      <c r="AL1372" s="12">
        <v>0</v>
      </c>
      <c r="AM1372" s="12"/>
      <c r="AN1372" s="12">
        <v>0</v>
      </c>
      <c r="AO1372" s="12">
        <v>0</v>
      </c>
      <c r="AP1372" s="12">
        <v>0</v>
      </c>
      <c r="AQ1372" s="12">
        <v>0</v>
      </c>
      <c r="AR1372" s="12">
        <v>0</v>
      </c>
      <c r="AS1372" s="12">
        <v>0</v>
      </c>
      <c r="AT1372" s="12">
        <v>0</v>
      </c>
      <c r="AU1372" s="12">
        <v>0</v>
      </c>
      <c r="AV1372" s="12">
        <v>0</v>
      </c>
      <c r="AW1372" s="12">
        <v>0</v>
      </c>
      <c r="AX1372" s="12">
        <v>0</v>
      </c>
      <c r="AY1372" s="12">
        <v>0</v>
      </c>
      <c r="AZ1372"/>
      <c r="BA1372"/>
      <c r="BB1372" s="12">
        <v>0</v>
      </c>
      <c r="BC1372" s="12">
        <v>0</v>
      </c>
      <c r="BD1372" s="12">
        <v>0</v>
      </c>
      <c r="BE1372" s="12">
        <v>0</v>
      </c>
      <c r="BF1372" s="12">
        <v>0</v>
      </c>
      <c r="BI1372" s="12">
        <v>0</v>
      </c>
      <c r="BJ1372" s="12">
        <v>0</v>
      </c>
    </row>
    <row r="1373" spans="1:62" x14ac:dyDescent="0.15">
      <c r="A1373" s="12"/>
      <c r="B1373" t="s">
        <v>8292</v>
      </c>
      <c r="C1373" s="27" t="s">
        <v>8293</v>
      </c>
      <c r="D1373" t="s">
        <v>6596</v>
      </c>
      <c r="E1373" t="s">
        <v>2182</v>
      </c>
      <c r="F1373"/>
      <c r="G1373"/>
      <c r="H1373"/>
      <c r="I1373"/>
      <c r="J1373"/>
      <c r="K1373"/>
      <c r="L1373" s="10">
        <v>3987520</v>
      </c>
      <c r="M1373" s="10">
        <v>729630</v>
      </c>
      <c r="N1373" s="12">
        <v>15</v>
      </c>
      <c r="O1373" s="12" t="s">
        <v>6992</v>
      </c>
      <c r="P1373" t="s">
        <v>2183</v>
      </c>
      <c r="R1373"/>
      <c r="S1373" t="s">
        <v>2184</v>
      </c>
      <c r="T1373" s="12" t="s">
        <v>2185</v>
      </c>
      <c r="U1373" s="12" t="s">
        <v>2186</v>
      </c>
      <c r="V1373" s="12" t="s">
        <v>2187</v>
      </c>
      <c r="W1373" s="12">
        <v>0</v>
      </c>
      <c r="X1373" s="12">
        <v>1</v>
      </c>
      <c r="Y1373" s="12">
        <v>0</v>
      </c>
      <c r="Z1373" s="12">
        <v>0</v>
      </c>
      <c r="AA1373" s="12">
        <v>0</v>
      </c>
      <c r="AB1373" s="12">
        <v>0</v>
      </c>
      <c r="AC1373" s="12">
        <v>0</v>
      </c>
      <c r="AD1373" s="12">
        <v>0</v>
      </c>
      <c r="AE1373" s="12">
        <v>0</v>
      </c>
      <c r="AF1373" s="12">
        <v>0</v>
      </c>
      <c r="AG1373" s="12">
        <v>0</v>
      </c>
      <c r="AH1373" s="12">
        <v>0</v>
      </c>
      <c r="AI1373" s="12">
        <v>0</v>
      </c>
      <c r="AJ1373" s="12">
        <v>0</v>
      </c>
      <c r="AK1373" s="12">
        <v>0</v>
      </c>
      <c r="AL1373" s="12">
        <v>0</v>
      </c>
      <c r="AM1373" s="12"/>
      <c r="AN1373" s="12">
        <v>0</v>
      </c>
      <c r="AO1373" s="12">
        <v>0</v>
      </c>
      <c r="AP1373" s="12">
        <v>0</v>
      </c>
      <c r="AQ1373" s="12">
        <v>0</v>
      </c>
      <c r="AR1373" s="12">
        <v>0</v>
      </c>
      <c r="AS1373" s="12">
        <v>0</v>
      </c>
      <c r="AT1373" s="12">
        <v>0</v>
      </c>
      <c r="AU1373" s="12">
        <v>0</v>
      </c>
      <c r="AV1373" s="12">
        <v>0</v>
      </c>
      <c r="AW1373" s="12">
        <v>0</v>
      </c>
      <c r="AX1373" s="12">
        <v>0</v>
      </c>
      <c r="AY1373" s="12">
        <v>0</v>
      </c>
      <c r="AZ1373"/>
      <c r="BA1373"/>
      <c r="BB1373" s="12">
        <v>0</v>
      </c>
      <c r="BC1373" s="12">
        <v>0</v>
      </c>
      <c r="BD1373" s="12">
        <v>0</v>
      </c>
      <c r="BE1373" s="12">
        <v>0</v>
      </c>
      <c r="BF1373" s="12">
        <v>0</v>
      </c>
      <c r="BI1373" s="12">
        <v>0</v>
      </c>
      <c r="BJ1373" s="12">
        <v>0</v>
      </c>
    </row>
    <row r="1374" spans="1:62" x14ac:dyDescent="0.15">
      <c r="A1374" s="12"/>
      <c r="B1374" t="s">
        <v>8294</v>
      </c>
      <c r="C1374" s="27" t="s">
        <v>8295</v>
      </c>
      <c r="D1374" t="s">
        <v>6596</v>
      </c>
      <c r="E1374" t="s">
        <v>2182</v>
      </c>
      <c r="F1374"/>
      <c r="G1374"/>
      <c r="H1374"/>
      <c r="I1374"/>
      <c r="J1374"/>
      <c r="K1374"/>
      <c r="L1374" s="10">
        <v>3985600</v>
      </c>
      <c r="M1374" s="10">
        <v>698150</v>
      </c>
      <c r="N1374" s="12">
        <v>15</v>
      </c>
      <c r="O1374" s="12" t="s">
        <v>6992</v>
      </c>
      <c r="P1374" t="s">
        <v>2183</v>
      </c>
      <c r="R1374"/>
      <c r="S1374" t="s">
        <v>2184</v>
      </c>
      <c r="T1374" s="12" t="s">
        <v>2185</v>
      </c>
      <c r="U1374" s="12" t="s">
        <v>2186</v>
      </c>
      <c r="V1374" s="12" t="s">
        <v>2187</v>
      </c>
      <c r="W1374" s="12">
        <v>0</v>
      </c>
      <c r="X1374" s="12">
        <v>1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2">
        <v>0</v>
      </c>
      <c r="AK1374" s="12">
        <v>0</v>
      </c>
      <c r="AL1374" s="12">
        <v>0</v>
      </c>
      <c r="AM1374" s="12"/>
      <c r="AN1374" s="12">
        <v>0</v>
      </c>
      <c r="AO1374" s="12">
        <v>0</v>
      </c>
      <c r="AP1374" s="12">
        <v>0</v>
      </c>
      <c r="AQ1374" s="12">
        <v>0</v>
      </c>
      <c r="AR1374" s="12">
        <v>0</v>
      </c>
      <c r="AS1374" s="12">
        <v>0</v>
      </c>
      <c r="AT1374" s="12">
        <v>0</v>
      </c>
      <c r="AU1374" s="12">
        <v>0</v>
      </c>
      <c r="AV1374" s="12">
        <v>0</v>
      </c>
      <c r="AW1374" s="12">
        <v>0</v>
      </c>
      <c r="AX1374" s="12">
        <v>0</v>
      </c>
      <c r="AY1374" s="12">
        <v>0</v>
      </c>
      <c r="AZ1374"/>
      <c r="BA1374"/>
      <c r="BB1374" s="12">
        <v>0</v>
      </c>
      <c r="BC1374" s="12">
        <v>0</v>
      </c>
      <c r="BD1374" s="12">
        <v>0</v>
      </c>
      <c r="BE1374" s="12">
        <v>0</v>
      </c>
      <c r="BF1374" s="12">
        <v>0</v>
      </c>
      <c r="BI1374" s="12">
        <v>0</v>
      </c>
      <c r="BJ1374" s="12">
        <v>0</v>
      </c>
    </row>
    <row r="1375" spans="1:62" x14ac:dyDescent="0.15">
      <c r="A1375" s="12"/>
      <c r="B1375" t="s">
        <v>8296</v>
      </c>
      <c r="C1375" s="27" t="s">
        <v>8297</v>
      </c>
      <c r="D1375" t="s">
        <v>6596</v>
      </c>
      <c r="E1375" t="s">
        <v>2182</v>
      </c>
      <c r="F1375"/>
      <c r="G1375"/>
      <c r="H1375"/>
      <c r="I1375"/>
      <c r="J1375"/>
      <c r="K1375"/>
      <c r="L1375" s="10">
        <v>3985700</v>
      </c>
      <c r="M1375" s="10">
        <v>700250</v>
      </c>
      <c r="N1375" s="12">
        <v>15</v>
      </c>
      <c r="O1375" s="12" t="s">
        <v>6992</v>
      </c>
      <c r="P1375" t="s">
        <v>2183</v>
      </c>
      <c r="R1375"/>
      <c r="S1375" t="s">
        <v>2184</v>
      </c>
      <c r="T1375" s="12" t="s">
        <v>2185</v>
      </c>
      <c r="U1375" s="12" t="s">
        <v>2186</v>
      </c>
      <c r="V1375" s="12" t="s">
        <v>2187</v>
      </c>
      <c r="W1375" s="12">
        <v>0</v>
      </c>
      <c r="X1375" s="12">
        <v>1</v>
      </c>
      <c r="Y1375" s="12">
        <v>0</v>
      </c>
      <c r="Z1375" s="12">
        <v>0</v>
      </c>
      <c r="AA1375" s="12">
        <v>0</v>
      </c>
      <c r="AB1375" s="12">
        <v>0</v>
      </c>
      <c r="AC1375" s="12">
        <v>0</v>
      </c>
      <c r="AD1375" s="12">
        <v>0</v>
      </c>
      <c r="AE1375" s="12">
        <v>0</v>
      </c>
      <c r="AF1375" s="12">
        <v>0</v>
      </c>
      <c r="AG1375" s="12">
        <v>0</v>
      </c>
      <c r="AH1375" s="12">
        <v>0</v>
      </c>
      <c r="AI1375" s="12">
        <v>0</v>
      </c>
      <c r="AJ1375" s="12">
        <v>0</v>
      </c>
      <c r="AK1375" s="12">
        <v>0</v>
      </c>
      <c r="AL1375" s="12">
        <v>0</v>
      </c>
      <c r="AM1375" s="12"/>
      <c r="AN1375" s="12">
        <v>0</v>
      </c>
      <c r="AO1375" s="12">
        <v>0</v>
      </c>
      <c r="AP1375" s="12">
        <v>0</v>
      </c>
      <c r="AQ1375" s="12">
        <v>0</v>
      </c>
      <c r="AR1375" s="12">
        <v>0</v>
      </c>
      <c r="AS1375" s="12">
        <v>0</v>
      </c>
      <c r="AT1375" s="12">
        <v>0</v>
      </c>
      <c r="AU1375" s="12">
        <v>0</v>
      </c>
      <c r="AV1375" s="12">
        <v>0</v>
      </c>
      <c r="AW1375" s="12">
        <v>0</v>
      </c>
      <c r="AX1375" s="12">
        <v>0</v>
      </c>
      <c r="AY1375" s="12">
        <v>0</v>
      </c>
      <c r="AZ1375"/>
      <c r="BA1375"/>
      <c r="BB1375" s="12">
        <v>0</v>
      </c>
      <c r="BC1375" s="12">
        <v>0</v>
      </c>
      <c r="BD1375" s="12">
        <v>0</v>
      </c>
      <c r="BE1375" s="12">
        <v>0</v>
      </c>
      <c r="BF1375" s="12">
        <v>0</v>
      </c>
      <c r="BI1375" s="12">
        <v>0</v>
      </c>
      <c r="BJ1375" s="12">
        <v>0</v>
      </c>
    </row>
    <row r="1376" spans="1:62" x14ac:dyDescent="0.15">
      <c r="A1376" s="12"/>
      <c r="B1376" t="s">
        <v>8298</v>
      </c>
      <c r="C1376" s="27" t="s">
        <v>8299</v>
      </c>
      <c r="D1376" t="s">
        <v>6596</v>
      </c>
      <c r="E1376" t="s">
        <v>2182</v>
      </c>
      <c r="F1376"/>
      <c r="G1376"/>
      <c r="H1376"/>
      <c r="I1376"/>
      <c r="J1376"/>
      <c r="K1376"/>
      <c r="L1376" s="10">
        <v>3984120</v>
      </c>
      <c r="M1376" s="10">
        <v>698700</v>
      </c>
      <c r="N1376" s="12">
        <v>15</v>
      </c>
      <c r="O1376" s="12" t="s">
        <v>6992</v>
      </c>
      <c r="P1376" t="s">
        <v>2183</v>
      </c>
      <c r="R1376"/>
      <c r="S1376" t="s">
        <v>2184</v>
      </c>
      <c r="T1376" s="12" t="s">
        <v>2185</v>
      </c>
      <c r="U1376" s="12" t="s">
        <v>2186</v>
      </c>
      <c r="V1376" s="12" t="s">
        <v>2187</v>
      </c>
      <c r="W1376" s="12">
        <v>0</v>
      </c>
      <c r="X1376" s="12">
        <v>1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2">
        <v>0</v>
      </c>
      <c r="AK1376" s="12">
        <v>0</v>
      </c>
      <c r="AL1376" s="12">
        <v>0</v>
      </c>
      <c r="AM1376" s="12"/>
      <c r="AN1376" s="12">
        <v>0</v>
      </c>
      <c r="AO1376" s="12">
        <v>0</v>
      </c>
      <c r="AP1376" s="12">
        <v>0</v>
      </c>
      <c r="AQ1376" s="12">
        <v>0</v>
      </c>
      <c r="AR1376" s="12">
        <v>0</v>
      </c>
      <c r="AS1376" s="12">
        <v>0</v>
      </c>
      <c r="AT1376" s="12">
        <v>0</v>
      </c>
      <c r="AU1376" s="12">
        <v>0</v>
      </c>
      <c r="AV1376" s="12">
        <v>0</v>
      </c>
      <c r="AW1376" s="12">
        <v>0</v>
      </c>
      <c r="AX1376" s="12">
        <v>0</v>
      </c>
      <c r="AY1376" s="12">
        <v>0</v>
      </c>
      <c r="AZ1376"/>
      <c r="BA1376"/>
      <c r="BB1376" s="12">
        <v>0</v>
      </c>
      <c r="BC1376" s="12">
        <v>0</v>
      </c>
      <c r="BD1376" s="12">
        <v>0</v>
      </c>
      <c r="BE1376" s="12">
        <v>0</v>
      </c>
      <c r="BF1376" s="12">
        <v>0</v>
      </c>
      <c r="BI1376" s="12">
        <v>0</v>
      </c>
      <c r="BJ1376" s="12">
        <v>0</v>
      </c>
    </row>
    <row r="1377" spans="1:62" x14ac:dyDescent="0.15">
      <c r="A1377" s="12"/>
      <c r="B1377" t="s">
        <v>8300</v>
      </c>
      <c r="C1377" t="s">
        <v>8300</v>
      </c>
      <c r="D1377" t="s">
        <v>6596</v>
      </c>
      <c r="E1377" t="s">
        <v>2182</v>
      </c>
      <c r="F1377"/>
      <c r="G1377"/>
      <c r="H1377"/>
      <c r="I1377"/>
      <c r="J1377"/>
      <c r="K1377"/>
      <c r="L1377" s="10">
        <v>3983500</v>
      </c>
      <c r="M1377" s="10">
        <v>733760</v>
      </c>
      <c r="N1377" s="12">
        <v>15</v>
      </c>
      <c r="O1377" s="12" t="s">
        <v>6992</v>
      </c>
      <c r="P1377" t="s">
        <v>2183</v>
      </c>
      <c r="R1377"/>
      <c r="S1377" t="s">
        <v>2184</v>
      </c>
      <c r="T1377" s="12" t="s">
        <v>2185</v>
      </c>
      <c r="U1377" s="12" t="s">
        <v>2186</v>
      </c>
      <c r="V1377" s="12" t="s">
        <v>2187</v>
      </c>
      <c r="W1377" s="12">
        <v>0</v>
      </c>
      <c r="X1377" s="12">
        <v>1</v>
      </c>
      <c r="Y1377" s="12">
        <v>0</v>
      </c>
      <c r="Z1377" s="12">
        <v>0</v>
      </c>
      <c r="AA1377" s="12">
        <v>0</v>
      </c>
      <c r="AB1377" s="12">
        <v>0</v>
      </c>
      <c r="AC1377" s="12">
        <v>0</v>
      </c>
      <c r="AD1377" s="12">
        <v>0</v>
      </c>
      <c r="AE1377" s="12">
        <v>0</v>
      </c>
      <c r="AF1377" s="12">
        <v>0</v>
      </c>
      <c r="AG1377" s="12">
        <v>0</v>
      </c>
      <c r="AH1377" s="12">
        <v>0</v>
      </c>
      <c r="AI1377" s="12">
        <v>0</v>
      </c>
      <c r="AJ1377" s="12">
        <v>0</v>
      </c>
      <c r="AK1377" s="12">
        <v>0</v>
      </c>
      <c r="AL1377" s="12">
        <v>0</v>
      </c>
      <c r="AM1377" s="12"/>
      <c r="AN1377" s="12">
        <v>0</v>
      </c>
      <c r="AO1377" s="12">
        <v>0</v>
      </c>
      <c r="AP1377" s="12">
        <v>0</v>
      </c>
      <c r="AQ1377" s="12">
        <v>0</v>
      </c>
      <c r="AR1377" s="12">
        <v>0</v>
      </c>
      <c r="AS1377" s="12">
        <v>0</v>
      </c>
      <c r="AT1377" s="12">
        <v>0</v>
      </c>
      <c r="AU1377" s="12">
        <v>0</v>
      </c>
      <c r="AV1377" s="12">
        <v>0</v>
      </c>
      <c r="AW1377" s="12">
        <v>0</v>
      </c>
      <c r="AX1377" s="12">
        <v>0</v>
      </c>
      <c r="AY1377" s="12">
        <v>0</v>
      </c>
      <c r="AZ1377"/>
      <c r="BA1377"/>
      <c r="BB1377" s="12">
        <v>0</v>
      </c>
      <c r="BC1377" s="12">
        <v>0</v>
      </c>
      <c r="BD1377" s="12">
        <v>0</v>
      </c>
      <c r="BE1377" s="12">
        <v>0</v>
      </c>
      <c r="BF1377" s="12">
        <v>0</v>
      </c>
      <c r="BI1377" s="12">
        <v>0</v>
      </c>
      <c r="BJ1377" s="12">
        <v>0</v>
      </c>
    </row>
    <row r="1378" spans="1:62" x14ac:dyDescent="0.15">
      <c r="A1378" s="12"/>
      <c r="B1378" t="s">
        <v>8301</v>
      </c>
      <c r="C1378" s="27" t="s">
        <v>8302</v>
      </c>
      <c r="D1378" t="s">
        <v>6596</v>
      </c>
      <c r="E1378" t="s">
        <v>2182</v>
      </c>
      <c r="F1378"/>
      <c r="G1378"/>
      <c r="H1378"/>
      <c r="I1378"/>
      <c r="J1378"/>
      <c r="K1378"/>
      <c r="L1378" s="10">
        <v>3985300</v>
      </c>
      <c r="M1378" s="10">
        <v>728000</v>
      </c>
      <c r="N1378" s="12">
        <v>15</v>
      </c>
      <c r="O1378" s="12" t="s">
        <v>6992</v>
      </c>
      <c r="P1378" t="s">
        <v>2183</v>
      </c>
      <c r="R1378"/>
      <c r="S1378" t="s">
        <v>2184</v>
      </c>
      <c r="T1378" s="12" t="s">
        <v>2185</v>
      </c>
      <c r="U1378" s="12" t="s">
        <v>2186</v>
      </c>
      <c r="V1378" s="12" t="s">
        <v>2187</v>
      </c>
      <c r="W1378" s="12">
        <v>0</v>
      </c>
      <c r="X1378" s="12">
        <v>1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2">
        <v>0</v>
      </c>
      <c r="AK1378" s="12">
        <v>0</v>
      </c>
      <c r="AL1378" s="12">
        <v>0</v>
      </c>
      <c r="AM1378" s="12"/>
      <c r="AN1378" s="12">
        <v>0</v>
      </c>
      <c r="AO1378" s="12">
        <v>0</v>
      </c>
      <c r="AP1378" s="12">
        <v>0</v>
      </c>
      <c r="AQ1378" s="12">
        <v>0</v>
      </c>
      <c r="AR1378" s="12">
        <v>0</v>
      </c>
      <c r="AS1378" s="12">
        <v>0</v>
      </c>
      <c r="AT1378" s="12">
        <v>0</v>
      </c>
      <c r="AU1378" s="12">
        <v>0</v>
      </c>
      <c r="AV1378" s="12">
        <v>0</v>
      </c>
      <c r="AW1378" s="12">
        <v>0</v>
      </c>
      <c r="AX1378" s="12">
        <v>0</v>
      </c>
      <c r="AY1378" s="12">
        <v>0</v>
      </c>
      <c r="AZ1378"/>
      <c r="BA1378"/>
      <c r="BB1378" s="12">
        <v>0</v>
      </c>
      <c r="BC1378" s="12">
        <v>0</v>
      </c>
      <c r="BD1378" s="12">
        <v>0</v>
      </c>
      <c r="BE1378" s="12">
        <v>0</v>
      </c>
      <c r="BF1378" s="12">
        <v>0</v>
      </c>
      <c r="BI1378" s="12">
        <v>0</v>
      </c>
      <c r="BJ1378" s="12">
        <v>0</v>
      </c>
    </row>
    <row r="1379" spans="1:62" x14ac:dyDescent="0.15">
      <c r="A1379" s="12"/>
      <c r="B1379" t="s">
        <v>8303</v>
      </c>
      <c r="C1379" t="s">
        <v>8303</v>
      </c>
      <c r="D1379" t="s">
        <v>6596</v>
      </c>
      <c r="E1379" t="s">
        <v>2182</v>
      </c>
      <c r="F1379"/>
      <c r="G1379"/>
      <c r="H1379"/>
      <c r="I1379"/>
      <c r="J1379"/>
      <c r="K1379"/>
      <c r="L1379" s="10">
        <v>3996750</v>
      </c>
      <c r="M1379" s="10">
        <v>707240</v>
      </c>
      <c r="N1379" s="12">
        <v>15</v>
      </c>
      <c r="O1379" s="12" t="s">
        <v>6992</v>
      </c>
      <c r="P1379" t="s">
        <v>2183</v>
      </c>
      <c r="R1379"/>
      <c r="S1379" t="s">
        <v>2184</v>
      </c>
      <c r="T1379" s="12" t="s">
        <v>2185</v>
      </c>
      <c r="U1379" s="12" t="s">
        <v>2186</v>
      </c>
      <c r="V1379" s="12" t="s">
        <v>2187</v>
      </c>
      <c r="W1379" s="12">
        <v>0</v>
      </c>
      <c r="X1379" s="12">
        <v>1</v>
      </c>
      <c r="Y1379" s="12">
        <v>0</v>
      </c>
      <c r="Z1379" s="12">
        <v>0</v>
      </c>
      <c r="AA1379" s="12">
        <v>0</v>
      </c>
      <c r="AB1379" s="12">
        <v>0</v>
      </c>
      <c r="AC1379" s="12">
        <v>0</v>
      </c>
      <c r="AD1379" s="12">
        <v>0</v>
      </c>
      <c r="AE1379" s="12">
        <v>0</v>
      </c>
      <c r="AF1379" s="12">
        <v>0</v>
      </c>
      <c r="AG1379" s="12">
        <v>0</v>
      </c>
      <c r="AH1379" s="12">
        <v>0</v>
      </c>
      <c r="AI1379" s="12">
        <v>0</v>
      </c>
      <c r="AJ1379" s="12">
        <v>0</v>
      </c>
      <c r="AK1379" s="12">
        <v>0</v>
      </c>
      <c r="AL1379" s="12">
        <v>0</v>
      </c>
      <c r="AM1379" s="12"/>
      <c r="AN1379" s="12">
        <v>0</v>
      </c>
      <c r="AO1379" s="12">
        <v>0</v>
      </c>
      <c r="AP1379" s="12">
        <v>0</v>
      </c>
      <c r="AQ1379" s="12">
        <v>0</v>
      </c>
      <c r="AR1379" s="12">
        <v>0</v>
      </c>
      <c r="AS1379" s="12">
        <v>0</v>
      </c>
      <c r="AT1379" s="12">
        <v>0</v>
      </c>
      <c r="AU1379" s="12">
        <v>0</v>
      </c>
      <c r="AV1379" s="12">
        <v>0</v>
      </c>
      <c r="AW1379" s="12">
        <v>0</v>
      </c>
      <c r="AX1379" s="12">
        <v>0</v>
      </c>
      <c r="AY1379" s="12">
        <v>0</v>
      </c>
      <c r="AZ1379"/>
      <c r="BA1379"/>
      <c r="BB1379" s="12">
        <v>0</v>
      </c>
      <c r="BC1379" s="12">
        <v>0</v>
      </c>
      <c r="BD1379" s="12">
        <v>0</v>
      </c>
      <c r="BE1379" s="12">
        <v>0</v>
      </c>
      <c r="BF1379" s="12">
        <v>0</v>
      </c>
      <c r="BI1379" s="12">
        <v>0</v>
      </c>
      <c r="BJ1379" s="12">
        <v>0</v>
      </c>
    </row>
    <row r="1380" spans="1:62" x14ac:dyDescent="0.15">
      <c r="A1380" s="12"/>
      <c r="B1380" t="s">
        <v>8304</v>
      </c>
      <c r="C1380" t="s">
        <v>8304</v>
      </c>
      <c r="D1380" t="s">
        <v>6596</v>
      </c>
      <c r="E1380" t="s">
        <v>2182</v>
      </c>
      <c r="F1380"/>
      <c r="G1380"/>
      <c r="H1380"/>
      <c r="I1380"/>
      <c r="J1380"/>
      <c r="K1380"/>
      <c r="L1380" s="10">
        <v>3994480</v>
      </c>
      <c r="M1380" s="10">
        <v>706660</v>
      </c>
      <c r="N1380" s="12">
        <v>15</v>
      </c>
      <c r="O1380" s="12" t="s">
        <v>6992</v>
      </c>
      <c r="P1380" t="s">
        <v>2183</v>
      </c>
      <c r="R1380"/>
      <c r="S1380" t="s">
        <v>2184</v>
      </c>
      <c r="T1380" s="12" t="s">
        <v>2185</v>
      </c>
      <c r="U1380" s="12" t="s">
        <v>2186</v>
      </c>
      <c r="V1380" s="12" t="s">
        <v>2187</v>
      </c>
      <c r="W1380" s="12">
        <v>0</v>
      </c>
      <c r="X1380" s="12">
        <v>1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2">
        <v>0</v>
      </c>
      <c r="AK1380" s="12">
        <v>0</v>
      </c>
      <c r="AL1380" s="12">
        <v>0</v>
      </c>
      <c r="AM1380" s="12"/>
      <c r="AN1380" s="12">
        <v>0</v>
      </c>
      <c r="AO1380" s="12">
        <v>0</v>
      </c>
      <c r="AP1380" s="12">
        <v>0</v>
      </c>
      <c r="AQ1380" s="12">
        <v>0</v>
      </c>
      <c r="AR1380" s="12">
        <v>0</v>
      </c>
      <c r="AS1380" s="12">
        <v>0</v>
      </c>
      <c r="AT1380" s="12">
        <v>0</v>
      </c>
      <c r="AU1380" s="12">
        <v>0</v>
      </c>
      <c r="AV1380" s="12">
        <v>0</v>
      </c>
      <c r="AW1380" s="12">
        <v>0</v>
      </c>
      <c r="AX1380" s="12">
        <v>0</v>
      </c>
      <c r="AY1380" s="12">
        <v>0</v>
      </c>
      <c r="AZ1380"/>
      <c r="BA1380"/>
      <c r="BB1380" s="12">
        <v>0</v>
      </c>
      <c r="BC1380" s="12">
        <v>0</v>
      </c>
      <c r="BD1380" s="12">
        <v>0</v>
      </c>
      <c r="BE1380" s="12">
        <v>0</v>
      </c>
      <c r="BF1380" s="12">
        <v>0</v>
      </c>
      <c r="BI1380" s="12">
        <v>0</v>
      </c>
      <c r="BJ1380" s="12">
        <v>0</v>
      </c>
    </row>
    <row r="1381" spans="1:62" x14ac:dyDescent="0.15">
      <c r="A1381" s="12"/>
      <c r="B1381" t="s">
        <v>8305</v>
      </c>
      <c r="C1381" t="s">
        <v>8305</v>
      </c>
      <c r="D1381" t="s">
        <v>6596</v>
      </c>
      <c r="E1381" t="s">
        <v>2182</v>
      </c>
      <c r="F1381"/>
      <c r="G1381"/>
      <c r="H1381"/>
      <c r="I1381"/>
      <c r="J1381"/>
      <c r="K1381"/>
      <c r="L1381" s="10">
        <v>3994230</v>
      </c>
      <c r="M1381" s="10">
        <v>706720</v>
      </c>
      <c r="N1381" s="12">
        <v>15</v>
      </c>
      <c r="O1381" s="12" t="s">
        <v>6992</v>
      </c>
      <c r="P1381" t="s">
        <v>2183</v>
      </c>
      <c r="R1381"/>
      <c r="S1381" t="s">
        <v>2184</v>
      </c>
      <c r="T1381" s="12" t="s">
        <v>2185</v>
      </c>
      <c r="U1381" s="12" t="s">
        <v>2186</v>
      </c>
      <c r="V1381" s="12" t="s">
        <v>2187</v>
      </c>
      <c r="W1381" s="12">
        <v>0</v>
      </c>
      <c r="X1381" s="12">
        <v>1</v>
      </c>
      <c r="Y1381" s="12">
        <v>0</v>
      </c>
      <c r="Z1381" s="12">
        <v>0</v>
      </c>
      <c r="AA1381" s="12">
        <v>0</v>
      </c>
      <c r="AB1381" s="12">
        <v>0</v>
      </c>
      <c r="AC1381" s="12">
        <v>0</v>
      </c>
      <c r="AD1381" s="12">
        <v>0</v>
      </c>
      <c r="AE1381" s="12">
        <v>0</v>
      </c>
      <c r="AF1381" s="12">
        <v>0</v>
      </c>
      <c r="AG1381" s="12">
        <v>0</v>
      </c>
      <c r="AH1381" s="12">
        <v>0</v>
      </c>
      <c r="AI1381" s="12">
        <v>0</v>
      </c>
      <c r="AJ1381" s="12">
        <v>0</v>
      </c>
      <c r="AK1381" s="12">
        <v>0</v>
      </c>
      <c r="AL1381" s="12">
        <v>0</v>
      </c>
      <c r="AM1381" s="12"/>
      <c r="AN1381" s="12">
        <v>0</v>
      </c>
      <c r="AO1381" s="12">
        <v>0</v>
      </c>
      <c r="AP1381" s="12">
        <v>0</v>
      </c>
      <c r="AQ1381" s="12">
        <v>0</v>
      </c>
      <c r="AR1381" s="12">
        <v>0</v>
      </c>
      <c r="AS1381" s="12">
        <v>0</v>
      </c>
      <c r="AT1381" s="12">
        <v>0</v>
      </c>
      <c r="AU1381" s="12">
        <v>0</v>
      </c>
      <c r="AV1381" s="12">
        <v>0</v>
      </c>
      <c r="AW1381" s="12">
        <v>0</v>
      </c>
      <c r="AX1381" s="12">
        <v>0</v>
      </c>
      <c r="AY1381" s="12">
        <v>0</v>
      </c>
      <c r="AZ1381"/>
      <c r="BA1381"/>
      <c r="BB1381" s="12">
        <v>0</v>
      </c>
      <c r="BC1381" s="12">
        <v>0</v>
      </c>
      <c r="BD1381" s="12">
        <v>0</v>
      </c>
      <c r="BE1381" s="12">
        <v>0</v>
      </c>
      <c r="BF1381" s="12">
        <v>0</v>
      </c>
      <c r="BI1381" s="12">
        <v>0</v>
      </c>
      <c r="BJ1381" s="12">
        <v>0</v>
      </c>
    </row>
    <row r="1382" spans="1:62" x14ac:dyDescent="0.15">
      <c r="A1382" s="12"/>
      <c r="B1382" t="s">
        <v>8306</v>
      </c>
      <c r="C1382" s="27" t="s">
        <v>4886</v>
      </c>
      <c r="D1382" t="s">
        <v>6596</v>
      </c>
      <c r="E1382" t="s">
        <v>2182</v>
      </c>
      <c r="F1382"/>
      <c r="G1382"/>
      <c r="H1382"/>
      <c r="I1382"/>
      <c r="J1382"/>
      <c r="K1382"/>
      <c r="L1382" s="10">
        <v>4012600</v>
      </c>
      <c r="M1382" s="10">
        <v>699270</v>
      </c>
      <c r="N1382" s="12">
        <v>15</v>
      </c>
      <c r="O1382" s="12" t="s">
        <v>6992</v>
      </c>
      <c r="P1382" t="s">
        <v>2183</v>
      </c>
      <c r="R1382"/>
      <c r="S1382" t="s">
        <v>2184</v>
      </c>
      <c r="T1382" s="12" t="s">
        <v>2185</v>
      </c>
      <c r="U1382" s="12" t="s">
        <v>2186</v>
      </c>
      <c r="V1382" s="12" t="s">
        <v>2187</v>
      </c>
      <c r="W1382" s="12">
        <v>0</v>
      </c>
      <c r="X1382" s="12">
        <v>1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2">
        <v>0</v>
      </c>
      <c r="AK1382" s="12">
        <v>0</v>
      </c>
      <c r="AL1382" s="12">
        <v>0</v>
      </c>
      <c r="AM1382" s="12"/>
      <c r="AN1382" s="12">
        <v>0</v>
      </c>
      <c r="AO1382" s="12">
        <v>0</v>
      </c>
      <c r="AP1382" s="12">
        <v>0</v>
      </c>
      <c r="AQ1382" s="12">
        <v>0</v>
      </c>
      <c r="AR1382" s="12">
        <v>0</v>
      </c>
      <c r="AS1382" s="12">
        <v>0</v>
      </c>
      <c r="AT1382" s="12">
        <v>0</v>
      </c>
      <c r="AU1382" s="12">
        <v>0</v>
      </c>
      <c r="AV1382" s="12">
        <v>0</v>
      </c>
      <c r="AW1382" s="12">
        <v>0</v>
      </c>
      <c r="AX1382" s="12">
        <v>0</v>
      </c>
      <c r="AY1382" s="12">
        <v>0</v>
      </c>
      <c r="AZ1382"/>
      <c r="BA1382"/>
      <c r="BB1382" s="12">
        <v>0</v>
      </c>
      <c r="BC1382" s="12">
        <v>0</v>
      </c>
      <c r="BD1382" s="12">
        <v>0</v>
      </c>
      <c r="BE1382" s="12">
        <v>0</v>
      </c>
      <c r="BF1382" s="12">
        <v>0</v>
      </c>
      <c r="BI1382" s="12">
        <v>0</v>
      </c>
      <c r="BJ1382" s="12">
        <v>0</v>
      </c>
    </row>
    <row r="1383" spans="1:62" x14ac:dyDescent="0.15">
      <c r="A1383" s="12"/>
      <c r="B1383" t="s">
        <v>8307</v>
      </c>
      <c r="C1383" t="s">
        <v>8307</v>
      </c>
      <c r="D1383" t="s">
        <v>6596</v>
      </c>
      <c r="E1383" t="s">
        <v>2182</v>
      </c>
      <c r="F1383"/>
      <c r="G1383"/>
      <c r="H1383"/>
      <c r="I1383"/>
      <c r="J1383"/>
      <c r="K1383"/>
      <c r="L1383" s="10">
        <v>3994890</v>
      </c>
      <c r="M1383" s="10">
        <v>720000</v>
      </c>
      <c r="N1383" s="12">
        <v>15</v>
      </c>
      <c r="O1383" s="12" t="s">
        <v>6992</v>
      </c>
      <c r="P1383" t="s">
        <v>2183</v>
      </c>
      <c r="R1383"/>
      <c r="S1383" t="s">
        <v>2184</v>
      </c>
      <c r="T1383" s="12" t="s">
        <v>2185</v>
      </c>
      <c r="U1383" s="12" t="s">
        <v>2186</v>
      </c>
      <c r="V1383" s="12" t="s">
        <v>2187</v>
      </c>
      <c r="W1383" s="12">
        <v>0</v>
      </c>
      <c r="X1383" s="12">
        <v>1</v>
      </c>
      <c r="Y1383" s="12">
        <v>0</v>
      </c>
      <c r="Z1383" s="12">
        <v>0</v>
      </c>
      <c r="AA1383" s="12">
        <v>0</v>
      </c>
      <c r="AB1383" s="12">
        <v>0</v>
      </c>
      <c r="AC1383" s="12">
        <v>0</v>
      </c>
      <c r="AD1383" s="12">
        <v>0</v>
      </c>
      <c r="AE1383" s="12">
        <v>0</v>
      </c>
      <c r="AF1383" s="12">
        <v>0</v>
      </c>
      <c r="AG1383" s="12">
        <v>0</v>
      </c>
      <c r="AH1383" s="12">
        <v>0</v>
      </c>
      <c r="AI1383" s="12">
        <v>0</v>
      </c>
      <c r="AJ1383" s="12">
        <v>0</v>
      </c>
      <c r="AK1383" s="12">
        <v>0</v>
      </c>
      <c r="AL1383" s="12">
        <v>0</v>
      </c>
      <c r="AM1383" s="12"/>
      <c r="AN1383" s="12">
        <v>0</v>
      </c>
      <c r="AO1383" s="12">
        <v>0</v>
      </c>
      <c r="AP1383" s="12">
        <v>0</v>
      </c>
      <c r="AQ1383" s="12">
        <v>0</v>
      </c>
      <c r="AR1383" s="12">
        <v>0</v>
      </c>
      <c r="AS1383" s="12">
        <v>0</v>
      </c>
      <c r="AT1383" s="12">
        <v>0</v>
      </c>
      <c r="AU1383" s="12">
        <v>0</v>
      </c>
      <c r="AV1383" s="12">
        <v>0</v>
      </c>
      <c r="AW1383" s="12">
        <v>0</v>
      </c>
      <c r="AX1383" s="12">
        <v>0</v>
      </c>
      <c r="AY1383" s="12">
        <v>0</v>
      </c>
      <c r="AZ1383"/>
      <c r="BA1383"/>
      <c r="BB1383" s="12">
        <v>0</v>
      </c>
      <c r="BC1383" s="12">
        <v>0</v>
      </c>
      <c r="BD1383" s="12">
        <v>0</v>
      </c>
      <c r="BE1383" s="12">
        <v>0</v>
      </c>
      <c r="BF1383" s="12">
        <v>0</v>
      </c>
      <c r="BI1383" s="12">
        <v>0</v>
      </c>
      <c r="BJ1383" s="12">
        <v>0</v>
      </c>
    </row>
    <row r="1384" spans="1:62" x14ac:dyDescent="0.15">
      <c r="A1384" s="12"/>
      <c r="B1384" t="s">
        <v>8308</v>
      </c>
      <c r="C1384" t="s">
        <v>8308</v>
      </c>
      <c r="D1384" t="s">
        <v>6596</v>
      </c>
      <c r="E1384" t="s">
        <v>2182</v>
      </c>
      <c r="F1384"/>
      <c r="G1384"/>
      <c r="H1384"/>
      <c r="I1384"/>
      <c r="J1384"/>
      <c r="K1384"/>
      <c r="L1384" s="10">
        <v>4013000</v>
      </c>
      <c r="M1384" s="10">
        <v>699200</v>
      </c>
      <c r="N1384" s="12">
        <v>15</v>
      </c>
      <c r="O1384" s="12" t="s">
        <v>6992</v>
      </c>
      <c r="P1384" t="s">
        <v>2183</v>
      </c>
      <c r="R1384"/>
      <c r="S1384" t="s">
        <v>2184</v>
      </c>
      <c r="T1384" s="12" t="s">
        <v>2185</v>
      </c>
      <c r="U1384" s="12" t="s">
        <v>2186</v>
      </c>
      <c r="V1384" s="12" t="s">
        <v>2187</v>
      </c>
      <c r="W1384" s="12">
        <v>0</v>
      </c>
      <c r="X1384" s="12">
        <v>1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2">
        <v>0</v>
      </c>
      <c r="AK1384" s="12">
        <v>0</v>
      </c>
      <c r="AL1384" s="12">
        <v>0</v>
      </c>
      <c r="AM1384" s="12"/>
      <c r="AN1384" s="12">
        <v>0</v>
      </c>
      <c r="AO1384" s="12">
        <v>0</v>
      </c>
      <c r="AP1384" s="12">
        <v>0</v>
      </c>
      <c r="AQ1384" s="12">
        <v>0</v>
      </c>
      <c r="AR1384" s="12">
        <v>0</v>
      </c>
      <c r="AS1384" s="12">
        <v>0</v>
      </c>
      <c r="AT1384" s="12">
        <v>0</v>
      </c>
      <c r="AU1384" s="12">
        <v>0</v>
      </c>
      <c r="AV1384" s="12">
        <v>0</v>
      </c>
      <c r="AW1384" s="12">
        <v>0</v>
      </c>
      <c r="AX1384" s="12">
        <v>0</v>
      </c>
      <c r="AY1384" s="12">
        <v>0</v>
      </c>
      <c r="AZ1384"/>
      <c r="BA1384"/>
      <c r="BB1384" s="12">
        <v>0</v>
      </c>
      <c r="BC1384" s="12">
        <v>0</v>
      </c>
      <c r="BD1384" s="12">
        <v>0</v>
      </c>
      <c r="BE1384" s="12">
        <v>0</v>
      </c>
      <c r="BF1384" s="12">
        <v>0</v>
      </c>
      <c r="BI1384" s="12">
        <v>0</v>
      </c>
      <c r="BJ1384" s="12">
        <v>0</v>
      </c>
    </row>
    <row r="1385" spans="1:62" x14ac:dyDescent="0.15">
      <c r="A1385" s="12"/>
      <c r="B1385" t="s">
        <v>8309</v>
      </c>
      <c r="C1385" s="27" t="s">
        <v>8310</v>
      </c>
      <c r="D1385" t="s">
        <v>6596</v>
      </c>
      <c r="E1385" t="s">
        <v>2182</v>
      </c>
      <c r="F1385"/>
      <c r="G1385"/>
      <c r="H1385"/>
      <c r="I1385"/>
      <c r="J1385"/>
      <c r="K1385"/>
      <c r="L1385" s="10">
        <v>4009080</v>
      </c>
      <c r="M1385" s="10">
        <v>705810</v>
      </c>
      <c r="N1385" s="12">
        <v>15</v>
      </c>
      <c r="O1385" s="12" t="s">
        <v>6992</v>
      </c>
      <c r="P1385" t="s">
        <v>2183</v>
      </c>
      <c r="R1385"/>
      <c r="S1385" t="s">
        <v>2184</v>
      </c>
      <c r="T1385" s="12" t="s">
        <v>2185</v>
      </c>
      <c r="U1385" s="12" t="s">
        <v>2186</v>
      </c>
      <c r="V1385" s="12" t="s">
        <v>2187</v>
      </c>
      <c r="W1385" s="12">
        <v>0</v>
      </c>
      <c r="X1385" s="12">
        <v>1</v>
      </c>
      <c r="Y1385" s="12">
        <v>0</v>
      </c>
      <c r="Z1385" s="12">
        <v>0</v>
      </c>
      <c r="AA1385" s="12">
        <v>0</v>
      </c>
      <c r="AB1385" s="12">
        <v>0</v>
      </c>
      <c r="AC1385" s="12">
        <v>0</v>
      </c>
      <c r="AD1385" s="12">
        <v>0</v>
      </c>
      <c r="AE1385" s="12">
        <v>0</v>
      </c>
      <c r="AF1385" s="12">
        <v>0</v>
      </c>
      <c r="AG1385" s="12">
        <v>0</v>
      </c>
      <c r="AH1385" s="12">
        <v>0</v>
      </c>
      <c r="AI1385" s="12">
        <v>0</v>
      </c>
      <c r="AJ1385" s="12">
        <v>0</v>
      </c>
      <c r="AK1385" s="12">
        <v>0</v>
      </c>
      <c r="AL1385" s="12">
        <v>0</v>
      </c>
      <c r="AM1385" s="12"/>
      <c r="AN1385" s="12">
        <v>0</v>
      </c>
      <c r="AO1385" s="12">
        <v>0</v>
      </c>
      <c r="AP1385" s="12">
        <v>0</v>
      </c>
      <c r="AQ1385" s="12">
        <v>0</v>
      </c>
      <c r="AR1385" s="12">
        <v>0</v>
      </c>
      <c r="AS1385" s="12">
        <v>0</v>
      </c>
      <c r="AT1385" s="12">
        <v>0</v>
      </c>
      <c r="AU1385" s="12">
        <v>0</v>
      </c>
      <c r="AV1385" s="12">
        <v>0</v>
      </c>
      <c r="AW1385" s="12">
        <v>0</v>
      </c>
      <c r="AX1385" s="12">
        <v>0</v>
      </c>
      <c r="AY1385" s="12">
        <v>0</v>
      </c>
      <c r="AZ1385"/>
      <c r="BA1385"/>
      <c r="BB1385" s="12">
        <v>0</v>
      </c>
      <c r="BC1385" s="12">
        <v>0</v>
      </c>
      <c r="BD1385" s="12">
        <v>0</v>
      </c>
      <c r="BE1385" s="12">
        <v>0</v>
      </c>
      <c r="BF1385" s="12">
        <v>0</v>
      </c>
      <c r="BI1385" s="12">
        <v>0</v>
      </c>
      <c r="BJ1385" s="12">
        <v>0</v>
      </c>
    </row>
    <row r="1386" spans="1:62" x14ac:dyDescent="0.15">
      <c r="A1386" s="12"/>
      <c r="B1386" t="s">
        <v>8311</v>
      </c>
      <c r="C1386" s="27" t="s">
        <v>8312</v>
      </c>
      <c r="D1386" t="s">
        <v>6596</v>
      </c>
      <c r="E1386" t="s">
        <v>2182</v>
      </c>
      <c r="F1386"/>
      <c r="G1386"/>
      <c r="H1386"/>
      <c r="I1386"/>
      <c r="J1386"/>
      <c r="K1386"/>
      <c r="L1386" s="10">
        <v>4002500</v>
      </c>
      <c r="M1386" s="10">
        <v>711050</v>
      </c>
      <c r="N1386" s="12">
        <v>15</v>
      </c>
      <c r="O1386" s="12" t="s">
        <v>6992</v>
      </c>
      <c r="P1386" t="s">
        <v>2183</v>
      </c>
      <c r="R1386"/>
      <c r="S1386" t="s">
        <v>2184</v>
      </c>
      <c r="T1386" s="12" t="s">
        <v>2185</v>
      </c>
      <c r="U1386" s="12" t="s">
        <v>2186</v>
      </c>
      <c r="V1386" s="12" t="s">
        <v>2187</v>
      </c>
      <c r="W1386" s="12">
        <v>0</v>
      </c>
      <c r="X1386" s="12">
        <v>1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2">
        <v>0</v>
      </c>
      <c r="AK1386" s="12">
        <v>0</v>
      </c>
      <c r="AL1386" s="12">
        <v>0</v>
      </c>
      <c r="AM1386" s="12"/>
      <c r="AN1386" s="12">
        <v>0</v>
      </c>
      <c r="AO1386" s="12">
        <v>0</v>
      </c>
      <c r="AP1386" s="12">
        <v>0</v>
      </c>
      <c r="AQ1386" s="12">
        <v>0</v>
      </c>
      <c r="AR1386" s="12">
        <v>0</v>
      </c>
      <c r="AS1386" s="12">
        <v>0</v>
      </c>
      <c r="AT1386" s="12">
        <v>0</v>
      </c>
      <c r="AU1386" s="12">
        <v>0</v>
      </c>
      <c r="AV1386" s="12">
        <v>0</v>
      </c>
      <c r="AW1386" s="12">
        <v>0</v>
      </c>
      <c r="AX1386" s="12">
        <v>0</v>
      </c>
      <c r="AY1386" s="12">
        <v>0</v>
      </c>
      <c r="AZ1386"/>
      <c r="BA1386"/>
      <c r="BB1386" s="12">
        <v>0</v>
      </c>
      <c r="BC1386" s="12">
        <v>0</v>
      </c>
      <c r="BD1386" s="12">
        <v>0</v>
      </c>
      <c r="BE1386" s="12">
        <v>0</v>
      </c>
      <c r="BF1386" s="12">
        <v>0</v>
      </c>
      <c r="BI1386" s="12">
        <v>0</v>
      </c>
      <c r="BJ1386" s="12">
        <v>0</v>
      </c>
    </row>
    <row r="1387" spans="1:62" x14ac:dyDescent="0.15">
      <c r="A1387" s="12"/>
      <c r="B1387" t="s">
        <v>8313</v>
      </c>
      <c r="C1387" t="s">
        <v>8313</v>
      </c>
      <c r="D1387" t="s">
        <v>6596</v>
      </c>
      <c r="E1387" t="s">
        <v>2182</v>
      </c>
      <c r="F1387"/>
      <c r="G1387"/>
      <c r="H1387"/>
      <c r="I1387"/>
      <c r="J1387"/>
      <c r="K1387"/>
      <c r="L1387" s="10">
        <v>4009700</v>
      </c>
      <c r="M1387" s="10">
        <v>709800</v>
      </c>
      <c r="N1387" s="12">
        <v>15</v>
      </c>
      <c r="O1387" s="12" t="s">
        <v>6992</v>
      </c>
      <c r="P1387" t="s">
        <v>2183</v>
      </c>
      <c r="R1387"/>
      <c r="S1387" t="s">
        <v>2184</v>
      </c>
      <c r="T1387" s="12" t="s">
        <v>2185</v>
      </c>
      <c r="U1387" s="12" t="s">
        <v>2186</v>
      </c>
      <c r="V1387" s="12" t="s">
        <v>2187</v>
      </c>
      <c r="W1387" s="12">
        <v>0</v>
      </c>
      <c r="X1387" s="12">
        <v>1</v>
      </c>
      <c r="Y1387" s="12">
        <v>0</v>
      </c>
      <c r="Z1387" s="12">
        <v>0</v>
      </c>
      <c r="AA1387" s="12">
        <v>0</v>
      </c>
      <c r="AB1387" s="12">
        <v>0</v>
      </c>
      <c r="AC1387" s="12">
        <v>0</v>
      </c>
      <c r="AD1387" s="12">
        <v>0</v>
      </c>
      <c r="AE1387" s="12">
        <v>0</v>
      </c>
      <c r="AF1387" s="12">
        <v>0</v>
      </c>
      <c r="AG1387" s="12">
        <v>0</v>
      </c>
      <c r="AH1387" s="12">
        <v>0</v>
      </c>
      <c r="AI1387" s="12">
        <v>0</v>
      </c>
      <c r="AJ1387" s="12">
        <v>0</v>
      </c>
      <c r="AK1387" s="12">
        <v>0</v>
      </c>
      <c r="AL1387" s="12">
        <v>0</v>
      </c>
      <c r="AM1387" s="12"/>
      <c r="AN1387" s="12">
        <v>0</v>
      </c>
      <c r="AO1387" s="12">
        <v>0</v>
      </c>
      <c r="AP1387" s="12">
        <v>0</v>
      </c>
      <c r="AQ1387" s="12">
        <v>0</v>
      </c>
      <c r="AR1387" s="12">
        <v>0</v>
      </c>
      <c r="AS1387" s="12">
        <v>0</v>
      </c>
      <c r="AT1387" s="12">
        <v>0</v>
      </c>
      <c r="AU1387" s="12">
        <v>0</v>
      </c>
      <c r="AV1387" s="12">
        <v>0</v>
      </c>
      <c r="AW1387" s="12">
        <v>0</v>
      </c>
      <c r="AX1387" s="12">
        <v>0</v>
      </c>
      <c r="AY1387" s="12">
        <v>0</v>
      </c>
      <c r="AZ1387"/>
      <c r="BA1387"/>
      <c r="BB1387" s="12">
        <v>0</v>
      </c>
      <c r="BC1387" s="12">
        <v>0</v>
      </c>
      <c r="BD1387" s="12">
        <v>0</v>
      </c>
      <c r="BE1387" s="12">
        <v>0</v>
      </c>
      <c r="BF1387" s="12">
        <v>0</v>
      </c>
      <c r="BI1387" s="12">
        <v>0</v>
      </c>
      <c r="BJ1387" s="12">
        <v>0</v>
      </c>
    </row>
    <row r="1388" spans="1:62" x14ac:dyDescent="0.15">
      <c r="A1388" s="12"/>
      <c r="B1388" t="s">
        <v>8314</v>
      </c>
      <c r="C1388" s="27" t="s">
        <v>8315</v>
      </c>
      <c r="D1388" t="s">
        <v>6596</v>
      </c>
      <c r="E1388" t="s">
        <v>2182</v>
      </c>
      <c r="F1388"/>
      <c r="G1388"/>
      <c r="H1388"/>
      <c r="I1388"/>
      <c r="J1388"/>
      <c r="K1388"/>
      <c r="L1388" s="10">
        <v>3997460</v>
      </c>
      <c r="M1388" s="10">
        <v>736660</v>
      </c>
      <c r="N1388" s="12">
        <v>15</v>
      </c>
      <c r="O1388" s="12" t="s">
        <v>6992</v>
      </c>
      <c r="P1388" t="s">
        <v>2183</v>
      </c>
      <c r="R1388"/>
      <c r="S1388" t="s">
        <v>2184</v>
      </c>
      <c r="T1388" s="12" t="s">
        <v>2185</v>
      </c>
      <c r="U1388" s="12" t="s">
        <v>2186</v>
      </c>
      <c r="V1388" s="12" t="s">
        <v>2187</v>
      </c>
      <c r="W1388" s="12">
        <v>0</v>
      </c>
      <c r="X1388" s="12">
        <v>1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2">
        <v>0</v>
      </c>
      <c r="AK1388" s="12">
        <v>0</v>
      </c>
      <c r="AL1388" s="12">
        <v>0</v>
      </c>
      <c r="AM1388" s="12"/>
      <c r="AN1388" s="12">
        <v>0</v>
      </c>
      <c r="AO1388" s="12">
        <v>0</v>
      </c>
      <c r="AP1388" s="12">
        <v>0</v>
      </c>
      <c r="AQ1388" s="12">
        <v>0</v>
      </c>
      <c r="AR1388" s="12">
        <v>0</v>
      </c>
      <c r="AS1388" s="12">
        <v>0</v>
      </c>
      <c r="AT1388" s="12">
        <v>0</v>
      </c>
      <c r="AU1388" s="12">
        <v>0</v>
      </c>
      <c r="AV1388" s="12">
        <v>0</v>
      </c>
      <c r="AW1388" s="12">
        <v>0</v>
      </c>
      <c r="AX1388" s="12">
        <v>0</v>
      </c>
      <c r="AY1388" s="12">
        <v>0</v>
      </c>
      <c r="AZ1388"/>
      <c r="BA1388"/>
      <c r="BB1388" s="12">
        <v>0</v>
      </c>
      <c r="BC1388" s="12">
        <v>0</v>
      </c>
      <c r="BD1388" s="12">
        <v>0</v>
      </c>
      <c r="BE1388" s="12">
        <v>0</v>
      </c>
      <c r="BF1388" s="12">
        <v>0</v>
      </c>
      <c r="BI1388" s="12">
        <v>0</v>
      </c>
      <c r="BJ1388" s="12">
        <v>0</v>
      </c>
    </row>
    <row r="1389" spans="1:62" x14ac:dyDescent="0.15">
      <c r="A1389" s="12"/>
      <c r="B1389" t="s">
        <v>8316</v>
      </c>
      <c r="C1389" s="27" t="s">
        <v>8317</v>
      </c>
      <c r="D1389" t="s">
        <v>6596</v>
      </c>
      <c r="E1389" t="s">
        <v>2182</v>
      </c>
      <c r="F1389"/>
      <c r="G1389"/>
      <c r="H1389"/>
      <c r="I1389"/>
      <c r="J1389"/>
      <c r="K1389"/>
      <c r="L1389" s="10">
        <v>4040210</v>
      </c>
      <c r="M1389" s="10">
        <v>744530</v>
      </c>
      <c r="N1389" s="12">
        <v>15</v>
      </c>
      <c r="O1389" s="12" t="s">
        <v>6992</v>
      </c>
      <c r="P1389" t="s">
        <v>2183</v>
      </c>
      <c r="R1389"/>
      <c r="S1389" t="s">
        <v>2184</v>
      </c>
      <c r="T1389" s="12" t="s">
        <v>2185</v>
      </c>
      <c r="U1389" s="12" t="s">
        <v>2186</v>
      </c>
      <c r="V1389" s="12" t="s">
        <v>2187</v>
      </c>
      <c r="W1389" s="12">
        <v>0</v>
      </c>
      <c r="X1389" s="12">
        <v>1</v>
      </c>
      <c r="Y1389" s="12">
        <v>0</v>
      </c>
      <c r="Z1389" s="12">
        <v>0</v>
      </c>
      <c r="AA1389" s="12">
        <v>0</v>
      </c>
      <c r="AB1389" s="12">
        <v>0</v>
      </c>
      <c r="AC1389" s="12">
        <v>0</v>
      </c>
      <c r="AD1389" s="12">
        <v>0</v>
      </c>
      <c r="AE1389" s="12">
        <v>0</v>
      </c>
      <c r="AF1389" s="12">
        <v>0</v>
      </c>
      <c r="AG1389" s="12">
        <v>0</v>
      </c>
      <c r="AH1389" s="12">
        <v>0</v>
      </c>
      <c r="AI1389" s="12">
        <v>0</v>
      </c>
      <c r="AJ1389" s="12">
        <v>0</v>
      </c>
      <c r="AK1389" s="12">
        <v>0</v>
      </c>
      <c r="AL1389" s="12">
        <v>0</v>
      </c>
      <c r="AM1389" s="12"/>
      <c r="AN1389" s="12">
        <v>0</v>
      </c>
      <c r="AO1389" s="12">
        <v>0</v>
      </c>
      <c r="AP1389" s="12">
        <v>0</v>
      </c>
      <c r="AQ1389" s="12">
        <v>0</v>
      </c>
      <c r="AR1389" s="12">
        <v>0</v>
      </c>
      <c r="AS1389" s="12">
        <v>0</v>
      </c>
      <c r="AT1389" s="12">
        <v>0</v>
      </c>
      <c r="AU1389" s="12">
        <v>0</v>
      </c>
      <c r="AV1389" s="12">
        <v>0</v>
      </c>
      <c r="AW1389" s="12">
        <v>0</v>
      </c>
      <c r="AX1389" s="12">
        <v>0</v>
      </c>
      <c r="AY1389" s="12">
        <v>0</v>
      </c>
      <c r="AZ1389"/>
      <c r="BA1389"/>
      <c r="BB1389" s="12">
        <v>0</v>
      </c>
      <c r="BC1389" s="12">
        <v>0</v>
      </c>
      <c r="BD1389" s="12">
        <v>0</v>
      </c>
      <c r="BE1389" s="12">
        <v>0</v>
      </c>
      <c r="BF1389" s="12">
        <v>0</v>
      </c>
      <c r="BI1389" s="12">
        <v>0</v>
      </c>
      <c r="BJ1389" s="12">
        <v>0</v>
      </c>
    </row>
    <row r="1390" spans="1:62" x14ac:dyDescent="0.15">
      <c r="A1390" s="12"/>
      <c r="B1390" t="s">
        <v>8318</v>
      </c>
      <c r="C1390" s="27" t="s">
        <v>8319</v>
      </c>
      <c r="D1390" t="s">
        <v>6596</v>
      </c>
      <c r="E1390" t="s">
        <v>2182</v>
      </c>
      <c r="F1390"/>
      <c r="G1390"/>
      <c r="H1390"/>
      <c r="I1390"/>
      <c r="J1390"/>
      <c r="K1390"/>
      <c r="L1390" s="10">
        <v>4037140</v>
      </c>
      <c r="M1390" s="10">
        <v>736470</v>
      </c>
      <c r="N1390" s="12">
        <v>15</v>
      </c>
      <c r="O1390" s="12" t="s">
        <v>6992</v>
      </c>
      <c r="P1390" t="s">
        <v>2183</v>
      </c>
      <c r="R1390"/>
      <c r="S1390" t="s">
        <v>2184</v>
      </c>
      <c r="T1390" s="12" t="s">
        <v>2185</v>
      </c>
      <c r="U1390" s="12" t="s">
        <v>2186</v>
      </c>
      <c r="V1390" s="12" t="s">
        <v>2187</v>
      </c>
      <c r="W1390" s="12">
        <v>0</v>
      </c>
      <c r="X1390" s="12">
        <v>1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2">
        <v>0</v>
      </c>
      <c r="AK1390" s="12">
        <v>0</v>
      </c>
      <c r="AL1390" s="12">
        <v>0</v>
      </c>
      <c r="AM1390" s="12"/>
      <c r="AN1390" s="12">
        <v>0</v>
      </c>
      <c r="AO1390" s="12">
        <v>0</v>
      </c>
      <c r="AP1390" s="12">
        <v>0</v>
      </c>
      <c r="AQ1390" s="12">
        <v>0</v>
      </c>
      <c r="AR1390" s="12">
        <v>0</v>
      </c>
      <c r="AS1390" s="12">
        <v>0</v>
      </c>
      <c r="AT1390" s="12">
        <v>0</v>
      </c>
      <c r="AU1390" s="12">
        <v>0</v>
      </c>
      <c r="AV1390" s="12">
        <v>0</v>
      </c>
      <c r="AW1390" s="12">
        <v>0</v>
      </c>
      <c r="AX1390" s="12">
        <v>0</v>
      </c>
      <c r="AY1390" s="12">
        <v>0</v>
      </c>
      <c r="AZ1390"/>
      <c r="BA1390"/>
      <c r="BB1390" s="12">
        <v>0</v>
      </c>
      <c r="BC1390" s="12">
        <v>0</v>
      </c>
      <c r="BD1390" s="12">
        <v>0</v>
      </c>
      <c r="BE1390" s="12">
        <v>0</v>
      </c>
      <c r="BF1390" s="12">
        <v>0</v>
      </c>
      <c r="BI1390" s="12">
        <v>0</v>
      </c>
      <c r="BJ1390" s="12">
        <v>0</v>
      </c>
    </row>
    <row r="1391" spans="1:62" x14ac:dyDescent="0.15">
      <c r="A1391" s="12"/>
      <c r="B1391" t="s">
        <v>8320</v>
      </c>
      <c r="C1391" s="27" t="s">
        <v>8319</v>
      </c>
      <c r="D1391" t="s">
        <v>6596</v>
      </c>
      <c r="E1391" t="s">
        <v>2182</v>
      </c>
      <c r="F1391"/>
      <c r="G1391"/>
      <c r="H1391"/>
      <c r="I1391"/>
      <c r="J1391"/>
      <c r="K1391"/>
      <c r="L1391" s="10">
        <v>4037140</v>
      </c>
      <c r="M1391" s="10">
        <v>736470</v>
      </c>
      <c r="N1391" s="12">
        <v>15</v>
      </c>
      <c r="O1391" s="12" t="s">
        <v>6992</v>
      </c>
      <c r="P1391" t="s">
        <v>2183</v>
      </c>
      <c r="R1391"/>
      <c r="S1391" t="s">
        <v>2184</v>
      </c>
      <c r="T1391" s="12" t="s">
        <v>2185</v>
      </c>
      <c r="U1391" s="12" t="s">
        <v>2186</v>
      </c>
      <c r="V1391" s="12" t="s">
        <v>2187</v>
      </c>
      <c r="W1391" s="12">
        <v>0</v>
      </c>
      <c r="X1391" s="12">
        <v>1</v>
      </c>
      <c r="Y1391" s="12">
        <v>0</v>
      </c>
      <c r="Z1391" s="12">
        <v>0</v>
      </c>
      <c r="AA1391" s="12">
        <v>0</v>
      </c>
      <c r="AB1391" s="12">
        <v>0</v>
      </c>
      <c r="AC1391" s="12">
        <v>0</v>
      </c>
      <c r="AD1391" s="12">
        <v>0</v>
      </c>
      <c r="AE1391" s="12">
        <v>0</v>
      </c>
      <c r="AF1391" s="12">
        <v>0</v>
      </c>
      <c r="AG1391" s="12">
        <v>0</v>
      </c>
      <c r="AH1391" s="12">
        <v>0</v>
      </c>
      <c r="AI1391" s="12">
        <v>0</v>
      </c>
      <c r="AJ1391" s="12">
        <v>0</v>
      </c>
      <c r="AK1391" s="12">
        <v>0</v>
      </c>
      <c r="AL1391" s="12">
        <v>0</v>
      </c>
      <c r="AM1391" s="12"/>
      <c r="AN1391" s="12">
        <v>0</v>
      </c>
      <c r="AO1391" s="12">
        <v>0</v>
      </c>
      <c r="AP1391" s="12">
        <v>0</v>
      </c>
      <c r="AQ1391" s="12">
        <v>0</v>
      </c>
      <c r="AR1391" s="12">
        <v>0</v>
      </c>
      <c r="AS1391" s="12">
        <v>0</v>
      </c>
      <c r="AT1391" s="12">
        <v>0</v>
      </c>
      <c r="AU1391" s="12">
        <v>0</v>
      </c>
      <c r="AV1391" s="12">
        <v>0</v>
      </c>
      <c r="AW1391" s="12">
        <v>0</v>
      </c>
      <c r="AX1391" s="12">
        <v>0</v>
      </c>
      <c r="AY1391" s="12">
        <v>0</v>
      </c>
      <c r="AZ1391"/>
      <c r="BA1391"/>
      <c r="BB1391" s="12">
        <v>0</v>
      </c>
      <c r="BC1391" s="12">
        <v>0</v>
      </c>
      <c r="BD1391" s="12">
        <v>0</v>
      </c>
      <c r="BE1391" s="12">
        <v>0</v>
      </c>
      <c r="BF1391" s="12">
        <v>0</v>
      </c>
      <c r="BI1391" s="12">
        <v>0</v>
      </c>
      <c r="BJ1391" s="12">
        <v>0</v>
      </c>
    </row>
    <row r="1392" spans="1:62" x14ac:dyDescent="0.15">
      <c r="A1392" s="12"/>
      <c r="B1392" t="s">
        <v>8321</v>
      </c>
      <c r="C1392" s="27" t="s">
        <v>8322</v>
      </c>
      <c r="D1392" t="s">
        <v>6596</v>
      </c>
      <c r="E1392" t="s">
        <v>2182</v>
      </c>
      <c r="F1392"/>
      <c r="G1392"/>
      <c r="H1392"/>
      <c r="I1392"/>
      <c r="J1392"/>
      <c r="K1392"/>
      <c r="L1392" s="10">
        <v>4035220</v>
      </c>
      <c r="M1392" s="10">
        <v>737020</v>
      </c>
      <c r="N1392" s="12">
        <v>15</v>
      </c>
      <c r="O1392" s="12" t="s">
        <v>6992</v>
      </c>
      <c r="P1392" t="s">
        <v>2183</v>
      </c>
      <c r="R1392"/>
      <c r="S1392" t="s">
        <v>2184</v>
      </c>
      <c r="T1392" s="12" t="s">
        <v>2185</v>
      </c>
      <c r="U1392" s="12" t="s">
        <v>2186</v>
      </c>
      <c r="V1392" s="12" t="s">
        <v>2187</v>
      </c>
      <c r="W1392" s="12">
        <v>0</v>
      </c>
      <c r="X1392" s="12">
        <v>1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2">
        <v>0</v>
      </c>
      <c r="AK1392" s="12">
        <v>0</v>
      </c>
      <c r="AL1392" s="12">
        <v>0</v>
      </c>
      <c r="AM1392" s="12"/>
      <c r="AN1392" s="12">
        <v>0</v>
      </c>
      <c r="AO1392" s="12">
        <v>0</v>
      </c>
      <c r="AP1392" s="12">
        <v>0</v>
      </c>
      <c r="AQ1392" s="12">
        <v>0</v>
      </c>
      <c r="AR1392" s="12">
        <v>0</v>
      </c>
      <c r="AS1392" s="12">
        <v>0</v>
      </c>
      <c r="AT1392" s="12">
        <v>0</v>
      </c>
      <c r="AU1392" s="12">
        <v>0</v>
      </c>
      <c r="AV1392" s="12">
        <v>0</v>
      </c>
      <c r="AW1392" s="12">
        <v>0</v>
      </c>
      <c r="AX1392" s="12">
        <v>0</v>
      </c>
      <c r="AY1392" s="12">
        <v>0</v>
      </c>
      <c r="AZ1392"/>
      <c r="BA1392"/>
      <c r="BB1392" s="12">
        <v>0</v>
      </c>
      <c r="BC1392" s="12">
        <v>0</v>
      </c>
      <c r="BD1392" s="12">
        <v>0</v>
      </c>
      <c r="BE1392" s="12">
        <v>0</v>
      </c>
      <c r="BF1392" s="12">
        <v>0</v>
      </c>
      <c r="BI1392" s="12">
        <v>0</v>
      </c>
      <c r="BJ1392" s="12">
        <v>0</v>
      </c>
    </row>
    <row r="1393" spans="1:62" x14ac:dyDescent="0.15">
      <c r="A1393" s="12"/>
      <c r="B1393" t="s">
        <v>8323</v>
      </c>
      <c r="C1393" s="27" t="s">
        <v>8324</v>
      </c>
      <c r="D1393" t="s">
        <v>6596</v>
      </c>
      <c r="E1393" t="s">
        <v>2182</v>
      </c>
      <c r="F1393"/>
      <c r="G1393"/>
      <c r="H1393"/>
      <c r="I1393"/>
      <c r="J1393"/>
      <c r="K1393"/>
      <c r="L1393" s="10">
        <v>4039710</v>
      </c>
      <c r="M1393" s="10">
        <v>733370</v>
      </c>
      <c r="N1393" s="12">
        <v>15</v>
      </c>
      <c r="O1393" s="12" t="s">
        <v>6992</v>
      </c>
      <c r="P1393" t="s">
        <v>2183</v>
      </c>
      <c r="R1393"/>
      <c r="S1393" t="s">
        <v>2184</v>
      </c>
      <c r="T1393" s="12" t="s">
        <v>2185</v>
      </c>
      <c r="U1393" s="12" t="s">
        <v>2186</v>
      </c>
      <c r="V1393" s="12" t="s">
        <v>2187</v>
      </c>
      <c r="W1393" s="12">
        <v>0</v>
      </c>
      <c r="X1393" s="12">
        <v>1</v>
      </c>
      <c r="Y1393" s="12">
        <v>0</v>
      </c>
      <c r="Z1393" s="12">
        <v>0</v>
      </c>
      <c r="AA1393" s="12">
        <v>0</v>
      </c>
      <c r="AB1393" s="12">
        <v>0</v>
      </c>
      <c r="AC1393" s="12">
        <v>0</v>
      </c>
      <c r="AD1393" s="12">
        <v>0</v>
      </c>
      <c r="AE1393" s="12">
        <v>0</v>
      </c>
      <c r="AF1393" s="12">
        <v>0</v>
      </c>
      <c r="AG1393" s="12">
        <v>0</v>
      </c>
      <c r="AH1393" s="12">
        <v>0</v>
      </c>
      <c r="AI1393" s="12">
        <v>0</v>
      </c>
      <c r="AJ1393" s="12">
        <v>0</v>
      </c>
      <c r="AK1393" s="12">
        <v>0</v>
      </c>
      <c r="AL1393" s="12">
        <v>0</v>
      </c>
      <c r="AM1393" s="12"/>
      <c r="AN1393" s="12">
        <v>0</v>
      </c>
      <c r="AO1393" s="12">
        <v>0</v>
      </c>
      <c r="AP1393" s="12">
        <v>0</v>
      </c>
      <c r="AQ1393" s="12">
        <v>0</v>
      </c>
      <c r="AR1393" s="12">
        <v>0</v>
      </c>
      <c r="AS1393" s="12">
        <v>0</v>
      </c>
      <c r="AT1393" s="12">
        <v>0</v>
      </c>
      <c r="AU1393" s="12">
        <v>0</v>
      </c>
      <c r="AV1393" s="12">
        <v>0</v>
      </c>
      <c r="AW1393" s="12">
        <v>0</v>
      </c>
      <c r="AX1393" s="12">
        <v>0</v>
      </c>
      <c r="AY1393" s="12">
        <v>0</v>
      </c>
      <c r="AZ1393"/>
      <c r="BA1393"/>
      <c r="BB1393" s="12">
        <v>0</v>
      </c>
      <c r="BC1393" s="12">
        <v>0</v>
      </c>
      <c r="BD1393" s="12">
        <v>0</v>
      </c>
      <c r="BE1393" s="12">
        <v>0</v>
      </c>
      <c r="BF1393" s="12">
        <v>0</v>
      </c>
      <c r="BI1393" s="12">
        <v>0</v>
      </c>
      <c r="BJ1393" s="12">
        <v>0</v>
      </c>
    </row>
    <row r="1394" spans="1:62" x14ac:dyDescent="0.15">
      <c r="A1394" s="12"/>
      <c r="B1394" t="s">
        <v>8325</v>
      </c>
      <c r="C1394" s="27" t="s">
        <v>8326</v>
      </c>
      <c r="D1394" t="s">
        <v>6596</v>
      </c>
      <c r="E1394" t="s">
        <v>2182</v>
      </c>
      <c r="F1394"/>
      <c r="G1394"/>
      <c r="H1394"/>
      <c r="I1394"/>
      <c r="J1394"/>
      <c r="K1394"/>
      <c r="L1394" s="10">
        <v>4035470</v>
      </c>
      <c r="M1394" s="10">
        <v>745010</v>
      </c>
      <c r="N1394" s="12">
        <v>15</v>
      </c>
      <c r="O1394" s="12" t="s">
        <v>6992</v>
      </c>
      <c r="P1394" t="s">
        <v>2183</v>
      </c>
      <c r="R1394"/>
      <c r="S1394" t="s">
        <v>2184</v>
      </c>
      <c r="T1394" s="12" t="s">
        <v>2185</v>
      </c>
      <c r="U1394" s="12" t="s">
        <v>2186</v>
      </c>
      <c r="V1394" s="12" t="s">
        <v>2187</v>
      </c>
      <c r="W1394" s="12">
        <v>0</v>
      </c>
      <c r="X1394" s="12">
        <v>1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2">
        <v>0</v>
      </c>
      <c r="AK1394" s="12">
        <v>0</v>
      </c>
      <c r="AL1394" s="12">
        <v>0</v>
      </c>
      <c r="AM1394" s="12"/>
      <c r="AN1394" s="12">
        <v>0</v>
      </c>
      <c r="AO1394" s="12">
        <v>0</v>
      </c>
      <c r="AP1394" s="12">
        <v>0</v>
      </c>
      <c r="AQ1394" s="12">
        <v>0</v>
      </c>
      <c r="AR1394" s="12">
        <v>0</v>
      </c>
      <c r="AS1394" s="12">
        <v>0</v>
      </c>
      <c r="AT1394" s="12">
        <v>0</v>
      </c>
      <c r="AU1394" s="12">
        <v>0</v>
      </c>
      <c r="AV1394" s="12">
        <v>0</v>
      </c>
      <c r="AW1394" s="12">
        <v>0</v>
      </c>
      <c r="AX1394" s="12">
        <v>0</v>
      </c>
      <c r="AY1394" s="12">
        <v>0</v>
      </c>
      <c r="AZ1394"/>
      <c r="BA1394"/>
      <c r="BB1394" s="12">
        <v>0</v>
      </c>
      <c r="BC1394" s="12">
        <v>0</v>
      </c>
      <c r="BD1394" s="12">
        <v>0</v>
      </c>
      <c r="BE1394" s="12">
        <v>0</v>
      </c>
      <c r="BF1394" s="12">
        <v>0</v>
      </c>
      <c r="BI1394" s="12">
        <v>0</v>
      </c>
      <c r="BJ1394" s="12">
        <v>0</v>
      </c>
    </row>
    <row r="1395" spans="1:62" x14ac:dyDescent="0.15">
      <c r="A1395" s="12"/>
      <c r="B1395" t="s">
        <v>8327</v>
      </c>
      <c r="C1395" s="27" t="s">
        <v>8328</v>
      </c>
      <c r="D1395" t="s">
        <v>6596</v>
      </c>
      <c r="E1395" t="s">
        <v>2182</v>
      </c>
      <c r="F1395"/>
      <c r="G1395"/>
      <c r="H1395"/>
      <c r="I1395"/>
      <c r="J1395"/>
      <c r="K1395"/>
      <c r="L1395" s="10">
        <v>4030860</v>
      </c>
      <c r="M1395" s="10">
        <v>730260</v>
      </c>
      <c r="N1395" s="12">
        <v>15</v>
      </c>
      <c r="O1395" s="12" t="s">
        <v>6992</v>
      </c>
      <c r="P1395" t="s">
        <v>2183</v>
      </c>
      <c r="R1395"/>
      <c r="S1395" t="s">
        <v>2184</v>
      </c>
      <c r="T1395" s="12" t="s">
        <v>2185</v>
      </c>
      <c r="U1395" s="12" t="s">
        <v>2186</v>
      </c>
      <c r="V1395" s="12" t="s">
        <v>2187</v>
      </c>
      <c r="W1395" s="12">
        <v>0</v>
      </c>
      <c r="X1395" s="12">
        <v>1</v>
      </c>
      <c r="Y1395" s="12">
        <v>0</v>
      </c>
      <c r="Z1395" s="12">
        <v>0</v>
      </c>
      <c r="AA1395" s="12">
        <v>0</v>
      </c>
      <c r="AB1395" s="12">
        <v>0</v>
      </c>
      <c r="AC1395" s="12">
        <v>0</v>
      </c>
      <c r="AD1395" s="12">
        <v>0</v>
      </c>
      <c r="AE1395" s="12">
        <v>0</v>
      </c>
      <c r="AF1395" s="12">
        <v>0</v>
      </c>
      <c r="AG1395" s="12">
        <v>0</v>
      </c>
      <c r="AH1395" s="12">
        <v>0</v>
      </c>
      <c r="AI1395" s="12">
        <v>0</v>
      </c>
      <c r="AJ1395" s="12">
        <v>0</v>
      </c>
      <c r="AK1395" s="12">
        <v>0</v>
      </c>
      <c r="AL1395" s="12">
        <v>0</v>
      </c>
      <c r="AM1395" s="12"/>
      <c r="AN1395" s="12">
        <v>0</v>
      </c>
      <c r="AO1395" s="12">
        <v>0</v>
      </c>
      <c r="AP1395" s="12">
        <v>0</v>
      </c>
      <c r="AQ1395" s="12">
        <v>0</v>
      </c>
      <c r="AR1395" s="12">
        <v>0</v>
      </c>
      <c r="AS1395" s="12">
        <v>0</v>
      </c>
      <c r="AT1395" s="12">
        <v>0</v>
      </c>
      <c r="AU1395" s="12">
        <v>0</v>
      </c>
      <c r="AV1395" s="12">
        <v>0</v>
      </c>
      <c r="AW1395" s="12">
        <v>0</v>
      </c>
      <c r="AX1395" s="12">
        <v>0</v>
      </c>
      <c r="AY1395" s="12">
        <v>0</v>
      </c>
      <c r="AZ1395"/>
      <c r="BA1395"/>
      <c r="BB1395" s="12">
        <v>0</v>
      </c>
      <c r="BC1395" s="12">
        <v>0</v>
      </c>
      <c r="BD1395" s="12">
        <v>0</v>
      </c>
      <c r="BE1395" s="12">
        <v>0</v>
      </c>
      <c r="BF1395" s="12">
        <v>0</v>
      </c>
      <c r="BI1395" s="12">
        <v>0</v>
      </c>
      <c r="BJ1395" s="12">
        <v>0</v>
      </c>
    </row>
    <row r="1396" spans="1:62" x14ac:dyDescent="0.15">
      <c r="A1396" s="12"/>
      <c r="B1396" t="s">
        <v>8329</v>
      </c>
      <c r="C1396" s="27" t="s">
        <v>8089</v>
      </c>
      <c r="D1396" t="s">
        <v>6596</v>
      </c>
      <c r="E1396" t="s">
        <v>2182</v>
      </c>
      <c r="F1396"/>
      <c r="G1396"/>
      <c r="H1396"/>
      <c r="I1396"/>
      <c r="J1396"/>
      <c r="K1396"/>
      <c r="L1396" s="10">
        <v>4034700</v>
      </c>
      <c r="M1396" s="10">
        <v>702050</v>
      </c>
      <c r="N1396" s="12">
        <v>15</v>
      </c>
      <c r="O1396" s="12" t="s">
        <v>6992</v>
      </c>
      <c r="P1396" t="s">
        <v>2183</v>
      </c>
      <c r="R1396"/>
      <c r="S1396" t="s">
        <v>2184</v>
      </c>
      <c r="T1396" s="12" t="s">
        <v>2185</v>
      </c>
      <c r="U1396" s="12" t="s">
        <v>2186</v>
      </c>
      <c r="V1396" s="12" t="s">
        <v>2187</v>
      </c>
      <c r="W1396" s="12">
        <v>0</v>
      </c>
      <c r="X1396" s="12">
        <v>1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2">
        <v>0</v>
      </c>
      <c r="AK1396" s="12">
        <v>0</v>
      </c>
      <c r="AL1396" s="12">
        <v>0</v>
      </c>
      <c r="AM1396" s="12"/>
      <c r="AN1396" s="12">
        <v>0</v>
      </c>
      <c r="AO1396" s="12">
        <v>0</v>
      </c>
      <c r="AP1396" s="12">
        <v>0</v>
      </c>
      <c r="AQ1396" s="12">
        <v>0</v>
      </c>
      <c r="AR1396" s="12">
        <v>0</v>
      </c>
      <c r="AS1396" s="12">
        <v>0</v>
      </c>
      <c r="AT1396" s="12">
        <v>0</v>
      </c>
      <c r="AU1396" s="12">
        <v>0</v>
      </c>
      <c r="AV1396" s="12">
        <v>0</v>
      </c>
      <c r="AW1396" s="12">
        <v>0</v>
      </c>
      <c r="AX1396" s="12">
        <v>0</v>
      </c>
      <c r="AY1396" s="12">
        <v>0</v>
      </c>
      <c r="AZ1396"/>
      <c r="BA1396"/>
      <c r="BB1396" s="12">
        <v>0</v>
      </c>
      <c r="BC1396" s="12">
        <v>0</v>
      </c>
      <c r="BD1396" s="12">
        <v>0</v>
      </c>
      <c r="BE1396" s="12">
        <v>0</v>
      </c>
      <c r="BF1396" s="12">
        <v>0</v>
      </c>
      <c r="BI1396" s="12">
        <v>0</v>
      </c>
      <c r="BJ1396" s="12">
        <v>0</v>
      </c>
    </row>
    <row r="1397" spans="1:62" x14ac:dyDescent="0.15">
      <c r="A1397" s="12"/>
      <c r="B1397" t="s">
        <v>8090</v>
      </c>
      <c r="C1397" t="s">
        <v>8090</v>
      </c>
      <c r="D1397" t="s">
        <v>6596</v>
      </c>
      <c r="E1397" t="s">
        <v>2182</v>
      </c>
      <c r="F1397"/>
      <c r="G1397"/>
      <c r="H1397"/>
      <c r="I1397"/>
      <c r="J1397"/>
      <c r="K1397"/>
      <c r="L1397" s="10">
        <v>4029780</v>
      </c>
      <c r="M1397" s="10">
        <v>716400</v>
      </c>
      <c r="N1397" s="12">
        <v>15</v>
      </c>
      <c r="O1397" s="12" t="s">
        <v>6992</v>
      </c>
      <c r="P1397" t="s">
        <v>2183</v>
      </c>
      <c r="R1397"/>
      <c r="S1397" t="s">
        <v>2184</v>
      </c>
      <c r="T1397" s="12" t="s">
        <v>2185</v>
      </c>
      <c r="U1397" s="12" t="s">
        <v>2186</v>
      </c>
      <c r="V1397" s="12" t="s">
        <v>2187</v>
      </c>
      <c r="W1397" s="12">
        <v>0</v>
      </c>
      <c r="X1397" s="12">
        <v>1</v>
      </c>
      <c r="Y1397" s="12">
        <v>0</v>
      </c>
      <c r="Z1397" s="12">
        <v>0</v>
      </c>
      <c r="AA1397" s="12">
        <v>0</v>
      </c>
      <c r="AB1397" s="12">
        <v>0</v>
      </c>
      <c r="AC1397" s="12">
        <v>0</v>
      </c>
      <c r="AD1397" s="12">
        <v>0</v>
      </c>
      <c r="AE1397" s="12">
        <v>0</v>
      </c>
      <c r="AF1397" s="12">
        <v>0</v>
      </c>
      <c r="AG1397" s="12">
        <v>0</v>
      </c>
      <c r="AH1397" s="12">
        <v>0</v>
      </c>
      <c r="AI1397" s="12">
        <v>0</v>
      </c>
      <c r="AJ1397" s="12">
        <v>0</v>
      </c>
      <c r="AK1397" s="12">
        <v>0</v>
      </c>
      <c r="AL1397" s="12">
        <v>0</v>
      </c>
      <c r="AM1397" s="12"/>
      <c r="AN1397" s="12">
        <v>0</v>
      </c>
      <c r="AO1397" s="12">
        <v>0</v>
      </c>
      <c r="AP1397" s="12">
        <v>0</v>
      </c>
      <c r="AQ1397" s="12">
        <v>0</v>
      </c>
      <c r="AR1397" s="12">
        <v>0</v>
      </c>
      <c r="AS1397" s="12">
        <v>0</v>
      </c>
      <c r="AT1397" s="12">
        <v>0</v>
      </c>
      <c r="AU1397" s="12">
        <v>0</v>
      </c>
      <c r="AV1397" s="12">
        <v>0</v>
      </c>
      <c r="AW1397" s="12">
        <v>0</v>
      </c>
      <c r="AX1397" s="12">
        <v>0</v>
      </c>
      <c r="AY1397" s="12">
        <v>0</v>
      </c>
      <c r="AZ1397"/>
      <c r="BA1397"/>
      <c r="BB1397" s="12">
        <v>0</v>
      </c>
      <c r="BC1397" s="12">
        <v>0</v>
      </c>
      <c r="BD1397" s="12">
        <v>0</v>
      </c>
      <c r="BE1397" s="12">
        <v>0</v>
      </c>
      <c r="BF1397" s="12">
        <v>0</v>
      </c>
      <c r="BI1397" s="12">
        <v>0</v>
      </c>
      <c r="BJ1397" s="12">
        <v>0</v>
      </c>
    </row>
    <row r="1398" spans="1:62" x14ac:dyDescent="0.15">
      <c r="A1398" s="12"/>
      <c r="B1398" t="s">
        <v>8091</v>
      </c>
      <c r="C1398" t="s">
        <v>8091</v>
      </c>
      <c r="D1398" t="s">
        <v>6596</v>
      </c>
      <c r="E1398" t="s">
        <v>2182</v>
      </c>
      <c r="F1398"/>
      <c r="G1398"/>
      <c r="H1398"/>
      <c r="I1398"/>
      <c r="J1398"/>
      <c r="K1398"/>
      <c r="L1398" s="10">
        <v>4026900</v>
      </c>
      <c r="M1398" s="10">
        <v>709250</v>
      </c>
      <c r="N1398" s="12">
        <v>15</v>
      </c>
      <c r="O1398" s="12" t="s">
        <v>6992</v>
      </c>
      <c r="P1398" t="s">
        <v>2183</v>
      </c>
      <c r="R1398"/>
      <c r="S1398" t="s">
        <v>2184</v>
      </c>
      <c r="T1398" s="12" t="s">
        <v>2185</v>
      </c>
      <c r="U1398" s="12" t="s">
        <v>2186</v>
      </c>
      <c r="V1398" s="12" t="s">
        <v>2187</v>
      </c>
      <c r="W1398" s="12">
        <v>0</v>
      </c>
      <c r="X1398" s="12">
        <v>1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2">
        <v>0</v>
      </c>
      <c r="AK1398" s="12">
        <v>0</v>
      </c>
      <c r="AL1398" s="12">
        <v>0</v>
      </c>
      <c r="AM1398" s="12"/>
      <c r="AN1398" s="12">
        <v>0</v>
      </c>
      <c r="AO1398" s="12">
        <v>0</v>
      </c>
      <c r="AP1398" s="12">
        <v>0</v>
      </c>
      <c r="AQ1398" s="12">
        <v>0</v>
      </c>
      <c r="AR1398" s="12">
        <v>0</v>
      </c>
      <c r="AS1398" s="12">
        <v>0</v>
      </c>
      <c r="AT1398" s="12">
        <v>0</v>
      </c>
      <c r="AU1398" s="12">
        <v>0</v>
      </c>
      <c r="AV1398" s="12">
        <v>0</v>
      </c>
      <c r="AW1398" s="12">
        <v>0</v>
      </c>
      <c r="AX1398" s="12">
        <v>0</v>
      </c>
      <c r="AY1398" s="12">
        <v>0</v>
      </c>
      <c r="AZ1398"/>
      <c r="BA1398"/>
      <c r="BB1398" s="12">
        <v>0</v>
      </c>
      <c r="BC1398" s="12">
        <v>0</v>
      </c>
      <c r="BD1398" s="12">
        <v>0</v>
      </c>
      <c r="BE1398" s="12">
        <v>0</v>
      </c>
      <c r="BF1398" s="12">
        <v>0</v>
      </c>
      <c r="BI1398" s="12">
        <v>0</v>
      </c>
      <c r="BJ1398" s="12">
        <v>0</v>
      </c>
    </row>
    <row r="1399" spans="1:62" x14ac:dyDescent="0.15">
      <c r="A1399" s="12"/>
      <c r="B1399" t="s">
        <v>8092</v>
      </c>
      <c r="C1399" t="s">
        <v>8092</v>
      </c>
      <c r="D1399" t="s">
        <v>6596</v>
      </c>
      <c r="E1399" t="s">
        <v>2182</v>
      </c>
      <c r="F1399"/>
      <c r="G1399"/>
      <c r="H1399"/>
      <c r="I1399"/>
      <c r="J1399"/>
      <c r="K1399"/>
      <c r="L1399" s="10">
        <v>4031620</v>
      </c>
      <c r="M1399" s="10">
        <v>717740</v>
      </c>
      <c r="N1399" s="12">
        <v>15</v>
      </c>
      <c r="O1399" s="12" t="s">
        <v>6992</v>
      </c>
      <c r="P1399" t="s">
        <v>2183</v>
      </c>
      <c r="R1399"/>
      <c r="S1399" t="s">
        <v>2184</v>
      </c>
      <c r="T1399" s="12" t="s">
        <v>2185</v>
      </c>
      <c r="U1399" s="12" t="s">
        <v>2186</v>
      </c>
      <c r="V1399" s="12" t="s">
        <v>2187</v>
      </c>
      <c r="W1399" s="12">
        <v>0</v>
      </c>
      <c r="X1399" s="12">
        <v>1</v>
      </c>
      <c r="Y1399" s="12">
        <v>0</v>
      </c>
      <c r="Z1399" s="12">
        <v>0</v>
      </c>
      <c r="AA1399" s="12">
        <v>0</v>
      </c>
      <c r="AB1399" s="12">
        <v>0</v>
      </c>
      <c r="AC1399" s="12">
        <v>0</v>
      </c>
      <c r="AD1399" s="12">
        <v>0</v>
      </c>
      <c r="AE1399" s="12">
        <v>0</v>
      </c>
      <c r="AF1399" s="12">
        <v>0</v>
      </c>
      <c r="AG1399" s="12">
        <v>0</v>
      </c>
      <c r="AH1399" s="12">
        <v>0</v>
      </c>
      <c r="AI1399" s="12">
        <v>0</v>
      </c>
      <c r="AJ1399" s="12">
        <v>0</v>
      </c>
      <c r="AK1399" s="12">
        <v>0</v>
      </c>
      <c r="AL1399" s="12">
        <v>0</v>
      </c>
      <c r="AM1399" s="12"/>
      <c r="AN1399" s="12">
        <v>0</v>
      </c>
      <c r="AO1399" s="12">
        <v>0</v>
      </c>
      <c r="AP1399" s="12">
        <v>0</v>
      </c>
      <c r="AQ1399" s="12">
        <v>0</v>
      </c>
      <c r="AR1399" s="12">
        <v>0</v>
      </c>
      <c r="AS1399" s="12">
        <v>0</v>
      </c>
      <c r="AT1399" s="12">
        <v>0</v>
      </c>
      <c r="AU1399" s="12">
        <v>0</v>
      </c>
      <c r="AV1399" s="12">
        <v>0</v>
      </c>
      <c r="AW1399" s="12">
        <v>0</v>
      </c>
      <c r="AX1399" s="12">
        <v>0</v>
      </c>
      <c r="AY1399" s="12">
        <v>0</v>
      </c>
      <c r="AZ1399"/>
      <c r="BA1399"/>
      <c r="BB1399" s="12">
        <v>0</v>
      </c>
      <c r="BC1399" s="12">
        <v>0</v>
      </c>
      <c r="BD1399" s="12">
        <v>0</v>
      </c>
      <c r="BE1399" s="12">
        <v>0</v>
      </c>
      <c r="BF1399" s="12">
        <v>0</v>
      </c>
      <c r="BI1399" s="12">
        <v>0</v>
      </c>
      <c r="BJ1399" s="12">
        <v>0</v>
      </c>
    </row>
    <row r="1400" spans="1:62" x14ac:dyDescent="0.15">
      <c r="A1400" s="12"/>
      <c r="B1400" t="s">
        <v>8093</v>
      </c>
      <c r="C1400" t="s">
        <v>8093</v>
      </c>
      <c r="D1400" t="s">
        <v>6596</v>
      </c>
      <c r="E1400" t="s">
        <v>2182</v>
      </c>
      <c r="F1400"/>
      <c r="G1400"/>
      <c r="H1400"/>
      <c r="I1400"/>
      <c r="J1400"/>
      <c r="K1400"/>
      <c r="L1400" s="10">
        <v>4025940</v>
      </c>
      <c r="M1400" s="10">
        <v>711980</v>
      </c>
      <c r="N1400" s="12">
        <v>15</v>
      </c>
      <c r="O1400" s="12" t="s">
        <v>6992</v>
      </c>
      <c r="P1400" t="s">
        <v>2183</v>
      </c>
      <c r="R1400"/>
      <c r="S1400" t="s">
        <v>2184</v>
      </c>
      <c r="T1400" s="12" t="s">
        <v>2185</v>
      </c>
      <c r="U1400" s="12" t="s">
        <v>2186</v>
      </c>
      <c r="V1400" s="12" t="s">
        <v>2187</v>
      </c>
      <c r="W1400" s="12">
        <v>0</v>
      </c>
      <c r="X1400" s="12">
        <v>1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2">
        <v>0</v>
      </c>
      <c r="AK1400" s="12">
        <v>0</v>
      </c>
      <c r="AL1400" s="12">
        <v>0</v>
      </c>
      <c r="AM1400" s="12"/>
      <c r="AN1400" s="12">
        <v>0</v>
      </c>
      <c r="AO1400" s="12">
        <v>0</v>
      </c>
      <c r="AP1400" s="12">
        <v>0</v>
      </c>
      <c r="AQ1400" s="12">
        <v>0</v>
      </c>
      <c r="AR1400" s="12">
        <v>0</v>
      </c>
      <c r="AS1400" s="12">
        <v>0</v>
      </c>
      <c r="AT1400" s="12">
        <v>0</v>
      </c>
      <c r="AU1400" s="12">
        <v>0</v>
      </c>
      <c r="AV1400" s="12">
        <v>0</v>
      </c>
      <c r="AW1400" s="12">
        <v>0</v>
      </c>
      <c r="AX1400" s="12">
        <v>0</v>
      </c>
      <c r="AY1400" s="12">
        <v>0</v>
      </c>
      <c r="AZ1400"/>
      <c r="BA1400"/>
      <c r="BB1400" s="12">
        <v>0</v>
      </c>
      <c r="BC1400" s="12">
        <v>0</v>
      </c>
      <c r="BD1400" s="12">
        <v>0</v>
      </c>
      <c r="BE1400" s="12">
        <v>0</v>
      </c>
      <c r="BF1400" s="12">
        <v>0</v>
      </c>
      <c r="BI1400" s="12">
        <v>0</v>
      </c>
      <c r="BJ1400" s="12">
        <v>0</v>
      </c>
    </row>
    <row r="1401" spans="1:62" x14ac:dyDescent="0.15">
      <c r="A1401" s="12"/>
      <c r="B1401" t="s">
        <v>8094</v>
      </c>
      <c r="C1401" t="s">
        <v>8094</v>
      </c>
      <c r="D1401" t="s">
        <v>6596</v>
      </c>
      <c r="E1401" t="s">
        <v>2182</v>
      </c>
      <c r="F1401"/>
      <c r="G1401"/>
      <c r="H1401"/>
      <c r="I1401"/>
      <c r="J1401"/>
      <c r="K1401"/>
      <c r="L1401" s="10">
        <v>4038860</v>
      </c>
      <c r="M1401" s="10">
        <v>706740</v>
      </c>
      <c r="N1401" s="12">
        <v>15</v>
      </c>
      <c r="O1401" s="12" t="s">
        <v>6992</v>
      </c>
      <c r="P1401" t="s">
        <v>2183</v>
      </c>
      <c r="R1401"/>
      <c r="S1401" t="s">
        <v>2184</v>
      </c>
      <c r="T1401" s="12" t="s">
        <v>2185</v>
      </c>
      <c r="U1401" s="12" t="s">
        <v>2186</v>
      </c>
      <c r="V1401" s="12" t="s">
        <v>2187</v>
      </c>
      <c r="W1401" s="12">
        <v>0</v>
      </c>
      <c r="X1401" s="12">
        <v>1</v>
      </c>
      <c r="Y1401" s="12">
        <v>0</v>
      </c>
      <c r="Z1401" s="12">
        <v>0</v>
      </c>
      <c r="AA1401" s="12">
        <v>0</v>
      </c>
      <c r="AB1401" s="12">
        <v>0</v>
      </c>
      <c r="AC1401" s="12">
        <v>0</v>
      </c>
      <c r="AD1401" s="12">
        <v>0</v>
      </c>
      <c r="AE1401" s="12">
        <v>0</v>
      </c>
      <c r="AF1401" s="12">
        <v>0</v>
      </c>
      <c r="AG1401" s="12">
        <v>0</v>
      </c>
      <c r="AH1401" s="12">
        <v>0</v>
      </c>
      <c r="AI1401" s="12">
        <v>0</v>
      </c>
      <c r="AJ1401" s="12">
        <v>0</v>
      </c>
      <c r="AK1401" s="12">
        <v>0</v>
      </c>
      <c r="AL1401" s="12">
        <v>0</v>
      </c>
      <c r="AM1401" s="12"/>
      <c r="AN1401" s="12">
        <v>0</v>
      </c>
      <c r="AO1401" s="12">
        <v>0</v>
      </c>
      <c r="AP1401" s="12">
        <v>0</v>
      </c>
      <c r="AQ1401" s="12">
        <v>0</v>
      </c>
      <c r="AR1401" s="12">
        <v>0</v>
      </c>
      <c r="AS1401" s="12">
        <v>0</v>
      </c>
      <c r="AT1401" s="12">
        <v>0</v>
      </c>
      <c r="AU1401" s="12">
        <v>0</v>
      </c>
      <c r="AV1401" s="12">
        <v>0</v>
      </c>
      <c r="AW1401" s="12">
        <v>0</v>
      </c>
      <c r="AX1401" s="12">
        <v>0</v>
      </c>
      <c r="AY1401" s="12">
        <v>0</v>
      </c>
      <c r="AZ1401"/>
      <c r="BA1401"/>
      <c r="BB1401" s="12">
        <v>0</v>
      </c>
      <c r="BC1401" s="12">
        <v>0</v>
      </c>
      <c r="BD1401" s="12">
        <v>0</v>
      </c>
      <c r="BE1401" s="12">
        <v>0</v>
      </c>
      <c r="BF1401" s="12">
        <v>0</v>
      </c>
      <c r="BI1401" s="12">
        <v>0</v>
      </c>
      <c r="BJ1401" s="12">
        <v>0</v>
      </c>
    </row>
    <row r="1402" spans="1:62" x14ac:dyDescent="0.15">
      <c r="A1402" s="12"/>
      <c r="B1402" t="s">
        <v>8095</v>
      </c>
      <c r="C1402" s="27" t="s">
        <v>8096</v>
      </c>
      <c r="D1402" t="s">
        <v>6596</v>
      </c>
      <c r="E1402" t="s">
        <v>2182</v>
      </c>
      <c r="F1402"/>
      <c r="G1402"/>
      <c r="H1402"/>
      <c r="I1402"/>
      <c r="J1402"/>
      <c r="K1402"/>
      <c r="L1402" s="10">
        <v>4037200</v>
      </c>
      <c r="M1402" s="10">
        <v>700650</v>
      </c>
      <c r="N1402" s="12">
        <v>15</v>
      </c>
      <c r="O1402" s="12" t="s">
        <v>6992</v>
      </c>
      <c r="P1402" t="s">
        <v>2183</v>
      </c>
      <c r="R1402"/>
      <c r="S1402" t="s">
        <v>2184</v>
      </c>
      <c r="T1402" s="12" t="s">
        <v>2185</v>
      </c>
      <c r="U1402" s="12" t="s">
        <v>2186</v>
      </c>
      <c r="V1402" s="12" t="s">
        <v>2187</v>
      </c>
      <c r="W1402" s="12">
        <v>0</v>
      </c>
      <c r="X1402" s="12">
        <v>1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2">
        <v>0</v>
      </c>
      <c r="AK1402" s="12">
        <v>0</v>
      </c>
      <c r="AL1402" s="12">
        <v>0</v>
      </c>
      <c r="AM1402" s="12"/>
      <c r="AN1402" s="12">
        <v>0</v>
      </c>
      <c r="AO1402" s="12">
        <v>0</v>
      </c>
      <c r="AP1402" s="12">
        <v>0</v>
      </c>
      <c r="AQ1402" s="12">
        <v>0</v>
      </c>
      <c r="AR1402" s="12">
        <v>0</v>
      </c>
      <c r="AS1402" s="12">
        <v>0</v>
      </c>
      <c r="AT1402" s="12">
        <v>0</v>
      </c>
      <c r="AU1402" s="12">
        <v>0</v>
      </c>
      <c r="AV1402" s="12">
        <v>0</v>
      </c>
      <c r="AW1402" s="12">
        <v>0</v>
      </c>
      <c r="AX1402" s="12">
        <v>0</v>
      </c>
      <c r="AY1402" s="12">
        <v>0</v>
      </c>
      <c r="AZ1402"/>
      <c r="BA1402"/>
      <c r="BB1402" s="12">
        <v>0</v>
      </c>
      <c r="BC1402" s="12">
        <v>0</v>
      </c>
      <c r="BD1402" s="12">
        <v>0</v>
      </c>
      <c r="BE1402" s="12">
        <v>0</v>
      </c>
      <c r="BF1402" s="12">
        <v>0</v>
      </c>
      <c r="BI1402" s="12">
        <v>0</v>
      </c>
      <c r="BJ1402" s="12">
        <v>0</v>
      </c>
    </row>
    <row r="1403" spans="1:62" x14ac:dyDescent="0.15">
      <c r="A1403" s="12"/>
      <c r="B1403" t="s">
        <v>8097</v>
      </c>
      <c r="C1403" s="27" t="s">
        <v>8098</v>
      </c>
      <c r="D1403" t="s">
        <v>6596</v>
      </c>
      <c r="E1403" t="s">
        <v>2182</v>
      </c>
      <c r="F1403"/>
      <c r="G1403"/>
      <c r="H1403"/>
      <c r="I1403"/>
      <c r="J1403"/>
      <c r="K1403"/>
      <c r="L1403" s="10">
        <v>4035000</v>
      </c>
      <c r="M1403" s="10">
        <v>702600</v>
      </c>
      <c r="N1403" s="12">
        <v>15</v>
      </c>
      <c r="O1403" s="12" t="s">
        <v>6992</v>
      </c>
      <c r="P1403" t="s">
        <v>2183</v>
      </c>
      <c r="R1403"/>
      <c r="S1403" t="s">
        <v>2184</v>
      </c>
      <c r="T1403" s="12" t="s">
        <v>2185</v>
      </c>
      <c r="U1403" s="12" t="s">
        <v>2186</v>
      </c>
      <c r="V1403" s="12" t="s">
        <v>2187</v>
      </c>
      <c r="W1403" s="12">
        <v>0</v>
      </c>
      <c r="X1403" s="12">
        <v>1</v>
      </c>
      <c r="Y1403" s="12">
        <v>0</v>
      </c>
      <c r="Z1403" s="12">
        <v>0</v>
      </c>
      <c r="AA1403" s="12">
        <v>0</v>
      </c>
      <c r="AB1403" s="12">
        <v>0</v>
      </c>
      <c r="AC1403" s="12">
        <v>0</v>
      </c>
      <c r="AD1403" s="12">
        <v>0</v>
      </c>
      <c r="AE1403" s="12">
        <v>0</v>
      </c>
      <c r="AF1403" s="12">
        <v>0</v>
      </c>
      <c r="AG1403" s="12">
        <v>0</v>
      </c>
      <c r="AH1403" s="12">
        <v>0</v>
      </c>
      <c r="AI1403" s="12">
        <v>0</v>
      </c>
      <c r="AJ1403" s="12">
        <v>0</v>
      </c>
      <c r="AK1403" s="12">
        <v>0</v>
      </c>
      <c r="AL1403" s="12">
        <v>0</v>
      </c>
      <c r="AM1403" s="12"/>
      <c r="AN1403" s="12">
        <v>0</v>
      </c>
      <c r="AO1403" s="12">
        <v>0</v>
      </c>
      <c r="AP1403" s="12">
        <v>0</v>
      </c>
      <c r="AQ1403" s="12">
        <v>0</v>
      </c>
      <c r="AR1403" s="12">
        <v>0</v>
      </c>
      <c r="AS1403" s="12">
        <v>0</v>
      </c>
      <c r="AT1403" s="12">
        <v>0</v>
      </c>
      <c r="AU1403" s="12">
        <v>0</v>
      </c>
      <c r="AV1403" s="12">
        <v>0</v>
      </c>
      <c r="AW1403" s="12">
        <v>0</v>
      </c>
      <c r="AX1403" s="12">
        <v>0</v>
      </c>
      <c r="AY1403" s="12">
        <v>0</v>
      </c>
      <c r="AZ1403"/>
      <c r="BA1403"/>
      <c r="BB1403" s="12">
        <v>0</v>
      </c>
      <c r="BC1403" s="12">
        <v>0</v>
      </c>
      <c r="BD1403" s="12">
        <v>0</v>
      </c>
      <c r="BE1403" s="12">
        <v>0</v>
      </c>
      <c r="BF1403" s="12">
        <v>0</v>
      </c>
      <c r="BI1403" s="12">
        <v>0</v>
      </c>
      <c r="BJ1403" s="12">
        <v>0</v>
      </c>
    </row>
    <row r="1404" spans="1:62" x14ac:dyDescent="0.15">
      <c r="A1404" s="12"/>
      <c r="B1404" t="s">
        <v>8099</v>
      </c>
      <c r="C1404" s="27" t="s">
        <v>8100</v>
      </c>
      <c r="D1404" t="s">
        <v>6596</v>
      </c>
      <c r="E1404" t="s">
        <v>2182</v>
      </c>
      <c r="F1404"/>
      <c r="G1404"/>
      <c r="H1404"/>
      <c r="I1404"/>
      <c r="J1404"/>
      <c r="K1404"/>
      <c r="L1404" s="10">
        <v>4041050</v>
      </c>
      <c r="M1404" s="10">
        <v>722900</v>
      </c>
      <c r="N1404" s="12">
        <v>15</v>
      </c>
      <c r="O1404" s="12" t="s">
        <v>6992</v>
      </c>
      <c r="P1404" t="s">
        <v>2183</v>
      </c>
      <c r="R1404"/>
      <c r="S1404" t="s">
        <v>2184</v>
      </c>
      <c r="T1404" s="12" t="s">
        <v>2185</v>
      </c>
      <c r="U1404" s="12" t="s">
        <v>2186</v>
      </c>
      <c r="V1404" s="12" t="s">
        <v>2187</v>
      </c>
      <c r="W1404" s="12">
        <v>0</v>
      </c>
      <c r="X1404" s="12">
        <v>1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2">
        <v>0</v>
      </c>
      <c r="AK1404" s="12">
        <v>0</v>
      </c>
      <c r="AL1404" s="12">
        <v>0</v>
      </c>
      <c r="AM1404" s="12"/>
      <c r="AN1404" s="12">
        <v>0</v>
      </c>
      <c r="AO1404" s="12">
        <v>0</v>
      </c>
      <c r="AP1404" s="12">
        <v>0</v>
      </c>
      <c r="AQ1404" s="12">
        <v>0</v>
      </c>
      <c r="AR1404" s="12">
        <v>0</v>
      </c>
      <c r="AS1404" s="12">
        <v>0</v>
      </c>
      <c r="AT1404" s="12">
        <v>0</v>
      </c>
      <c r="AU1404" s="12">
        <v>0</v>
      </c>
      <c r="AV1404" s="12">
        <v>0</v>
      </c>
      <c r="AW1404" s="12">
        <v>0</v>
      </c>
      <c r="AX1404" s="12">
        <v>0</v>
      </c>
      <c r="AY1404" s="12">
        <v>0</v>
      </c>
      <c r="AZ1404"/>
      <c r="BA1404"/>
      <c r="BB1404" s="12">
        <v>0</v>
      </c>
      <c r="BC1404" s="12">
        <v>0</v>
      </c>
      <c r="BD1404" s="12">
        <v>0</v>
      </c>
      <c r="BE1404" s="12">
        <v>0</v>
      </c>
      <c r="BF1404" s="12">
        <v>0</v>
      </c>
      <c r="BI1404" s="12">
        <v>0</v>
      </c>
      <c r="BJ1404" s="12">
        <v>0</v>
      </c>
    </row>
    <row r="1405" spans="1:62" x14ac:dyDescent="0.15">
      <c r="A1405" s="12"/>
      <c r="B1405" t="s">
        <v>8101</v>
      </c>
      <c r="C1405" s="27" t="s">
        <v>8102</v>
      </c>
      <c r="D1405" t="s">
        <v>6596</v>
      </c>
      <c r="E1405" t="s">
        <v>2182</v>
      </c>
      <c r="F1405"/>
      <c r="G1405"/>
      <c r="H1405"/>
      <c r="I1405"/>
      <c r="J1405"/>
      <c r="K1405"/>
      <c r="L1405" s="10">
        <v>4026050</v>
      </c>
      <c r="M1405" s="10">
        <v>707800</v>
      </c>
      <c r="N1405" s="12">
        <v>15</v>
      </c>
      <c r="O1405" s="12" t="s">
        <v>6992</v>
      </c>
      <c r="P1405" t="s">
        <v>2183</v>
      </c>
      <c r="R1405"/>
      <c r="S1405" t="s">
        <v>2184</v>
      </c>
      <c r="T1405" s="12" t="s">
        <v>2185</v>
      </c>
      <c r="U1405" s="12" t="s">
        <v>2186</v>
      </c>
      <c r="V1405" s="12" t="s">
        <v>2187</v>
      </c>
      <c r="W1405" s="12">
        <v>0</v>
      </c>
      <c r="X1405" s="12">
        <v>1</v>
      </c>
      <c r="Y1405" s="12">
        <v>0</v>
      </c>
      <c r="Z1405" s="12">
        <v>0</v>
      </c>
      <c r="AA1405" s="12">
        <v>0</v>
      </c>
      <c r="AB1405" s="12">
        <v>0</v>
      </c>
      <c r="AC1405" s="12">
        <v>0</v>
      </c>
      <c r="AD1405" s="12">
        <v>0</v>
      </c>
      <c r="AE1405" s="12">
        <v>0</v>
      </c>
      <c r="AF1405" s="12">
        <v>0</v>
      </c>
      <c r="AG1405" s="12">
        <v>0</v>
      </c>
      <c r="AH1405" s="12">
        <v>0</v>
      </c>
      <c r="AI1405" s="12">
        <v>0</v>
      </c>
      <c r="AJ1405" s="12">
        <v>0</v>
      </c>
      <c r="AK1405" s="12">
        <v>0</v>
      </c>
      <c r="AL1405" s="12">
        <v>0</v>
      </c>
      <c r="AM1405" s="12"/>
      <c r="AN1405" s="12">
        <v>0</v>
      </c>
      <c r="AO1405" s="12">
        <v>0</v>
      </c>
      <c r="AP1405" s="12">
        <v>0</v>
      </c>
      <c r="AQ1405" s="12">
        <v>0</v>
      </c>
      <c r="AR1405" s="12">
        <v>0</v>
      </c>
      <c r="AS1405" s="12">
        <v>0</v>
      </c>
      <c r="AT1405" s="12">
        <v>0</v>
      </c>
      <c r="AU1405" s="12">
        <v>0</v>
      </c>
      <c r="AV1405" s="12">
        <v>0</v>
      </c>
      <c r="AW1405" s="12">
        <v>0</v>
      </c>
      <c r="AX1405" s="12">
        <v>0</v>
      </c>
      <c r="AY1405" s="12">
        <v>0</v>
      </c>
      <c r="AZ1405"/>
      <c r="BA1405"/>
      <c r="BB1405" s="12">
        <v>0</v>
      </c>
      <c r="BC1405" s="12">
        <v>0</v>
      </c>
      <c r="BD1405" s="12">
        <v>0</v>
      </c>
      <c r="BE1405" s="12">
        <v>0</v>
      </c>
      <c r="BF1405" s="12">
        <v>0</v>
      </c>
      <c r="BI1405" s="12">
        <v>0</v>
      </c>
      <c r="BJ1405" s="12">
        <v>0</v>
      </c>
    </row>
    <row r="1406" spans="1:62" x14ac:dyDescent="0.15">
      <c r="A1406" s="12"/>
      <c r="B1406" t="s">
        <v>8103</v>
      </c>
      <c r="C1406" t="s">
        <v>8103</v>
      </c>
      <c r="D1406" t="s">
        <v>6596</v>
      </c>
      <c r="E1406" t="s">
        <v>2182</v>
      </c>
      <c r="F1406"/>
      <c r="G1406"/>
      <c r="H1406"/>
      <c r="I1406"/>
      <c r="J1406"/>
      <c r="K1406"/>
      <c r="L1406" s="10">
        <v>4035640</v>
      </c>
      <c r="M1406" s="10">
        <v>721000</v>
      </c>
      <c r="N1406" s="12">
        <v>15</v>
      </c>
      <c r="O1406" s="12" t="s">
        <v>6992</v>
      </c>
      <c r="P1406" t="s">
        <v>2183</v>
      </c>
      <c r="R1406"/>
      <c r="S1406" t="s">
        <v>2184</v>
      </c>
      <c r="T1406" s="12" t="s">
        <v>2185</v>
      </c>
      <c r="U1406" s="12" t="s">
        <v>2186</v>
      </c>
      <c r="V1406" s="12" t="s">
        <v>2187</v>
      </c>
      <c r="W1406" s="12">
        <v>0</v>
      </c>
      <c r="X1406" s="12">
        <v>1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2">
        <v>0</v>
      </c>
      <c r="AK1406" s="12">
        <v>0</v>
      </c>
      <c r="AL1406" s="12">
        <v>0</v>
      </c>
      <c r="AM1406" s="12"/>
      <c r="AN1406" s="12">
        <v>0</v>
      </c>
      <c r="AO1406" s="12">
        <v>0</v>
      </c>
      <c r="AP1406" s="12">
        <v>0</v>
      </c>
      <c r="AQ1406" s="12">
        <v>0</v>
      </c>
      <c r="AR1406" s="12">
        <v>0</v>
      </c>
      <c r="AS1406" s="12">
        <v>0</v>
      </c>
      <c r="AT1406" s="12">
        <v>0</v>
      </c>
      <c r="AU1406" s="12">
        <v>0</v>
      </c>
      <c r="AV1406" s="12">
        <v>0</v>
      </c>
      <c r="AW1406" s="12">
        <v>0</v>
      </c>
      <c r="AX1406" s="12">
        <v>0</v>
      </c>
      <c r="AY1406" s="12">
        <v>0</v>
      </c>
      <c r="AZ1406"/>
      <c r="BA1406"/>
      <c r="BB1406" s="12">
        <v>0</v>
      </c>
      <c r="BC1406" s="12">
        <v>0</v>
      </c>
      <c r="BD1406" s="12">
        <v>0</v>
      </c>
      <c r="BE1406" s="12">
        <v>0</v>
      </c>
      <c r="BF1406" s="12">
        <v>0</v>
      </c>
      <c r="BI1406" s="12">
        <v>0</v>
      </c>
      <c r="BJ1406" s="12">
        <v>0</v>
      </c>
    </row>
    <row r="1407" spans="1:62" x14ac:dyDescent="0.15">
      <c r="A1407" s="12"/>
      <c r="B1407" t="s">
        <v>8104</v>
      </c>
      <c r="C1407" t="s">
        <v>8104</v>
      </c>
      <c r="D1407" t="s">
        <v>6596</v>
      </c>
      <c r="E1407" t="s">
        <v>2182</v>
      </c>
      <c r="F1407"/>
      <c r="G1407"/>
      <c r="H1407"/>
      <c r="I1407"/>
      <c r="J1407"/>
      <c r="K1407"/>
      <c r="L1407" s="10">
        <v>4031740</v>
      </c>
      <c r="M1407" s="10">
        <v>714750</v>
      </c>
      <c r="N1407" s="12">
        <v>15</v>
      </c>
      <c r="O1407" s="12" t="s">
        <v>6992</v>
      </c>
      <c r="P1407" t="s">
        <v>2183</v>
      </c>
      <c r="R1407"/>
      <c r="S1407" t="s">
        <v>2184</v>
      </c>
      <c r="T1407" s="12" t="s">
        <v>2185</v>
      </c>
      <c r="U1407" s="12" t="s">
        <v>2186</v>
      </c>
      <c r="V1407" s="12" t="s">
        <v>2187</v>
      </c>
      <c r="W1407" s="12">
        <v>0</v>
      </c>
      <c r="X1407" s="12">
        <v>1</v>
      </c>
      <c r="Y1407" s="12">
        <v>0</v>
      </c>
      <c r="Z1407" s="12">
        <v>0</v>
      </c>
      <c r="AA1407" s="12">
        <v>0</v>
      </c>
      <c r="AB1407" s="12">
        <v>0</v>
      </c>
      <c r="AC1407" s="12">
        <v>0</v>
      </c>
      <c r="AD1407" s="12">
        <v>0</v>
      </c>
      <c r="AE1407" s="12">
        <v>0</v>
      </c>
      <c r="AF1407" s="12">
        <v>0</v>
      </c>
      <c r="AG1407" s="12">
        <v>0</v>
      </c>
      <c r="AH1407" s="12">
        <v>0</v>
      </c>
      <c r="AI1407" s="12">
        <v>0</v>
      </c>
      <c r="AJ1407" s="12">
        <v>0</v>
      </c>
      <c r="AK1407" s="12">
        <v>0</v>
      </c>
      <c r="AL1407" s="12">
        <v>0</v>
      </c>
      <c r="AM1407" s="12"/>
      <c r="AN1407" s="12">
        <v>0</v>
      </c>
      <c r="AO1407" s="12">
        <v>0</v>
      </c>
      <c r="AP1407" s="12">
        <v>0</v>
      </c>
      <c r="AQ1407" s="12">
        <v>0</v>
      </c>
      <c r="AR1407" s="12">
        <v>0</v>
      </c>
      <c r="AS1407" s="12">
        <v>0</v>
      </c>
      <c r="AT1407" s="12">
        <v>0</v>
      </c>
      <c r="AU1407" s="12">
        <v>0</v>
      </c>
      <c r="AV1407" s="12">
        <v>0</v>
      </c>
      <c r="AW1407" s="12">
        <v>0</v>
      </c>
      <c r="AX1407" s="12">
        <v>0</v>
      </c>
      <c r="AY1407" s="12">
        <v>0</v>
      </c>
      <c r="AZ1407"/>
      <c r="BA1407"/>
      <c r="BB1407" s="12">
        <v>0</v>
      </c>
      <c r="BC1407" s="12">
        <v>0</v>
      </c>
      <c r="BD1407" s="12">
        <v>0</v>
      </c>
      <c r="BE1407" s="12">
        <v>0</v>
      </c>
      <c r="BF1407" s="12">
        <v>0</v>
      </c>
      <c r="BI1407" s="12">
        <v>0</v>
      </c>
      <c r="BJ1407" s="12">
        <v>0</v>
      </c>
    </row>
    <row r="1408" spans="1:62" x14ac:dyDescent="0.15">
      <c r="A1408" s="12"/>
      <c r="B1408" t="s">
        <v>8105</v>
      </c>
      <c r="C1408" t="s">
        <v>8105</v>
      </c>
      <c r="D1408" t="s">
        <v>6596</v>
      </c>
      <c r="E1408" t="s">
        <v>2182</v>
      </c>
      <c r="F1408"/>
      <c r="G1408"/>
      <c r="H1408"/>
      <c r="I1408"/>
      <c r="J1408"/>
      <c r="K1408"/>
      <c r="L1408" s="10">
        <v>4026500</v>
      </c>
      <c r="M1408" s="10">
        <v>708600</v>
      </c>
      <c r="N1408" s="12">
        <v>15</v>
      </c>
      <c r="O1408" s="12" t="s">
        <v>6992</v>
      </c>
      <c r="P1408" t="s">
        <v>2183</v>
      </c>
      <c r="R1408"/>
      <c r="S1408" t="s">
        <v>2184</v>
      </c>
      <c r="T1408" s="12" t="s">
        <v>2185</v>
      </c>
      <c r="U1408" s="12" t="s">
        <v>2186</v>
      </c>
      <c r="V1408" s="12" t="s">
        <v>2187</v>
      </c>
      <c r="W1408" s="12">
        <v>0</v>
      </c>
      <c r="X1408" s="12">
        <v>1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2">
        <v>0</v>
      </c>
      <c r="AK1408" s="12">
        <v>0</v>
      </c>
      <c r="AL1408" s="12">
        <v>0</v>
      </c>
      <c r="AM1408" s="12"/>
      <c r="AN1408" s="12">
        <v>0</v>
      </c>
      <c r="AO1408" s="12">
        <v>0</v>
      </c>
      <c r="AP1408" s="12">
        <v>0</v>
      </c>
      <c r="AQ1408" s="12">
        <v>0</v>
      </c>
      <c r="AR1408" s="12">
        <v>0</v>
      </c>
      <c r="AS1408" s="12">
        <v>0</v>
      </c>
      <c r="AT1408" s="12">
        <v>0</v>
      </c>
      <c r="AU1408" s="12">
        <v>0</v>
      </c>
      <c r="AV1408" s="12">
        <v>0</v>
      </c>
      <c r="AW1408" s="12">
        <v>0</v>
      </c>
      <c r="AX1408" s="12">
        <v>0</v>
      </c>
      <c r="AY1408" s="12">
        <v>0</v>
      </c>
      <c r="AZ1408"/>
      <c r="BA1408"/>
      <c r="BB1408" s="12">
        <v>0</v>
      </c>
      <c r="BC1408" s="12">
        <v>0</v>
      </c>
      <c r="BD1408" s="12">
        <v>0</v>
      </c>
      <c r="BE1408" s="12">
        <v>0</v>
      </c>
      <c r="BF1408" s="12">
        <v>0</v>
      </c>
      <c r="BI1408" s="12">
        <v>0</v>
      </c>
      <c r="BJ1408" s="12">
        <v>0</v>
      </c>
    </row>
    <row r="1409" spans="1:62" x14ac:dyDescent="0.15">
      <c r="A1409" s="12"/>
      <c r="B1409" t="s">
        <v>8106</v>
      </c>
      <c r="C1409" t="s">
        <v>8106</v>
      </c>
      <c r="D1409" t="s">
        <v>6596</v>
      </c>
      <c r="E1409" t="s">
        <v>2182</v>
      </c>
      <c r="F1409"/>
      <c r="G1409"/>
      <c r="H1409"/>
      <c r="I1409"/>
      <c r="J1409"/>
      <c r="K1409"/>
      <c r="L1409" s="10">
        <v>4025650</v>
      </c>
      <c r="M1409" s="10">
        <v>708300</v>
      </c>
      <c r="N1409" s="12">
        <v>15</v>
      </c>
      <c r="O1409" s="12" t="s">
        <v>6992</v>
      </c>
      <c r="P1409" t="s">
        <v>2183</v>
      </c>
      <c r="R1409"/>
      <c r="S1409" t="s">
        <v>2184</v>
      </c>
      <c r="T1409" s="12" t="s">
        <v>2185</v>
      </c>
      <c r="U1409" s="12" t="s">
        <v>2186</v>
      </c>
      <c r="V1409" s="12" t="s">
        <v>2187</v>
      </c>
      <c r="W1409" s="12">
        <v>0</v>
      </c>
      <c r="X1409" s="12">
        <v>1</v>
      </c>
      <c r="Y1409" s="12">
        <v>0</v>
      </c>
      <c r="Z1409" s="12">
        <v>0</v>
      </c>
      <c r="AA1409" s="12">
        <v>0</v>
      </c>
      <c r="AB1409" s="12">
        <v>0</v>
      </c>
      <c r="AC1409" s="12">
        <v>0</v>
      </c>
      <c r="AD1409" s="12">
        <v>0</v>
      </c>
      <c r="AE1409" s="12">
        <v>0</v>
      </c>
      <c r="AF1409" s="12">
        <v>0</v>
      </c>
      <c r="AG1409" s="12">
        <v>0</v>
      </c>
      <c r="AH1409" s="12">
        <v>0</v>
      </c>
      <c r="AI1409" s="12">
        <v>0</v>
      </c>
      <c r="AJ1409" s="12">
        <v>0</v>
      </c>
      <c r="AK1409" s="12">
        <v>0</v>
      </c>
      <c r="AL1409" s="12">
        <v>0</v>
      </c>
      <c r="AM1409" s="12"/>
      <c r="AN1409" s="12">
        <v>0</v>
      </c>
      <c r="AO1409" s="12">
        <v>0</v>
      </c>
      <c r="AP1409" s="12">
        <v>0</v>
      </c>
      <c r="AQ1409" s="12">
        <v>0</v>
      </c>
      <c r="AR1409" s="12">
        <v>0</v>
      </c>
      <c r="AS1409" s="12">
        <v>0</v>
      </c>
      <c r="AT1409" s="12">
        <v>0</v>
      </c>
      <c r="AU1409" s="12">
        <v>0</v>
      </c>
      <c r="AV1409" s="12">
        <v>0</v>
      </c>
      <c r="AW1409" s="12">
        <v>0</v>
      </c>
      <c r="AX1409" s="12">
        <v>0</v>
      </c>
      <c r="AY1409" s="12">
        <v>0</v>
      </c>
      <c r="AZ1409"/>
      <c r="BA1409"/>
      <c r="BB1409" s="12">
        <v>0</v>
      </c>
      <c r="BC1409" s="12">
        <v>0</v>
      </c>
      <c r="BD1409" s="12">
        <v>0</v>
      </c>
      <c r="BE1409" s="12">
        <v>0</v>
      </c>
      <c r="BF1409" s="12">
        <v>0</v>
      </c>
      <c r="BI1409" s="12">
        <v>0</v>
      </c>
      <c r="BJ1409" s="12">
        <v>0</v>
      </c>
    </row>
    <row r="1410" spans="1:62" x14ac:dyDescent="0.15">
      <c r="A1410" s="12"/>
      <c r="B1410" t="s">
        <v>8107</v>
      </c>
      <c r="C1410" t="s">
        <v>8107</v>
      </c>
      <c r="D1410" t="s">
        <v>6596</v>
      </c>
      <c r="E1410" t="s">
        <v>2182</v>
      </c>
      <c r="F1410"/>
      <c r="G1410"/>
      <c r="H1410"/>
      <c r="I1410"/>
      <c r="J1410"/>
      <c r="K1410"/>
      <c r="L1410" s="10">
        <v>4023630</v>
      </c>
      <c r="M1410" s="10">
        <v>705850</v>
      </c>
      <c r="N1410" s="12">
        <v>15</v>
      </c>
      <c r="O1410" s="12" t="s">
        <v>6992</v>
      </c>
      <c r="P1410" t="s">
        <v>2183</v>
      </c>
      <c r="R1410"/>
      <c r="S1410" t="s">
        <v>2184</v>
      </c>
      <c r="T1410" s="12" t="s">
        <v>2185</v>
      </c>
      <c r="U1410" s="12" t="s">
        <v>2186</v>
      </c>
      <c r="V1410" s="12" t="s">
        <v>2187</v>
      </c>
      <c r="W1410" s="12">
        <v>0</v>
      </c>
      <c r="X1410" s="12">
        <v>1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2">
        <v>0</v>
      </c>
      <c r="AK1410" s="12">
        <v>0</v>
      </c>
      <c r="AL1410" s="12">
        <v>0</v>
      </c>
      <c r="AM1410" s="12"/>
      <c r="AN1410" s="12">
        <v>0</v>
      </c>
      <c r="AO1410" s="12">
        <v>0</v>
      </c>
      <c r="AP1410" s="12">
        <v>0</v>
      </c>
      <c r="AQ1410" s="12">
        <v>0</v>
      </c>
      <c r="AR1410" s="12">
        <v>0</v>
      </c>
      <c r="AS1410" s="12">
        <v>0</v>
      </c>
      <c r="AT1410" s="12">
        <v>0</v>
      </c>
      <c r="AU1410" s="12">
        <v>0</v>
      </c>
      <c r="AV1410" s="12">
        <v>0</v>
      </c>
      <c r="AW1410" s="12">
        <v>0</v>
      </c>
      <c r="AX1410" s="12">
        <v>0</v>
      </c>
      <c r="AY1410" s="12">
        <v>0</v>
      </c>
      <c r="AZ1410"/>
      <c r="BA1410"/>
      <c r="BB1410" s="12">
        <v>0</v>
      </c>
      <c r="BC1410" s="12">
        <v>0</v>
      </c>
      <c r="BD1410" s="12">
        <v>0</v>
      </c>
      <c r="BE1410" s="12">
        <v>0</v>
      </c>
      <c r="BF1410" s="12">
        <v>0</v>
      </c>
      <c r="BI1410" s="12">
        <v>0</v>
      </c>
      <c r="BJ1410" s="12">
        <v>0</v>
      </c>
    </row>
    <row r="1411" spans="1:62" x14ac:dyDescent="0.15">
      <c r="A1411" s="12"/>
      <c r="B1411" t="s">
        <v>8108</v>
      </c>
      <c r="C1411" t="s">
        <v>8108</v>
      </c>
      <c r="D1411" t="s">
        <v>6596</v>
      </c>
      <c r="E1411" t="s">
        <v>2182</v>
      </c>
      <c r="F1411"/>
      <c r="G1411"/>
      <c r="H1411"/>
      <c r="I1411"/>
      <c r="J1411"/>
      <c r="K1411"/>
      <c r="L1411" s="10">
        <v>4029250</v>
      </c>
      <c r="M1411" s="10">
        <v>716640</v>
      </c>
      <c r="N1411" s="12">
        <v>15</v>
      </c>
      <c r="O1411" s="12" t="s">
        <v>6992</v>
      </c>
      <c r="P1411" t="s">
        <v>2183</v>
      </c>
      <c r="R1411"/>
      <c r="S1411" t="s">
        <v>2184</v>
      </c>
      <c r="T1411" s="12" t="s">
        <v>2185</v>
      </c>
      <c r="U1411" s="12" t="s">
        <v>2186</v>
      </c>
      <c r="V1411" s="12" t="s">
        <v>2187</v>
      </c>
      <c r="W1411" s="12">
        <v>0</v>
      </c>
      <c r="X1411" s="12">
        <v>1</v>
      </c>
      <c r="Y1411" s="12">
        <v>0</v>
      </c>
      <c r="Z1411" s="12">
        <v>0</v>
      </c>
      <c r="AA1411" s="12">
        <v>0</v>
      </c>
      <c r="AB1411" s="12">
        <v>0</v>
      </c>
      <c r="AC1411" s="12">
        <v>0</v>
      </c>
      <c r="AD1411" s="12">
        <v>0</v>
      </c>
      <c r="AE1411" s="12">
        <v>0</v>
      </c>
      <c r="AF1411" s="12">
        <v>0</v>
      </c>
      <c r="AG1411" s="12">
        <v>0</v>
      </c>
      <c r="AH1411" s="12">
        <v>0</v>
      </c>
      <c r="AI1411" s="12">
        <v>0</v>
      </c>
      <c r="AJ1411" s="12">
        <v>0</v>
      </c>
      <c r="AK1411" s="12">
        <v>0</v>
      </c>
      <c r="AL1411" s="12">
        <v>0</v>
      </c>
      <c r="AM1411" s="12"/>
      <c r="AN1411" s="12">
        <v>0</v>
      </c>
      <c r="AO1411" s="12">
        <v>0</v>
      </c>
      <c r="AP1411" s="12">
        <v>0</v>
      </c>
      <c r="AQ1411" s="12">
        <v>0</v>
      </c>
      <c r="AR1411" s="12">
        <v>0</v>
      </c>
      <c r="AS1411" s="12">
        <v>0</v>
      </c>
      <c r="AT1411" s="12">
        <v>0</v>
      </c>
      <c r="AU1411" s="12">
        <v>0</v>
      </c>
      <c r="AV1411" s="12">
        <v>0</v>
      </c>
      <c r="AW1411" s="12">
        <v>0</v>
      </c>
      <c r="AX1411" s="12">
        <v>0</v>
      </c>
      <c r="AY1411" s="12">
        <v>0</v>
      </c>
      <c r="AZ1411"/>
      <c r="BA1411"/>
      <c r="BB1411" s="12">
        <v>0</v>
      </c>
      <c r="BC1411" s="12">
        <v>0</v>
      </c>
      <c r="BD1411" s="12">
        <v>0</v>
      </c>
      <c r="BE1411" s="12">
        <v>0</v>
      </c>
      <c r="BF1411" s="12">
        <v>0</v>
      </c>
      <c r="BI1411" s="12">
        <v>0</v>
      </c>
      <c r="BJ1411" s="12">
        <v>0</v>
      </c>
    </row>
    <row r="1412" spans="1:62" x14ac:dyDescent="0.15">
      <c r="A1412" s="12"/>
      <c r="B1412" t="s">
        <v>8109</v>
      </c>
      <c r="C1412" t="s">
        <v>8109</v>
      </c>
      <c r="D1412" t="s">
        <v>6596</v>
      </c>
      <c r="E1412" t="s">
        <v>2182</v>
      </c>
      <c r="F1412"/>
      <c r="G1412"/>
      <c r="H1412"/>
      <c r="I1412"/>
      <c r="J1412"/>
      <c r="K1412"/>
      <c r="L1412" s="10">
        <v>4040550</v>
      </c>
      <c r="M1412" s="10">
        <v>723640</v>
      </c>
      <c r="N1412" s="12">
        <v>15</v>
      </c>
      <c r="O1412" s="12" t="s">
        <v>6992</v>
      </c>
      <c r="P1412" t="s">
        <v>2183</v>
      </c>
      <c r="R1412"/>
      <c r="S1412" t="s">
        <v>2184</v>
      </c>
      <c r="T1412" s="12" t="s">
        <v>2185</v>
      </c>
      <c r="U1412" s="12" t="s">
        <v>2186</v>
      </c>
      <c r="V1412" s="12" t="s">
        <v>2187</v>
      </c>
      <c r="W1412" s="12">
        <v>0</v>
      </c>
      <c r="X1412" s="12">
        <v>1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2">
        <v>0</v>
      </c>
      <c r="AK1412" s="12">
        <v>0</v>
      </c>
      <c r="AL1412" s="12">
        <v>0</v>
      </c>
      <c r="AM1412" s="12"/>
      <c r="AN1412" s="12">
        <v>0</v>
      </c>
      <c r="AO1412" s="12">
        <v>0</v>
      </c>
      <c r="AP1412" s="12">
        <v>0</v>
      </c>
      <c r="AQ1412" s="12">
        <v>0</v>
      </c>
      <c r="AR1412" s="12">
        <v>0</v>
      </c>
      <c r="AS1412" s="12">
        <v>0</v>
      </c>
      <c r="AT1412" s="12">
        <v>0</v>
      </c>
      <c r="AU1412" s="12">
        <v>0</v>
      </c>
      <c r="AV1412" s="12">
        <v>0</v>
      </c>
      <c r="AW1412" s="12">
        <v>0</v>
      </c>
      <c r="AX1412" s="12">
        <v>0</v>
      </c>
      <c r="AY1412" s="12">
        <v>0</v>
      </c>
      <c r="AZ1412"/>
      <c r="BA1412"/>
      <c r="BB1412" s="12">
        <v>0</v>
      </c>
      <c r="BC1412" s="12">
        <v>0</v>
      </c>
      <c r="BD1412" s="12">
        <v>0</v>
      </c>
      <c r="BE1412" s="12">
        <v>0</v>
      </c>
      <c r="BF1412" s="12">
        <v>0</v>
      </c>
      <c r="BI1412" s="12">
        <v>0</v>
      </c>
      <c r="BJ1412" s="12">
        <v>0</v>
      </c>
    </row>
    <row r="1413" spans="1:62" x14ac:dyDescent="0.15">
      <c r="A1413" s="12"/>
      <c r="B1413" t="s">
        <v>8110</v>
      </c>
      <c r="C1413" s="27" t="s">
        <v>8111</v>
      </c>
      <c r="D1413" t="s">
        <v>6596</v>
      </c>
      <c r="E1413" t="s">
        <v>2182</v>
      </c>
      <c r="F1413"/>
      <c r="G1413"/>
      <c r="H1413"/>
      <c r="I1413"/>
      <c r="J1413"/>
      <c r="K1413"/>
      <c r="L1413" s="10">
        <v>4029550</v>
      </c>
      <c r="M1413" s="10">
        <v>717350</v>
      </c>
      <c r="N1413" s="12">
        <v>15</v>
      </c>
      <c r="O1413" s="12" t="s">
        <v>6992</v>
      </c>
      <c r="P1413" t="s">
        <v>2183</v>
      </c>
      <c r="R1413"/>
      <c r="S1413" t="s">
        <v>2184</v>
      </c>
      <c r="T1413" s="12" t="s">
        <v>2185</v>
      </c>
      <c r="U1413" s="12" t="s">
        <v>2186</v>
      </c>
      <c r="V1413" s="12" t="s">
        <v>2187</v>
      </c>
      <c r="W1413" s="12">
        <v>0</v>
      </c>
      <c r="X1413" s="12">
        <v>1</v>
      </c>
      <c r="Y1413" s="12">
        <v>0</v>
      </c>
      <c r="Z1413" s="12">
        <v>0</v>
      </c>
      <c r="AA1413" s="12">
        <v>0</v>
      </c>
      <c r="AB1413" s="12">
        <v>0</v>
      </c>
      <c r="AC1413" s="12">
        <v>0</v>
      </c>
      <c r="AD1413" s="12">
        <v>0</v>
      </c>
      <c r="AE1413" s="12">
        <v>0</v>
      </c>
      <c r="AF1413" s="12">
        <v>0</v>
      </c>
      <c r="AG1413" s="12">
        <v>0</v>
      </c>
      <c r="AH1413" s="12">
        <v>0</v>
      </c>
      <c r="AI1413" s="12">
        <v>0</v>
      </c>
      <c r="AJ1413" s="12">
        <v>0</v>
      </c>
      <c r="AK1413" s="12">
        <v>0</v>
      </c>
      <c r="AL1413" s="12">
        <v>0</v>
      </c>
      <c r="AM1413" s="12"/>
      <c r="AN1413" s="12">
        <v>0</v>
      </c>
      <c r="AO1413" s="12">
        <v>0</v>
      </c>
      <c r="AP1413" s="12">
        <v>0</v>
      </c>
      <c r="AQ1413" s="12">
        <v>0</v>
      </c>
      <c r="AR1413" s="12">
        <v>0</v>
      </c>
      <c r="AS1413" s="12">
        <v>0</v>
      </c>
      <c r="AT1413" s="12">
        <v>0</v>
      </c>
      <c r="AU1413" s="12">
        <v>0</v>
      </c>
      <c r="AV1413" s="12">
        <v>0</v>
      </c>
      <c r="AW1413" s="12">
        <v>0</v>
      </c>
      <c r="AX1413" s="12">
        <v>0</v>
      </c>
      <c r="AY1413" s="12">
        <v>0</v>
      </c>
      <c r="AZ1413"/>
      <c r="BA1413"/>
      <c r="BB1413" s="12">
        <v>0</v>
      </c>
      <c r="BC1413" s="12">
        <v>0</v>
      </c>
      <c r="BD1413" s="12">
        <v>0</v>
      </c>
      <c r="BE1413" s="12">
        <v>0</v>
      </c>
      <c r="BF1413" s="12">
        <v>0</v>
      </c>
      <c r="BI1413" s="12">
        <v>0</v>
      </c>
      <c r="BJ1413" s="12">
        <v>0</v>
      </c>
    </row>
    <row r="1414" spans="1:62" x14ac:dyDescent="0.15">
      <c r="A1414" s="12"/>
      <c r="B1414" t="s">
        <v>8112</v>
      </c>
      <c r="C1414" s="27" t="s">
        <v>8113</v>
      </c>
      <c r="D1414" t="s">
        <v>6596</v>
      </c>
      <c r="E1414" t="s">
        <v>2182</v>
      </c>
      <c r="F1414"/>
      <c r="G1414"/>
      <c r="H1414"/>
      <c r="I1414"/>
      <c r="J1414"/>
      <c r="K1414"/>
      <c r="L1414" s="10">
        <v>3982650</v>
      </c>
      <c r="M1414" s="10">
        <v>695360</v>
      </c>
      <c r="N1414" s="12">
        <v>15</v>
      </c>
      <c r="O1414" s="12" t="s">
        <v>6992</v>
      </c>
      <c r="P1414" t="s">
        <v>2183</v>
      </c>
      <c r="R1414"/>
      <c r="S1414" t="s">
        <v>2184</v>
      </c>
      <c r="T1414" s="12" t="s">
        <v>2185</v>
      </c>
      <c r="U1414" s="12" t="s">
        <v>2186</v>
      </c>
      <c r="V1414" s="12" t="s">
        <v>2187</v>
      </c>
      <c r="W1414" s="12">
        <v>0</v>
      </c>
      <c r="X1414" s="12">
        <v>1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2">
        <v>0</v>
      </c>
      <c r="AK1414" s="12">
        <v>0</v>
      </c>
      <c r="AL1414" s="12">
        <v>0</v>
      </c>
      <c r="AM1414" s="12"/>
      <c r="AN1414" s="12">
        <v>0</v>
      </c>
      <c r="AO1414" s="12">
        <v>0</v>
      </c>
      <c r="AP1414" s="12">
        <v>0</v>
      </c>
      <c r="AQ1414" s="12">
        <v>0</v>
      </c>
      <c r="AR1414" s="12">
        <v>0</v>
      </c>
      <c r="AS1414" s="12">
        <v>0</v>
      </c>
      <c r="AT1414" s="12">
        <v>0</v>
      </c>
      <c r="AU1414" s="12">
        <v>0</v>
      </c>
      <c r="AV1414" s="12">
        <v>0</v>
      </c>
      <c r="AW1414" s="12">
        <v>0</v>
      </c>
      <c r="AX1414" s="12">
        <v>0</v>
      </c>
      <c r="AY1414" s="12">
        <v>0</v>
      </c>
      <c r="AZ1414"/>
      <c r="BA1414"/>
      <c r="BB1414" s="12">
        <v>0</v>
      </c>
      <c r="BC1414" s="12">
        <v>0</v>
      </c>
      <c r="BD1414" s="12">
        <v>0</v>
      </c>
      <c r="BE1414" s="12">
        <v>0</v>
      </c>
      <c r="BF1414" s="12">
        <v>0</v>
      </c>
      <c r="BI1414" s="12">
        <v>0</v>
      </c>
      <c r="BJ1414" s="12">
        <v>0</v>
      </c>
    </row>
    <row r="1415" spans="1:62" x14ac:dyDescent="0.15">
      <c r="A1415" s="12"/>
      <c r="B1415" t="s">
        <v>8114</v>
      </c>
      <c r="C1415" s="27" t="s">
        <v>8115</v>
      </c>
      <c r="D1415" t="s">
        <v>6596</v>
      </c>
      <c r="E1415" t="s">
        <v>2182</v>
      </c>
      <c r="F1415"/>
      <c r="G1415"/>
      <c r="H1415"/>
      <c r="I1415"/>
      <c r="J1415"/>
      <c r="K1415"/>
      <c r="L1415" s="10">
        <v>4036130</v>
      </c>
      <c r="M1415" s="10">
        <v>755830</v>
      </c>
      <c r="N1415" s="12">
        <v>15</v>
      </c>
      <c r="O1415" s="12" t="s">
        <v>6992</v>
      </c>
      <c r="P1415" t="s">
        <v>2183</v>
      </c>
      <c r="R1415"/>
      <c r="S1415" t="s">
        <v>2184</v>
      </c>
      <c r="T1415" s="12" t="s">
        <v>2185</v>
      </c>
      <c r="U1415" s="12" t="s">
        <v>2186</v>
      </c>
      <c r="V1415" s="12" t="s">
        <v>2187</v>
      </c>
      <c r="W1415" s="12">
        <v>0</v>
      </c>
      <c r="X1415" s="12">
        <v>1</v>
      </c>
      <c r="Y1415" s="12">
        <v>0</v>
      </c>
      <c r="Z1415" s="12">
        <v>0</v>
      </c>
      <c r="AA1415" s="12">
        <v>0</v>
      </c>
      <c r="AB1415" s="12">
        <v>0</v>
      </c>
      <c r="AC1415" s="12">
        <v>0</v>
      </c>
      <c r="AD1415" s="12">
        <v>0</v>
      </c>
      <c r="AE1415" s="12">
        <v>0</v>
      </c>
      <c r="AF1415" s="12">
        <v>0</v>
      </c>
      <c r="AG1415" s="12">
        <v>0</v>
      </c>
      <c r="AH1415" s="12">
        <v>0</v>
      </c>
      <c r="AI1415" s="12">
        <v>0</v>
      </c>
      <c r="AJ1415" s="12">
        <v>0</v>
      </c>
      <c r="AK1415" s="12">
        <v>0</v>
      </c>
      <c r="AL1415" s="12">
        <v>0</v>
      </c>
      <c r="AM1415" s="12"/>
      <c r="AN1415" s="12">
        <v>0</v>
      </c>
      <c r="AO1415" s="12">
        <v>0</v>
      </c>
      <c r="AP1415" s="12">
        <v>0</v>
      </c>
      <c r="AQ1415" s="12">
        <v>0</v>
      </c>
      <c r="AR1415" s="12">
        <v>0</v>
      </c>
      <c r="AS1415" s="12">
        <v>0</v>
      </c>
      <c r="AT1415" s="12">
        <v>0</v>
      </c>
      <c r="AU1415" s="12">
        <v>0</v>
      </c>
      <c r="AV1415" s="12">
        <v>0</v>
      </c>
      <c r="AW1415" s="12">
        <v>0</v>
      </c>
      <c r="AX1415" s="12">
        <v>0</v>
      </c>
      <c r="AY1415" s="12">
        <v>0</v>
      </c>
      <c r="AZ1415"/>
      <c r="BA1415"/>
      <c r="BB1415" s="12">
        <v>0</v>
      </c>
      <c r="BC1415" s="12">
        <v>0</v>
      </c>
      <c r="BD1415" s="12">
        <v>0</v>
      </c>
      <c r="BE1415" s="12">
        <v>0</v>
      </c>
      <c r="BF1415" s="12">
        <v>0</v>
      </c>
      <c r="BI1415" s="12">
        <v>0</v>
      </c>
      <c r="BJ1415" s="12">
        <v>0</v>
      </c>
    </row>
    <row r="1416" spans="1:62" x14ac:dyDescent="0.15">
      <c r="A1416" s="12"/>
      <c r="B1416" t="s">
        <v>8116</v>
      </c>
      <c r="C1416" s="27" t="s">
        <v>8117</v>
      </c>
      <c r="D1416" t="s">
        <v>6596</v>
      </c>
      <c r="E1416" t="s">
        <v>2182</v>
      </c>
      <c r="F1416"/>
      <c r="G1416"/>
      <c r="H1416"/>
      <c r="I1416"/>
      <c r="J1416"/>
      <c r="K1416"/>
      <c r="L1416" s="10">
        <v>4010750</v>
      </c>
      <c r="M1416" s="10">
        <v>708200</v>
      </c>
      <c r="N1416" s="12">
        <v>15</v>
      </c>
      <c r="O1416" s="12" t="s">
        <v>6992</v>
      </c>
      <c r="P1416" t="s">
        <v>2183</v>
      </c>
      <c r="R1416"/>
      <c r="S1416" t="s">
        <v>2184</v>
      </c>
      <c r="T1416" s="12" t="s">
        <v>2185</v>
      </c>
      <c r="U1416" s="12" t="s">
        <v>2186</v>
      </c>
      <c r="V1416" s="12" t="s">
        <v>2187</v>
      </c>
      <c r="W1416" s="12">
        <v>0</v>
      </c>
      <c r="X1416" s="12">
        <v>1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2">
        <v>0</v>
      </c>
      <c r="AK1416" s="12">
        <v>0</v>
      </c>
      <c r="AL1416" s="12">
        <v>0</v>
      </c>
      <c r="AM1416" s="12"/>
      <c r="AN1416" s="12">
        <v>0</v>
      </c>
      <c r="AO1416" s="12">
        <v>0</v>
      </c>
      <c r="AP1416" s="12">
        <v>0</v>
      </c>
      <c r="AQ1416" s="12">
        <v>0</v>
      </c>
      <c r="AR1416" s="12">
        <v>0</v>
      </c>
      <c r="AS1416" s="12">
        <v>0</v>
      </c>
      <c r="AT1416" s="12">
        <v>0</v>
      </c>
      <c r="AU1416" s="12">
        <v>0</v>
      </c>
      <c r="AV1416" s="12">
        <v>0</v>
      </c>
      <c r="AW1416" s="12">
        <v>0</v>
      </c>
      <c r="AX1416" s="12">
        <v>0</v>
      </c>
      <c r="AY1416" s="12">
        <v>0</v>
      </c>
      <c r="AZ1416"/>
      <c r="BA1416"/>
      <c r="BB1416" s="12">
        <v>0</v>
      </c>
      <c r="BC1416" s="12">
        <v>0</v>
      </c>
      <c r="BD1416" s="12">
        <v>0</v>
      </c>
      <c r="BE1416" s="12">
        <v>0</v>
      </c>
      <c r="BF1416" s="12">
        <v>0</v>
      </c>
      <c r="BI1416" s="12">
        <v>0</v>
      </c>
      <c r="BJ1416" s="12">
        <v>0</v>
      </c>
    </row>
    <row r="1417" spans="1:62" x14ac:dyDescent="0.15">
      <c r="A1417" s="12"/>
      <c r="B1417" t="s">
        <v>8118</v>
      </c>
      <c r="C1417" s="27" t="s">
        <v>8119</v>
      </c>
      <c r="D1417" t="s">
        <v>6596</v>
      </c>
      <c r="E1417" t="s">
        <v>2182</v>
      </c>
      <c r="F1417"/>
      <c r="G1417"/>
      <c r="H1417"/>
      <c r="I1417"/>
      <c r="J1417"/>
      <c r="K1417"/>
      <c r="L1417" s="10">
        <v>4035670</v>
      </c>
      <c r="M1417" s="10">
        <v>728140</v>
      </c>
      <c r="N1417" s="12">
        <v>15</v>
      </c>
      <c r="O1417" s="12" t="s">
        <v>6992</v>
      </c>
      <c r="P1417" t="s">
        <v>2183</v>
      </c>
      <c r="R1417"/>
      <c r="S1417" t="s">
        <v>2184</v>
      </c>
      <c r="T1417" s="12" t="s">
        <v>2185</v>
      </c>
      <c r="U1417" s="12" t="s">
        <v>2186</v>
      </c>
      <c r="V1417" s="12" t="s">
        <v>2187</v>
      </c>
      <c r="W1417" s="12">
        <v>0</v>
      </c>
      <c r="X1417" s="12">
        <v>1</v>
      </c>
      <c r="Y1417" s="12">
        <v>0</v>
      </c>
      <c r="Z1417" s="12">
        <v>0</v>
      </c>
      <c r="AA1417" s="12">
        <v>0</v>
      </c>
      <c r="AB1417" s="12">
        <v>0</v>
      </c>
      <c r="AC1417" s="12">
        <v>0</v>
      </c>
      <c r="AD1417" s="12">
        <v>0</v>
      </c>
      <c r="AE1417" s="12">
        <v>0</v>
      </c>
      <c r="AF1417" s="12">
        <v>0</v>
      </c>
      <c r="AG1417" s="12">
        <v>0</v>
      </c>
      <c r="AH1417" s="12">
        <v>0</v>
      </c>
      <c r="AI1417" s="12">
        <v>0</v>
      </c>
      <c r="AJ1417" s="12">
        <v>0</v>
      </c>
      <c r="AK1417" s="12">
        <v>0</v>
      </c>
      <c r="AL1417" s="12">
        <v>0</v>
      </c>
      <c r="AM1417" s="12"/>
      <c r="AN1417" s="12">
        <v>0</v>
      </c>
      <c r="AO1417" s="12">
        <v>0</v>
      </c>
      <c r="AP1417" s="12">
        <v>0</v>
      </c>
      <c r="AQ1417" s="12">
        <v>0</v>
      </c>
      <c r="AR1417" s="12">
        <v>0</v>
      </c>
      <c r="AS1417" s="12">
        <v>0</v>
      </c>
      <c r="AT1417" s="12">
        <v>0</v>
      </c>
      <c r="AU1417" s="12">
        <v>0</v>
      </c>
      <c r="AV1417" s="12">
        <v>0</v>
      </c>
      <c r="AW1417" s="12">
        <v>0</v>
      </c>
      <c r="AX1417" s="12">
        <v>0</v>
      </c>
      <c r="AY1417" s="12">
        <v>0</v>
      </c>
      <c r="AZ1417"/>
      <c r="BA1417"/>
      <c r="BB1417" s="12">
        <v>0</v>
      </c>
      <c r="BC1417" s="12">
        <v>0</v>
      </c>
      <c r="BD1417" s="12">
        <v>0</v>
      </c>
      <c r="BE1417" s="12">
        <v>0</v>
      </c>
      <c r="BF1417" s="12">
        <v>0</v>
      </c>
      <c r="BI1417" s="12">
        <v>0</v>
      </c>
      <c r="BJ1417" s="12">
        <v>0</v>
      </c>
    </row>
    <row r="1418" spans="1:62" x14ac:dyDescent="0.15">
      <c r="A1418" s="12"/>
      <c r="B1418" t="s">
        <v>8120</v>
      </c>
      <c r="C1418" s="27" t="s">
        <v>8315</v>
      </c>
      <c r="D1418" t="s">
        <v>6596</v>
      </c>
      <c r="E1418" t="s">
        <v>2182</v>
      </c>
      <c r="F1418"/>
      <c r="G1418"/>
      <c r="H1418"/>
      <c r="I1418"/>
      <c r="J1418"/>
      <c r="K1418"/>
      <c r="L1418" s="10">
        <v>3991540</v>
      </c>
      <c r="M1418" s="10">
        <v>701350</v>
      </c>
      <c r="N1418" s="12">
        <v>15</v>
      </c>
      <c r="O1418" s="12" t="s">
        <v>6992</v>
      </c>
      <c r="P1418" t="s">
        <v>2183</v>
      </c>
      <c r="R1418"/>
      <c r="S1418" t="s">
        <v>2184</v>
      </c>
      <c r="T1418" s="12" t="s">
        <v>2185</v>
      </c>
      <c r="U1418" s="12" t="s">
        <v>2186</v>
      </c>
      <c r="V1418" s="12" t="s">
        <v>2187</v>
      </c>
      <c r="W1418" s="12">
        <v>0</v>
      </c>
      <c r="X1418" s="12">
        <v>1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2">
        <v>0</v>
      </c>
      <c r="AK1418" s="12">
        <v>0</v>
      </c>
      <c r="AL1418" s="12">
        <v>0</v>
      </c>
      <c r="AM1418" s="12"/>
      <c r="AN1418" s="12">
        <v>0</v>
      </c>
      <c r="AO1418" s="12">
        <v>0</v>
      </c>
      <c r="AP1418" s="12">
        <v>0</v>
      </c>
      <c r="AQ1418" s="12">
        <v>0</v>
      </c>
      <c r="AR1418" s="12">
        <v>0</v>
      </c>
      <c r="AS1418" s="12">
        <v>0</v>
      </c>
      <c r="AT1418" s="12">
        <v>0</v>
      </c>
      <c r="AU1418" s="12">
        <v>0</v>
      </c>
      <c r="AV1418" s="12">
        <v>0</v>
      </c>
      <c r="AW1418" s="12">
        <v>0</v>
      </c>
      <c r="AX1418" s="12">
        <v>0</v>
      </c>
      <c r="AY1418" s="12">
        <v>0</v>
      </c>
      <c r="AZ1418"/>
      <c r="BA1418"/>
      <c r="BB1418" s="12">
        <v>0</v>
      </c>
      <c r="BC1418" s="12">
        <v>0</v>
      </c>
      <c r="BD1418" s="12">
        <v>0</v>
      </c>
      <c r="BE1418" s="12">
        <v>0</v>
      </c>
      <c r="BF1418" s="12">
        <v>0</v>
      </c>
      <c r="BI1418" s="12">
        <v>0</v>
      </c>
      <c r="BJ1418" s="12">
        <v>0</v>
      </c>
    </row>
    <row r="1419" spans="1:62" x14ac:dyDescent="0.15">
      <c r="A1419" s="12"/>
      <c r="B1419" t="s">
        <v>8121</v>
      </c>
      <c r="C1419" s="27" t="s">
        <v>2206</v>
      </c>
      <c r="D1419" t="s">
        <v>6596</v>
      </c>
      <c r="E1419" t="s">
        <v>2182</v>
      </c>
      <c r="F1419"/>
      <c r="G1419"/>
      <c r="H1419"/>
      <c r="I1419"/>
      <c r="J1419"/>
      <c r="K1419"/>
      <c r="L1419" s="10">
        <v>4001210</v>
      </c>
      <c r="M1419" s="10">
        <v>734970</v>
      </c>
      <c r="N1419" s="12">
        <v>15</v>
      </c>
      <c r="O1419" s="12" t="s">
        <v>6992</v>
      </c>
      <c r="P1419" t="s">
        <v>2183</v>
      </c>
      <c r="R1419"/>
      <c r="S1419" t="s">
        <v>2184</v>
      </c>
      <c r="T1419" s="12" t="s">
        <v>2185</v>
      </c>
      <c r="U1419" s="12" t="s">
        <v>2186</v>
      </c>
      <c r="V1419" s="12" t="s">
        <v>2187</v>
      </c>
      <c r="W1419" s="12">
        <v>0</v>
      </c>
      <c r="X1419" s="12">
        <v>1</v>
      </c>
      <c r="Y1419" s="12">
        <v>0</v>
      </c>
      <c r="Z1419" s="12">
        <v>0</v>
      </c>
      <c r="AA1419" s="12">
        <v>0</v>
      </c>
      <c r="AB1419" s="12">
        <v>0</v>
      </c>
      <c r="AC1419" s="12">
        <v>0</v>
      </c>
      <c r="AD1419" s="12">
        <v>0</v>
      </c>
      <c r="AE1419" s="12">
        <v>0</v>
      </c>
      <c r="AF1419" s="12">
        <v>0</v>
      </c>
      <c r="AG1419" s="12">
        <v>0</v>
      </c>
      <c r="AH1419" s="12">
        <v>0</v>
      </c>
      <c r="AI1419" s="12">
        <v>0</v>
      </c>
      <c r="AJ1419" s="12">
        <v>0</v>
      </c>
      <c r="AK1419" s="12">
        <v>0</v>
      </c>
      <c r="AL1419" s="12">
        <v>0</v>
      </c>
      <c r="AM1419" s="12"/>
      <c r="AN1419" s="12">
        <v>0</v>
      </c>
      <c r="AO1419" s="12">
        <v>0</v>
      </c>
      <c r="AP1419" s="12">
        <v>0</v>
      </c>
      <c r="AQ1419" s="12">
        <v>0</v>
      </c>
      <c r="AR1419" s="12">
        <v>0</v>
      </c>
      <c r="AS1419" s="12">
        <v>0</v>
      </c>
      <c r="AT1419" s="12">
        <v>0</v>
      </c>
      <c r="AU1419" s="12">
        <v>0</v>
      </c>
      <c r="AV1419" s="12">
        <v>0</v>
      </c>
      <c r="AW1419" s="12">
        <v>0</v>
      </c>
      <c r="AX1419" s="12">
        <v>0</v>
      </c>
      <c r="AY1419" s="12">
        <v>0</v>
      </c>
      <c r="AZ1419"/>
      <c r="BA1419"/>
      <c r="BB1419" s="12">
        <v>0</v>
      </c>
      <c r="BC1419" s="12">
        <v>0</v>
      </c>
      <c r="BD1419" s="12">
        <v>0</v>
      </c>
      <c r="BE1419" s="12">
        <v>0</v>
      </c>
      <c r="BF1419" s="12">
        <v>0</v>
      </c>
      <c r="BI1419" s="12">
        <v>0</v>
      </c>
      <c r="BJ1419" s="12">
        <v>0</v>
      </c>
    </row>
    <row r="1420" spans="1:62" x14ac:dyDescent="0.15">
      <c r="A1420" s="12"/>
      <c r="B1420" t="s">
        <v>8122</v>
      </c>
      <c r="C1420" s="27" t="s">
        <v>8123</v>
      </c>
      <c r="D1420" t="s">
        <v>6596</v>
      </c>
      <c r="E1420" t="s">
        <v>2182</v>
      </c>
      <c r="F1420"/>
      <c r="G1420"/>
      <c r="H1420"/>
      <c r="I1420"/>
      <c r="J1420"/>
      <c r="K1420"/>
      <c r="L1420" s="10">
        <v>4002080</v>
      </c>
      <c r="M1420" s="10">
        <v>735030</v>
      </c>
      <c r="N1420" s="12">
        <v>15</v>
      </c>
      <c r="O1420" s="12" t="s">
        <v>6992</v>
      </c>
      <c r="P1420" t="s">
        <v>2183</v>
      </c>
      <c r="R1420"/>
      <c r="S1420" t="s">
        <v>2184</v>
      </c>
      <c r="T1420" s="12" t="s">
        <v>2185</v>
      </c>
      <c r="U1420" s="12" t="s">
        <v>2186</v>
      </c>
      <c r="V1420" s="12" t="s">
        <v>2187</v>
      </c>
      <c r="W1420" s="12">
        <v>0</v>
      </c>
      <c r="X1420" s="12">
        <v>1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2">
        <v>0</v>
      </c>
      <c r="AK1420" s="12">
        <v>0</v>
      </c>
      <c r="AL1420" s="12">
        <v>0</v>
      </c>
      <c r="AM1420" s="12"/>
      <c r="AN1420" s="12">
        <v>0</v>
      </c>
      <c r="AO1420" s="12">
        <v>0</v>
      </c>
      <c r="AP1420" s="12">
        <v>0</v>
      </c>
      <c r="AQ1420" s="12">
        <v>0</v>
      </c>
      <c r="AR1420" s="12">
        <v>0</v>
      </c>
      <c r="AS1420" s="12">
        <v>0</v>
      </c>
      <c r="AT1420" s="12">
        <v>0</v>
      </c>
      <c r="AU1420" s="12">
        <v>0</v>
      </c>
      <c r="AV1420" s="12">
        <v>0</v>
      </c>
      <c r="AW1420" s="12">
        <v>0</v>
      </c>
      <c r="AX1420" s="12">
        <v>0</v>
      </c>
      <c r="AY1420" s="12">
        <v>0</v>
      </c>
      <c r="AZ1420"/>
      <c r="BA1420"/>
      <c r="BB1420" s="12">
        <v>0</v>
      </c>
      <c r="BC1420" s="12">
        <v>0</v>
      </c>
      <c r="BD1420" s="12">
        <v>0</v>
      </c>
      <c r="BE1420" s="12">
        <v>0</v>
      </c>
      <c r="BF1420" s="12">
        <v>0</v>
      </c>
      <c r="BI1420" s="12">
        <v>0</v>
      </c>
      <c r="BJ1420" s="12">
        <v>0</v>
      </c>
    </row>
    <row r="1421" spans="1:62" x14ac:dyDescent="0.15">
      <c r="A1421" s="12"/>
      <c r="B1421" t="s">
        <v>8124</v>
      </c>
      <c r="C1421" t="s">
        <v>8124</v>
      </c>
      <c r="D1421" t="s">
        <v>6596</v>
      </c>
      <c r="E1421" t="s">
        <v>2182</v>
      </c>
      <c r="F1421"/>
      <c r="G1421"/>
      <c r="H1421"/>
      <c r="I1421"/>
      <c r="J1421"/>
      <c r="K1421"/>
      <c r="L1421" s="10">
        <v>3988900</v>
      </c>
      <c r="M1421" s="10">
        <v>698210</v>
      </c>
      <c r="N1421" s="12">
        <v>15</v>
      </c>
      <c r="O1421" s="12" t="s">
        <v>6992</v>
      </c>
      <c r="P1421" t="s">
        <v>2183</v>
      </c>
      <c r="R1421"/>
      <c r="S1421" t="s">
        <v>2184</v>
      </c>
      <c r="T1421" s="12" t="s">
        <v>2185</v>
      </c>
      <c r="U1421" s="12" t="s">
        <v>2186</v>
      </c>
      <c r="V1421" s="12" t="s">
        <v>2187</v>
      </c>
      <c r="W1421" s="12">
        <v>0</v>
      </c>
      <c r="X1421" s="12">
        <v>1</v>
      </c>
      <c r="Y1421" s="12">
        <v>0</v>
      </c>
      <c r="Z1421" s="12">
        <v>0</v>
      </c>
      <c r="AA1421" s="12">
        <v>0</v>
      </c>
      <c r="AB1421" s="12">
        <v>0</v>
      </c>
      <c r="AC1421" s="12">
        <v>0</v>
      </c>
      <c r="AD1421" s="12">
        <v>0</v>
      </c>
      <c r="AE1421" s="12">
        <v>0</v>
      </c>
      <c r="AF1421" s="12">
        <v>0</v>
      </c>
      <c r="AG1421" s="12">
        <v>0</v>
      </c>
      <c r="AH1421" s="12">
        <v>0</v>
      </c>
      <c r="AI1421" s="12">
        <v>0</v>
      </c>
      <c r="AJ1421" s="12">
        <v>0</v>
      </c>
      <c r="AK1421" s="12">
        <v>0</v>
      </c>
      <c r="AL1421" s="12">
        <v>0</v>
      </c>
      <c r="AM1421" s="12"/>
      <c r="AN1421" s="12">
        <v>0</v>
      </c>
      <c r="AO1421" s="12">
        <v>0</v>
      </c>
      <c r="AP1421" s="12">
        <v>0</v>
      </c>
      <c r="AQ1421" s="12">
        <v>0</v>
      </c>
      <c r="AR1421" s="12">
        <v>0</v>
      </c>
      <c r="AS1421" s="12">
        <v>0</v>
      </c>
      <c r="AT1421" s="12">
        <v>0</v>
      </c>
      <c r="AU1421" s="12">
        <v>0</v>
      </c>
      <c r="AV1421" s="12">
        <v>0</v>
      </c>
      <c r="AW1421" s="12">
        <v>0</v>
      </c>
      <c r="AX1421" s="12">
        <v>0</v>
      </c>
      <c r="AY1421" s="12">
        <v>0</v>
      </c>
      <c r="AZ1421"/>
      <c r="BA1421"/>
      <c r="BB1421" s="12">
        <v>0</v>
      </c>
      <c r="BC1421" s="12">
        <v>0</v>
      </c>
      <c r="BD1421" s="12">
        <v>0</v>
      </c>
      <c r="BE1421" s="12">
        <v>0</v>
      </c>
      <c r="BF1421" s="12">
        <v>0</v>
      </c>
      <c r="BI1421" s="12">
        <v>0</v>
      </c>
      <c r="BJ1421" s="12">
        <v>0</v>
      </c>
    </row>
    <row r="1422" spans="1:62" x14ac:dyDescent="0.15">
      <c r="A1422" s="12"/>
      <c r="B1422" t="s">
        <v>8125</v>
      </c>
      <c r="C1422" s="27" t="s">
        <v>8126</v>
      </c>
      <c r="D1422" t="s">
        <v>6596</v>
      </c>
      <c r="E1422" t="s">
        <v>2182</v>
      </c>
      <c r="F1422"/>
      <c r="G1422"/>
      <c r="H1422"/>
      <c r="I1422"/>
      <c r="J1422"/>
      <c r="K1422"/>
      <c r="L1422" s="10">
        <v>3990360</v>
      </c>
      <c r="M1422" s="10">
        <v>700000</v>
      </c>
      <c r="N1422" s="12">
        <v>15</v>
      </c>
      <c r="O1422" s="12" t="s">
        <v>6992</v>
      </c>
      <c r="P1422" t="s">
        <v>2183</v>
      </c>
      <c r="R1422"/>
      <c r="S1422" t="s">
        <v>2184</v>
      </c>
      <c r="T1422" s="12" t="s">
        <v>2185</v>
      </c>
      <c r="U1422" s="12" t="s">
        <v>2186</v>
      </c>
      <c r="V1422" s="12" t="s">
        <v>2187</v>
      </c>
      <c r="W1422" s="12">
        <v>0</v>
      </c>
      <c r="X1422" s="12">
        <v>1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2">
        <v>0</v>
      </c>
      <c r="AK1422" s="12">
        <v>0</v>
      </c>
      <c r="AL1422" s="12">
        <v>0</v>
      </c>
      <c r="AM1422" s="12"/>
      <c r="AN1422" s="12">
        <v>0</v>
      </c>
      <c r="AO1422" s="12">
        <v>0</v>
      </c>
      <c r="AP1422" s="12">
        <v>0</v>
      </c>
      <c r="AQ1422" s="12">
        <v>0</v>
      </c>
      <c r="AR1422" s="12">
        <v>0</v>
      </c>
      <c r="AS1422" s="12">
        <v>0</v>
      </c>
      <c r="AT1422" s="12">
        <v>0</v>
      </c>
      <c r="AU1422" s="12">
        <v>0</v>
      </c>
      <c r="AV1422" s="12">
        <v>0</v>
      </c>
      <c r="AW1422" s="12">
        <v>0</v>
      </c>
      <c r="AX1422" s="12">
        <v>0</v>
      </c>
      <c r="AY1422" s="12">
        <v>0</v>
      </c>
      <c r="AZ1422"/>
      <c r="BA1422"/>
      <c r="BB1422" s="12">
        <v>0</v>
      </c>
      <c r="BC1422" s="12">
        <v>0</v>
      </c>
      <c r="BD1422" s="12">
        <v>0</v>
      </c>
      <c r="BE1422" s="12">
        <v>0</v>
      </c>
      <c r="BF1422" s="12">
        <v>0</v>
      </c>
      <c r="BI1422" s="12">
        <v>0</v>
      </c>
      <c r="BJ1422" s="12">
        <v>0</v>
      </c>
    </row>
    <row r="1423" spans="1:62" x14ac:dyDescent="0.15">
      <c r="A1423" s="12"/>
      <c r="B1423" t="s">
        <v>8127</v>
      </c>
      <c r="C1423" s="27" t="s">
        <v>8128</v>
      </c>
      <c r="D1423" t="s">
        <v>6596</v>
      </c>
      <c r="E1423" t="s">
        <v>2182</v>
      </c>
      <c r="F1423"/>
      <c r="G1423"/>
      <c r="H1423"/>
      <c r="I1423"/>
      <c r="J1423"/>
      <c r="K1423"/>
      <c r="L1423" s="10">
        <v>3990760</v>
      </c>
      <c r="M1423" s="10">
        <v>700870</v>
      </c>
      <c r="N1423" s="12">
        <v>15</v>
      </c>
      <c r="O1423" s="12" t="s">
        <v>6992</v>
      </c>
      <c r="P1423" t="s">
        <v>2183</v>
      </c>
      <c r="R1423"/>
      <c r="S1423" t="s">
        <v>2184</v>
      </c>
      <c r="T1423" s="12" t="s">
        <v>2185</v>
      </c>
      <c r="U1423" s="12" t="s">
        <v>2186</v>
      </c>
      <c r="V1423" s="12" t="s">
        <v>2187</v>
      </c>
      <c r="W1423" s="12">
        <v>0</v>
      </c>
      <c r="X1423" s="12">
        <v>1</v>
      </c>
      <c r="Y1423" s="12">
        <v>0</v>
      </c>
      <c r="Z1423" s="12">
        <v>0</v>
      </c>
      <c r="AA1423" s="12">
        <v>0</v>
      </c>
      <c r="AB1423" s="12">
        <v>0</v>
      </c>
      <c r="AC1423" s="12">
        <v>0</v>
      </c>
      <c r="AD1423" s="12">
        <v>0</v>
      </c>
      <c r="AE1423" s="12">
        <v>0</v>
      </c>
      <c r="AF1423" s="12">
        <v>0</v>
      </c>
      <c r="AG1423" s="12">
        <v>0</v>
      </c>
      <c r="AH1423" s="12">
        <v>0</v>
      </c>
      <c r="AI1423" s="12">
        <v>0</v>
      </c>
      <c r="AJ1423" s="12">
        <v>0</v>
      </c>
      <c r="AK1423" s="12">
        <v>0</v>
      </c>
      <c r="AL1423" s="12">
        <v>0</v>
      </c>
      <c r="AM1423" s="12"/>
      <c r="AN1423" s="12">
        <v>0</v>
      </c>
      <c r="AO1423" s="12">
        <v>0</v>
      </c>
      <c r="AP1423" s="12">
        <v>0</v>
      </c>
      <c r="AQ1423" s="12">
        <v>0</v>
      </c>
      <c r="AR1423" s="12">
        <v>0</v>
      </c>
      <c r="AS1423" s="12">
        <v>0</v>
      </c>
      <c r="AT1423" s="12">
        <v>0</v>
      </c>
      <c r="AU1423" s="12">
        <v>0</v>
      </c>
      <c r="AV1423" s="12">
        <v>0</v>
      </c>
      <c r="AW1423" s="12">
        <v>0</v>
      </c>
      <c r="AX1423" s="12">
        <v>0</v>
      </c>
      <c r="AY1423" s="12">
        <v>0</v>
      </c>
      <c r="AZ1423"/>
      <c r="BA1423"/>
      <c r="BB1423" s="12">
        <v>0</v>
      </c>
      <c r="BC1423" s="12">
        <v>0</v>
      </c>
      <c r="BD1423" s="12">
        <v>0</v>
      </c>
      <c r="BE1423" s="12">
        <v>0</v>
      </c>
      <c r="BF1423" s="12">
        <v>0</v>
      </c>
      <c r="BI1423" s="12">
        <v>0</v>
      </c>
      <c r="BJ1423" s="12">
        <v>0</v>
      </c>
    </row>
    <row r="1424" spans="1:62" x14ac:dyDescent="0.15">
      <c r="A1424" s="12"/>
      <c r="B1424" t="s">
        <v>8129</v>
      </c>
      <c r="C1424" s="27" t="s">
        <v>8130</v>
      </c>
      <c r="D1424" t="s">
        <v>6596</v>
      </c>
      <c r="E1424" t="s">
        <v>2182</v>
      </c>
      <c r="F1424"/>
      <c r="G1424"/>
      <c r="H1424"/>
      <c r="I1424"/>
      <c r="J1424"/>
      <c r="K1424"/>
      <c r="L1424" s="10">
        <v>3986020</v>
      </c>
      <c r="M1424" s="10">
        <v>700370</v>
      </c>
      <c r="N1424" s="12">
        <v>15</v>
      </c>
      <c r="O1424" s="12" t="s">
        <v>6992</v>
      </c>
      <c r="P1424" t="s">
        <v>2183</v>
      </c>
      <c r="R1424"/>
      <c r="S1424" t="s">
        <v>2184</v>
      </c>
      <c r="T1424" s="12" t="s">
        <v>2185</v>
      </c>
      <c r="U1424" s="12" t="s">
        <v>2186</v>
      </c>
      <c r="V1424" s="12" t="s">
        <v>2187</v>
      </c>
      <c r="W1424" s="12">
        <v>0</v>
      </c>
      <c r="X1424" s="12">
        <v>1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2">
        <v>0</v>
      </c>
      <c r="AK1424" s="12">
        <v>0</v>
      </c>
      <c r="AL1424" s="12">
        <v>0</v>
      </c>
      <c r="AM1424" s="12"/>
      <c r="AN1424" s="12">
        <v>0</v>
      </c>
      <c r="AO1424" s="12">
        <v>0</v>
      </c>
      <c r="AP1424" s="12">
        <v>0</v>
      </c>
      <c r="AQ1424" s="12">
        <v>0</v>
      </c>
      <c r="AR1424" s="12">
        <v>0</v>
      </c>
      <c r="AS1424" s="12">
        <v>0</v>
      </c>
      <c r="AT1424" s="12">
        <v>0</v>
      </c>
      <c r="AU1424" s="12">
        <v>0</v>
      </c>
      <c r="AV1424" s="12">
        <v>0</v>
      </c>
      <c r="AW1424" s="12">
        <v>0</v>
      </c>
      <c r="AX1424" s="12">
        <v>0</v>
      </c>
      <c r="AY1424" s="12">
        <v>0</v>
      </c>
      <c r="AZ1424"/>
      <c r="BA1424"/>
      <c r="BB1424" s="12">
        <v>0</v>
      </c>
      <c r="BC1424" s="12">
        <v>0</v>
      </c>
      <c r="BD1424" s="12">
        <v>0</v>
      </c>
      <c r="BE1424" s="12">
        <v>0</v>
      </c>
      <c r="BF1424" s="12">
        <v>0</v>
      </c>
      <c r="BI1424" s="12">
        <v>0</v>
      </c>
      <c r="BJ1424" s="12">
        <v>0</v>
      </c>
    </row>
    <row r="1425" spans="1:62" x14ac:dyDescent="0.15">
      <c r="A1425" s="12"/>
      <c r="B1425" t="s">
        <v>8131</v>
      </c>
      <c r="C1425" s="27" t="s">
        <v>8295</v>
      </c>
      <c r="D1425" t="s">
        <v>6596</v>
      </c>
      <c r="E1425" t="s">
        <v>2182</v>
      </c>
      <c r="F1425"/>
      <c r="G1425"/>
      <c r="H1425"/>
      <c r="I1425"/>
      <c r="J1425"/>
      <c r="K1425"/>
      <c r="L1425" s="10">
        <v>3984910</v>
      </c>
      <c r="M1425" s="10">
        <v>697680</v>
      </c>
      <c r="N1425" s="12">
        <v>15</v>
      </c>
      <c r="O1425" s="12" t="s">
        <v>6992</v>
      </c>
      <c r="P1425" t="s">
        <v>2183</v>
      </c>
      <c r="R1425"/>
      <c r="S1425" t="s">
        <v>2184</v>
      </c>
      <c r="T1425" s="12" t="s">
        <v>2185</v>
      </c>
      <c r="U1425" s="12" t="s">
        <v>2186</v>
      </c>
      <c r="V1425" s="12" t="s">
        <v>2187</v>
      </c>
      <c r="W1425" s="12">
        <v>0</v>
      </c>
      <c r="X1425" s="12">
        <v>1</v>
      </c>
      <c r="Y1425" s="12">
        <v>0</v>
      </c>
      <c r="Z1425" s="12">
        <v>0</v>
      </c>
      <c r="AA1425" s="12">
        <v>0</v>
      </c>
      <c r="AB1425" s="12">
        <v>0</v>
      </c>
      <c r="AC1425" s="12">
        <v>0</v>
      </c>
      <c r="AD1425" s="12">
        <v>0</v>
      </c>
      <c r="AE1425" s="12">
        <v>0</v>
      </c>
      <c r="AF1425" s="12">
        <v>0</v>
      </c>
      <c r="AG1425" s="12">
        <v>0</v>
      </c>
      <c r="AH1425" s="12">
        <v>0</v>
      </c>
      <c r="AI1425" s="12">
        <v>0</v>
      </c>
      <c r="AJ1425" s="12">
        <v>0</v>
      </c>
      <c r="AK1425" s="12">
        <v>0</v>
      </c>
      <c r="AL1425" s="12">
        <v>0</v>
      </c>
      <c r="AM1425" s="12"/>
      <c r="AN1425" s="12">
        <v>0</v>
      </c>
      <c r="AO1425" s="12">
        <v>0</v>
      </c>
      <c r="AP1425" s="12">
        <v>0</v>
      </c>
      <c r="AQ1425" s="12">
        <v>0</v>
      </c>
      <c r="AR1425" s="12">
        <v>0</v>
      </c>
      <c r="AS1425" s="12">
        <v>0</v>
      </c>
      <c r="AT1425" s="12">
        <v>0</v>
      </c>
      <c r="AU1425" s="12">
        <v>0</v>
      </c>
      <c r="AV1425" s="12">
        <v>0</v>
      </c>
      <c r="AW1425" s="12">
        <v>0</v>
      </c>
      <c r="AX1425" s="12">
        <v>0</v>
      </c>
      <c r="AY1425" s="12">
        <v>0</v>
      </c>
      <c r="AZ1425"/>
      <c r="BA1425"/>
      <c r="BB1425" s="12">
        <v>0</v>
      </c>
      <c r="BC1425" s="12">
        <v>0</v>
      </c>
      <c r="BD1425" s="12">
        <v>0</v>
      </c>
      <c r="BE1425" s="12">
        <v>0</v>
      </c>
      <c r="BF1425" s="12">
        <v>0</v>
      </c>
      <c r="BI1425" s="12">
        <v>0</v>
      </c>
      <c r="BJ1425" s="12">
        <v>0</v>
      </c>
    </row>
    <row r="1426" spans="1:62" x14ac:dyDescent="0.15">
      <c r="A1426" s="12"/>
      <c r="B1426" t="s">
        <v>8132</v>
      </c>
      <c r="C1426" s="27" t="s">
        <v>8133</v>
      </c>
      <c r="D1426" t="s">
        <v>6596</v>
      </c>
      <c r="E1426" t="s">
        <v>2182</v>
      </c>
      <c r="F1426"/>
      <c r="G1426"/>
      <c r="H1426"/>
      <c r="I1426"/>
      <c r="J1426"/>
      <c r="K1426"/>
      <c r="L1426" s="10">
        <v>3984680</v>
      </c>
      <c r="M1426" s="10">
        <v>697750</v>
      </c>
      <c r="N1426" s="12">
        <v>15</v>
      </c>
      <c r="O1426" s="12" t="s">
        <v>6992</v>
      </c>
      <c r="P1426" t="s">
        <v>2183</v>
      </c>
      <c r="R1426"/>
      <c r="S1426" t="s">
        <v>2184</v>
      </c>
      <c r="T1426" s="12" t="s">
        <v>2185</v>
      </c>
      <c r="U1426" s="12" t="s">
        <v>2186</v>
      </c>
      <c r="V1426" s="12" t="s">
        <v>2187</v>
      </c>
      <c r="W1426" s="12">
        <v>0</v>
      </c>
      <c r="X1426" s="12">
        <v>1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2">
        <v>0</v>
      </c>
      <c r="AK1426" s="12">
        <v>0</v>
      </c>
      <c r="AL1426" s="12">
        <v>0</v>
      </c>
      <c r="AM1426" s="12"/>
      <c r="AN1426" s="12">
        <v>0</v>
      </c>
      <c r="AO1426" s="12">
        <v>0</v>
      </c>
      <c r="AP1426" s="12">
        <v>0</v>
      </c>
      <c r="AQ1426" s="12">
        <v>0</v>
      </c>
      <c r="AR1426" s="12">
        <v>0</v>
      </c>
      <c r="AS1426" s="12">
        <v>0</v>
      </c>
      <c r="AT1426" s="12">
        <v>0</v>
      </c>
      <c r="AU1426" s="12">
        <v>0</v>
      </c>
      <c r="AV1426" s="12">
        <v>0</v>
      </c>
      <c r="AW1426" s="12">
        <v>0</v>
      </c>
      <c r="AX1426" s="12">
        <v>0</v>
      </c>
      <c r="AY1426" s="12">
        <v>0</v>
      </c>
      <c r="AZ1426"/>
      <c r="BA1426"/>
      <c r="BB1426" s="12">
        <v>0</v>
      </c>
      <c r="BC1426" s="12">
        <v>0</v>
      </c>
      <c r="BD1426" s="12">
        <v>0</v>
      </c>
      <c r="BE1426" s="12">
        <v>0</v>
      </c>
      <c r="BF1426" s="12">
        <v>0</v>
      </c>
      <c r="BI1426" s="12">
        <v>0</v>
      </c>
      <c r="BJ1426" s="12">
        <v>0</v>
      </c>
    </row>
    <row r="1427" spans="1:62" x14ac:dyDescent="0.15">
      <c r="A1427" s="12"/>
      <c r="B1427" t="s">
        <v>8134</v>
      </c>
      <c r="C1427" t="s">
        <v>8134</v>
      </c>
      <c r="D1427" t="s">
        <v>6596</v>
      </c>
      <c r="E1427" t="s">
        <v>2182</v>
      </c>
      <c r="F1427"/>
      <c r="G1427"/>
      <c r="H1427"/>
      <c r="I1427"/>
      <c r="J1427"/>
      <c r="K1427"/>
      <c r="L1427" s="10">
        <v>3990700</v>
      </c>
      <c r="M1427" s="10">
        <v>695300</v>
      </c>
      <c r="N1427" s="12">
        <v>15</v>
      </c>
      <c r="O1427" s="12" t="s">
        <v>6992</v>
      </c>
      <c r="P1427" t="s">
        <v>2183</v>
      </c>
      <c r="R1427"/>
      <c r="S1427" t="s">
        <v>2184</v>
      </c>
      <c r="T1427" s="12" t="s">
        <v>2185</v>
      </c>
      <c r="U1427" s="12" t="s">
        <v>2186</v>
      </c>
      <c r="V1427" s="12" t="s">
        <v>2187</v>
      </c>
      <c r="W1427" s="12">
        <v>0</v>
      </c>
      <c r="X1427" s="12">
        <v>1</v>
      </c>
      <c r="Y1427" s="12">
        <v>0</v>
      </c>
      <c r="Z1427" s="12">
        <v>0</v>
      </c>
      <c r="AA1427" s="12">
        <v>0</v>
      </c>
      <c r="AB1427" s="12">
        <v>0</v>
      </c>
      <c r="AC1427" s="12">
        <v>0</v>
      </c>
      <c r="AD1427" s="12">
        <v>0</v>
      </c>
      <c r="AE1427" s="12">
        <v>0</v>
      </c>
      <c r="AF1427" s="12">
        <v>0</v>
      </c>
      <c r="AG1427" s="12">
        <v>0</v>
      </c>
      <c r="AH1427" s="12">
        <v>0</v>
      </c>
      <c r="AI1427" s="12">
        <v>0</v>
      </c>
      <c r="AJ1427" s="12">
        <v>0</v>
      </c>
      <c r="AK1427" s="12">
        <v>0</v>
      </c>
      <c r="AL1427" s="12">
        <v>0</v>
      </c>
      <c r="AM1427" s="12"/>
      <c r="AN1427" s="12">
        <v>0</v>
      </c>
      <c r="AO1427" s="12">
        <v>0</v>
      </c>
      <c r="AP1427" s="12">
        <v>0</v>
      </c>
      <c r="AQ1427" s="12">
        <v>0</v>
      </c>
      <c r="AR1427" s="12">
        <v>0</v>
      </c>
      <c r="AS1427" s="12">
        <v>0</v>
      </c>
      <c r="AT1427" s="12">
        <v>0</v>
      </c>
      <c r="AU1427" s="12">
        <v>0</v>
      </c>
      <c r="AV1427" s="12">
        <v>0</v>
      </c>
      <c r="AW1427" s="12">
        <v>0</v>
      </c>
      <c r="AX1427" s="12">
        <v>0</v>
      </c>
      <c r="AY1427" s="12">
        <v>0</v>
      </c>
      <c r="AZ1427"/>
      <c r="BA1427"/>
      <c r="BB1427" s="12">
        <v>0</v>
      </c>
      <c r="BC1427" s="12">
        <v>0</v>
      </c>
      <c r="BD1427" s="12">
        <v>0</v>
      </c>
      <c r="BE1427" s="12">
        <v>0</v>
      </c>
      <c r="BF1427" s="12">
        <v>0</v>
      </c>
      <c r="BI1427" s="12">
        <v>0</v>
      </c>
      <c r="BJ1427" s="12">
        <v>0</v>
      </c>
    </row>
    <row r="1428" spans="1:62" x14ac:dyDescent="0.15">
      <c r="A1428" s="12"/>
      <c r="B1428" t="s">
        <v>8135</v>
      </c>
      <c r="C1428" t="s">
        <v>8135</v>
      </c>
      <c r="D1428" t="s">
        <v>6596</v>
      </c>
      <c r="E1428" t="s">
        <v>2182</v>
      </c>
      <c r="F1428"/>
      <c r="G1428"/>
      <c r="H1428"/>
      <c r="I1428"/>
      <c r="J1428"/>
      <c r="K1428"/>
      <c r="L1428" s="10">
        <v>3990850</v>
      </c>
      <c r="M1428" s="10">
        <v>695340</v>
      </c>
      <c r="N1428" s="12">
        <v>15</v>
      </c>
      <c r="O1428" s="12" t="s">
        <v>6992</v>
      </c>
      <c r="P1428" t="s">
        <v>2183</v>
      </c>
      <c r="R1428"/>
      <c r="S1428" t="s">
        <v>2184</v>
      </c>
      <c r="T1428" s="12" t="s">
        <v>2185</v>
      </c>
      <c r="U1428" s="12" t="s">
        <v>2186</v>
      </c>
      <c r="V1428" s="12" t="s">
        <v>2187</v>
      </c>
      <c r="W1428" s="12">
        <v>0</v>
      </c>
      <c r="X1428" s="12">
        <v>1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2">
        <v>0</v>
      </c>
      <c r="AK1428" s="12">
        <v>0</v>
      </c>
      <c r="AL1428" s="12">
        <v>0</v>
      </c>
      <c r="AM1428" s="12"/>
      <c r="AN1428" s="12">
        <v>0</v>
      </c>
      <c r="AO1428" s="12">
        <v>0</v>
      </c>
      <c r="AP1428" s="12">
        <v>0</v>
      </c>
      <c r="AQ1428" s="12">
        <v>0</v>
      </c>
      <c r="AR1428" s="12">
        <v>0</v>
      </c>
      <c r="AS1428" s="12">
        <v>0</v>
      </c>
      <c r="AT1428" s="12">
        <v>0</v>
      </c>
      <c r="AU1428" s="12">
        <v>0</v>
      </c>
      <c r="AV1428" s="12">
        <v>0</v>
      </c>
      <c r="AW1428" s="12">
        <v>0</v>
      </c>
      <c r="AX1428" s="12">
        <v>0</v>
      </c>
      <c r="AY1428" s="12">
        <v>0</v>
      </c>
      <c r="AZ1428"/>
      <c r="BA1428"/>
      <c r="BB1428" s="12">
        <v>0</v>
      </c>
      <c r="BC1428" s="12">
        <v>0</v>
      </c>
      <c r="BD1428" s="12">
        <v>0</v>
      </c>
      <c r="BE1428" s="12">
        <v>0</v>
      </c>
      <c r="BF1428" s="12">
        <v>0</v>
      </c>
      <c r="BI1428" s="12">
        <v>0</v>
      </c>
      <c r="BJ1428" s="12">
        <v>0</v>
      </c>
    </row>
    <row r="1429" spans="1:62" x14ac:dyDescent="0.15">
      <c r="A1429" s="12"/>
      <c r="B1429" t="s">
        <v>8136</v>
      </c>
      <c r="C1429" t="s">
        <v>8136</v>
      </c>
      <c r="D1429" t="s">
        <v>6596</v>
      </c>
      <c r="E1429" t="s">
        <v>2182</v>
      </c>
      <c r="F1429"/>
      <c r="G1429"/>
      <c r="H1429"/>
      <c r="I1429"/>
      <c r="J1429"/>
      <c r="K1429"/>
      <c r="L1429" s="10">
        <v>3990380</v>
      </c>
      <c r="M1429" s="10">
        <v>698320</v>
      </c>
      <c r="N1429" s="12">
        <v>15</v>
      </c>
      <c r="O1429" s="12" t="s">
        <v>6992</v>
      </c>
      <c r="P1429" t="s">
        <v>2183</v>
      </c>
      <c r="R1429"/>
      <c r="S1429" t="s">
        <v>2184</v>
      </c>
      <c r="T1429" s="12" t="s">
        <v>2185</v>
      </c>
      <c r="U1429" s="12" t="s">
        <v>2186</v>
      </c>
      <c r="V1429" s="12" t="s">
        <v>2187</v>
      </c>
      <c r="W1429" s="12">
        <v>0</v>
      </c>
      <c r="X1429" s="12">
        <v>1</v>
      </c>
      <c r="Y1429" s="12">
        <v>0</v>
      </c>
      <c r="Z1429" s="12">
        <v>0</v>
      </c>
      <c r="AA1429" s="12">
        <v>0</v>
      </c>
      <c r="AB1429" s="12">
        <v>0</v>
      </c>
      <c r="AC1429" s="12">
        <v>0</v>
      </c>
      <c r="AD1429" s="12">
        <v>0</v>
      </c>
      <c r="AE1429" s="12">
        <v>0</v>
      </c>
      <c r="AF1429" s="12">
        <v>0</v>
      </c>
      <c r="AG1429" s="12">
        <v>0</v>
      </c>
      <c r="AH1429" s="12">
        <v>0</v>
      </c>
      <c r="AI1429" s="12">
        <v>0</v>
      </c>
      <c r="AJ1429" s="12">
        <v>0</v>
      </c>
      <c r="AK1429" s="12">
        <v>0</v>
      </c>
      <c r="AL1429" s="12">
        <v>0</v>
      </c>
      <c r="AM1429" s="12"/>
      <c r="AN1429" s="12">
        <v>0</v>
      </c>
      <c r="AO1429" s="12">
        <v>0</v>
      </c>
      <c r="AP1429" s="12">
        <v>0</v>
      </c>
      <c r="AQ1429" s="12">
        <v>0</v>
      </c>
      <c r="AR1429" s="12">
        <v>0</v>
      </c>
      <c r="AS1429" s="12">
        <v>0</v>
      </c>
      <c r="AT1429" s="12">
        <v>0</v>
      </c>
      <c r="AU1429" s="12">
        <v>0</v>
      </c>
      <c r="AV1429" s="12">
        <v>0</v>
      </c>
      <c r="AW1429" s="12">
        <v>0</v>
      </c>
      <c r="AX1429" s="12">
        <v>0</v>
      </c>
      <c r="AY1429" s="12">
        <v>0</v>
      </c>
      <c r="AZ1429"/>
      <c r="BA1429"/>
      <c r="BB1429" s="12">
        <v>0</v>
      </c>
      <c r="BC1429" s="12">
        <v>0</v>
      </c>
      <c r="BD1429" s="12">
        <v>0</v>
      </c>
      <c r="BE1429" s="12">
        <v>0</v>
      </c>
      <c r="BF1429" s="12">
        <v>0</v>
      </c>
      <c r="BI1429" s="12">
        <v>0</v>
      </c>
      <c r="BJ1429" s="12">
        <v>0</v>
      </c>
    </row>
    <row r="1430" spans="1:62" x14ac:dyDescent="0.15">
      <c r="A1430" s="12"/>
      <c r="B1430" t="s">
        <v>8137</v>
      </c>
      <c r="C1430" s="27" t="s">
        <v>8138</v>
      </c>
      <c r="D1430" t="s">
        <v>6596</v>
      </c>
      <c r="E1430" t="s">
        <v>2182</v>
      </c>
      <c r="F1430"/>
      <c r="G1430"/>
      <c r="H1430"/>
      <c r="I1430"/>
      <c r="J1430"/>
      <c r="K1430"/>
      <c r="L1430" s="10">
        <v>4012180</v>
      </c>
      <c r="M1430" s="10">
        <v>717300</v>
      </c>
      <c r="N1430" s="12">
        <v>15</v>
      </c>
      <c r="O1430" s="12" t="s">
        <v>6992</v>
      </c>
      <c r="P1430" t="s">
        <v>2183</v>
      </c>
      <c r="R1430"/>
      <c r="S1430" t="s">
        <v>2184</v>
      </c>
      <c r="T1430" s="12" t="s">
        <v>2185</v>
      </c>
      <c r="U1430" s="12" t="s">
        <v>2186</v>
      </c>
      <c r="V1430" s="12" t="s">
        <v>2187</v>
      </c>
      <c r="W1430" s="12">
        <v>0</v>
      </c>
      <c r="X1430" s="12">
        <v>1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2">
        <v>0</v>
      </c>
      <c r="AK1430" s="12">
        <v>0</v>
      </c>
      <c r="AL1430" s="12">
        <v>0</v>
      </c>
      <c r="AM1430" s="12"/>
      <c r="AN1430" s="12">
        <v>0</v>
      </c>
      <c r="AO1430" s="12">
        <v>0</v>
      </c>
      <c r="AP1430" s="12">
        <v>0</v>
      </c>
      <c r="AQ1430" s="12">
        <v>0</v>
      </c>
      <c r="AR1430" s="12">
        <v>0</v>
      </c>
      <c r="AS1430" s="12">
        <v>0</v>
      </c>
      <c r="AT1430" s="12">
        <v>0</v>
      </c>
      <c r="AU1430" s="12">
        <v>0</v>
      </c>
      <c r="AV1430" s="12">
        <v>0</v>
      </c>
      <c r="AW1430" s="12">
        <v>0</v>
      </c>
      <c r="AX1430" s="12">
        <v>0</v>
      </c>
      <c r="AY1430" s="12">
        <v>0</v>
      </c>
      <c r="AZ1430"/>
      <c r="BA1430"/>
      <c r="BB1430" s="12">
        <v>0</v>
      </c>
      <c r="BC1430" s="12">
        <v>0</v>
      </c>
      <c r="BD1430" s="12">
        <v>0</v>
      </c>
      <c r="BE1430" s="12">
        <v>0</v>
      </c>
      <c r="BF1430" s="12">
        <v>0</v>
      </c>
      <c r="BI1430" s="12">
        <v>0</v>
      </c>
      <c r="BJ1430" s="12">
        <v>0</v>
      </c>
    </row>
    <row r="1431" spans="1:62" x14ac:dyDescent="0.15">
      <c r="A1431" s="12"/>
      <c r="B1431" t="s">
        <v>8139</v>
      </c>
      <c r="C1431" s="27" t="s">
        <v>8140</v>
      </c>
      <c r="D1431" t="s">
        <v>6596</v>
      </c>
      <c r="E1431" t="s">
        <v>2182</v>
      </c>
      <c r="F1431"/>
      <c r="G1431"/>
      <c r="H1431"/>
      <c r="I1431"/>
      <c r="J1431"/>
      <c r="K1431"/>
      <c r="L1431" s="10">
        <v>3984610</v>
      </c>
      <c r="M1431" s="10">
        <v>696520</v>
      </c>
      <c r="N1431" s="12">
        <v>15</v>
      </c>
      <c r="O1431" s="12" t="s">
        <v>6992</v>
      </c>
      <c r="P1431" t="s">
        <v>2183</v>
      </c>
      <c r="R1431"/>
      <c r="S1431" t="s">
        <v>2184</v>
      </c>
      <c r="T1431" s="12" t="s">
        <v>2185</v>
      </c>
      <c r="U1431" s="12" t="s">
        <v>2186</v>
      </c>
      <c r="V1431" s="12" t="s">
        <v>2187</v>
      </c>
      <c r="W1431" s="12">
        <v>0</v>
      </c>
      <c r="X1431" s="12">
        <v>1</v>
      </c>
      <c r="Y1431" s="12">
        <v>0</v>
      </c>
      <c r="Z1431" s="12">
        <v>0</v>
      </c>
      <c r="AA1431" s="12">
        <v>0</v>
      </c>
      <c r="AB1431" s="12">
        <v>0</v>
      </c>
      <c r="AC1431" s="12">
        <v>0</v>
      </c>
      <c r="AD1431" s="12">
        <v>0</v>
      </c>
      <c r="AE1431" s="12">
        <v>0</v>
      </c>
      <c r="AF1431" s="12">
        <v>0</v>
      </c>
      <c r="AG1431" s="12">
        <v>0</v>
      </c>
      <c r="AH1431" s="12">
        <v>0</v>
      </c>
      <c r="AI1431" s="12">
        <v>0</v>
      </c>
      <c r="AJ1431" s="12">
        <v>0</v>
      </c>
      <c r="AK1431" s="12">
        <v>0</v>
      </c>
      <c r="AL1431" s="12">
        <v>0</v>
      </c>
      <c r="AM1431" s="12"/>
      <c r="AN1431" s="12">
        <v>0</v>
      </c>
      <c r="AO1431" s="12">
        <v>0</v>
      </c>
      <c r="AP1431" s="12">
        <v>0</v>
      </c>
      <c r="AQ1431" s="12">
        <v>0</v>
      </c>
      <c r="AR1431" s="12">
        <v>0</v>
      </c>
      <c r="AS1431" s="12">
        <v>0</v>
      </c>
      <c r="AT1431" s="12">
        <v>0</v>
      </c>
      <c r="AU1431" s="12">
        <v>0</v>
      </c>
      <c r="AV1431" s="12">
        <v>0</v>
      </c>
      <c r="AW1431" s="12">
        <v>0</v>
      </c>
      <c r="AX1431" s="12">
        <v>0</v>
      </c>
      <c r="AY1431" s="12">
        <v>0</v>
      </c>
      <c r="AZ1431"/>
      <c r="BA1431"/>
      <c r="BB1431" s="12">
        <v>0</v>
      </c>
      <c r="BC1431" s="12">
        <v>0</v>
      </c>
      <c r="BD1431" s="12">
        <v>0</v>
      </c>
      <c r="BE1431" s="12">
        <v>0</v>
      </c>
      <c r="BF1431" s="12">
        <v>0</v>
      </c>
      <c r="BI1431" s="12">
        <v>0</v>
      </c>
      <c r="BJ1431" s="12">
        <v>0</v>
      </c>
    </row>
    <row r="1432" spans="1:62" x14ac:dyDescent="0.15">
      <c r="A1432" s="12"/>
      <c r="B1432" t="s">
        <v>8141</v>
      </c>
      <c r="C1432" s="27" t="s">
        <v>8142</v>
      </c>
      <c r="D1432" t="s">
        <v>6596</v>
      </c>
      <c r="E1432" t="s">
        <v>2182</v>
      </c>
      <c r="F1432"/>
      <c r="G1432"/>
      <c r="H1432"/>
      <c r="I1432"/>
      <c r="J1432"/>
      <c r="K1432"/>
      <c r="L1432" s="10">
        <v>3984290</v>
      </c>
      <c r="M1432" s="10">
        <v>695620</v>
      </c>
      <c r="N1432" s="12">
        <v>15</v>
      </c>
      <c r="O1432" s="12" t="s">
        <v>6992</v>
      </c>
      <c r="P1432" t="s">
        <v>2183</v>
      </c>
      <c r="R1432"/>
      <c r="S1432" t="s">
        <v>2184</v>
      </c>
      <c r="T1432" s="12" t="s">
        <v>2185</v>
      </c>
      <c r="U1432" s="12" t="s">
        <v>2186</v>
      </c>
      <c r="V1432" s="12" t="s">
        <v>2187</v>
      </c>
      <c r="W1432" s="12">
        <v>0</v>
      </c>
      <c r="X1432" s="12">
        <v>1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2">
        <v>0</v>
      </c>
      <c r="AK1432" s="12">
        <v>0</v>
      </c>
      <c r="AL1432" s="12">
        <v>0</v>
      </c>
      <c r="AM1432" s="12"/>
      <c r="AN1432" s="12">
        <v>0</v>
      </c>
      <c r="AO1432" s="12">
        <v>0</v>
      </c>
      <c r="AP1432" s="12">
        <v>0</v>
      </c>
      <c r="AQ1432" s="12">
        <v>0</v>
      </c>
      <c r="AR1432" s="12">
        <v>0</v>
      </c>
      <c r="AS1432" s="12">
        <v>0</v>
      </c>
      <c r="AT1432" s="12">
        <v>0</v>
      </c>
      <c r="AU1432" s="12">
        <v>0</v>
      </c>
      <c r="AV1432" s="12">
        <v>0</v>
      </c>
      <c r="AW1432" s="12">
        <v>0</v>
      </c>
      <c r="AX1432" s="12">
        <v>0</v>
      </c>
      <c r="AY1432" s="12">
        <v>0</v>
      </c>
      <c r="AZ1432"/>
      <c r="BA1432"/>
      <c r="BB1432" s="12">
        <v>0</v>
      </c>
      <c r="BC1432" s="12">
        <v>0</v>
      </c>
      <c r="BD1432" s="12">
        <v>0</v>
      </c>
      <c r="BE1432" s="12">
        <v>0</v>
      </c>
      <c r="BF1432" s="12">
        <v>0</v>
      </c>
      <c r="BI1432" s="12">
        <v>0</v>
      </c>
      <c r="BJ1432" s="12">
        <v>0</v>
      </c>
    </row>
    <row r="1433" spans="1:62" x14ac:dyDescent="0.15">
      <c r="A1433" s="12"/>
      <c r="B1433" t="s">
        <v>8143</v>
      </c>
      <c r="C1433" t="s">
        <v>8143</v>
      </c>
      <c r="D1433" t="s">
        <v>6596</v>
      </c>
      <c r="E1433" t="s">
        <v>2182</v>
      </c>
      <c r="F1433"/>
      <c r="G1433"/>
      <c r="H1433"/>
      <c r="I1433"/>
      <c r="J1433"/>
      <c r="K1433"/>
      <c r="L1433" s="10">
        <v>3983880</v>
      </c>
      <c r="M1433" s="10">
        <v>725730</v>
      </c>
      <c r="N1433" s="12">
        <v>15</v>
      </c>
      <c r="O1433" s="12" t="s">
        <v>6992</v>
      </c>
      <c r="P1433" t="s">
        <v>2183</v>
      </c>
      <c r="R1433"/>
      <c r="S1433" t="s">
        <v>2184</v>
      </c>
      <c r="T1433" s="12" t="s">
        <v>2185</v>
      </c>
      <c r="U1433" s="12" t="s">
        <v>2186</v>
      </c>
      <c r="V1433" s="12" t="s">
        <v>2187</v>
      </c>
      <c r="W1433" s="12">
        <v>0</v>
      </c>
      <c r="X1433" s="12">
        <v>1</v>
      </c>
      <c r="Y1433" s="12">
        <v>0</v>
      </c>
      <c r="Z1433" s="12">
        <v>0</v>
      </c>
      <c r="AA1433" s="12">
        <v>0</v>
      </c>
      <c r="AB1433" s="12">
        <v>0</v>
      </c>
      <c r="AC1433" s="12">
        <v>0</v>
      </c>
      <c r="AD1433" s="12">
        <v>0</v>
      </c>
      <c r="AE1433" s="12">
        <v>0</v>
      </c>
      <c r="AF1433" s="12">
        <v>0</v>
      </c>
      <c r="AG1433" s="12">
        <v>0</v>
      </c>
      <c r="AH1433" s="12">
        <v>0</v>
      </c>
      <c r="AI1433" s="12">
        <v>0</v>
      </c>
      <c r="AJ1433" s="12">
        <v>0</v>
      </c>
      <c r="AK1433" s="12">
        <v>0</v>
      </c>
      <c r="AL1433" s="12">
        <v>0</v>
      </c>
      <c r="AM1433" s="12"/>
      <c r="AN1433" s="12">
        <v>0</v>
      </c>
      <c r="AO1433" s="12">
        <v>0</v>
      </c>
      <c r="AP1433" s="12">
        <v>0</v>
      </c>
      <c r="AQ1433" s="12">
        <v>0</v>
      </c>
      <c r="AR1433" s="12">
        <v>0</v>
      </c>
      <c r="AS1433" s="12">
        <v>0</v>
      </c>
      <c r="AT1433" s="12">
        <v>0</v>
      </c>
      <c r="AU1433" s="12">
        <v>0</v>
      </c>
      <c r="AV1433" s="12">
        <v>0</v>
      </c>
      <c r="AW1433" s="12">
        <v>0</v>
      </c>
      <c r="AX1433" s="12">
        <v>0</v>
      </c>
      <c r="AY1433" s="12">
        <v>0</v>
      </c>
      <c r="AZ1433"/>
      <c r="BA1433"/>
      <c r="BB1433" s="12">
        <v>0</v>
      </c>
      <c r="BC1433" s="12">
        <v>0</v>
      </c>
      <c r="BD1433" s="12">
        <v>0</v>
      </c>
      <c r="BE1433" s="12">
        <v>0</v>
      </c>
      <c r="BF1433" s="12">
        <v>0</v>
      </c>
      <c r="BI1433" s="12">
        <v>0</v>
      </c>
      <c r="BJ1433" s="12">
        <v>0</v>
      </c>
    </row>
    <row r="1434" spans="1:62" x14ac:dyDescent="0.15">
      <c r="A1434" s="12"/>
      <c r="B1434" t="s">
        <v>8144</v>
      </c>
      <c r="C1434" t="s">
        <v>8144</v>
      </c>
      <c r="D1434" t="s">
        <v>6596</v>
      </c>
      <c r="E1434" t="s">
        <v>2182</v>
      </c>
      <c r="F1434"/>
      <c r="G1434"/>
      <c r="H1434"/>
      <c r="I1434"/>
      <c r="J1434"/>
      <c r="K1434"/>
      <c r="L1434" s="10">
        <v>3993080</v>
      </c>
      <c r="M1434" s="10">
        <v>706400</v>
      </c>
      <c r="N1434" s="12">
        <v>15</v>
      </c>
      <c r="O1434" s="12" t="s">
        <v>6992</v>
      </c>
      <c r="P1434" t="s">
        <v>2183</v>
      </c>
      <c r="R1434"/>
      <c r="S1434" t="s">
        <v>2184</v>
      </c>
      <c r="T1434" s="12" t="s">
        <v>2185</v>
      </c>
      <c r="U1434" s="12" t="s">
        <v>2186</v>
      </c>
      <c r="V1434" s="12" t="s">
        <v>2187</v>
      </c>
      <c r="W1434" s="12">
        <v>0</v>
      </c>
      <c r="X1434" s="12">
        <v>1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2">
        <v>0</v>
      </c>
      <c r="AK1434" s="12">
        <v>0</v>
      </c>
      <c r="AL1434" s="12">
        <v>0</v>
      </c>
      <c r="AM1434" s="12"/>
      <c r="AN1434" s="12">
        <v>0</v>
      </c>
      <c r="AO1434" s="12">
        <v>0</v>
      </c>
      <c r="AP1434" s="12">
        <v>0</v>
      </c>
      <c r="AQ1434" s="12">
        <v>0</v>
      </c>
      <c r="AR1434" s="12">
        <v>0</v>
      </c>
      <c r="AS1434" s="12">
        <v>0</v>
      </c>
      <c r="AT1434" s="12">
        <v>0</v>
      </c>
      <c r="AU1434" s="12">
        <v>0</v>
      </c>
      <c r="AV1434" s="12">
        <v>0</v>
      </c>
      <c r="AW1434" s="12">
        <v>0</v>
      </c>
      <c r="AX1434" s="12">
        <v>0</v>
      </c>
      <c r="AY1434" s="12">
        <v>0</v>
      </c>
      <c r="AZ1434"/>
      <c r="BA1434"/>
      <c r="BB1434" s="12">
        <v>0</v>
      </c>
      <c r="BC1434" s="12">
        <v>0</v>
      </c>
      <c r="BD1434" s="12">
        <v>0</v>
      </c>
      <c r="BE1434" s="12">
        <v>0</v>
      </c>
      <c r="BF1434" s="12">
        <v>0</v>
      </c>
      <c r="BI1434" s="12">
        <v>0</v>
      </c>
      <c r="BJ1434" s="12">
        <v>0</v>
      </c>
    </row>
    <row r="1435" spans="1:62" x14ac:dyDescent="0.15">
      <c r="A1435" s="12"/>
      <c r="B1435" t="s">
        <v>8145</v>
      </c>
      <c r="C1435" t="s">
        <v>8145</v>
      </c>
      <c r="D1435" t="s">
        <v>6596</v>
      </c>
      <c r="E1435" t="s">
        <v>2182</v>
      </c>
      <c r="F1435"/>
      <c r="G1435"/>
      <c r="H1435"/>
      <c r="I1435"/>
      <c r="J1435"/>
      <c r="K1435"/>
      <c r="L1435" s="10">
        <v>3998180</v>
      </c>
      <c r="M1435" s="10">
        <v>700990</v>
      </c>
      <c r="N1435" s="12">
        <v>15</v>
      </c>
      <c r="O1435" s="12" t="s">
        <v>6992</v>
      </c>
      <c r="P1435" t="s">
        <v>2183</v>
      </c>
      <c r="R1435"/>
      <c r="S1435" t="s">
        <v>2184</v>
      </c>
      <c r="T1435" s="12" t="s">
        <v>2185</v>
      </c>
      <c r="U1435" s="12" t="s">
        <v>2186</v>
      </c>
      <c r="V1435" s="12" t="s">
        <v>2187</v>
      </c>
      <c r="W1435" s="12">
        <v>0</v>
      </c>
      <c r="X1435" s="12">
        <v>1</v>
      </c>
      <c r="Y1435" s="12">
        <v>0</v>
      </c>
      <c r="Z1435" s="12">
        <v>0</v>
      </c>
      <c r="AA1435" s="12">
        <v>0</v>
      </c>
      <c r="AB1435" s="12">
        <v>0</v>
      </c>
      <c r="AC1435" s="12">
        <v>0</v>
      </c>
      <c r="AD1435" s="12">
        <v>0</v>
      </c>
      <c r="AE1435" s="12">
        <v>0</v>
      </c>
      <c r="AF1435" s="12">
        <v>0</v>
      </c>
      <c r="AG1435" s="12">
        <v>0</v>
      </c>
      <c r="AH1435" s="12">
        <v>0</v>
      </c>
      <c r="AI1435" s="12">
        <v>0</v>
      </c>
      <c r="AJ1435" s="12">
        <v>0</v>
      </c>
      <c r="AK1435" s="12">
        <v>0</v>
      </c>
      <c r="AL1435" s="12">
        <v>0</v>
      </c>
      <c r="AM1435" s="12"/>
      <c r="AN1435" s="12">
        <v>0</v>
      </c>
      <c r="AO1435" s="12">
        <v>0</v>
      </c>
      <c r="AP1435" s="12">
        <v>0</v>
      </c>
      <c r="AQ1435" s="12">
        <v>0</v>
      </c>
      <c r="AR1435" s="12">
        <v>0</v>
      </c>
      <c r="AS1435" s="12">
        <v>0</v>
      </c>
      <c r="AT1435" s="12">
        <v>0</v>
      </c>
      <c r="AU1435" s="12">
        <v>0</v>
      </c>
      <c r="AV1435" s="12">
        <v>0</v>
      </c>
      <c r="AW1435" s="12">
        <v>0</v>
      </c>
      <c r="AX1435" s="12">
        <v>0</v>
      </c>
      <c r="AY1435" s="12">
        <v>0</v>
      </c>
      <c r="AZ1435"/>
      <c r="BA1435"/>
      <c r="BB1435" s="12">
        <v>0</v>
      </c>
      <c r="BC1435" s="12">
        <v>0</v>
      </c>
      <c r="BD1435" s="12">
        <v>0</v>
      </c>
      <c r="BE1435" s="12">
        <v>0</v>
      </c>
      <c r="BF1435" s="12">
        <v>0</v>
      </c>
      <c r="BI1435" s="12">
        <v>0</v>
      </c>
      <c r="BJ1435" s="12">
        <v>0</v>
      </c>
    </row>
    <row r="1436" spans="1:62" x14ac:dyDescent="0.15">
      <c r="A1436" s="12"/>
      <c r="B1436" t="s">
        <v>8146</v>
      </c>
      <c r="C1436" t="s">
        <v>8146</v>
      </c>
      <c r="D1436" t="s">
        <v>6596</v>
      </c>
      <c r="E1436" t="s">
        <v>2182</v>
      </c>
      <c r="F1436"/>
      <c r="G1436"/>
      <c r="H1436"/>
      <c r="I1436"/>
      <c r="J1436"/>
      <c r="K1436"/>
      <c r="L1436" s="10">
        <v>3984480</v>
      </c>
      <c r="M1436" s="10">
        <v>696540</v>
      </c>
      <c r="N1436" s="12">
        <v>15</v>
      </c>
      <c r="O1436" s="12" t="s">
        <v>6992</v>
      </c>
      <c r="P1436" t="s">
        <v>2183</v>
      </c>
      <c r="R1436"/>
      <c r="S1436" t="s">
        <v>2184</v>
      </c>
      <c r="T1436" s="12" t="s">
        <v>2185</v>
      </c>
      <c r="U1436" s="12" t="s">
        <v>2186</v>
      </c>
      <c r="V1436" s="12" t="s">
        <v>2187</v>
      </c>
      <c r="W1436" s="12">
        <v>0</v>
      </c>
      <c r="X1436" s="12">
        <v>1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2">
        <v>0</v>
      </c>
      <c r="AK1436" s="12">
        <v>0</v>
      </c>
      <c r="AL1436" s="12">
        <v>0</v>
      </c>
      <c r="AM1436" s="12"/>
      <c r="AN1436" s="12">
        <v>0</v>
      </c>
      <c r="AO1436" s="12">
        <v>0</v>
      </c>
      <c r="AP1436" s="12">
        <v>0</v>
      </c>
      <c r="AQ1436" s="12">
        <v>0</v>
      </c>
      <c r="AR1436" s="12">
        <v>0</v>
      </c>
      <c r="AS1436" s="12">
        <v>0</v>
      </c>
      <c r="AT1436" s="12">
        <v>0</v>
      </c>
      <c r="AU1436" s="12">
        <v>0</v>
      </c>
      <c r="AV1436" s="12">
        <v>0</v>
      </c>
      <c r="AW1436" s="12">
        <v>0</v>
      </c>
      <c r="AX1436" s="12">
        <v>0</v>
      </c>
      <c r="AY1436" s="12">
        <v>0</v>
      </c>
      <c r="AZ1436"/>
      <c r="BA1436"/>
      <c r="BB1436" s="12">
        <v>0</v>
      </c>
      <c r="BC1436" s="12">
        <v>0</v>
      </c>
      <c r="BD1436" s="12">
        <v>0</v>
      </c>
      <c r="BE1436" s="12">
        <v>0</v>
      </c>
      <c r="BF1436" s="12">
        <v>0</v>
      </c>
      <c r="BI1436" s="12">
        <v>0</v>
      </c>
      <c r="BJ1436" s="12">
        <v>0</v>
      </c>
    </row>
    <row r="1437" spans="1:62" x14ac:dyDescent="0.15">
      <c r="A1437" s="12"/>
      <c r="B1437" t="s">
        <v>8147</v>
      </c>
      <c r="C1437" t="s">
        <v>8147</v>
      </c>
      <c r="D1437" t="s">
        <v>6596</v>
      </c>
      <c r="E1437" t="s">
        <v>2182</v>
      </c>
      <c r="F1437"/>
      <c r="G1437"/>
      <c r="H1437"/>
      <c r="I1437"/>
      <c r="J1437"/>
      <c r="K1437"/>
      <c r="L1437" s="10">
        <v>3991400</v>
      </c>
      <c r="M1437" s="10">
        <v>702550</v>
      </c>
      <c r="N1437" s="12">
        <v>15</v>
      </c>
      <c r="O1437" s="12" t="s">
        <v>6992</v>
      </c>
      <c r="P1437" t="s">
        <v>2183</v>
      </c>
      <c r="R1437"/>
      <c r="S1437" t="s">
        <v>2184</v>
      </c>
      <c r="T1437" s="12" t="s">
        <v>2185</v>
      </c>
      <c r="U1437" s="12" t="s">
        <v>2186</v>
      </c>
      <c r="V1437" s="12" t="s">
        <v>2187</v>
      </c>
      <c r="W1437" s="12">
        <v>0</v>
      </c>
      <c r="X1437" s="12">
        <v>1</v>
      </c>
      <c r="Y1437" s="12">
        <v>0</v>
      </c>
      <c r="Z1437" s="12">
        <v>0</v>
      </c>
      <c r="AA1437" s="12">
        <v>0</v>
      </c>
      <c r="AB1437" s="12">
        <v>0</v>
      </c>
      <c r="AC1437" s="12">
        <v>0</v>
      </c>
      <c r="AD1437" s="12">
        <v>0</v>
      </c>
      <c r="AE1437" s="12">
        <v>0</v>
      </c>
      <c r="AF1437" s="12">
        <v>0</v>
      </c>
      <c r="AG1437" s="12">
        <v>0</v>
      </c>
      <c r="AH1437" s="12">
        <v>0</v>
      </c>
      <c r="AI1437" s="12">
        <v>0</v>
      </c>
      <c r="AJ1437" s="12">
        <v>0</v>
      </c>
      <c r="AK1437" s="12">
        <v>0</v>
      </c>
      <c r="AL1437" s="12">
        <v>0</v>
      </c>
      <c r="AM1437" s="12"/>
      <c r="AN1437" s="12">
        <v>0</v>
      </c>
      <c r="AO1437" s="12">
        <v>0</v>
      </c>
      <c r="AP1437" s="12">
        <v>0</v>
      </c>
      <c r="AQ1437" s="12">
        <v>0</v>
      </c>
      <c r="AR1437" s="12">
        <v>0</v>
      </c>
      <c r="AS1437" s="12">
        <v>0</v>
      </c>
      <c r="AT1437" s="12">
        <v>0</v>
      </c>
      <c r="AU1437" s="12">
        <v>0</v>
      </c>
      <c r="AV1437" s="12">
        <v>0</v>
      </c>
      <c r="AW1437" s="12">
        <v>0</v>
      </c>
      <c r="AX1437" s="12">
        <v>0</v>
      </c>
      <c r="AY1437" s="12">
        <v>0</v>
      </c>
      <c r="AZ1437"/>
      <c r="BA1437"/>
      <c r="BB1437" s="12">
        <v>0</v>
      </c>
      <c r="BC1437" s="12">
        <v>0</v>
      </c>
      <c r="BD1437" s="12">
        <v>0</v>
      </c>
      <c r="BE1437" s="12">
        <v>0</v>
      </c>
      <c r="BF1437" s="12">
        <v>0</v>
      </c>
      <c r="BI1437" s="12">
        <v>0</v>
      </c>
      <c r="BJ1437" s="12">
        <v>0</v>
      </c>
    </row>
    <row r="1438" spans="1:62" x14ac:dyDescent="0.15">
      <c r="A1438" s="12"/>
      <c r="B1438" t="s">
        <v>8148</v>
      </c>
      <c r="C1438" t="s">
        <v>8148</v>
      </c>
      <c r="D1438" t="s">
        <v>6596</v>
      </c>
      <c r="E1438" t="s">
        <v>2182</v>
      </c>
      <c r="F1438"/>
      <c r="G1438"/>
      <c r="H1438"/>
      <c r="I1438"/>
      <c r="J1438"/>
      <c r="K1438"/>
      <c r="L1438" s="10">
        <v>3991930</v>
      </c>
      <c r="M1438" s="10">
        <v>702470</v>
      </c>
      <c r="N1438" s="12">
        <v>15</v>
      </c>
      <c r="O1438" s="12" t="s">
        <v>6992</v>
      </c>
      <c r="P1438" t="s">
        <v>2183</v>
      </c>
      <c r="R1438"/>
      <c r="S1438" t="s">
        <v>2184</v>
      </c>
      <c r="T1438" s="12" t="s">
        <v>2185</v>
      </c>
      <c r="U1438" s="12" t="s">
        <v>2186</v>
      </c>
      <c r="V1438" s="12" t="s">
        <v>2187</v>
      </c>
      <c r="W1438" s="12">
        <v>0</v>
      </c>
      <c r="X1438" s="12">
        <v>1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2">
        <v>0</v>
      </c>
      <c r="AK1438" s="12">
        <v>0</v>
      </c>
      <c r="AL1438" s="12">
        <v>0</v>
      </c>
      <c r="AM1438" s="12"/>
      <c r="AN1438" s="12">
        <v>0</v>
      </c>
      <c r="AO1438" s="12">
        <v>0</v>
      </c>
      <c r="AP1438" s="12">
        <v>0</v>
      </c>
      <c r="AQ1438" s="12">
        <v>0</v>
      </c>
      <c r="AR1438" s="12">
        <v>0</v>
      </c>
      <c r="AS1438" s="12">
        <v>0</v>
      </c>
      <c r="AT1438" s="12">
        <v>0</v>
      </c>
      <c r="AU1438" s="12">
        <v>0</v>
      </c>
      <c r="AV1438" s="12">
        <v>0</v>
      </c>
      <c r="AW1438" s="12">
        <v>0</v>
      </c>
      <c r="AX1438" s="12">
        <v>0</v>
      </c>
      <c r="AY1438" s="12">
        <v>0</v>
      </c>
      <c r="AZ1438"/>
      <c r="BA1438"/>
      <c r="BB1438" s="12">
        <v>0</v>
      </c>
      <c r="BC1438" s="12">
        <v>0</v>
      </c>
      <c r="BD1438" s="12">
        <v>0</v>
      </c>
      <c r="BE1438" s="12">
        <v>0</v>
      </c>
      <c r="BF1438" s="12">
        <v>0</v>
      </c>
      <c r="BI1438" s="12">
        <v>0</v>
      </c>
      <c r="BJ1438" s="12">
        <v>0</v>
      </c>
    </row>
    <row r="1439" spans="1:62" x14ac:dyDescent="0.15">
      <c r="A1439" s="12"/>
      <c r="B1439" t="s">
        <v>8149</v>
      </c>
      <c r="C1439" t="s">
        <v>8149</v>
      </c>
      <c r="D1439" t="s">
        <v>6596</v>
      </c>
      <c r="E1439" t="s">
        <v>2182</v>
      </c>
      <c r="F1439"/>
      <c r="G1439"/>
      <c r="H1439"/>
      <c r="I1439"/>
      <c r="J1439"/>
      <c r="K1439"/>
      <c r="L1439" s="10">
        <v>3991900</v>
      </c>
      <c r="M1439" s="10">
        <v>702640</v>
      </c>
      <c r="N1439" s="12">
        <v>15</v>
      </c>
      <c r="O1439" s="12" t="s">
        <v>6992</v>
      </c>
      <c r="P1439" t="s">
        <v>2183</v>
      </c>
      <c r="R1439"/>
      <c r="S1439" t="s">
        <v>2184</v>
      </c>
      <c r="T1439" s="12" t="s">
        <v>2185</v>
      </c>
      <c r="U1439" s="12" t="s">
        <v>2186</v>
      </c>
      <c r="V1439" s="12" t="s">
        <v>2187</v>
      </c>
      <c r="W1439" s="12">
        <v>0</v>
      </c>
      <c r="X1439" s="12">
        <v>1</v>
      </c>
      <c r="Y1439" s="12">
        <v>0</v>
      </c>
      <c r="Z1439" s="12">
        <v>0</v>
      </c>
      <c r="AA1439" s="12">
        <v>0</v>
      </c>
      <c r="AB1439" s="12">
        <v>0</v>
      </c>
      <c r="AC1439" s="12">
        <v>0</v>
      </c>
      <c r="AD1439" s="12">
        <v>0</v>
      </c>
      <c r="AE1439" s="12">
        <v>0</v>
      </c>
      <c r="AF1439" s="12">
        <v>0</v>
      </c>
      <c r="AG1439" s="12">
        <v>0</v>
      </c>
      <c r="AH1439" s="12">
        <v>0</v>
      </c>
      <c r="AI1439" s="12">
        <v>0</v>
      </c>
      <c r="AJ1439" s="12">
        <v>0</v>
      </c>
      <c r="AK1439" s="12">
        <v>0</v>
      </c>
      <c r="AL1439" s="12">
        <v>0</v>
      </c>
      <c r="AM1439" s="12"/>
      <c r="AN1439" s="12">
        <v>0</v>
      </c>
      <c r="AO1439" s="12">
        <v>0</v>
      </c>
      <c r="AP1439" s="12">
        <v>0</v>
      </c>
      <c r="AQ1439" s="12">
        <v>0</v>
      </c>
      <c r="AR1439" s="12">
        <v>0</v>
      </c>
      <c r="AS1439" s="12">
        <v>0</v>
      </c>
      <c r="AT1439" s="12">
        <v>0</v>
      </c>
      <c r="AU1439" s="12">
        <v>0</v>
      </c>
      <c r="AV1439" s="12">
        <v>0</v>
      </c>
      <c r="AW1439" s="12">
        <v>0</v>
      </c>
      <c r="AX1439" s="12">
        <v>0</v>
      </c>
      <c r="AY1439" s="12">
        <v>0</v>
      </c>
      <c r="AZ1439"/>
      <c r="BA1439"/>
      <c r="BB1439" s="12">
        <v>0</v>
      </c>
      <c r="BC1439" s="12">
        <v>0</v>
      </c>
      <c r="BD1439" s="12">
        <v>0</v>
      </c>
      <c r="BE1439" s="12">
        <v>0</v>
      </c>
      <c r="BF1439" s="12">
        <v>0</v>
      </c>
      <c r="BI1439" s="12">
        <v>0</v>
      </c>
      <c r="BJ1439" s="12">
        <v>0</v>
      </c>
    </row>
    <row r="1440" spans="1:62" x14ac:dyDescent="0.15">
      <c r="A1440" s="12"/>
      <c r="B1440" t="s">
        <v>8150</v>
      </c>
      <c r="C1440" t="s">
        <v>8150</v>
      </c>
      <c r="D1440" t="s">
        <v>6596</v>
      </c>
      <c r="E1440" t="s">
        <v>2182</v>
      </c>
      <c r="F1440"/>
      <c r="G1440"/>
      <c r="H1440"/>
      <c r="I1440"/>
      <c r="J1440"/>
      <c r="K1440"/>
      <c r="L1440" s="10">
        <v>3991660</v>
      </c>
      <c r="M1440" s="10">
        <v>702560</v>
      </c>
      <c r="N1440" s="12">
        <v>15</v>
      </c>
      <c r="O1440" s="12" t="s">
        <v>6992</v>
      </c>
      <c r="P1440" t="s">
        <v>2183</v>
      </c>
      <c r="R1440"/>
      <c r="S1440" t="s">
        <v>2184</v>
      </c>
      <c r="T1440" s="12" t="s">
        <v>2185</v>
      </c>
      <c r="U1440" s="12" t="s">
        <v>2186</v>
      </c>
      <c r="V1440" s="12" t="s">
        <v>2187</v>
      </c>
      <c r="W1440" s="12">
        <v>0</v>
      </c>
      <c r="X1440" s="12">
        <v>1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2">
        <v>0</v>
      </c>
      <c r="AK1440" s="12">
        <v>0</v>
      </c>
      <c r="AL1440" s="12">
        <v>0</v>
      </c>
      <c r="AM1440" s="12"/>
      <c r="AN1440" s="12">
        <v>0</v>
      </c>
      <c r="AO1440" s="12">
        <v>0</v>
      </c>
      <c r="AP1440" s="12">
        <v>0</v>
      </c>
      <c r="AQ1440" s="12">
        <v>0</v>
      </c>
      <c r="AR1440" s="12">
        <v>0</v>
      </c>
      <c r="AS1440" s="12">
        <v>0</v>
      </c>
      <c r="AT1440" s="12">
        <v>0</v>
      </c>
      <c r="AU1440" s="12">
        <v>0</v>
      </c>
      <c r="AV1440" s="12">
        <v>0</v>
      </c>
      <c r="AW1440" s="12">
        <v>0</v>
      </c>
      <c r="AX1440" s="12">
        <v>0</v>
      </c>
      <c r="AY1440" s="12">
        <v>0</v>
      </c>
      <c r="AZ1440"/>
      <c r="BA1440"/>
      <c r="BB1440" s="12">
        <v>0</v>
      </c>
      <c r="BC1440" s="12">
        <v>0</v>
      </c>
      <c r="BD1440" s="12">
        <v>0</v>
      </c>
      <c r="BE1440" s="12">
        <v>0</v>
      </c>
      <c r="BF1440" s="12">
        <v>0</v>
      </c>
      <c r="BI1440" s="12">
        <v>0</v>
      </c>
      <c r="BJ1440" s="12">
        <v>0</v>
      </c>
    </row>
    <row r="1441" spans="1:62" x14ac:dyDescent="0.15">
      <c r="A1441" s="12"/>
      <c r="B1441" t="s">
        <v>8151</v>
      </c>
      <c r="C1441" s="27" t="s">
        <v>8152</v>
      </c>
      <c r="D1441" t="s">
        <v>6596</v>
      </c>
      <c r="E1441" t="s">
        <v>2182</v>
      </c>
      <c r="F1441"/>
      <c r="G1441"/>
      <c r="H1441"/>
      <c r="I1441"/>
      <c r="J1441"/>
      <c r="K1441"/>
      <c r="L1441" s="10">
        <v>3985740</v>
      </c>
      <c r="M1441" s="10">
        <v>696140</v>
      </c>
      <c r="N1441" s="12">
        <v>15</v>
      </c>
      <c r="O1441" s="12" t="s">
        <v>6992</v>
      </c>
      <c r="P1441" t="s">
        <v>2183</v>
      </c>
      <c r="R1441"/>
      <c r="S1441" t="s">
        <v>2184</v>
      </c>
      <c r="T1441" s="12" t="s">
        <v>2185</v>
      </c>
      <c r="U1441" s="12" t="s">
        <v>2186</v>
      </c>
      <c r="V1441" s="12" t="s">
        <v>2187</v>
      </c>
      <c r="W1441" s="12">
        <v>0</v>
      </c>
      <c r="X1441" s="12">
        <v>1</v>
      </c>
      <c r="Y1441" s="12">
        <v>0</v>
      </c>
      <c r="Z1441" s="12">
        <v>0</v>
      </c>
      <c r="AA1441" s="12">
        <v>0</v>
      </c>
      <c r="AB1441" s="12">
        <v>0</v>
      </c>
      <c r="AC1441" s="12">
        <v>0</v>
      </c>
      <c r="AD1441" s="12">
        <v>0</v>
      </c>
      <c r="AE1441" s="12">
        <v>0</v>
      </c>
      <c r="AF1441" s="12">
        <v>0</v>
      </c>
      <c r="AG1441" s="12">
        <v>0</v>
      </c>
      <c r="AH1441" s="12">
        <v>0</v>
      </c>
      <c r="AI1441" s="12">
        <v>0</v>
      </c>
      <c r="AJ1441" s="12">
        <v>0</v>
      </c>
      <c r="AK1441" s="12">
        <v>0</v>
      </c>
      <c r="AL1441" s="12">
        <v>0</v>
      </c>
      <c r="AM1441" s="12"/>
      <c r="AN1441" s="12">
        <v>0</v>
      </c>
      <c r="AO1441" s="12">
        <v>0</v>
      </c>
      <c r="AP1441" s="12">
        <v>0</v>
      </c>
      <c r="AQ1441" s="12">
        <v>0</v>
      </c>
      <c r="AR1441" s="12">
        <v>0</v>
      </c>
      <c r="AS1441" s="12">
        <v>0</v>
      </c>
      <c r="AT1441" s="12">
        <v>0</v>
      </c>
      <c r="AU1441" s="12">
        <v>0</v>
      </c>
      <c r="AV1441" s="12">
        <v>0</v>
      </c>
      <c r="AW1441" s="12">
        <v>0</v>
      </c>
      <c r="AX1441" s="12">
        <v>0</v>
      </c>
      <c r="AY1441" s="12">
        <v>0</v>
      </c>
      <c r="AZ1441"/>
      <c r="BA1441"/>
      <c r="BB1441" s="12">
        <v>0</v>
      </c>
      <c r="BC1441" s="12">
        <v>0</v>
      </c>
      <c r="BD1441" s="12">
        <v>0</v>
      </c>
      <c r="BE1441" s="12">
        <v>0</v>
      </c>
      <c r="BF1441" s="12">
        <v>0</v>
      </c>
      <c r="BI1441" s="12">
        <v>0</v>
      </c>
      <c r="BJ1441" s="12">
        <v>0</v>
      </c>
    </row>
    <row r="1442" spans="1:62" x14ac:dyDescent="0.15">
      <c r="A1442" s="12"/>
      <c r="B1442" t="s">
        <v>8153</v>
      </c>
      <c r="C1442" t="s">
        <v>8153</v>
      </c>
      <c r="D1442" t="s">
        <v>6596</v>
      </c>
      <c r="E1442" t="s">
        <v>2182</v>
      </c>
      <c r="F1442"/>
      <c r="G1442"/>
      <c r="H1442"/>
      <c r="I1442"/>
      <c r="J1442"/>
      <c r="K1442"/>
      <c r="L1442" s="10">
        <v>3992100</v>
      </c>
      <c r="M1442" s="10">
        <v>703050</v>
      </c>
      <c r="N1442" s="12">
        <v>15</v>
      </c>
      <c r="O1442" s="12" t="s">
        <v>6992</v>
      </c>
      <c r="P1442" t="s">
        <v>2183</v>
      </c>
      <c r="R1442"/>
      <c r="S1442" t="s">
        <v>2184</v>
      </c>
      <c r="T1442" s="12" t="s">
        <v>2185</v>
      </c>
      <c r="U1442" s="12" t="s">
        <v>2186</v>
      </c>
      <c r="V1442" s="12" t="s">
        <v>2187</v>
      </c>
      <c r="W1442" s="12">
        <v>0</v>
      </c>
      <c r="X1442" s="12">
        <v>1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2">
        <v>0</v>
      </c>
      <c r="AK1442" s="12">
        <v>0</v>
      </c>
      <c r="AL1442" s="12">
        <v>0</v>
      </c>
      <c r="AM1442" s="12"/>
      <c r="AN1442" s="12">
        <v>0</v>
      </c>
      <c r="AO1442" s="12">
        <v>0</v>
      </c>
      <c r="AP1442" s="12">
        <v>0</v>
      </c>
      <c r="AQ1442" s="12">
        <v>0</v>
      </c>
      <c r="AR1442" s="12">
        <v>0</v>
      </c>
      <c r="AS1442" s="12">
        <v>0</v>
      </c>
      <c r="AT1442" s="12">
        <v>0</v>
      </c>
      <c r="AU1442" s="12">
        <v>0</v>
      </c>
      <c r="AV1442" s="12">
        <v>0</v>
      </c>
      <c r="AW1442" s="12">
        <v>0</v>
      </c>
      <c r="AX1442" s="12">
        <v>0</v>
      </c>
      <c r="AY1442" s="12">
        <v>0</v>
      </c>
      <c r="AZ1442"/>
      <c r="BA1442"/>
      <c r="BB1442" s="12">
        <v>0</v>
      </c>
      <c r="BC1442" s="12">
        <v>0</v>
      </c>
      <c r="BD1442" s="12">
        <v>0</v>
      </c>
      <c r="BE1442" s="12">
        <v>0</v>
      </c>
      <c r="BF1442" s="12">
        <v>0</v>
      </c>
      <c r="BI1442" s="12">
        <v>0</v>
      </c>
      <c r="BJ1442" s="12">
        <v>0</v>
      </c>
    </row>
    <row r="1443" spans="1:62" x14ac:dyDescent="0.15">
      <c r="A1443" s="12"/>
      <c r="B1443" t="s">
        <v>8154</v>
      </c>
      <c r="C1443" t="s">
        <v>8154</v>
      </c>
      <c r="D1443" t="s">
        <v>6596</v>
      </c>
      <c r="E1443" t="s">
        <v>2182</v>
      </c>
      <c r="F1443"/>
      <c r="G1443"/>
      <c r="H1443"/>
      <c r="I1443"/>
      <c r="J1443"/>
      <c r="K1443"/>
      <c r="L1443" s="10">
        <v>4013700</v>
      </c>
      <c r="M1443" s="10">
        <v>699600</v>
      </c>
      <c r="N1443" s="12">
        <v>15</v>
      </c>
      <c r="O1443" s="12" t="s">
        <v>6992</v>
      </c>
      <c r="P1443" t="s">
        <v>2183</v>
      </c>
      <c r="R1443"/>
      <c r="S1443" t="s">
        <v>2184</v>
      </c>
      <c r="T1443" s="12" t="s">
        <v>2185</v>
      </c>
      <c r="U1443" s="12" t="s">
        <v>2186</v>
      </c>
      <c r="V1443" s="12" t="s">
        <v>2187</v>
      </c>
      <c r="W1443" s="12">
        <v>0</v>
      </c>
      <c r="X1443" s="12">
        <v>1</v>
      </c>
      <c r="Y1443" s="12">
        <v>0</v>
      </c>
      <c r="Z1443" s="12">
        <v>0</v>
      </c>
      <c r="AA1443" s="12">
        <v>0</v>
      </c>
      <c r="AB1443" s="12">
        <v>0</v>
      </c>
      <c r="AC1443" s="12">
        <v>0</v>
      </c>
      <c r="AD1443" s="12">
        <v>0</v>
      </c>
      <c r="AE1443" s="12">
        <v>0</v>
      </c>
      <c r="AF1443" s="12">
        <v>0</v>
      </c>
      <c r="AG1443" s="12">
        <v>0</v>
      </c>
      <c r="AH1443" s="12">
        <v>0</v>
      </c>
      <c r="AI1443" s="12">
        <v>0</v>
      </c>
      <c r="AJ1443" s="12">
        <v>0</v>
      </c>
      <c r="AK1443" s="12">
        <v>0</v>
      </c>
      <c r="AL1443" s="12">
        <v>0</v>
      </c>
      <c r="AM1443" s="12"/>
      <c r="AN1443" s="12">
        <v>0</v>
      </c>
      <c r="AO1443" s="12">
        <v>0</v>
      </c>
      <c r="AP1443" s="12">
        <v>0</v>
      </c>
      <c r="AQ1443" s="12">
        <v>0</v>
      </c>
      <c r="AR1443" s="12">
        <v>0</v>
      </c>
      <c r="AS1443" s="12">
        <v>0</v>
      </c>
      <c r="AT1443" s="12">
        <v>0</v>
      </c>
      <c r="AU1443" s="12">
        <v>0</v>
      </c>
      <c r="AV1443" s="12">
        <v>0</v>
      </c>
      <c r="AW1443" s="12">
        <v>0</v>
      </c>
      <c r="AX1443" s="12">
        <v>0</v>
      </c>
      <c r="AY1443" s="12">
        <v>0</v>
      </c>
      <c r="AZ1443"/>
      <c r="BA1443"/>
      <c r="BB1443" s="12">
        <v>0</v>
      </c>
      <c r="BC1443" s="12">
        <v>0</v>
      </c>
      <c r="BD1443" s="12">
        <v>0</v>
      </c>
      <c r="BE1443" s="12">
        <v>0</v>
      </c>
      <c r="BF1443" s="12">
        <v>0</v>
      </c>
      <c r="BI1443" s="12">
        <v>0</v>
      </c>
      <c r="BJ1443" s="12">
        <v>0</v>
      </c>
    </row>
    <row r="1444" spans="1:62" x14ac:dyDescent="0.15">
      <c r="A1444" s="12"/>
      <c r="B1444" t="s">
        <v>8155</v>
      </c>
      <c r="C1444" s="27" t="s">
        <v>8156</v>
      </c>
      <c r="D1444" t="s">
        <v>6596</v>
      </c>
      <c r="E1444" t="s">
        <v>2182</v>
      </c>
      <c r="F1444"/>
      <c r="G1444"/>
      <c r="H1444"/>
      <c r="I1444"/>
      <c r="J1444"/>
      <c r="K1444"/>
      <c r="L1444" s="10">
        <v>4008940</v>
      </c>
      <c r="M1444" s="10">
        <v>704060</v>
      </c>
      <c r="N1444" s="12">
        <v>15</v>
      </c>
      <c r="O1444" s="12" t="s">
        <v>6992</v>
      </c>
      <c r="P1444" t="s">
        <v>2183</v>
      </c>
      <c r="R1444"/>
      <c r="S1444" t="s">
        <v>2184</v>
      </c>
      <c r="T1444" s="12" t="s">
        <v>2185</v>
      </c>
      <c r="U1444" s="12" t="s">
        <v>2186</v>
      </c>
      <c r="V1444" s="12" t="s">
        <v>2187</v>
      </c>
      <c r="W1444" s="12">
        <v>0</v>
      </c>
      <c r="X1444" s="12">
        <v>1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2">
        <v>0</v>
      </c>
      <c r="AK1444" s="12">
        <v>0</v>
      </c>
      <c r="AL1444" s="12">
        <v>0</v>
      </c>
      <c r="AM1444" s="12"/>
      <c r="AN1444" s="12">
        <v>0</v>
      </c>
      <c r="AO1444" s="12">
        <v>0</v>
      </c>
      <c r="AP1444" s="12">
        <v>0</v>
      </c>
      <c r="AQ1444" s="12">
        <v>0</v>
      </c>
      <c r="AR1444" s="12">
        <v>0</v>
      </c>
      <c r="AS1444" s="12">
        <v>0</v>
      </c>
      <c r="AT1444" s="12">
        <v>0</v>
      </c>
      <c r="AU1444" s="12">
        <v>0</v>
      </c>
      <c r="AV1444" s="12">
        <v>0</v>
      </c>
      <c r="AW1444" s="12">
        <v>0</v>
      </c>
      <c r="AX1444" s="12">
        <v>0</v>
      </c>
      <c r="AY1444" s="12">
        <v>0</v>
      </c>
      <c r="AZ1444"/>
      <c r="BA1444"/>
      <c r="BB1444" s="12">
        <v>0</v>
      </c>
      <c r="BC1444" s="12">
        <v>0</v>
      </c>
      <c r="BD1444" s="12">
        <v>0</v>
      </c>
      <c r="BE1444" s="12">
        <v>0</v>
      </c>
      <c r="BF1444" s="12">
        <v>0</v>
      </c>
      <c r="BI1444" s="12">
        <v>0</v>
      </c>
      <c r="BJ1444" s="12">
        <v>0</v>
      </c>
    </row>
    <row r="1445" spans="1:62" x14ac:dyDescent="0.15">
      <c r="A1445" s="12"/>
      <c r="B1445" t="s">
        <v>8157</v>
      </c>
      <c r="C1445" t="s">
        <v>8157</v>
      </c>
      <c r="D1445" t="s">
        <v>6596</v>
      </c>
      <c r="E1445" t="s">
        <v>2182</v>
      </c>
      <c r="F1445"/>
      <c r="G1445"/>
      <c r="H1445"/>
      <c r="I1445"/>
      <c r="J1445"/>
      <c r="K1445"/>
      <c r="L1445" s="10">
        <v>4006330</v>
      </c>
      <c r="M1445" s="10">
        <v>701430</v>
      </c>
      <c r="N1445" s="12">
        <v>15</v>
      </c>
      <c r="O1445" s="12" t="s">
        <v>6992</v>
      </c>
      <c r="P1445" t="s">
        <v>2183</v>
      </c>
      <c r="R1445"/>
      <c r="S1445" t="s">
        <v>2184</v>
      </c>
      <c r="T1445" s="12" t="s">
        <v>2185</v>
      </c>
      <c r="U1445" s="12" t="s">
        <v>2186</v>
      </c>
      <c r="V1445" s="12" t="s">
        <v>2187</v>
      </c>
      <c r="W1445" s="12">
        <v>0</v>
      </c>
      <c r="X1445" s="12">
        <v>1</v>
      </c>
      <c r="Y1445" s="12">
        <v>0</v>
      </c>
      <c r="Z1445" s="12">
        <v>0</v>
      </c>
      <c r="AA1445" s="12">
        <v>0</v>
      </c>
      <c r="AB1445" s="12">
        <v>0</v>
      </c>
      <c r="AC1445" s="12">
        <v>0</v>
      </c>
      <c r="AD1445" s="12">
        <v>0</v>
      </c>
      <c r="AE1445" s="12">
        <v>0</v>
      </c>
      <c r="AF1445" s="12">
        <v>0</v>
      </c>
      <c r="AG1445" s="12">
        <v>0</v>
      </c>
      <c r="AH1445" s="12">
        <v>0</v>
      </c>
      <c r="AI1445" s="12">
        <v>0</v>
      </c>
      <c r="AJ1445" s="12">
        <v>0</v>
      </c>
      <c r="AK1445" s="12">
        <v>0</v>
      </c>
      <c r="AL1445" s="12">
        <v>0</v>
      </c>
      <c r="AM1445" s="12"/>
      <c r="AN1445" s="12">
        <v>0</v>
      </c>
      <c r="AO1445" s="12">
        <v>0</v>
      </c>
      <c r="AP1445" s="12">
        <v>0</v>
      </c>
      <c r="AQ1445" s="12">
        <v>0</v>
      </c>
      <c r="AR1445" s="12">
        <v>0</v>
      </c>
      <c r="AS1445" s="12">
        <v>0</v>
      </c>
      <c r="AT1445" s="12">
        <v>0</v>
      </c>
      <c r="AU1445" s="12">
        <v>0</v>
      </c>
      <c r="AV1445" s="12">
        <v>0</v>
      </c>
      <c r="AW1445" s="12">
        <v>0</v>
      </c>
      <c r="AX1445" s="12">
        <v>0</v>
      </c>
      <c r="AY1445" s="12">
        <v>0</v>
      </c>
      <c r="AZ1445"/>
      <c r="BA1445"/>
      <c r="BB1445" s="12">
        <v>0</v>
      </c>
      <c r="BC1445" s="12">
        <v>0</v>
      </c>
      <c r="BD1445" s="12">
        <v>0</v>
      </c>
      <c r="BE1445" s="12">
        <v>0</v>
      </c>
      <c r="BF1445" s="12">
        <v>0</v>
      </c>
      <c r="BI1445" s="12">
        <v>0</v>
      </c>
      <c r="BJ1445" s="12">
        <v>0</v>
      </c>
    </row>
    <row r="1446" spans="1:62" x14ac:dyDescent="0.15">
      <c r="A1446" s="12"/>
      <c r="B1446" t="s">
        <v>8158</v>
      </c>
      <c r="C1446" t="s">
        <v>8158</v>
      </c>
      <c r="D1446" t="s">
        <v>6596</v>
      </c>
      <c r="E1446" t="s">
        <v>2182</v>
      </c>
      <c r="F1446"/>
      <c r="G1446"/>
      <c r="H1446"/>
      <c r="I1446"/>
      <c r="J1446"/>
      <c r="K1446"/>
      <c r="L1446" s="10">
        <v>3990060</v>
      </c>
      <c r="M1446" s="10">
        <v>699880</v>
      </c>
      <c r="N1446" s="12">
        <v>15</v>
      </c>
      <c r="O1446" s="12" t="s">
        <v>6992</v>
      </c>
      <c r="P1446" t="s">
        <v>2183</v>
      </c>
      <c r="R1446"/>
      <c r="S1446" t="s">
        <v>2184</v>
      </c>
      <c r="T1446" s="12" t="s">
        <v>2185</v>
      </c>
      <c r="U1446" s="12" t="s">
        <v>2186</v>
      </c>
      <c r="V1446" s="12" t="s">
        <v>2187</v>
      </c>
      <c r="W1446" s="12">
        <v>0</v>
      </c>
      <c r="X1446" s="12">
        <v>1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2">
        <v>0</v>
      </c>
      <c r="AK1446" s="12">
        <v>0</v>
      </c>
      <c r="AL1446" s="12">
        <v>0</v>
      </c>
      <c r="AM1446" s="12"/>
      <c r="AN1446" s="12">
        <v>0</v>
      </c>
      <c r="AO1446" s="12">
        <v>0</v>
      </c>
      <c r="AP1446" s="12">
        <v>0</v>
      </c>
      <c r="AQ1446" s="12">
        <v>0</v>
      </c>
      <c r="AR1446" s="12">
        <v>0</v>
      </c>
      <c r="AS1446" s="12">
        <v>0</v>
      </c>
      <c r="AT1446" s="12">
        <v>0</v>
      </c>
      <c r="AU1446" s="12">
        <v>0</v>
      </c>
      <c r="AV1446" s="12">
        <v>0</v>
      </c>
      <c r="AW1446" s="12">
        <v>0</v>
      </c>
      <c r="AX1446" s="12">
        <v>0</v>
      </c>
      <c r="AY1446" s="12">
        <v>0</v>
      </c>
      <c r="AZ1446"/>
      <c r="BA1446"/>
      <c r="BB1446" s="12">
        <v>0</v>
      </c>
      <c r="BC1446" s="12">
        <v>0</v>
      </c>
      <c r="BD1446" s="12">
        <v>0</v>
      </c>
      <c r="BE1446" s="12">
        <v>0</v>
      </c>
      <c r="BF1446" s="12">
        <v>0</v>
      </c>
      <c r="BI1446" s="12">
        <v>0</v>
      </c>
      <c r="BJ1446" s="12">
        <v>0</v>
      </c>
    </row>
    <row r="1447" spans="1:62" x14ac:dyDescent="0.15">
      <c r="A1447" s="12"/>
      <c r="B1447" t="s">
        <v>8159</v>
      </c>
      <c r="C1447" s="27" t="s">
        <v>8160</v>
      </c>
      <c r="D1447" t="s">
        <v>6596</v>
      </c>
      <c r="E1447" t="s">
        <v>2182</v>
      </c>
      <c r="F1447"/>
      <c r="G1447"/>
      <c r="H1447"/>
      <c r="I1447"/>
      <c r="J1447"/>
      <c r="K1447"/>
      <c r="L1447" s="10">
        <v>3991120</v>
      </c>
      <c r="M1447" s="10">
        <v>700940</v>
      </c>
      <c r="N1447" s="12">
        <v>15</v>
      </c>
      <c r="O1447" s="12" t="s">
        <v>6992</v>
      </c>
      <c r="P1447" t="s">
        <v>2183</v>
      </c>
      <c r="R1447"/>
      <c r="S1447" t="s">
        <v>2184</v>
      </c>
      <c r="T1447" s="12" t="s">
        <v>2185</v>
      </c>
      <c r="U1447" s="12" t="s">
        <v>2186</v>
      </c>
      <c r="V1447" s="12" t="s">
        <v>2187</v>
      </c>
      <c r="W1447" s="12">
        <v>0</v>
      </c>
      <c r="X1447" s="12">
        <v>1</v>
      </c>
      <c r="Y1447" s="12">
        <v>0</v>
      </c>
      <c r="Z1447" s="12">
        <v>0</v>
      </c>
      <c r="AA1447" s="12">
        <v>0</v>
      </c>
      <c r="AB1447" s="12">
        <v>0</v>
      </c>
      <c r="AC1447" s="12">
        <v>0</v>
      </c>
      <c r="AD1447" s="12">
        <v>0</v>
      </c>
      <c r="AE1447" s="12">
        <v>0</v>
      </c>
      <c r="AF1447" s="12">
        <v>0</v>
      </c>
      <c r="AG1447" s="12">
        <v>0</v>
      </c>
      <c r="AH1447" s="12">
        <v>0</v>
      </c>
      <c r="AI1447" s="12">
        <v>0</v>
      </c>
      <c r="AJ1447" s="12">
        <v>0</v>
      </c>
      <c r="AK1447" s="12">
        <v>0</v>
      </c>
      <c r="AL1447" s="12">
        <v>0</v>
      </c>
      <c r="AM1447" s="12"/>
      <c r="AN1447" s="12">
        <v>0</v>
      </c>
      <c r="AO1447" s="12">
        <v>0</v>
      </c>
      <c r="AP1447" s="12">
        <v>0</v>
      </c>
      <c r="AQ1447" s="12">
        <v>0</v>
      </c>
      <c r="AR1447" s="12">
        <v>0</v>
      </c>
      <c r="AS1447" s="12">
        <v>0</v>
      </c>
      <c r="AT1447" s="12">
        <v>0</v>
      </c>
      <c r="AU1447" s="12">
        <v>0</v>
      </c>
      <c r="AV1447" s="12">
        <v>0</v>
      </c>
      <c r="AW1447" s="12">
        <v>0</v>
      </c>
      <c r="AX1447" s="12">
        <v>0</v>
      </c>
      <c r="AY1447" s="12">
        <v>0</v>
      </c>
      <c r="AZ1447"/>
      <c r="BA1447"/>
      <c r="BB1447" s="12">
        <v>0</v>
      </c>
      <c r="BC1447" s="12">
        <v>0</v>
      </c>
      <c r="BD1447" s="12">
        <v>0</v>
      </c>
      <c r="BE1447" s="12">
        <v>0</v>
      </c>
      <c r="BF1447" s="12">
        <v>0</v>
      </c>
      <c r="BI1447" s="12">
        <v>0</v>
      </c>
      <c r="BJ1447" s="12">
        <v>0</v>
      </c>
    </row>
    <row r="1448" spans="1:62" x14ac:dyDescent="0.15">
      <c r="A1448" s="12"/>
      <c r="B1448" t="s">
        <v>8161</v>
      </c>
      <c r="C1448" t="s">
        <v>8161</v>
      </c>
      <c r="D1448" t="s">
        <v>6596</v>
      </c>
      <c r="E1448" t="s">
        <v>2182</v>
      </c>
      <c r="F1448"/>
      <c r="G1448"/>
      <c r="H1448"/>
      <c r="I1448"/>
      <c r="J1448"/>
      <c r="K1448"/>
      <c r="L1448" s="10">
        <v>3987020</v>
      </c>
      <c r="M1448" s="10">
        <v>701680</v>
      </c>
      <c r="N1448" s="12">
        <v>15</v>
      </c>
      <c r="O1448" s="12" t="s">
        <v>6992</v>
      </c>
      <c r="P1448" t="s">
        <v>2183</v>
      </c>
      <c r="R1448"/>
      <c r="S1448" t="s">
        <v>2184</v>
      </c>
      <c r="T1448" s="12" t="s">
        <v>2185</v>
      </c>
      <c r="U1448" s="12" t="s">
        <v>2186</v>
      </c>
      <c r="V1448" s="12" t="s">
        <v>2187</v>
      </c>
      <c r="W1448" s="12">
        <v>0</v>
      </c>
      <c r="X1448" s="12">
        <v>1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2">
        <v>0</v>
      </c>
      <c r="AK1448" s="12">
        <v>0</v>
      </c>
      <c r="AL1448" s="12">
        <v>0</v>
      </c>
      <c r="AM1448" s="12"/>
      <c r="AN1448" s="12">
        <v>0</v>
      </c>
      <c r="AO1448" s="12">
        <v>0</v>
      </c>
      <c r="AP1448" s="12">
        <v>0</v>
      </c>
      <c r="AQ1448" s="12">
        <v>0</v>
      </c>
      <c r="AR1448" s="12">
        <v>0</v>
      </c>
      <c r="AS1448" s="12">
        <v>0</v>
      </c>
      <c r="AT1448" s="12">
        <v>0</v>
      </c>
      <c r="AU1448" s="12">
        <v>0</v>
      </c>
      <c r="AV1448" s="12">
        <v>0</v>
      </c>
      <c r="AW1448" s="12">
        <v>0</v>
      </c>
      <c r="AX1448" s="12">
        <v>0</v>
      </c>
      <c r="AY1448" s="12">
        <v>0</v>
      </c>
      <c r="AZ1448"/>
      <c r="BA1448"/>
      <c r="BB1448" s="12">
        <v>0</v>
      </c>
      <c r="BC1448" s="12">
        <v>0</v>
      </c>
      <c r="BD1448" s="12">
        <v>0</v>
      </c>
      <c r="BE1448" s="12">
        <v>0</v>
      </c>
      <c r="BF1448" s="12">
        <v>0</v>
      </c>
      <c r="BI1448" s="12">
        <v>0</v>
      </c>
      <c r="BJ1448" s="12">
        <v>0</v>
      </c>
    </row>
    <row r="1449" spans="1:62" x14ac:dyDescent="0.15">
      <c r="A1449" s="12"/>
      <c r="B1449" t="s">
        <v>8162</v>
      </c>
      <c r="C1449" s="27" t="s">
        <v>8163</v>
      </c>
      <c r="D1449" t="s">
        <v>6596</v>
      </c>
      <c r="E1449" t="s">
        <v>2182</v>
      </c>
      <c r="F1449"/>
      <c r="G1449"/>
      <c r="H1449"/>
      <c r="I1449"/>
      <c r="J1449"/>
      <c r="K1449"/>
      <c r="L1449" s="10">
        <v>3985200</v>
      </c>
      <c r="M1449" s="10">
        <v>698070</v>
      </c>
      <c r="N1449" s="12">
        <v>15</v>
      </c>
      <c r="O1449" s="12" t="s">
        <v>6992</v>
      </c>
      <c r="P1449" t="s">
        <v>2183</v>
      </c>
      <c r="R1449"/>
      <c r="S1449" t="s">
        <v>2184</v>
      </c>
      <c r="T1449" s="12" t="s">
        <v>2185</v>
      </c>
      <c r="U1449" s="12" t="s">
        <v>2186</v>
      </c>
      <c r="V1449" s="12" t="s">
        <v>2187</v>
      </c>
      <c r="W1449" s="12">
        <v>0</v>
      </c>
      <c r="X1449" s="12">
        <v>1</v>
      </c>
      <c r="Y1449" s="12">
        <v>0</v>
      </c>
      <c r="Z1449" s="12">
        <v>0</v>
      </c>
      <c r="AA1449" s="12">
        <v>0</v>
      </c>
      <c r="AB1449" s="12">
        <v>0</v>
      </c>
      <c r="AC1449" s="12">
        <v>0</v>
      </c>
      <c r="AD1449" s="12">
        <v>0</v>
      </c>
      <c r="AE1449" s="12">
        <v>0</v>
      </c>
      <c r="AF1449" s="12">
        <v>0</v>
      </c>
      <c r="AG1449" s="12">
        <v>0</v>
      </c>
      <c r="AH1449" s="12">
        <v>0</v>
      </c>
      <c r="AI1449" s="12">
        <v>0</v>
      </c>
      <c r="AJ1449" s="12">
        <v>0</v>
      </c>
      <c r="AK1449" s="12">
        <v>0</v>
      </c>
      <c r="AL1449" s="12">
        <v>0</v>
      </c>
      <c r="AM1449" s="12"/>
      <c r="AN1449" s="12">
        <v>0</v>
      </c>
      <c r="AO1449" s="12">
        <v>0</v>
      </c>
      <c r="AP1449" s="12">
        <v>0</v>
      </c>
      <c r="AQ1449" s="12">
        <v>0</v>
      </c>
      <c r="AR1449" s="12">
        <v>0</v>
      </c>
      <c r="AS1449" s="12">
        <v>0</v>
      </c>
      <c r="AT1449" s="12">
        <v>0</v>
      </c>
      <c r="AU1449" s="12">
        <v>0</v>
      </c>
      <c r="AV1449" s="12">
        <v>0</v>
      </c>
      <c r="AW1449" s="12">
        <v>0</v>
      </c>
      <c r="AX1449" s="12">
        <v>0</v>
      </c>
      <c r="AY1449" s="12">
        <v>0</v>
      </c>
      <c r="AZ1449"/>
      <c r="BA1449"/>
      <c r="BB1449" s="12">
        <v>0</v>
      </c>
      <c r="BC1449" s="12">
        <v>0</v>
      </c>
      <c r="BD1449" s="12">
        <v>0</v>
      </c>
      <c r="BE1449" s="12">
        <v>0</v>
      </c>
      <c r="BF1449" s="12">
        <v>0</v>
      </c>
      <c r="BI1449" s="12">
        <v>0</v>
      </c>
      <c r="BJ1449" s="12">
        <v>0</v>
      </c>
    </row>
    <row r="1450" spans="1:62" x14ac:dyDescent="0.15">
      <c r="A1450" s="12"/>
      <c r="B1450" t="s">
        <v>8164</v>
      </c>
      <c r="C1450" t="s">
        <v>8164</v>
      </c>
      <c r="D1450" t="s">
        <v>6596</v>
      </c>
      <c r="E1450" t="s">
        <v>2182</v>
      </c>
      <c r="F1450"/>
      <c r="G1450"/>
      <c r="H1450"/>
      <c r="I1450"/>
      <c r="J1450"/>
      <c r="K1450"/>
      <c r="L1450" s="10">
        <v>3986130</v>
      </c>
      <c r="M1450" s="10">
        <v>697240</v>
      </c>
      <c r="N1450" s="12">
        <v>15</v>
      </c>
      <c r="O1450" s="12" t="s">
        <v>6992</v>
      </c>
      <c r="P1450" t="s">
        <v>2183</v>
      </c>
      <c r="R1450"/>
      <c r="S1450" t="s">
        <v>2184</v>
      </c>
      <c r="T1450" s="12" t="s">
        <v>2185</v>
      </c>
      <c r="U1450" s="12" t="s">
        <v>2186</v>
      </c>
      <c r="V1450" s="12" t="s">
        <v>2187</v>
      </c>
      <c r="W1450" s="12">
        <v>0</v>
      </c>
      <c r="X1450" s="12">
        <v>1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2">
        <v>0</v>
      </c>
      <c r="AK1450" s="12">
        <v>0</v>
      </c>
      <c r="AL1450" s="12">
        <v>0</v>
      </c>
      <c r="AM1450" s="12"/>
      <c r="AN1450" s="12">
        <v>0</v>
      </c>
      <c r="AO1450" s="12">
        <v>0</v>
      </c>
      <c r="AP1450" s="12">
        <v>0</v>
      </c>
      <c r="AQ1450" s="12">
        <v>0</v>
      </c>
      <c r="AR1450" s="12">
        <v>0</v>
      </c>
      <c r="AS1450" s="12">
        <v>0</v>
      </c>
      <c r="AT1450" s="12">
        <v>0</v>
      </c>
      <c r="AU1450" s="12">
        <v>0</v>
      </c>
      <c r="AV1450" s="12">
        <v>0</v>
      </c>
      <c r="AW1450" s="12">
        <v>0</v>
      </c>
      <c r="AX1450" s="12">
        <v>0</v>
      </c>
      <c r="AY1450" s="12">
        <v>0</v>
      </c>
      <c r="AZ1450"/>
      <c r="BA1450"/>
      <c r="BB1450" s="12">
        <v>0</v>
      </c>
      <c r="BC1450" s="12">
        <v>0</v>
      </c>
      <c r="BD1450" s="12">
        <v>0</v>
      </c>
      <c r="BE1450" s="12">
        <v>0</v>
      </c>
      <c r="BF1450" s="12">
        <v>0</v>
      </c>
      <c r="BI1450" s="12">
        <v>0</v>
      </c>
      <c r="BJ1450" s="12">
        <v>0</v>
      </c>
    </row>
    <row r="1451" spans="1:62" x14ac:dyDescent="0.15">
      <c r="A1451" s="12"/>
      <c r="B1451" t="s">
        <v>8165</v>
      </c>
      <c r="C1451" s="27" t="s">
        <v>8166</v>
      </c>
      <c r="D1451" t="s">
        <v>6596</v>
      </c>
      <c r="E1451" t="s">
        <v>2182</v>
      </c>
      <c r="F1451"/>
      <c r="G1451"/>
      <c r="H1451"/>
      <c r="I1451"/>
      <c r="J1451"/>
      <c r="K1451"/>
      <c r="L1451" s="10">
        <v>4009040</v>
      </c>
      <c r="M1451" s="10">
        <v>705720</v>
      </c>
      <c r="N1451" s="12">
        <v>15</v>
      </c>
      <c r="O1451" s="12" t="s">
        <v>6992</v>
      </c>
      <c r="P1451" t="s">
        <v>2183</v>
      </c>
      <c r="R1451"/>
      <c r="S1451" t="s">
        <v>2184</v>
      </c>
      <c r="T1451" s="12" t="s">
        <v>2185</v>
      </c>
      <c r="U1451" s="12" t="s">
        <v>2186</v>
      </c>
      <c r="V1451" s="12" t="s">
        <v>2187</v>
      </c>
      <c r="W1451" s="12">
        <v>0</v>
      </c>
      <c r="X1451" s="12">
        <v>1</v>
      </c>
      <c r="Y1451" s="12">
        <v>0</v>
      </c>
      <c r="Z1451" s="12">
        <v>0</v>
      </c>
      <c r="AA1451" s="12">
        <v>0</v>
      </c>
      <c r="AB1451" s="12">
        <v>0</v>
      </c>
      <c r="AC1451" s="12">
        <v>0</v>
      </c>
      <c r="AD1451" s="12">
        <v>0</v>
      </c>
      <c r="AE1451" s="12">
        <v>0</v>
      </c>
      <c r="AF1451" s="12">
        <v>0</v>
      </c>
      <c r="AG1451" s="12">
        <v>0</v>
      </c>
      <c r="AH1451" s="12">
        <v>0</v>
      </c>
      <c r="AI1451" s="12">
        <v>0</v>
      </c>
      <c r="AJ1451" s="12">
        <v>0</v>
      </c>
      <c r="AK1451" s="12">
        <v>0</v>
      </c>
      <c r="AL1451" s="12">
        <v>0</v>
      </c>
      <c r="AM1451" s="12"/>
      <c r="AN1451" s="12">
        <v>0</v>
      </c>
      <c r="AO1451" s="12">
        <v>0</v>
      </c>
      <c r="AP1451" s="12">
        <v>0</v>
      </c>
      <c r="AQ1451" s="12">
        <v>0</v>
      </c>
      <c r="AR1451" s="12">
        <v>0</v>
      </c>
      <c r="AS1451" s="12">
        <v>0</v>
      </c>
      <c r="AT1451" s="12">
        <v>0</v>
      </c>
      <c r="AU1451" s="12">
        <v>0</v>
      </c>
      <c r="AV1451" s="12">
        <v>0</v>
      </c>
      <c r="AW1451" s="12">
        <v>0</v>
      </c>
      <c r="AX1451" s="12">
        <v>0</v>
      </c>
      <c r="AY1451" s="12">
        <v>0</v>
      </c>
      <c r="AZ1451"/>
      <c r="BA1451"/>
      <c r="BB1451" s="12">
        <v>0</v>
      </c>
      <c r="BC1451" s="12">
        <v>0</v>
      </c>
      <c r="BD1451" s="12">
        <v>0</v>
      </c>
      <c r="BE1451" s="12">
        <v>0</v>
      </c>
      <c r="BF1451" s="12">
        <v>0</v>
      </c>
      <c r="BI1451" s="12">
        <v>0</v>
      </c>
      <c r="BJ1451" s="12">
        <v>0</v>
      </c>
    </row>
    <row r="1452" spans="1:62" x14ac:dyDescent="0.15">
      <c r="A1452" s="12"/>
      <c r="B1452" t="s">
        <v>8167</v>
      </c>
      <c r="C1452" t="s">
        <v>8167</v>
      </c>
      <c r="D1452" t="s">
        <v>6596</v>
      </c>
      <c r="E1452" t="s">
        <v>2182</v>
      </c>
      <c r="F1452"/>
      <c r="G1452"/>
      <c r="H1452"/>
      <c r="I1452"/>
      <c r="J1452"/>
      <c r="K1452"/>
      <c r="L1452" s="10">
        <v>4009100</v>
      </c>
      <c r="M1452" s="10">
        <v>705160</v>
      </c>
      <c r="N1452" s="12">
        <v>15</v>
      </c>
      <c r="O1452" s="12" t="s">
        <v>6992</v>
      </c>
      <c r="P1452" t="s">
        <v>2183</v>
      </c>
      <c r="R1452"/>
      <c r="S1452" t="s">
        <v>2184</v>
      </c>
      <c r="T1452" s="12" t="s">
        <v>2185</v>
      </c>
      <c r="U1452" s="12" t="s">
        <v>2186</v>
      </c>
      <c r="V1452" s="12" t="s">
        <v>2187</v>
      </c>
      <c r="W1452" s="12">
        <v>0</v>
      </c>
      <c r="X1452" s="12">
        <v>1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2">
        <v>0</v>
      </c>
      <c r="AK1452" s="12">
        <v>0</v>
      </c>
      <c r="AL1452" s="12">
        <v>0</v>
      </c>
      <c r="AM1452" s="12"/>
      <c r="AN1452" s="12">
        <v>0</v>
      </c>
      <c r="AO1452" s="12">
        <v>0</v>
      </c>
      <c r="AP1452" s="12">
        <v>0</v>
      </c>
      <c r="AQ1452" s="12">
        <v>0</v>
      </c>
      <c r="AR1452" s="12">
        <v>0</v>
      </c>
      <c r="AS1452" s="12">
        <v>0</v>
      </c>
      <c r="AT1452" s="12">
        <v>0</v>
      </c>
      <c r="AU1452" s="12">
        <v>0</v>
      </c>
      <c r="AV1452" s="12">
        <v>0</v>
      </c>
      <c r="AW1452" s="12">
        <v>0</v>
      </c>
      <c r="AX1452" s="12">
        <v>0</v>
      </c>
      <c r="AY1452" s="12">
        <v>0</v>
      </c>
      <c r="AZ1452"/>
      <c r="BA1452"/>
      <c r="BB1452" s="12">
        <v>0</v>
      </c>
      <c r="BC1452" s="12">
        <v>0</v>
      </c>
      <c r="BD1452" s="12">
        <v>0</v>
      </c>
      <c r="BE1452" s="12">
        <v>0</v>
      </c>
      <c r="BF1452" s="12">
        <v>0</v>
      </c>
      <c r="BI1452" s="12">
        <v>0</v>
      </c>
      <c r="BJ1452" s="12">
        <v>0</v>
      </c>
    </row>
    <row r="1453" spans="1:62" x14ac:dyDescent="0.15">
      <c r="A1453" s="12"/>
      <c r="B1453" t="s">
        <v>8168</v>
      </c>
      <c r="C1453" s="27" t="s">
        <v>1063</v>
      </c>
      <c r="D1453" t="s">
        <v>6596</v>
      </c>
      <c r="E1453" t="s">
        <v>2182</v>
      </c>
      <c r="F1453"/>
      <c r="G1453"/>
      <c r="H1453"/>
      <c r="I1453"/>
      <c r="J1453"/>
      <c r="K1453"/>
      <c r="L1453" s="10">
        <v>3997770</v>
      </c>
      <c r="M1453" s="10">
        <v>702500</v>
      </c>
      <c r="N1453" s="12">
        <v>15</v>
      </c>
      <c r="O1453" s="12" t="s">
        <v>6992</v>
      </c>
      <c r="P1453" t="s">
        <v>2183</v>
      </c>
      <c r="R1453"/>
      <c r="S1453" t="s">
        <v>2184</v>
      </c>
      <c r="T1453" s="12" t="s">
        <v>2185</v>
      </c>
      <c r="U1453" s="12" t="s">
        <v>2186</v>
      </c>
      <c r="V1453" s="12" t="s">
        <v>2187</v>
      </c>
      <c r="W1453" s="12">
        <v>0</v>
      </c>
      <c r="X1453" s="12">
        <v>1</v>
      </c>
      <c r="Y1453" s="12">
        <v>0</v>
      </c>
      <c r="Z1453" s="12">
        <v>0</v>
      </c>
      <c r="AA1453" s="12">
        <v>0</v>
      </c>
      <c r="AB1453" s="12">
        <v>0</v>
      </c>
      <c r="AC1453" s="12">
        <v>0</v>
      </c>
      <c r="AD1453" s="12">
        <v>0</v>
      </c>
      <c r="AE1453" s="12">
        <v>0</v>
      </c>
      <c r="AF1453" s="12">
        <v>0</v>
      </c>
      <c r="AG1453" s="12">
        <v>0</v>
      </c>
      <c r="AH1453" s="12">
        <v>0</v>
      </c>
      <c r="AI1453" s="12">
        <v>0</v>
      </c>
      <c r="AJ1453" s="12">
        <v>0</v>
      </c>
      <c r="AK1453" s="12">
        <v>0</v>
      </c>
      <c r="AL1453" s="12">
        <v>0</v>
      </c>
      <c r="AM1453" s="12"/>
      <c r="AN1453" s="12">
        <v>0</v>
      </c>
      <c r="AO1453" s="12">
        <v>0</v>
      </c>
      <c r="AP1453" s="12">
        <v>0</v>
      </c>
      <c r="AQ1453" s="12">
        <v>0</v>
      </c>
      <c r="AR1453" s="12">
        <v>0</v>
      </c>
      <c r="AS1453" s="12">
        <v>0</v>
      </c>
      <c r="AT1453" s="12">
        <v>0</v>
      </c>
      <c r="AU1453" s="12">
        <v>0</v>
      </c>
      <c r="AV1453" s="12">
        <v>0</v>
      </c>
      <c r="AW1453" s="12">
        <v>0</v>
      </c>
      <c r="AX1453" s="12">
        <v>0</v>
      </c>
      <c r="AY1453" s="12">
        <v>0</v>
      </c>
      <c r="AZ1453"/>
      <c r="BA1453"/>
      <c r="BB1453" s="12">
        <v>0</v>
      </c>
      <c r="BC1453" s="12">
        <v>0</v>
      </c>
      <c r="BD1453" s="12">
        <v>0</v>
      </c>
      <c r="BE1453" s="12">
        <v>0</v>
      </c>
      <c r="BF1453" s="12">
        <v>0</v>
      </c>
      <c r="BI1453" s="12">
        <v>0</v>
      </c>
      <c r="BJ1453" s="12">
        <v>0</v>
      </c>
    </row>
    <row r="1454" spans="1:62" x14ac:dyDescent="0.15">
      <c r="A1454" s="12"/>
      <c r="B1454" t="s">
        <v>8169</v>
      </c>
      <c r="C1454" s="27" t="s">
        <v>8170</v>
      </c>
      <c r="D1454" t="s">
        <v>6596</v>
      </c>
      <c r="E1454" t="s">
        <v>2182</v>
      </c>
      <c r="F1454"/>
      <c r="G1454"/>
      <c r="H1454"/>
      <c r="I1454"/>
      <c r="J1454"/>
      <c r="K1454"/>
      <c r="L1454" s="10">
        <v>4008940</v>
      </c>
      <c r="M1454" s="10">
        <v>704240</v>
      </c>
      <c r="N1454" s="12">
        <v>15</v>
      </c>
      <c r="O1454" s="12" t="s">
        <v>6992</v>
      </c>
      <c r="P1454" t="s">
        <v>2183</v>
      </c>
      <c r="R1454"/>
      <c r="S1454" t="s">
        <v>2184</v>
      </c>
      <c r="T1454" s="12" t="s">
        <v>2185</v>
      </c>
      <c r="U1454" s="12" t="s">
        <v>2186</v>
      </c>
      <c r="V1454" s="12" t="s">
        <v>2187</v>
      </c>
      <c r="W1454" s="12">
        <v>0</v>
      </c>
      <c r="X1454" s="12">
        <v>1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2">
        <v>0</v>
      </c>
      <c r="AK1454" s="12">
        <v>0</v>
      </c>
      <c r="AL1454" s="12">
        <v>0</v>
      </c>
      <c r="AM1454" s="12"/>
      <c r="AN1454" s="12">
        <v>0</v>
      </c>
      <c r="AO1454" s="12">
        <v>0</v>
      </c>
      <c r="AP1454" s="12">
        <v>0</v>
      </c>
      <c r="AQ1454" s="12">
        <v>0</v>
      </c>
      <c r="AR1454" s="12">
        <v>0</v>
      </c>
      <c r="AS1454" s="12">
        <v>0</v>
      </c>
      <c r="AT1454" s="12">
        <v>0</v>
      </c>
      <c r="AU1454" s="12">
        <v>0</v>
      </c>
      <c r="AV1454" s="12">
        <v>0</v>
      </c>
      <c r="AW1454" s="12">
        <v>0</v>
      </c>
      <c r="AX1454" s="12">
        <v>0</v>
      </c>
      <c r="AY1454" s="12">
        <v>0</v>
      </c>
      <c r="AZ1454"/>
      <c r="BA1454"/>
      <c r="BB1454" s="12">
        <v>0</v>
      </c>
      <c r="BC1454" s="12">
        <v>0</v>
      </c>
      <c r="BD1454" s="12">
        <v>0</v>
      </c>
      <c r="BE1454" s="12">
        <v>0</v>
      </c>
      <c r="BF1454" s="12">
        <v>0</v>
      </c>
      <c r="BI1454" s="12">
        <v>0</v>
      </c>
      <c r="BJ1454" s="12">
        <v>0</v>
      </c>
    </row>
    <row r="1455" spans="1:62" x14ac:dyDescent="0.15">
      <c r="A1455" s="12"/>
      <c r="B1455" t="s">
        <v>8171</v>
      </c>
      <c r="C1455" s="27" t="s">
        <v>8172</v>
      </c>
      <c r="D1455" t="s">
        <v>6596</v>
      </c>
      <c r="E1455" t="s">
        <v>2182</v>
      </c>
      <c r="F1455"/>
      <c r="G1455"/>
      <c r="H1455"/>
      <c r="I1455"/>
      <c r="J1455"/>
      <c r="K1455"/>
      <c r="L1455" s="10">
        <v>3996950</v>
      </c>
      <c r="M1455" s="10">
        <v>707530</v>
      </c>
      <c r="N1455" s="12">
        <v>15</v>
      </c>
      <c r="O1455" s="12" t="s">
        <v>6992</v>
      </c>
      <c r="P1455" t="s">
        <v>2183</v>
      </c>
      <c r="R1455"/>
      <c r="S1455" t="s">
        <v>2184</v>
      </c>
      <c r="T1455" s="12" t="s">
        <v>2185</v>
      </c>
      <c r="U1455" s="12" t="s">
        <v>2186</v>
      </c>
      <c r="V1455" s="12" t="s">
        <v>2187</v>
      </c>
      <c r="W1455" s="12">
        <v>0</v>
      </c>
      <c r="X1455" s="12">
        <v>1</v>
      </c>
      <c r="Y1455" s="12">
        <v>0</v>
      </c>
      <c r="Z1455" s="12">
        <v>0</v>
      </c>
      <c r="AA1455" s="12">
        <v>0</v>
      </c>
      <c r="AB1455" s="12">
        <v>0</v>
      </c>
      <c r="AC1455" s="12">
        <v>0</v>
      </c>
      <c r="AD1455" s="12">
        <v>0</v>
      </c>
      <c r="AE1455" s="12">
        <v>0</v>
      </c>
      <c r="AF1455" s="12">
        <v>0</v>
      </c>
      <c r="AG1455" s="12">
        <v>0</v>
      </c>
      <c r="AH1455" s="12">
        <v>0</v>
      </c>
      <c r="AI1455" s="12">
        <v>0</v>
      </c>
      <c r="AJ1455" s="12">
        <v>0</v>
      </c>
      <c r="AK1455" s="12">
        <v>0</v>
      </c>
      <c r="AL1455" s="12">
        <v>0</v>
      </c>
      <c r="AM1455" s="12"/>
      <c r="AN1455" s="12">
        <v>0</v>
      </c>
      <c r="AO1455" s="12">
        <v>0</v>
      </c>
      <c r="AP1455" s="12">
        <v>0</v>
      </c>
      <c r="AQ1455" s="12">
        <v>0</v>
      </c>
      <c r="AR1455" s="12">
        <v>0</v>
      </c>
      <c r="AS1455" s="12">
        <v>0</v>
      </c>
      <c r="AT1455" s="12">
        <v>0</v>
      </c>
      <c r="AU1455" s="12">
        <v>0</v>
      </c>
      <c r="AV1455" s="12">
        <v>0</v>
      </c>
      <c r="AW1455" s="12">
        <v>0</v>
      </c>
      <c r="AX1455" s="12">
        <v>0</v>
      </c>
      <c r="AY1455" s="12">
        <v>0</v>
      </c>
      <c r="AZ1455"/>
      <c r="BA1455"/>
      <c r="BB1455" s="12">
        <v>0</v>
      </c>
      <c r="BC1455" s="12">
        <v>0</v>
      </c>
      <c r="BD1455" s="12">
        <v>0</v>
      </c>
      <c r="BE1455" s="12">
        <v>0</v>
      </c>
      <c r="BF1455" s="12">
        <v>0</v>
      </c>
      <c r="BI1455" s="12">
        <v>0</v>
      </c>
      <c r="BJ1455" s="12">
        <v>0</v>
      </c>
    </row>
    <row r="1456" spans="1:62" x14ac:dyDescent="0.15">
      <c r="A1456" s="12"/>
      <c r="B1456" t="s">
        <v>8173</v>
      </c>
      <c r="C1456" t="s">
        <v>8173</v>
      </c>
      <c r="D1456" t="s">
        <v>6596</v>
      </c>
      <c r="E1456" t="s">
        <v>2182</v>
      </c>
      <c r="F1456"/>
      <c r="G1456"/>
      <c r="H1456"/>
      <c r="I1456"/>
      <c r="J1456"/>
      <c r="K1456"/>
      <c r="L1456" s="10">
        <v>3988250</v>
      </c>
      <c r="M1456" s="10">
        <v>730800</v>
      </c>
      <c r="N1456" s="12">
        <v>15</v>
      </c>
      <c r="O1456" s="12" t="s">
        <v>6992</v>
      </c>
      <c r="P1456" t="s">
        <v>2183</v>
      </c>
      <c r="R1456"/>
      <c r="S1456" t="s">
        <v>2184</v>
      </c>
      <c r="T1456" s="12" t="s">
        <v>2185</v>
      </c>
      <c r="U1456" s="12" t="s">
        <v>2186</v>
      </c>
      <c r="V1456" s="12" t="s">
        <v>2187</v>
      </c>
      <c r="W1456" s="12">
        <v>0</v>
      </c>
      <c r="X1456" s="12">
        <v>1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2">
        <v>0</v>
      </c>
      <c r="AK1456" s="12">
        <v>0</v>
      </c>
      <c r="AL1456" s="12">
        <v>0</v>
      </c>
      <c r="AM1456" s="12"/>
      <c r="AN1456" s="12">
        <v>0</v>
      </c>
      <c r="AO1456" s="12">
        <v>0</v>
      </c>
      <c r="AP1456" s="12">
        <v>0</v>
      </c>
      <c r="AQ1456" s="12">
        <v>0</v>
      </c>
      <c r="AR1456" s="12">
        <v>0</v>
      </c>
      <c r="AS1456" s="12">
        <v>0</v>
      </c>
      <c r="AT1456" s="12">
        <v>0</v>
      </c>
      <c r="AU1456" s="12">
        <v>0</v>
      </c>
      <c r="AV1456" s="12">
        <v>0</v>
      </c>
      <c r="AW1456" s="12">
        <v>0</v>
      </c>
      <c r="AX1456" s="12">
        <v>0</v>
      </c>
      <c r="AY1456" s="12">
        <v>0</v>
      </c>
      <c r="AZ1456"/>
      <c r="BA1456"/>
      <c r="BB1456" s="12">
        <v>0</v>
      </c>
      <c r="BC1456" s="12">
        <v>0</v>
      </c>
      <c r="BD1456" s="12">
        <v>0</v>
      </c>
      <c r="BE1456" s="12">
        <v>0</v>
      </c>
      <c r="BF1456" s="12">
        <v>0</v>
      </c>
      <c r="BI1456" s="12">
        <v>0</v>
      </c>
      <c r="BJ1456" s="12">
        <v>0</v>
      </c>
    </row>
    <row r="1457" spans="1:62" x14ac:dyDescent="0.15">
      <c r="A1457" s="12"/>
      <c r="B1457" t="s">
        <v>8174</v>
      </c>
      <c r="C1457" t="s">
        <v>8174</v>
      </c>
      <c r="D1457" t="s">
        <v>6596</v>
      </c>
      <c r="E1457" t="s">
        <v>2182</v>
      </c>
      <c r="F1457"/>
      <c r="G1457"/>
      <c r="H1457"/>
      <c r="I1457"/>
      <c r="J1457"/>
      <c r="K1457"/>
      <c r="L1457" s="10">
        <v>3998050</v>
      </c>
      <c r="M1457" s="10">
        <v>700740</v>
      </c>
      <c r="N1457" s="12">
        <v>15</v>
      </c>
      <c r="O1457" s="12" t="s">
        <v>6992</v>
      </c>
      <c r="P1457" t="s">
        <v>2183</v>
      </c>
      <c r="R1457"/>
      <c r="S1457" t="s">
        <v>2184</v>
      </c>
      <c r="T1457" s="12" t="s">
        <v>2185</v>
      </c>
      <c r="U1457" s="12" t="s">
        <v>2186</v>
      </c>
      <c r="V1457" s="12" t="s">
        <v>2187</v>
      </c>
      <c r="W1457" s="12">
        <v>0</v>
      </c>
      <c r="X1457" s="12">
        <v>1</v>
      </c>
      <c r="Y1457" s="12">
        <v>0</v>
      </c>
      <c r="Z1457" s="12">
        <v>0</v>
      </c>
      <c r="AA1457" s="12">
        <v>0</v>
      </c>
      <c r="AB1457" s="12">
        <v>0</v>
      </c>
      <c r="AC1457" s="12">
        <v>0</v>
      </c>
      <c r="AD1457" s="12">
        <v>0</v>
      </c>
      <c r="AE1457" s="12">
        <v>0</v>
      </c>
      <c r="AF1457" s="12">
        <v>0</v>
      </c>
      <c r="AG1457" s="12">
        <v>0</v>
      </c>
      <c r="AH1457" s="12">
        <v>0</v>
      </c>
      <c r="AI1457" s="12">
        <v>0</v>
      </c>
      <c r="AJ1457" s="12">
        <v>0</v>
      </c>
      <c r="AK1457" s="12">
        <v>0</v>
      </c>
      <c r="AL1457" s="12">
        <v>0</v>
      </c>
      <c r="AM1457" s="12"/>
      <c r="AN1457" s="12">
        <v>0</v>
      </c>
      <c r="AO1457" s="12">
        <v>0</v>
      </c>
      <c r="AP1457" s="12">
        <v>0</v>
      </c>
      <c r="AQ1457" s="12">
        <v>0</v>
      </c>
      <c r="AR1457" s="12">
        <v>0</v>
      </c>
      <c r="AS1457" s="12">
        <v>0</v>
      </c>
      <c r="AT1457" s="12">
        <v>0</v>
      </c>
      <c r="AU1457" s="12">
        <v>0</v>
      </c>
      <c r="AV1457" s="12">
        <v>0</v>
      </c>
      <c r="AW1457" s="12">
        <v>0</v>
      </c>
      <c r="AX1457" s="12">
        <v>0</v>
      </c>
      <c r="AY1457" s="12">
        <v>0</v>
      </c>
      <c r="AZ1457"/>
      <c r="BA1457"/>
      <c r="BB1457" s="12">
        <v>0</v>
      </c>
      <c r="BC1457" s="12">
        <v>0</v>
      </c>
      <c r="BD1457" s="12">
        <v>0</v>
      </c>
      <c r="BE1457" s="12">
        <v>0</v>
      </c>
      <c r="BF1457" s="12">
        <v>0</v>
      </c>
      <c r="BI1457" s="12">
        <v>0</v>
      </c>
      <c r="BJ1457" s="12">
        <v>0</v>
      </c>
    </row>
    <row r="1458" spans="1:62" x14ac:dyDescent="0.15">
      <c r="A1458" s="12"/>
      <c r="B1458" t="s">
        <v>8175</v>
      </c>
      <c r="C1458" t="s">
        <v>8175</v>
      </c>
      <c r="D1458" t="s">
        <v>6596</v>
      </c>
      <c r="E1458" t="s">
        <v>2182</v>
      </c>
      <c r="F1458"/>
      <c r="G1458"/>
      <c r="H1458"/>
      <c r="I1458"/>
      <c r="J1458"/>
      <c r="K1458"/>
      <c r="L1458" s="10">
        <v>3998290</v>
      </c>
      <c r="M1458" s="10">
        <v>700930</v>
      </c>
      <c r="N1458" s="12">
        <v>15</v>
      </c>
      <c r="O1458" s="12" t="s">
        <v>6992</v>
      </c>
      <c r="P1458" t="s">
        <v>2183</v>
      </c>
      <c r="R1458"/>
      <c r="S1458" t="s">
        <v>2184</v>
      </c>
      <c r="T1458" s="12" t="s">
        <v>2185</v>
      </c>
      <c r="U1458" s="12" t="s">
        <v>2186</v>
      </c>
      <c r="V1458" s="12" t="s">
        <v>2187</v>
      </c>
      <c r="W1458" s="12">
        <v>0</v>
      </c>
      <c r="X1458" s="12">
        <v>1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2">
        <v>0</v>
      </c>
      <c r="AK1458" s="12">
        <v>0</v>
      </c>
      <c r="AL1458" s="12">
        <v>0</v>
      </c>
      <c r="AM1458" s="12"/>
      <c r="AN1458" s="12">
        <v>0</v>
      </c>
      <c r="AO1458" s="12">
        <v>0</v>
      </c>
      <c r="AP1458" s="12">
        <v>0</v>
      </c>
      <c r="AQ1458" s="12">
        <v>0</v>
      </c>
      <c r="AR1458" s="12">
        <v>0</v>
      </c>
      <c r="AS1458" s="12">
        <v>0</v>
      </c>
      <c r="AT1458" s="12">
        <v>0</v>
      </c>
      <c r="AU1458" s="12">
        <v>0</v>
      </c>
      <c r="AV1458" s="12">
        <v>0</v>
      </c>
      <c r="AW1458" s="12">
        <v>0</v>
      </c>
      <c r="AX1458" s="12">
        <v>0</v>
      </c>
      <c r="AY1458" s="12">
        <v>0</v>
      </c>
      <c r="AZ1458"/>
      <c r="BA1458"/>
      <c r="BB1458" s="12">
        <v>0</v>
      </c>
      <c r="BC1458" s="12">
        <v>0</v>
      </c>
      <c r="BD1458" s="12">
        <v>0</v>
      </c>
      <c r="BE1458" s="12">
        <v>0</v>
      </c>
      <c r="BF1458" s="12">
        <v>0</v>
      </c>
      <c r="BI1458" s="12">
        <v>0</v>
      </c>
      <c r="BJ1458" s="12">
        <v>0</v>
      </c>
    </row>
    <row r="1459" spans="1:62" x14ac:dyDescent="0.15">
      <c r="A1459" s="12"/>
      <c r="B1459" t="s">
        <v>8176</v>
      </c>
      <c r="C1459" t="s">
        <v>8176</v>
      </c>
      <c r="D1459" t="s">
        <v>6596</v>
      </c>
      <c r="E1459" t="s">
        <v>2182</v>
      </c>
      <c r="F1459"/>
      <c r="G1459"/>
      <c r="H1459"/>
      <c r="I1459"/>
      <c r="J1459"/>
      <c r="K1459"/>
      <c r="L1459" s="10">
        <v>3998800</v>
      </c>
      <c r="M1459" s="10">
        <v>700900</v>
      </c>
      <c r="N1459" s="12">
        <v>15</v>
      </c>
      <c r="O1459" s="12" t="s">
        <v>6992</v>
      </c>
      <c r="P1459" t="s">
        <v>2183</v>
      </c>
      <c r="R1459"/>
      <c r="S1459" t="s">
        <v>2184</v>
      </c>
      <c r="T1459" s="12" t="s">
        <v>2185</v>
      </c>
      <c r="U1459" s="12" t="s">
        <v>2186</v>
      </c>
      <c r="V1459" s="12" t="s">
        <v>2187</v>
      </c>
      <c r="W1459" s="12">
        <v>0</v>
      </c>
      <c r="X1459" s="12">
        <v>1</v>
      </c>
      <c r="Y1459" s="12">
        <v>0</v>
      </c>
      <c r="Z1459" s="12">
        <v>0</v>
      </c>
      <c r="AA1459" s="12">
        <v>0</v>
      </c>
      <c r="AB1459" s="12">
        <v>0</v>
      </c>
      <c r="AC1459" s="12">
        <v>0</v>
      </c>
      <c r="AD1459" s="12">
        <v>0</v>
      </c>
      <c r="AE1459" s="12">
        <v>0</v>
      </c>
      <c r="AF1459" s="12">
        <v>0</v>
      </c>
      <c r="AG1459" s="12">
        <v>0</v>
      </c>
      <c r="AH1459" s="12">
        <v>0</v>
      </c>
      <c r="AI1459" s="12">
        <v>0</v>
      </c>
      <c r="AJ1459" s="12">
        <v>0</v>
      </c>
      <c r="AK1459" s="12">
        <v>0</v>
      </c>
      <c r="AL1459" s="12">
        <v>0</v>
      </c>
      <c r="AM1459" s="12"/>
      <c r="AN1459" s="12">
        <v>0</v>
      </c>
      <c r="AO1459" s="12">
        <v>0</v>
      </c>
      <c r="AP1459" s="12">
        <v>0</v>
      </c>
      <c r="AQ1459" s="12">
        <v>0</v>
      </c>
      <c r="AR1459" s="12">
        <v>0</v>
      </c>
      <c r="AS1459" s="12">
        <v>0</v>
      </c>
      <c r="AT1459" s="12">
        <v>0</v>
      </c>
      <c r="AU1459" s="12">
        <v>0</v>
      </c>
      <c r="AV1459" s="12">
        <v>0</v>
      </c>
      <c r="AW1459" s="12">
        <v>0</v>
      </c>
      <c r="AX1459" s="12">
        <v>0</v>
      </c>
      <c r="AY1459" s="12">
        <v>0</v>
      </c>
      <c r="AZ1459"/>
      <c r="BA1459"/>
      <c r="BB1459" s="12">
        <v>0</v>
      </c>
      <c r="BC1459" s="12">
        <v>0</v>
      </c>
      <c r="BD1459" s="12">
        <v>0</v>
      </c>
      <c r="BE1459" s="12">
        <v>0</v>
      </c>
      <c r="BF1459" s="12">
        <v>0</v>
      </c>
      <c r="BI1459" s="12">
        <v>0</v>
      </c>
      <c r="BJ1459" s="12">
        <v>0</v>
      </c>
    </row>
    <row r="1460" spans="1:62" x14ac:dyDescent="0.15">
      <c r="A1460" s="12"/>
      <c r="B1460" t="s">
        <v>8177</v>
      </c>
      <c r="C1460" t="s">
        <v>8177</v>
      </c>
      <c r="D1460" t="s">
        <v>6596</v>
      </c>
      <c r="E1460" t="s">
        <v>2182</v>
      </c>
      <c r="F1460"/>
      <c r="G1460"/>
      <c r="H1460"/>
      <c r="I1460"/>
      <c r="J1460"/>
      <c r="K1460"/>
      <c r="L1460" s="10">
        <v>3997410</v>
      </c>
      <c r="M1460" s="10">
        <v>700130</v>
      </c>
      <c r="N1460" s="12">
        <v>15</v>
      </c>
      <c r="O1460" s="12" t="s">
        <v>6992</v>
      </c>
      <c r="P1460" t="s">
        <v>2183</v>
      </c>
      <c r="R1460"/>
      <c r="S1460" t="s">
        <v>2184</v>
      </c>
      <c r="T1460" s="12" t="s">
        <v>2185</v>
      </c>
      <c r="U1460" s="12" t="s">
        <v>2186</v>
      </c>
      <c r="V1460" s="12" t="s">
        <v>2187</v>
      </c>
      <c r="W1460" s="12">
        <v>0</v>
      </c>
      <c r="X1460" s="12">
        <v>1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2">
        <v>0</v>
      </c>
      <c r="AK1460" s="12">
        <v>0</v>
      </c>
      <c r="AL1460" s="12">
        <v>0</v>
      </c>
      <c r="AM1460" s="12"/>
      <c r="AN1460" s="12">
        <v>0</v>
      </c>
      <c r="AO1460" s="12">
        <v>0</v>
      </c>
      <c r="AP1460" s="12">
        <v>0</v>
      </c>
      <c r="AQ1460" s="12">
        <v>0</v>
      </c>
      <c r="AR1460" s="12">
        <v>0</v>
      </c>
      <c r="AS1460" s="12">
        <v>0</v>
      </c>
      <c r="AT1460" s="12">
        <v>0</v>
      </c>
      <c r="AU1460" s="12">
        <v>0</v>
      </c>
      <c r="AV1460" s="12">
        <v>0</v>
      </c>
      <c r="AW1460" s="12">
        <v>0</v>
      </c>
      <c r="AX1460" s="12">
        <v>0</v>
      </c>
      <c r="AY1460" s="12">
        <v>0</v>
      </c>
      <c r="AZ1460"/>
      <c r="BA1460"/>
      <c r="BB1460" s="12">
        <v>0</v>
      </c>
      <c r="BC1460" s="12">
        <v>0</v>
      </c>
      <c r="BD1460" s="12">
        <v>0</v>
      </c>
      <c r="BE1460" s="12">
        <v>0</v>
      </c>
      <c r="BF1460" s="12">
        <v>0</v>
      </c>
      <c r="BI1460" s="12">
        <v>0</v>
      </c>
      <c r="BJ1460" s="12">
        <v>0</v>
      </c>
    </row>
    <row r="1461" spans="1:62" x14ac:dyDescent="0.15">
      <c r="A1461" s="12"/>
      <c r="B1461" t="s">
        <v>8178</v>
      </c>
      <c r="C1461" t="s">
        <v>8178</v>
      </c>
      <c r="D1461" t="s">
        <v>6596</v>
      </c>
      <c r="E1461" t="s">
        <v>2182</v>
      </c>
      <c r="F1461"/>
      <c r="G1461"/>
      <c r="H1461"/>
      <c r="I1461"/>
      <c r="J1461"/>
      <c r="K1461"/>
      <c r="L1461" s="10">
        <v>3997330</v>
      </c>
      <c r="M1461" s="10">
        <v>699500</v>
      </c>
      <c r="N1461" s="12">
        <v>15</v>
      </c>
      <c r="O1461" s="12" t="s">
        <v>6992</v>
      </c>
      <c r="P1461" t="s">
        <v>2183</v>
      </c>
      <c r="R1461"/>
      <c r="S1461" t="s">
        <v>2184</v>
      </c>
      <c r="T1461" s="12" t="s">
        <v>2185</v>
      </c>
      <c r="U1461" s="12" t="s">
        <v>2186</v>
      </c>
      <c r="V1461" s="12" t="s">
        <v>2187</v>
      </c>
      <c r="W1461" s="12">
        <v>0</v>
      </c>
      <c r="X1461" s="12">
        <v>1</v>
      </c>
      <c r="Y1461" s="12">
        <v>0</v>
      </c>
      <c r="Z1461" s="12">
        <v>0</v>
      </c>
      <c r="AA1461" s="12">
        <v>0</v>
      </c>
      <c r="AB1461" s="12">
        <v>0</v>
      </c>
      <c r="AC1461" s="12">
        <v>0</v>
      </c>
      <c r="AD1461" s="12">
        <v>0</v>
      </c>
      <c r="AE1461" s="12">
        <v>0</v>
      </c>
      <c r="AF1461" s="12">
        <v>0</v>
      </c>
      <c r="AG1461" s="12">
        <v>0</v>
      </c>
      <c r="AH1461" s="12">
        <v>0</v>
      </c>
      <c r="AI1461" s="12">
        <v>0</v>
      </c>
      <c r="AJ1461" s="12">
        <v>0</v>
      </c>
      <c r="AK1461" s="12">
        <v>0</v>
      </c>
      <c r="AL1461" s="12">
        <v>0</v>
      </c>
      <c r="AM1461" s="12"/>
      <c r="AN1461" s="12">
        <v>0</v>
      </c>
      <c r="AO1461" s="12">
        <v>0</v>
      </c>
      <c r="AP1461" s="12">
        <v>0</v>
      </c>
      <c r="AQ1461" s="12">
        <v>0</v>
      </c>
      <c r="AR1461" s="12">
        <v>0</v>
      </c>
      <c r="AS1461" s="12">
        <v>0</v>
      </c>
      <c r="AT1461" s="12">
        <v>0</v>
      </c>
      <c r="AU1461" s="12">
        <v>0</v>
      </c>
      <c r="AV1461" s="12">
        <v>0</v>
      </c>
      <c r="AW1461" s="12">
        <v>0</v>
      </c>
      <c r="AX1461" s="12">
        <v>0</v>
      </c>
      <c r="AY1461" s="12">
        <v>0</v>
      </c>
      <c r="AZ1461"/>
      <c r="BA1461"/>
      <c r="BB1461" s="12">
        <v>0</v>
      </c>
      <c r="BC1461" s="12">
        <v>0</v>
      </c>
      <c r="BD1461" s="12">
        <v>0</v>
      </c>
      <c r="BE1461" s="12">
        <v>0</v>
      </c>
      <c r="BF1461" s="12">
        <v>0</v>
      </c>
      <c r="BI1461" s="12">
        <v>0</v>
      </c>
      <c r="BJ1461" s="12">
        <v>0</v>
      </c>
    </row>
    <row r="1462" spans="1:62" x14ac:dyDescent="0.15">
      <c r="A1462" s="12"/>
      <c r="B1462" t="s">
        <v>8179</v>
      </c>
      <c r="C1462" t="s">
        <v>8179</v>
      </c>
      <c r="D1462" t="s">
        <v>6596</v>
      </c>
      <c r="E1462" t="s">
        <v>2182</v>
      </c>
      <c r="F1462"/>
      <c r="G1462"/>
      <c r="H1462"/>
      <c r="I1462"/>
      <c r="J1462"/>
      <c r="K1462"/>
      <c r="L1462" s="10">
        <v>3999200</v>
      </c>
      <c r="M1462" s="10">
        <v>700680</v>
      </c>
      <c r="N1462" s="12">
        <v>15</v>
      </c>
      <c r="O1462" s="12" t="s">
        <v>6992</v>
      </c>
      <c r="P1462" t="s">
        <v>2183</v>
      </c>
      <c r="R1462"/>
      <c r="S1462" t="s">
        <v>2184</v>
      </c>
      <c r="T1462" s="12" t="s">
        <v>2185</v>
      </c>
      <c r="U1462" s="12" t="s">
        <v>2186</v>
      </c>
      <c r="V1462" s="12" t="s">
        <v>2187</v>
      </c>
      <c r="W1462" s="12">
        <v>0</v>
      </c>
      <c r="X1462" s="12">
        <v>1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2">
        <v>0</v>
      </c>
      <c r="AK1462" s="12">
        <v>0</v>
      </c>
      <c r="AL1462" s="12">
        <v>0</v>
      </c>
      <c r="AM1462" s="12"/>
      <c r="AN1462" s="12">
        <v>0</v>
      </c>
      <c r="AO1462" s="12">
        <v>0</v>
      </c>
      <c r="AP1462" s="12">
        <v>0</v>
      </c>
      <c r="AQ1462" s="12">
        <v>0</v>
      </c>
      <c r="AR1462" s="12">
        <v>0</v>
      </c>
      <c r="AS1462" s="12">
        <v>0</v>
      </c>
      <c r="AT1462" s="12">
        <v>0</v>
      </c>
      <c r="AU1462" s="12">
        <v>0</v>
      </c>
      <c r="AV1462" s="12">
        <v>0</v>
      </c>
      <c r="AW1462" s="12">
        <v>0</v>
      </c>
      <c r="AX1462" s="12">
        <v>0</v>
      </c>
      <c r="AY1462" s="12">
        <v>0</v>
      </c>
      <c r="AZ1462"/>
      <c r="BA1462"/>
      <c r="BB1462" s="12">
        <v>0</v>
      </c>
      <c r="BC1462" s="12">
        <v>0</v>
      </c>
      <c r="BD1462" s="12">
        <v>0</v>
      </c>
      <c r="BE1462" s="12">
        <v>0</v>
      </c>
      <c r="BF1462" s="12">
        <v>0</v>
      </c>
      <c r="BI1462" s="12">
        <v>0</v>
      </c>
      <c r="BJ1462" s="12">
        <v>0</v>
      </c>
    </row>
    <row r="1463" spans="1:62" x14ac:dyDescent="0.15">
      <c r="A1463" s="12"/>
      <c r="B1463" t="s">
        <v>8180</v>
      </c>
      <c r="C1463" t="s">
        <v>8180</v>
      </c>
      <c r="D1463" t="s">
        <v>6596</v>
      </c>
      <c r="E1463" t="s">
        <v>2182</v>
      </c>
      <c r="F1463"/>
      <c r="G1463"/>
      <c r="H1463"/>
      <c r="I1463"/>
      <c r="J1463"/>
      <c r="K1463"/>
      <c r="L1463" s="10">
        <v>3987440</v>
      </c>
      <c r="M1463" s="10">
        <v>719160</v>
      </c>
      <c r="N1463" s="12">
        <v>15</v>
      </c>
      <c r="O1463" s="12" t="s">
        <v>6992</v>
      </c>
      <c r="P1463" t="s">
        <v>2183</v>
      </c>
      <c r="R1463"/>
      <c r="S1463" t="s">
        <v>2184</v>
      </c>
      <c r="T1463" s="12" t="s">
        <v>2185</v>
      </c>
      <c r="U1463" s="12" t="s">
        <v>2186</v>
      </c>
      <c r="V1463" s="12" t="s">
        <v>2187</v>
      </c>
      <c r="W1463" s="12">
        <v>0</v>
      </c>
      <c r="X1463" s="12">
        <v>1</v>
      </c>
      <c r="Y1463" s="12">
        <v>0</v>
      </c>
      <c r="Z1463" s="12">
        <v>0</v>
      </c>
      <c r="AA1463" s="12">
        <v>0</v>
      </c>
      <c r="AB1463" s="12">
        <v>0</v>
      </c>
      <c r="AC1463" s="12">
        <v>0</v>
      </c>
      <c r="AD1463" s="12">
        <v>0</v>
      </c>
      <c r="AE1463" s="12">
        <v>0</v>
      </c>
      <c r="AF1463" s="12">
        <v>0</v>
      </c>
      <c r="AG1463" s="12">
        <v>0</v>
      </c>
      <c r="AH1463" s="12">
        <v>0</v>
      </c>
      <c r="AI1463" s="12">
        <v>0</v>
      </c>
      <c r="AJ1463" s="12">
        <v>0</v>
      </c>
      <c r="AK1463" s="12">
        <v>0</v>
      </c>
      <c r="AL1463" s="12">
        <v>0</v>
      </c>
      <c r="AM1463" s="12"/>
      <c r="AN1463" s="12">
        <v>0</v>
      </c>
      <c r="AO1463" s="12">
        <v>0</v>
      </c>
      <c r="AP1463" s="12">
        <v>0</v>
      </c>
      <c r="AQ1463" s="12">
        <v>0</v>
      </c>
      <c r="AR1463" s="12">
        <v>0</v>
      </c>
      <c r="AS1463" s="12">
        <v>0</v>
      </c>
      <c r="AT1463" s="12">
        <v>0</v>
      </c>
      <c r="AU1463" s="12">
        <v>0</v>
      </c>
      <c r="AV1463" s="12">
        <v>0</v>
      </c>
      <c r="AW1463" s="12">
        <v>0</v>
      </c>
      <c r="AX1463" s="12">
        <v>0</v>
      </c>
      <c r="AY1463" s="12">
        <v>0</v>
      </c>
      <c r="AZ1463"/>
      <c r="BA1463"/>
      <c r="BB1463" s="12">
        <v>0</v>
      </c>
      <c r="BC1463" s="12">
        <v>0</v>
      </c>
      <c r="BD1463" s="12">
        <v>0</v>
      </c>
      <c r="BE1463" s="12">
        <v>0</v>
      </c>
      <c r="BF1463" s="12">
        <v>0</v>
      </c>
      <c r="BI1463" s="12">
        <v>0</v>
      </c>
      <c r="BJ1463" s="12">
        <v>0</v>
      </c>
    </row>
    <row r="1464" spans="1:62" x14ac:dyDescent="0.15">
      <c r="A1464" s="12"/>
      <c r="B1464" t="s">
        <v>8181</v>
      </c>
      <c r="C1464" s="27" t="s">
        <v>8182</v>
      </c>
      <c r="D1464" t="s">
        <v>6596</v>
      </c>
      <c r="E1464" t="s">
        <v>2182</v>
      </c>
      <c r="F1464"/>
      <c r="G1464"/>
      <c r="H1464"/>
      <c r="I1464"/>
      <c r="J1464"/>
      <c r="K1464"/>
      <c r="L1464" s="10">
        <v>3998150</v>
      </c>
      <c r="M1464" s="10">
        <v>706450</v>
      </c>
      <c r="N1464" s="12">
        <v>15</v>
      </c>
      <c r="O1464" s="12" t="s">
        <v>6992</v>
      </c>
      <c r="P1464" t="s">
        <v>2183</v>
      </c>
      <c r="R1464"/>
      <c r="S1464" t="s">
        <v>2184</v>
      </c>
      <c r="T1464" s="12" t="s">
        <v>2185</v>
      </c>
      <c r="U1464" s="12" t="s">
        <v>2186</v>
      </c>
      <c r="V1464" s="12" t="s">
        <v>2187</v>
      </c>
      <c r="W1464" s="12">
        <v>0</v>
      </c>
      <c r="X1464" s="12">
        <v>1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2">
        <v>0</v>
      </c>
      <c r="AK1464" s="12">
        <v>0</v>
      </c>
      <c r="AL1464" s="12">
        <v>0</v>
      </c>
      <c r="AM1464" s="12"/>
      <c r="AN1464" s="12">
        <v>0</v>
      </c>
      <c r="AO1464" s="12">
        <v>0</v>
      </c>
      <c r="AP1464" s="12">
        <v>0</v>
      </c>
      <c r="AQ1464" s="12">
        <v>0</v>
      </c>
      <c r="AR1464" s="12">
        <v>0</v>
      </c>
      <c r="AS1464" s="12">
        <v>0</v>
      </c>
      <c r="AT1464" s="12">
        <v>0</v>
      </c>
      <c r="AU1464" s="12">
        <v>0</v>
      </c>
      <c r="AV1464" s="12">
        <v>0</v>
      </c>
      <c r="AW1464" s="12">
        <v>0</v>
      </c>
      <c r="AX1464" s="12">
        <v>0</v>
      </c>
      <c r="AY1464" s="12">
        <v>0</v>
      </c>
      <c r="AZ1464"/>
      <c r="BA1464"/>
      <c r="BB1464" s="12">
        <v>0</v>
      </c>
      <c r="BC1464" s="12">
        <v>0</v>
      </c>
      <c r="BD1464" s="12">
        <v>0</v>
      </c>
      <c r="BE1464" s="12">
        <v>0</v>
      </c>
      <c r="BF1464" s="12">
        <v>0</v>
      </c>
      <c r="BI1464" s="12">
        <v>0</v>
      </c>
      <c r="BJ1464" s="12">
        <v>0</v>
      </c>
    </row>
    <row r="1465" spans="1:62" x14ac:dyDescent="0.15">
      <c r="A1465" s="12"/>
      <c r="B1465" t="s">
        <v>8183</v>
      </c>
      <c r="C1465" t="s">
        <v>8183</v>
      </c>
      <c r="D1465" t="s">
        <v>6596</v>
      </c>
      <c r="E1465" t="s">
        <v>2182</v>
      </c>
      <c r="F1465"/>
      <c r="G1465"/>
      <c r="H1465"/>
      <c r="I1465"/>
      <c r="J1465"/>
      <c r="K1465"/>
      <c r="L1465" s="10">
        <v>4010180</v>
      </c>
      <c r="M1465" s="10">
        <v>700940</v>
      </c>
      <c r="N1465" s="12">
        <v>15</v>
      </c>
      <c r="O1465" s="12" t="s">
        <v>6992</v>
      </c>
      <c r="P1465" t="s">
        <v>2183</v>
      </c>
      <c r="R1465"/>
      <c r="S1465" t="s">
        <v>2184</v>
      </c>
      <c r="T1465" s="12" t="s">
        <v>2185</v>
      </c>
      <c r="U1465" s="12" t="s">
        <v>2186</v>
      </c>
      <c r="V1465" s="12" t="s">
        <v>2187</v>
      </c>
      <c r="W1465" s="12">
        <v>0</v>
      </c>
      <c r="X1465" s="12">
        <v>1</v>
      </c>
      <c r="Y1465" s="12">
        <v>0</v>
      </c>
      <c r="Z1465" s="12">
        <v>0</v>
      </c>
      <c r="AA1465" s="12">
        <v>0</v>
      </c>
      <c r="AB1465" s="12">
        <v>0</v>
      </c>
      <c r="AC1465" s="12">
        <v>0</v>
      </c>
      <c r="AD1465" s="12">
        <v>0</v>
      </c>
      <c r="AE1465" s="12">
        <v>0</v>
      </c>
      <c r="AF1465" s="12">
        <v>0</v>
      </c>
      <c r="AG1465" s="12">
        <v>0</v>
      </c>
      <c r="AH1465" s="12">
        <v>0</v>
      </c>
      <c r="AI1465" s="12">
        <v>0</v>
      </c>
      <c r="AJ1465" s="12">
        <v>0</v>
      </c>
      <c r="AK1465" s="12">
        <v>0</v>
      </c>
      <c r="AL1465" s="12">
        <v>0</v>
      </c>
      <c r="AM1465" s="12"/>
      <c r="AN1465" s="12">
        <v>0</v>
      </c>
      <c r="AO1465" s="12">
        <v>0</v>
      </c>
      <c r="AP1465" s="12">
        <v>0</v>
      </c>
      <c r="AQ1465" s="12">
        <v>0</v>
      </c>
      <c r="AR1465" s="12">
        <v>0</v>
      </c>
      <c r="AS1465" s="12">
        <v>0</v>
      </c>
      <c r="AT1465" s="12">
        <v>0</v>
      </c>
      <c r="AU1465" s="12">
        <v>0</v>
      </c>
      <c r="AV1465" s="12">
        <v>0</v>
      </c>
      <c r="AW1465" s="12">
        <v>0</v>
      </c>
      <c r="AX1465" s="12">
        <v>0</v>
      </c>
      <c r="AY1465" s="12">
        <v>0</v>
      </c>
      <c r="AZ1465"/>
      <c r="BA1465"/>
      <c r="BB1465" s="12">
        <v>0</v>
      </c>
      <c r="BC1465" s="12">
        <v>0</v>
      </c>
      <c r="BD1465" s="12">
        <v>0</v>
      </c>
      <c r="BE1465" s="12">
        <v>0</v>
      </c>
      <c r="BF1465" s="12">
        <v>0</v>
      </c>
      <c r="BI1465" s="12">
        <v>0</v>
      </c>
      <c r="BJ1465" s="12">
        <v>0</v>
      </c>
    </row>
    <row r="1466" spans="1:62" x14ac:dyDescent="0.15">
      <c r="A1466" s="12"/>
      <c r="B1466" t="s">
        <v>8184</v>
      </c>
      <c r="C1466" t="s">
        <v>8184</v>
      </c>
      <c r="D1466" t="s">
        <v>6596</v>
      </c>
      <c r="E1466" t="s">
        <v>2182</v>
      </c>
      <c r="F1466"/>
      <c r="G1466"/>
      <c r="H1466"/>
      <c r="I1466"/>
      <c r="J1466"/>
      <c r="K1466"/>
      <c r="L1466" s="10">
        <v>4010220</v>
      </c>
      <c r="M1466" s="10">
        <v>701070</v>
      </c>
      <c r="N1466" s="12">
        <v>15</v>
      </c>
      <c r="O1466" s="12" t="s">
        <v>6992</v>
      </c>
      <c r="P1466" t="s">
        <v>2183</v>
      </c>
      <c r="R1466"/>
      <c r="S1466" t="s">
        <v>2184</v>
      </c>
      <c r="T1466" s="12" t="s">
        <v>2185</v>
      </c>
      <c r="U1466" s="12" t="s">
        <v>2186</v>
      </c>
      <c r="V1466" s="12" t="s">
        <v>2187</v>
      </c>
      <c r="W1466" s="12">
        <v>0</v>
      </c>
      <c r="X1466" s="12">
        <v>1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2">
        <v>0</v>
      </c>
      <c r="AK1466" s="12">
        <v>0</v>
      </c>
      <c r="AL1466" s="12">
        <v>0</v>
      </c>
      <c r="AM1466" s="12"/>
      <c r="AN1466" s="12">
        <v>0</v>
      </c>
      <c r="AO1466" s="12">
        <v>0</v>
      </c>
      <c r="AP1466" s="12">
        <v>0</v>
      </c>
      <c r="AQ1466" s="12">
        <v>0</v>
      </c>
      <c r="AR1466" s="12">
        <v>0</v>
      </c>
      <c r="AS1466" s="12">
        <v>0</v>
      </c>
      <c r="AT1466" s="12">
        <v>0</v>
      </c>
      <c r="AU1466" s="12">
        <v>0</v>
      </c>
      <c r="AV1466" s="12">
        <v>0</v>
      </c>
      <c r="AW1466" s="12">
        <v>0</v>
      </c>
      <c r="AX1466" s="12">
        <v>0</v>
      </c>
      <c r="AY1466" s="12">
        <v>0</v>
      </c>
      <c r="AZ1466"/>
      <c r="BA1466"/>
      <c r="BB1466" s="12">
        <v>0</v>
      </c>
      <c r="BC1466" s="12">
        <v>0</v>
      </c>
      <c r="BD1466" s="12">
        <v>0</v>
      </c>
      <c r="BE1466" s="12">
        <v>0</v>
      </c>
      <c r="BF1466" s="12">
        <v>0</v>
      </c>
      <c r="BI1466" s="12">
        <v>0</v>
      </c>
      <c r="BJ1466" s="12">
        <v>0</v>
      </c>
    </row>
    <row r="1467" spans="1:62" x14ac:dyDescent="0.15">
      <c r="A1467" s="12"/>
      <c r="B1467" t="s">
        <v>8185</v>
      </c>
      <c r="C1467" s="27" t="s">
        <v>8186</v>
      </c>
      <c r="D1467" t="s">
        <v>6596</v>
      </c>
      <c r="E1467" t="s">
        <v>2182</v>
      </c>
      <c r="F1467"/>
      <c r="G1467"/>
      <c r="H1467"/>
      <c r="I1467"/>
      <c r="J1467"/>
      <c r="K1467"/>
      <c r="L1467" s="10">
        <v>3999800</v>
      </c>
      <c r="M1467" s="10">
        <v>738660</v>
      </c>
      <c r="N1467" s="12">
        <v>15</v>
      </c>
      <c r="O1467" s="12" t="s">
        <v>6992</v>
      </c>
      <c r="P1467" t="s">
        <v>2183</v>
      </c>
      <c r="R1467"/>
      <c r="S1467" t="s">
        <v>2184</v>
      </c>
      <c r="T1467" s="12" t="s">
        <v>2185</v>
      </c>
      <c r="U1467" s="12" t="s">
        <v>2186</v>
      </c>
      <c r="V1467" s="12" t="s">
        <v>2187</v>
      </c>
      <c r="W1467" s="12">
        <v>0</v>
      </c>
      <c r="X1467" s="12">
        <v>1</v>
      </c>
      <c r="Y1467" s="12">
        <v>0</v>
      </c>
      <c r="Z1467" s="12">
        <v>0</v>
      </c>
      <c r="AA1467" s="12">
        <v>0</v>
      </c>
      <c r="AB1467" s="12">
        <v>0</v>
      </c>
      <c r="AC1467" s="12">
        <v>0</v>
      </c>
      <c r="AD1467" s="12">
        <v>0</v>
      </c>
      <c r="AE1467" s="12">
        <v>0</v>
      </c>
      <c r="AF1467" s="12">
        <v>0</v>
      </c>
      <c r="AG1467" s="12">
        <v>0</v>
      </c>
      <c r="AH1467" s="12">
        <v>0</v>
      </c>
      <c r="AI1467" s="12">
        <v>0</v>
      </c>
      <c r="AJ1467" s="12">
        <v>0</v>
      </c>
      <c r="AK1467" s="12">
        <v>0</v>
      </c>
      <c r="AL1467" s="12">
        <v>0</v>
      </c>
      <c r="AM1467" s="12"/>
      <c r="AN1467" s="12">
        <v>0</v>
      </c>
      <c r="AO1467" s="12">
        <v>0</v>
      </c>
      <c r="AP1467" s="12">
        <v>0</v>
      </c>
      <c r="AQ1467" s="12">
        <v>0</v>
      </c>
      <c r="AR1467" s="12">
        <v>0</v>
      </c>
      <c r="AS1467" s="12">
        <v>0</v>
      </c>
      <c r="AT1467" s="12">
        <v>0</v>
      </c>
      <c r="AU1467" s="12">
        <v>0</v>
      </c>
      <c r="AV1467" s="12">
        <v>0</v>
      </c>
      <c r="AW1467" s="12">
        <v>0</v>
      </c>
      <c r="AX1467" s="12">
        <v>0</v>
      </c>
      <c r="AY1467" s="12">
        <v>0</v>
      </c>
      <c r="AZ1467"/>
      <c r="BA1467"/>
      <c r="BB1467" s="12">
        <v>0</v>
      </c>
      <c r="BC1467" s="12">
        <v>0</v>
      </c>
      <c r="BD1467" s="12">
        <v>0</v>
      </c>
      <c r="BE1467" s="12">
        <v>0</v>
      </c>
      <c r="BF1467" s="12">
        <v>0</v>
      </c>
      <c r="BI1467" s="12">
        <v>0</v>
      </c>
      <c r="BJ1467" s="12">
        <v>0</v>
      </c>
    </row>
    <row r="1468" spans="1:62" x14ac:dyDescent="0.15">
      <c r="A1468" s="12"/>
      <c r="B1468" t="s">
        <v>8187</v>
      </c>
      <c r="C1468" s="27" t="s">
        <v>8188</v>
      </c>
      <c r="D1468" t="s">
        <v>6596</v>
      </c>
      <c r="E1468" t="s">
        <v>2182</v>
      </c>
      <c r="F1468"/>
      <c r="G1468"/>
      <c r="H1468"/>
      <c r="I1468"/>
      <c r="J1468"/>
      <c r="K1468"/>
      <c r="L1468" s="10">
        <v>3984860</v>
      </c>
      <c r="M1468" s="10">
        <v>699120</v>
      </c>
      <c r="N1468" s="12">
        <v>15</v>
      </c>
      <c r="O1468" s="12" t="s">
        <v>6992</v>
      </c>
      <c r="P1468" t="s">
        <v>2183</v>
      </c>
      <c r="R1468"/>
      <c r="S1468" t="s">
        <v>2184</v>
      </c>
      <c r="T1468" s="12" t="s">
        <v>2185</v>
      </c>
      <c r="U1468" s="12" t="s">
        <v>2186</v>
      </c>
      <c r="V1468" s="12" t="s">
        <v>2187</v>
      </c>
      <c r="W1468" s="12">
        <v>0</v>
      </c>
      <c r="X1468" s="12">
        <v>1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2">
        <v>0</v>
      </c>
      <c r="AK1468" s="12">
        <v>0</v>
      </c>
      <c r="AL1468" s="12">
        <v>0</v>
      </c>
      <c r="AM1468" s="12"/>
      <c r="AN1468" s="12">
        <v>0</v>
      </c>
      <c r="AO1468" s="12">
        <v>0</v>
      </c>
      <c r="AP1468" s="12">
        <v>0</v>
      </c>
      <c r="AQ1468" s="12">
        <v>0</v>
      </c>
      <c r="AR1468" s="12">
        <v>0</v>
      </c>
      <c r="AS1468" s="12">
        <v>0</v>
      </c>
      <c r="AT1468" s="12">
        <v>0</v>
      </c>
      <c r="AU1468" s="12">
        <v>0</v>
      </c>
      <c r="AV1468" s="12">
        <v>0</v>
      </c>
      <c r="AW1468" s="12">
        <v>0</v>
      </c>
      <c r="AX1468" s="12">
        <v>0</v>
      </c>
      <c r="AY1468" s="12">
        <v>0</v>
      </c>
      <c r="AZ1468"/>
      <c r="BA1468"/>
      <c r="BB1468" s="12">
        <v>0</v>
      </c>
      <c r="BC1468" s="12">
        <v>0</v>
      </c>
      <c r="BD1468" s="12">
        <v>0</v>
      </c>
      <c r="BE1468" s="12">
        <v>0</v>
      </c>
      <c r="BF1468" s="12">
        <v>0</v>
      </c>
      <c r="BI1468" s="12">
        <v>0</v>
      </c>
      <c r="BJ1468" s="12">
        <v>0</v>
      </c>
    </row>
    <row r="1469" spans="1:62" x14ac:dyDescent="0.15">
      <c r="A1469" s="12"/>
      <c r="B1469" t="s">
        <v>8189</v>
      </c>
      <c r="C1469" s="27" t="s">
        <v>8190</v>
      </c>
      <c r="D1469" t="s">
        <v>6596</v>
      </c>
      <c r="E1469" t="s">
        <v>2182</v>
      </c>
      <c r="F1469"/>
      <c r="G1469"/>
      <c r="H1469"/>
      <c r="I1469"/>
      <c r="J1469"/>
      <c r="K1469"/>
      <c r="L1469" s="10">
        <v>3985320</v>
      </c>
      <c r="M1469" s="10">
        <v>700290</v>
      </c>
      <c r="N1469" s="12">
        <v>15</v>
      </c>
      <c r="O1469" s="12" t="s">
        <v>6992</v>
      </c>
      <c r="P1469" t="s">
        <v>2183</v>
      </c>
      <c r="R1469"/>
      <c r="S1469" t="s">
        <v>2184</v>
      </c>
      <c r="T1469" s="12" t="s">
        <v>2185</v>
      </c>
      <c r="U1469" s="12" t="s">
        <v>2186</v>
      </c>
      <c r="V1469" s="12" t="s">
        <v>2187</v>
      </c>
      <c r="W1469" s="12">
        <v>0</v>
      </c>
      <c r="X1469" s="12">
        <v>1</v>
      </c>
      <c r="Y1469" s="12">
        <v>0</v>
      </c>
      <c r="Z1469" s="12">
        <v>0</v>
      </c>
      <c r="AA1469" s="12">
        <v>0</v>
      </c>
      <c r="AB1469" s="12">
        <v>0</v>
      </c>
      <c r="AC1469" s="12">
        <v>0</v>
      </c>
      <c r="AD1469" s="12">
        <v>0</v>
      </c>
      <c r="AE1469" s="12">
        <v>0</v>
      </c>
      <c r="AF1469" s="12">
        <v>0</v>
      </c>
      <c r="AG1469" s="12">
        <v>0</v>
      </c>
      <c r="AH1469" s="12">
        <v>0</v>
      </c>
      <c r="AI1469" s="12">
        <v>0</v>
      </c>
      <c r="AJ1469" s="12">
        <v>0</v>
      </c>
      <c r="AK1469" s="12">
        <v>0</v>
      </c>
      <c r="AL1469" s="12">
        <v>0</v>
      </c>
      <c r="AM1469" s="12"/>
      <c r="AN1469" s="12">
        <v>0</v>
      </c>
      <c r="AO1469" s="12">
        <v>0</v>
      </c>
      <c r="AP1469" s="12">
        <v>0</v>
      </c>
      <c r="AQ1469" s="12">
        <v>0</v>
      </c>
      <c r="AR1469" s="12">
        <v>0</v>
      </c>
      <c r="AS1469" s="12">
        <v>0</v>
      </c>
      <c r="AT1469" s="12">
        <v>0</v>
      </c>
      <c r="AU1469" s="12">
        <v>0</v>
      </c>
      <c r="AV1469" s="12">
        <v>0</v>
      </c>
      <c r="AW1469" s="12">
        <v>0</v>
      </c>
      <c r="AX1469" s="12">
        <v>0</v>
      </c>
      <c r="AY1469" s="12">
        <v>0</v>
      </c>
      <c r="AZ1469"/>
      <c r="BA1469"/>
      <c r="BB1469" s="12">
        <v>0</v>
      </c>
      <c r="BC1469" s="12">
        <v>0</v>
      </c>
      <c r="BD1469" s="12">
        <v>0</v>
      </c>
      <c r="BE1469" s="12">
        <v>0</v>
      </c>
      <c r="BF1469" s="12">
        <v>0</v>
      </c>
      <c r="BI1469" s="12">
        <v>0</v>
      </c>
      <c r="BJ1469" s="12">
        <v>0</v>
      </c>
    </row>
    <row r="1470" spans="1:62" x14ac:dyDescent="0.15">
      <c r="A1470" s="12"/>
      <c r="B1470" t="s">
        <v>8191</v>
      </c>
      <c r="C1470" t="s">
        <v>8191</v>
      </c>
      <c r="D1470" t="s">
        <v>6596</v>
      </c>
      <c r="E1470" t="s">
        <v>2182</v>
      </c>
      <c r="F1470"/>
      <c r="G1470"/>
      <c r="H1470"/>
      <c r="I1470"/>
      <c r="J1470"/>
      <c r="K1470"/>
      <c r="L1470" s="10">
        <v>3985280</v>
      </c>
      <c r="M1470" s="10">
        <v>726430</v>
      </c>
      <c r="N1470" s="12">
        <v>15</v>
      </c>
      <c r="O1470" s="12" t="s">
        <v>6992</v>
      </c>
      <c r="P1470" t="s">
        <v>2183</v>
      </c>
      <c r="R1470"/>
      <c r="S1470" t="s">
        <v>2184</v>
      </c>
      <c r="T1470" s="12" t="s">
        <v>2185</v>
      </c>
      <c r="U1470" s="12" t="s">
        <v>2186</v>
      </c>
      <c r="V1470" s="12" t="s">
        <v>2187</v>
      </c>
      <c r="W1470" s="12">
        <v>0</v>
      </c>
      <c r="X1470" s="12">
        <v>1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2">
        <v>0</v>
      </c>
      <c r="AK1470" s="12">
        <v>0</v>
      </c>
      <c r="AL1470" s="12">
        <v>0</v>
      </c>
      <c r="AM1470" s="12"/>
      <c r="AN1470" s="12">
        <v>0</v>
      </c>
      <c r="AO1470" s="12">
        <v>0</v>
      </c>
      <c r="AP1470" s="12">
        <v>0</v>
      </c>
      <c r="AQ1470" s="12">
        <v>0</v>
      </c>
      <c r="AR1470" s="12">
        <v>0</v>
      </c>
      <c r="AS1470" s="12">
        <v>0</v>
      </c>
      <c r="AT1470" s="12">
        <v>0</v>
      </c>
      <c r="AU1470" s="12">
        <v>0</v>
      </c>
      <c r="AV1470" s="12">
        <v>0</v>
      </c>
      <c r="AW1470" s="12">
        <v>0</v>
      </c>
      <c r="AX1470" s="12">
        <v>0</v>
      </c>
      <c r="AY1470" s="12">
        <v>0</v>
      </c>
      <c r="AZ1470"/>
      <c r="BA1470"/>
      <c r="BB1470" s="12">
        <v>0</v>
      </c>
      <c r="BC1470" s="12">
        <v>0</v>
      </c>
      <c r="BD1470" s="12">
        <v>0</v>
      </c>
      <c r="BE1470" s="12">
        <v>0</v>
      </c>
      <c r="BF1470" s="12">
        <v>0</v>
      </c>
      <c r="BI1470" s="12">
        <v>0</v>
      </c>
      <c r="BJ1470" s="12">
        <v>0</v>
      </c>
    </row>
    <row r="1471" spans="1:62" x14ac:dyDescent="0.15">
      <c r="A1471" s="12"/>
      <c r="B1471" t="s">
        <v>8192</v>
      </c>
      <c r="C1471" s="27" t="s">
        <v>8193</v>
      </c>
      <c r="D1471" t="s">
        <v>6596</v>
      </c>
      <c r="E1471" t="s">
        <v>2182</v>
      </c>
      <c r="F1471"/>
      <c r="G1471"/>
      <c r="H1471"/>
      <c r="I1471"/>
      <c r="J1471"/>
      <c r="K1471"/>
      <c r="L1471" s="10">
        <v>4035940</v>
      </c>
      <c r="M1471" s="10">
        <v>735880</v>
      </c>
      <c r="N1471" s="12">
        <v>15</v>
      </c>
      <c r="O1471" s="12" t="s">
        <v>6992</v>
      </c>
      <c r="P1471" t="s">
        <v>2183</v>
      </c>
      <c r="R1471"/>
      <c r="S1471" t="s">
        <v>2184</v>
      </c>
      <c r="T1471" s="12" t="s">
        <v>2185</v>
      </c>
      <c r="U1471" s="12" t="s">
        <v>2186</v>
      </c>
      <c r="V1471" s="12" t="s">
        <v>2187</v>
      </c>
      <c r="W1471" s="12">
        <v>0</v>
      </c>
      <c r="X1471" s="12">
        <v>1</v>
      </c>
      <c r="Y1471" s="12">
        <v>0</v>
      </c>
      <c r="Z1471" s="12">
        <v>0</v>
      </c>
      <c r="AA1471" s="12">
        <v>0</v>
      </c>
      <c r="AB1471" s="12">
        <v>0</v>
      </c>
      <c r="AC1471" s="12">
        <v>0</v>
      </c>
      <c r="AD1471" s="12">
        <v>0</v>
      </c>
      <c r="AE1471" s="12">
        <v>0</v>
      </c>
      <c r="AF1471" s="12">
        <v>0</v>
      </c>
      <c r="AG1471" s="12">
        <v>0</v>
      </c>
      <c r="AH1471" s="12">
        <v>0</v>
      </c>
      <c r="AI1471" s="12">
        <v>0</v>
      </c>
      <c r="AJ1471" s="12">
        <v>0</v>
      </c>
      <c r="AK1471" s="12">
        <v>0</v>
      </c>
      <c r="AL1471" s="12">
        <v>0</v>
      </c>
      <c r="AM1471" s="12"/>
      <c r="AN1471" s="12">
        <v>0</v>
      </c>
      <c r="AO1471" s="12">
        <v>0</v>
      </c>
      <c r="AP1471" s="12">
        <v>0</v>
      </c>
      <c r="AQ1471" s="12">
        <v>0</v>
      </c>
      <c r="AR1471" s="12">
        <v>0</v>
      </c>
      <c r="AS1471" s="12">
        <v>0</v>
      </c>
      <c r="AT1471" s="12">
        <v>0</v>
      </c>
      <c r="AU1471" s="12">
        <v>0</v>
      </c>
      <c r="AV1471" s="12">
        <v>0</v>
      </c>
      <c r="AW1471" s="12">
        <v>0</v>
      </c>
      <c r="AX1471" s="12">
        <v>0</v>
      </c>
      <c r="AY1471" s="12">
        <v>0</v>
      </c>
      <c r="AZ1471"/>
      <c r="BA1471"/>
      <c r="BB1471" s="12">
        <v>0</v>
      </c>
      <c r="BC1471" s="12">
        <v>0</v>
      </c>
      <c r="BD1471" s="12">
        <v>0</v>
      </c>
      <c r="BE1471" s="12">
        <v>0</v>
      </c>
      <c r="BF1471" s="12">
        <v>0</v>
      </c>
      <c r="BI1471" s="12">
        <v>0</v>
      </c>
      <c r="BJ1471" s="12">
        <v>0</v>
      </c>
    </row>
    <row r="1472" spans="1:62" x14ac:dyDescent="0.15">
      <c r="A1472" s="12"/>
      <c r="B1472" t="s">
        <v>8194</v>
      </c>
      <c r="C1472" s="27" t="s">
        <v>8195</v>
      </c>
      <c r="D1472" t="s">
        <v>6596</v>
      </c>
      <c r="E1472" t="s">
        <v>2182</v>
      </c>
      <c r="F1472"/>
      <c r="G1472"/>
      <c r="H1472"/>
      <c r="I1472"/>
      <c r="J1472"/>
      <c r="K1472"/>
      <c r="L1472" s="10">
        <v>4036590</v>
      </c>
      <c r="M1472" s="10">
        <v>736060</v>
      </c>
      <c r="N1472" s="12">
        <v>15</v>
      </c>
      <c r="O1472" s="12" t="s">
        <v>6992</v>
      </c>
      <c r="P1472" t="s">
        <v>2183</v>
      </c>
      <c r="R1472"/>
      <c r="S1472" t="s">
        <v>2184</v>
      </c>
      <c r="T1472" s="12" t="s">
        <v>2185</v>
      </c>
      <c r="U1472" s="12" t="s">
        <v>2186</v>
      </c>
      <c r="V1472" s="12" t="s">
        <v>2187</v>
      </c>
      <c r="W1472" s="12">
        <v>0</v>
      </c>
      <c r="X1472" s="12">
        <v>1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2">
        <v>0</v>
      </c>
      <c r="AK1472" s="12">
        <v>0</v>
      </c>
      <c r="AL1472" s="12">
        <v>0</v>
      </c>
      <c r="AM1472" s="12"/>
      <c r="AN1472" s="12">
        <v>0</v>
      </c>
      <c r="AO1472" s="12">
        <v>0</v>
      </c>
      <c r="AP1472" s="12">
        <v>0</v>
      </c>
      <c r="AQ1472" s="12">
        <v>0</v>
      </c>
      <c r="AR1472" s="12">
        <v>0</v>
      </c>
      <c r="AS1472" s="12">
        <v>0</v>
      </c>
      <c r="AT1472" s="12">
        <v>0</v>
      </c>
      <c r="AU1472" s="12">
        <v>0</v>
      </c>
      <c r="AV1472" s="12">
        <v>0</v>
      </c>
      <c r="AW1472" s="12">
        <v>0</v>
      </c>
      <c r="AX1472" s="12">
        <v>0</v>
      </c>
      <c r="AY1472" s="12">
        <v>0</v>
      </c>
      <c r="AZ1472"/>
      <c r="BA1472"/>
      <c r="BB1472" s="12">
        <v>0</v>
      </c>
      <c r="BC1472" s="12">
        <v>0</v>
      </c>
      <c r="BD1472" s="12">
        <v>0</v>
      </c>
      <c r="BE1472" s="12">
        <v>0</v>
      </c>
      <c r="BF1472" s="12">
        <v>0</v>
      </c>
      <c r="BI1472" s="12">
        <v>0</v>
      </c>
      <c r="BJ1472" s="12">
        <v>0</v>
      </c>
    </row>
    <row r="1473" spans="1:62" x14ac:dyDescent="0.15">
      <c r="A1473" s="12"/>
      <c r="B1473" t="s">
        <v>8196</v>
      </c>
      <c r="C1473" s="27" t="s">
        <v>8197</v>
      </c>
      <c r="D1473" t="s">
        <v>6596</v>
      </c>
      <c r="E1473" t="s">
        <v>2182</v>
      </c>
      <c r="F1473"/>
      <c r="G1473"/>
      <c r="H1473"/>
      <c r="I1473"/>
      <c r="J1473"/>
      <c r="K1473"/>
      <c r="L1473" s="10">
        <v>4034160</v>
      </c>
      <c r="M1473" s="10">
        <v>734190</v>
      </c>
      <c r="N1473" s="12">
        <v>15</v>
      </c>
      <c r="O1473" s="12" t="s">
        <v>6992</v>
      </c>
      <c r="P1473" t="s">
        <v>2183</v>
      </c>
      <c r="R1473"/>
      <c r="S1473" t="s">
        <v>2184</v>
      </c>
      <c r="T1473" s="12" t="s">
        <v>2185</v>
      </c>
      <c r="U1473" s="12" t="s">
        <v>2186</v>
      </c>
      <c r="V1473" s="12" t="s">
        <v>2187</v>
      </c>
      <c r="W1473" s="12">
        <v>0</v>
      </c>
      <c r="X1473" s="12">
        <v>1</v>
      </c>
      <c r="Y1473" s="12">
        <v>0</v>
      </c>
      <c r="Z1473" s="12">
        <v>0</v>
      </c>
      <c r="AA1473" s="12">
        <v>0</v>
      </c>
      <c r="AB1473" s="12">
        <v>0</v>
      </c>
      <c r="AC1473" s="12">
        <v>0</v>
      </c>
      <c r="AD1473" s="12">
        <v>0</v>
      </c>
      <c r="AE1473" s="12">
        <v>0</v>
      </c>
      <c r="AF1473" s="12">
        <v>0</v>
      </c>
      <c r="AG1473" s="12">
        <v>0</v>
      </c>
      <c r="AH1473" s="12">
        <v>0</v>
      </c>
      <c r="AI1473" s="12">
        <v>0</v>
      </c>
      <c r="AJ1473" s="12">
        <v>0</v>
      </c>
      <c r="AK1473" s="12">
        <v>0</v>
      </c>
      <c r="AL1473" s="12">
        <v>0</v>
      </c>
      <c r="AM1473" s="12"/>
      <c r="AN1473" s="12">
        <v>0</v>
      </c>
      <c r="AO1473" s="12">
        <v>0</v>
      </c>
      <c r="AP1473" s="12">
        <v>0</v>
      </c>
      <c r="AQ1473" s="12">
        <v>0</v>
      </c>
      <c r="AR1473" s="12">
        <v>0</v>
      </c>
      <c r="AS1473" s="12">
        <v>0</v>
      </c>
      <c r="AT1473" s="12">
        <v>0</v>
      </c>
      <c r="AU1473" s="12">
        <v>0</v>
      </c>
      <c r="AV1473" s="12">
        <v>0</v>
      </c>
      <c r="AW1473" s="12">
        <v>0</v>
      </c>
      <c r="AX1473" s="12">
        <v>0</v>
      </c>
      <c r="AY1473" s="12">
        <v>0</v>
      </c>
      <c r="AZ1473"/>
      <c r="BA1473"/>
      <c r="BB1473" s="12">
        <v>0</v>
      </c>
      <c r="BC1473" s="12">
        <v>0</v>
      </c>
      <c r="BD1473" s="12">
        <v>0</v>
      </c>
      <c r="BE1473" s="12">
        <v>0</v>
      </c>
      <c r="BF1473" s="12">
        <v>0</v>
      </c>
      <c r="BI1473" s="12">
        <v>0</v>
      </c>
      <c r="BJ1473" s="12">
        <v>0</v>
      </c>
    </row>
    <row r="1474" spans="1:62" x14ac:dyDescent="0.15">
      <c r="A1474" s="12"/>
      <c r="B1474" t="s">
        <v>8198</v>
      </c>
      <c r="C1474" s="27" t="s">
        <v>1722</v>
      </c>
      <c r="D1474" t="s">
        <v>6596</v>
      </c>
      <c r="E1474" t="s">
        <v>2182</v>
      </c>
      <c r="F1474"/>
      <c r="G1474"/>
      <c r="H1474"/>
      <c r="I1474"/>
      <c r="J1474"/>
      <c r="K1474"/>
      <c r="L1474" s="10">
        <v>4039840</v>
      </c>
      <c r="M1474" s="10">
        <v>744520</v>
      </c>
      <c r="N1474" s="12">
        <v>15</v>
      </c>
      <c r="O1474" s="12" t="s">
        <v>6992</v>
      </c>
      <c r="P1474" t="s">
        <v>2183</v>
      </c>
      <c r="R1474"/>
      <c r="S1474" t="s">
        <v>2184</v>
      </c>
      <c r="T1474" s="12" t="s">
        <v>2185</v>
      </c>
      <c r="U1474" s="12" t="s">
        <v>2186</v>
      </c>
      <c r="V1474" s="12" t="s">
        <v>2187</v>
      </c>
      <c r="W1474" s="12">
        <v>0</v>
      </c>
      <c r="X1474" s="12">
        <v>1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2">
        <v>0</v>
      </c>
      <c r="AK1474" s="12">
        <v>0</v>
      </c>
      <c r="AL1474" s="12">
        <v>0</v>
      </c>
      <c r="AM1474" s="12"/>
      <c r="AN1474" s="12">
        <v>0</v>
      </c>
      <c r="AO1474" s="12">
        <v>0</v>
      </c>
      <c r="AP1474" s="12">
        <v>0</v>
      </c>
      <c r="AQ1474" s="12">
        <v>0</v>
      </c>
      <c r="AR1474" s="12">
        <v>0</v>
      </c>
      <c r="AS1474" s="12">
        <v>0</v>
      </c>
      <c r="AT1474" s="12">
        <v>0</v>
      </c>
      <c r="AU1474" s="12">
        <v>0</v>
      </c>
      <c r="AV1474" s="12">
        <v>0</v>
      </c>
      <c r="AW1474" s="12">
        <v>0</v>
      </c>
      <c r="AX1474" s="12">
        <v>0</v>
      </c>
      <c r="AY1474" s="12">
        <v>0</v>
      </c>
      <c r="AZ1474"/>
      <c r="BA1474"/>
      <c r="BB1474" s="12">
        <v>0</v>
      </c>
      <c r="BC1474" s="12">
        <v>0</v>
      </c>
      <c r="BD1474" s="12">
        <v>0</v>
      </c>
      <c r="BE1474" s="12">
        <v>0</v>
      </c>
      <c r="BF1474" s="12">
        <v>0</v>
      </c>
      <c r="BI1474" s="12">
        <v>0</v>
      </c>
      <c r="BJ1474" s="12">
        <v>0</v>
      </c>
    </row>
    <row r="1475" spans="1:62" x14ac:dyDescent="0.15">
      <c r="A1475" s="12"/>
      <c r="B1475" t="s">
        <v>8199</v>
      </c>
      <c r="C1475" s="27" t="s">
        <v>8200</v>
      </c>
      <c r="D1475" t="s">
        <v>6596</v>
      </c>
      <c r="E1475" t="s">
        <v>2182</v>
      </c>
      <c r="F1475"/>
      <c r="G1475"/>
      <c r="H1475"/>
      <c r="I1475"/>
      <c r="J1475"/>
      <c r="K1475"/>
      <c r="L1475" s="10">
        <v>4036380</v>
      </c>
      <c r="M1475" s="10">
        <v>703760</v>
      </c>
      <c r="N1475" s="12">
        <v>15</v>
      </c>
      <c r="O1475" s="12" t="s">
        <v>6992</v>
      </c>
      <c r="P1475" t="s">
        <v>2183</v>
      </c>
      <c r="R1475"/>
      <c r="S1475" t="s">
        <v>2184</v>
      </c>
      <c r="T1475" s="12" t="s">
        <v>2185</v>
      </c>
      <c r="U1475" s="12" t="s">
        <v>2186</v>
      </c>
      <c r="V1475" s="12" t="s">
        <v>2187</v>
      </c>
      <c r="W1475" s="12">
        <v>0</v>
      </c>
      <c r="X1475" s="12">
        <v>1</v>
      </c>
      <c r="Y1475" s="12">
        <v>0</v>
      </c>
      <c r="Z1475" s="12">
        <v>0</v>
      </c>
      <c r="AA1475" s="12">
        <v>0</v>
      </c>
      <c r="AB1475" s="12">
        <v>0</v>
      </c>
      <c r="AC1475" s="12">
        <v>0</v>
      </c>
      <c r="AD1475" s="12">
        <v>0</v>
      </c>
      <c r="AE1475" s="12">
        <v>0</v>
      </c>
      <c r="AF1475" s="12">
        <v>0</v>
      </c>
      <c r="AG1475" s="12">
        <v>0</v>
      </c>
      <c r="AH1475" s="12">
        <v>0</v>
      </c>
      <c r="AI1475" s="12">
        <v>0</v>
      </c>
      <c r="AJ1475" s="12">
        <v>0</v>
      </c>
      <c r="AK1475" s="12">
        <v>0</v>
      </c>
      <c r="AL1475" s="12">
        <v>0</v>
      </c>
      <c r="AM1475" s="12"/>
      <c r="AN1475" s="12">
        <v>0</v>
      </c>
      <c r="AO1475" s="12">
        <v>0</v>
      </c>
      <c r="AP1475" s="12">
        <v>0</v>
      </c>
      <c r="AQ1475" s="12">
        <v>0</v>
      </c>
      <c r="AR1475" s="12">
        <v>0</v>
      </c>
      <c r="AS1475" s="12">
        <v>0</v>
      </c>
      <c r="AT1475" s="12">
        <v>0</v>
      </c>
      <c r="AU1475" s="12">
        <v>0</v>
      </c>
      <c r="AV1475" s="12">
        <v>0</v>
      </c>
      <c r="AW1475" s="12">
        <v>0</v>
      </c>
      <c r="AX1475" s="12">
        <v>0</v>
      </c>
      <c r="AY1475" s="12">
        <v>0</v>
      </c>
      <c r="AZ1475"/>
      <c r="BA1475"/>
      <c r="BB1475" s="12">
        <v>0</v>
      </c>
      <c r="BC1475" s="12">
        <v>0</v>
      </c>
      <c r="BD1475" s="12">
        <v>0</v>
      </c>
      <c r="BE1475" s="12">
        <v>0</v>
      </c>
      <c r="BF1475" s="12">
        <v>0</v>
      </c>
      <c r="BI1475" s="12">
        <v>0</v>
      </c>
      <c r="BJ1475" s="12">
        <v>0</v>
      </c>
    </row>
    <row r="1476" spans="1:62" x14ac:dyDescent="0.15">
      <c r="A1476" s="12"/>
      <c r="B1476" t="s">
        <v>8201</v>
      </c>
      <c r="C1476" s="27" t="s">
        <v>8202</v>
      </c>
      <c r="D1476" t="s">
        <v>6596</v>
      </c>
      <c r="E1476" t="s">
        <v>2182</v>
      </c>
      <c r="F1476"/>
      <c r="G1476"/>
      <c r="H1476"/>
      <c r="I1476"/>
      <c r="J1476"/>
      <c r="K1476"/>
      <c r="L1476" s="10">
        <v>4025940</v>
      </c>
      <c r="M1476" s="10">
        <v>708700</v>
      </c>
      <c r="N1476" s="12">
        <v>15</v>
      </c>
      <c r="O1476" s="12" t="s">
        <v>6992</v>
      </c>
      <c r="P1476" t="s">
        <v>2183</v>
      </c>
      <c r="R1476"/>
      <c r="S1476" t="s">
        <v>2184</v>
      </c>
      <c r="T1476" s="12" t="s">
        <v>2185</v>
      </c>
      <c r="U1476" s="12" t="s">
        <v>2186</v>
      </c>
      <c r="V1476" s="12" t="s">
        <v>2187</v>
      </c>
      <c r="W1476" s="12">
        <v>0</v>
      </c>
      <c r="X1476" s="12">
        <v>1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2">
        <v>0</v>
      </c>
      <c r="AK1476" s="12">
        <v>0</v>
      </c>
      <c r="AL1476" s="12">
        <v>0</v>
      </c>
      <c r="AM1476" s="12"/>
      <c r="AN1476" s="12">
        <v>0</v>
      </c>
      <c r="AO1476" s="12">
        <v>0</v>
      </c>
      <c r="AP1476" s="12">
        <v>0</v>
      </c>
      <c r="AQ1476" s="12">
        <v>0</v>
      </c>
      <c r="AR1476" s="12">
        <v>0</v>
      </c>
      <c r="AS1476" s="12">
        <v>0</v>
      </c>
      <c r="AT1476" s="12">
        <v>0</v>
      </c>
      <c r="AU1476" s="12">
        <v>0</v>
      </c>
      <c r="AV1476" s="12">
        <v>0</v>
      </c>
      <c r="AW1476" s="12">
        <v>0</v>
      </c>
      <c r="AX1476" s="12">
        <v>0</v>
      </c>
      <c r="AY1476" s="12">
        <v>0</v>
      </c>
      <c r="AZ1476"/>
      <c r="BA1476"/>
      <c r="BB1476" s="12">
        <v>0</v>
      </c>
      <c r="BC1476" s="12">
        <v>0</v>
      </c>
      <c r="BD1476" s="12">
        <v>0</v>
      </c>
      <c r="BE1476" s="12">
        <v>0</v>
      </c>
      <c r="BF1476" s="12">
        <v>0</v>
      </c>
      <c r="BI1476" s="12">
        <v>0</v>
      </c>
      <c r="BJ1476" s="12">
        <v>0</v>
      </c>
    </row>
    <row r="1477" spans="1:62" x14ac:dyDescent="0.15">
      <c r="A1477" s="12"/>
      <c r="B1477" t="s">
        <v>8203</v>
      </c>
      <c r="C1477" t="s">
        <v>8203</v>
      </c>
      <c r="D1477" t="s">
        <v>6596</v>
      </c>
      <c r="E1477" t="s">
        <v>2182</v>
      </c>
      <c r="F1477"/>
      <c r="G1477"/>
      <c r="H1477"/>
      <c r="I1477"/>
      <c r="J1477"/>
      <c r="K1477"/>
      <c r="L1477" s="10">
        <v>4028530</v>
      </c>
      <c r="M1477" s="10">
        <v>708650</v>
      </c>
      <c r="N1477" s="12">
        <v>15</v>
      </c>
      <c r="O1477" s="12" t="s">
        <v>6992</v>
      </c>
      <c r="P1477" t="s">
        <v>2183</v>
      </c>
      <c r="R1477"/>
      <c r="S1477" t="s">
        <v>2184</v>
      </c>
      <c r="T1477" s="12" t="s">
        <v>2185</v>
      </c>
      <c r="U1477" s="12" t="s">
        <v>2186</v>
      </c>
      <c r="V1477" s="12" t="s">
        <v>2187</v>
      </c>
      <c r="W1477" s="12">
        <v>0</v>
      </c>
      <c r="X1477" s="12">
        <v>1</v>
      </c>
      <c r="Y1477" s="12">
        <v>0</v>
      </c>
      <c r="Z1477" s="12">
        <v>0</v>
      </c>
      <c r="AA1477" s="12">
        <v>0</v>
      </c>
      <c r="AB1477" s="12">
        <v>0</v>
      </c>
      <c r="AC1477" s="12">
        <v>0</v>
      </c>
      <c r="AD1477" s="12">
        <v>0</v>
      </c>
      <c r="AE1477" s="12">
        <v>0</v>
      </c>
      <c r="AF1477" s="12">
        <v>0</v>
      </c>
      <c r="AG1477" s="12">
        <v>0</v>
      </c>
      <c r="AH1477" s="12">
        <v>0</v>
      </c>
      <c r="AI1477" s="12">
        <v>0</v>
      </c>
      <c r="AJ1477" s="12">
        <v>0</v>
      </c>
      <c r="AK1477" s="12">
        <v>0</v>
      </c>
      <c r="AL1477" s="12">
        <v>0</v>
      </c>
      <c r="AM1477" s="12"/>
      <c r="AN1477" s="12">
        <v>0</v>
      </c>
      <c r="AO1477" s="12">
        <v>0</v>
      </c>
      <c r="AP1477" s="12">
        <v>0</v>
      </c>
      <c r="AQ1477" s="12">
        <v>0</v>
      </c>
      <c r="AR1477" s="12">
        <v>0</v>
      </c>
      <c r="AS1477" s="12">
        <v>0</v>
      </c>
      <c r="AT1477" s="12">
        <v>0</v>
      </c>
      <c r="AU1477" s="12">
        <v>0</v>
      </c>
      <c r="AV1477" s="12">
        <v>0</v>
      </c>
      <c r="AW1477" s="12">
        <v>0</v>
      </c>
      <c r="AX1477" s="12">
        <v>0</v>
      </c>
      <c r="AY1477" s="12">
        <v>0</v>
      </c>
      <c r="AZ1477"/>
      <c r="BA1477"/>
      <c r="BB1477" s="12">
        <v>0</v>
      </c>
      <c r="BC1477" s="12">
        <v>0</v>
      </c>
      <c r="BD1477" s="12">
        <v>0</v>
      </c>
      <c r="BE1477" s="12">
        <v>0</v>
      </c>
      <c r="BF1477" s="12">
        <v>0</v>
      </c>
      <c r="BI1477" s="12">
        <v>0</v>
      </c>
      <c r="BJ1477" s="12">
        <v>0</v>
      </c>
    </row>
    <row r="1478" spans="1:62" x14ac:dyDescent="0.15">
      <c r="A1478" s="12"/>
      <c r="B1478" t="s">
        <v>8204</v>
      </c>
      <c r="C1478" s="27" t="s">
        <v>8205</v>
      </c>
      <c r="D1478" t="s">
        <v>6596</v>
      </c>
      <c r="E1478" t="s">
        <v>2182</v>
      </c>
      <c r="F1478"/>
      <c r="G1478"/>
      <c r="H1478"/>
      <c r="I1478"/>
      <c r="J1478"/>
      <c r="K1478"/>
      <c r="L1478" s="10">
        <v>4028870</v>
      </c>
      <c r="M1478" s="10">
        <v>710680</v>
      </c>
      <c r="N1478" s="12">
        <v>15</v>
      </c>
      <c r="O1478" s="12" t="s">
        <v>6992</v>
      </c>
      <c r="P1478" t="s">
        <v>2183</v>
      </c>
      <c r="R1478"/>
      <c r="S1478" t="s">
        <v>2184</v>
      </c>
      <c r="T1478" s="12" t="s">
        <v>2185</v>
      </c>
      <c r="U1478" s="12" t="s">
        <v>2186</v>
      </c>
      <c r="V1478" s="12" t="s">
        <v>2187</v>
      </c>
      <c r="W1478" s="12">
        <v>0</v>
      </c>
      <c r="X1478" s="12">
        <v>1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2">
        <v>0</v>
      </c>
      <c r="AK1478" s="12">
        <v>0</v>
      </c>
      <c r="AL1478" s="12">
        <v>0</v>
      </c>
      <c r="AM1478" s="12"/>
      <c r="AN1478" s="12">
        <v>0</v>
      </c>
      <c r="AO1478" s="12">
        <v>0</v>
      </c>
      <c r="AP1478" s="12">
        <v>0</v>
      </c>
      <c r="AQ1478" s="12">
        <v>0</v>
      </c>
      <c r="AR1478" s="12">
        <v>0</v>
      </c>
      <c r="AS1478" s="12">
        <v>0</v>
      </c>
      <c r="AT1478" s="12">
        <v>0</v>
      </c>
      <c r="AU1478" s="12">
        <v>0</v>
      </c>
      <c r="AV1478" s="12">
        <v>0</v>
      </c>
      <c r="AW1478" s="12">
        <v>0</v>
      </c>
      <c r="AX1478" s="12">
        <v>0</v>
      </c>
      <c r="AY1478" s="12">
        <v>0</v>
      </c>
      <c r="AZ1478"/>
      <c r="BA1478"/>
      <c r="BB1478" s="12">
        <v>0</v>
      </c>
      <c r="BC1478" s="12">
        <v>0</v>
      </c>
      <c r="BD1478" s="12">
        <v>0</v>
      </c>
      <c r="BE1478" s="12">
        <v>0</v>
      </c>
      <c r="BF1478" s="12">
        <v>0</v>
      </c>
      <c r="BI1478" s="12">
        <v>0</v>
      </c>
      <c r="BJ1478" s="12">
        <v>0</v>
      </c>
    </row>
    <row r="1479" spans="1:62" x14ac:dyDescent="0.15">
      <c r="A1479" s="12"/>
      <c r="B1479" t="s">
        <v>8206</v>
      </c>
      <c r="C1479" s="27" t="s">
        <v>8207</v>
      </c>
      <c r="D1479" t="s">
        <v>6596</v>
      </c>
      <c r="E1479" t="s">
        <v>2182</v>
      </c>
      <c r="F1479"/>
      <c r="G1479"/>
      <c r="H1479"/>
      <c r="I1479"/>
      <c r="J1479"/>
      <c r="K1479"/>
      <c r="L1479" s="10">
        <v>4030200</v>
      </c>
      <c r="M1479" s="10">
        <v>710290</v>
      </c>
      <c r="N1479" s="12">
        <v>15</v>
      </c>
      <c r="O1479" s="12" t="s">
        <v>6992</v>
      </c>
      <c r="P1479" t="s">
        <v>2183</v>
      </c>
      <c r="R1479"/>
      <c r="S1479" t="s">
        <v>2184</v>
      </c>
      <c r="T1479" s="12" t="s">
        <v>2185</v>
      </c>
      <c r="U1479" s="12" t="s">
        <v>2186</v>
      </c>
      <c r="V1479" s="12" t="s">
        <v>2187</v>
      </c>
      <c r="W1479" s="12">
        <v>0</v>
      </c>
      <c r="X1479" s="12">
        <v>1</v>
      </c>
      <c r="Y1479" s="12">
        <v>0</v>
      </c>
      <c r="Z1479" s="12">
        <v>0</v>
      </c>
      <c r="AA1479" s="12">
        <v>0</v>
      </c>
      <c r="AB1479" s="12">
        <v>0</v>
      </c>
      <c r="AC1479" s="12">
        <v>0</v>
      </c>
      <c r="AD1479" s="12">
        <v>0</v>
      </c>
      <c r="AE1479" s="12">
        <v>0</v>
      </c>
      <c r="AF1479" s="12">
        <v>0</v>
      </c>
      <c r="AG1479" s="12">
        <v>0</v>
      </c>
      <c r="AH1479" s="12">
        <v>0</v>
      </c>
      <c r="AI1479" s="12">
        <v>0</v>
      </c>
      <c r="AJ1479" s="12">
        <v>0</v>
      </c>
      <c r="AK1479" s="12">
        <v>0</v>
      </c>
      <c r="AL1479" s="12">
        <v>0</v>
      </c>
      <c r="AM1479" s="12"/>
      <c r="AN1479" s="12">
        <v>0</v>
      </c>
      <c r="AO1479" s="12">
        <v>0</v>
      </c>
      <c r="AP1479" s="12">
        <v>0</v>
      </c>
      <c r="AQ1479" s="12">
        <v>0</v>
      </c>
      <c r="AR1479" s="12">
        <v>0</v>
      </c>
      <c r="AS1479" s="12">
        <v>0</v>
      </c>
      <c r="AT1479" s="12">
        <v>0</v>
      </c>
      <c r="AU1479" s="12">
        <v>0</v>
      </c>
      <c r="AV1479" s="12">
        <v>0</v>
      </c>
      <c r="AW1479" s="12">
        <v>0</v>
      </c>
      <c r="AX1479" s="12">
        <v>0</v>
      </c>
      <c r="AY1479" s="12">
        <v>0</v>
      </c>
      <c r="AZ1479"/>
      <c r="BA1479"/>
      <c r="BB1479" s="12">
        <v>0</v>
      </c>
      <c r="BC1479" s="12">
        <v>0</v>
      </c>
      <c r="BD1479" s="12">
        <v>0</v>
      </c>
      <c r="BE1479" s="12">
        <v>0</v>
      </c>
      <c r="BF1479" s="12">
        <v>0</v>
      </c>
      <c r="BI1479" s="12">
        <v>0</v>
      </c>
      <c r="BJ1479" s="12">
        <v>0</v>
      </c>
    </row>
    <row r="1480" spans="1:62" x14ac:dyDescent="0.15">
      <c r="A1480" s="12"/>
      <c r="B1480" t="s">
        <v>8208</v>
      </c>
      <c r="C1480" s="27" t="s">
        <v>8209</v>
      </c>
      <c r="D1480" t="s">
        <v>6596</v>
      </c>
      <c r="E1480" t="s">
        <v>2182</v>
      </c>
      <c r="F1480"/>
      <c r="G1480"/>
      <c r="H1480"/>
      <c r="I1480"/>
      <c r="J1480"/>
      <c r="K1480"/>
      <c r="L1480" s="10">
        <v>4023640</v>
      </c>
      <c r="M1480" s="10">
        <v>706130</v>
      </c>
      <c r="N1480" s="12">
        <v>15</v>
      </c>
      <c r="O1480" s="12" t="s">
        <v>6992</v>
      </c>
      <c r="P1480" t="s">
        <v>2183</v>
      </c>
      <c r="R1480"/>
      <c r="S1480" t="s">
        <v>2184</v>
      </c>
      <c r="T1480" s="12" t="s">
        <v>2185</v>
      </c>
      <c r="U1480" s="12" t="s">
        <v>2186</v>
      </c>
      <c r="V1480" s="12" t="s">
        <v>2187</v>
      </c>
      <c r="W1480" s="12">
        <v>0</v>
      </c>
      <c r="X1480" s="12">
        <v>1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2">
        <v>0</v>
      </c>
      <c r="AK1480" s="12">
        <v>0</v>
      </c>
      <c r="AL1480" s="12">
        <v>0</v>
      </c>
      <c r="AM1480" s="12"/>
      <c r="AN1480" s="12">
        <v>0</v>
      </c>
      <c r="AO1480" s="12">
        <v>0</v>
      </c>
      <c r="AP1480" s="12">
        <v>0</v>
      </c>
      <c r="AQ1480" s="12">
        <v>0</v>
      </c>
      <c r="AR1480" s="12">
        <v>0</v>
      </c>
      <c r="AS1480" s="12">
        <v>0</v>
      </c>
      <c r="AT1480" s="12">
        <v>0</v>
      </c>
      <c r="AU1480" s="12">
        <v>0</v>
      </c>
      <c r="AV1480" s="12">
        <v>0</v>
      </c>
      <c r="AW1480" s="12">
        <v>0</v>
      </c>
      <c r="AX1480" s="12">
        <v>0</v>
      </c>
      <c r="AY1480" s="12">
        <v>0</v>
      </c>
      <c r="AZ1480"/>
      <c r="BA1480"/>
      <c r="BB1480" s="12">
        <v>0</v>
      </c>
      <c r="BC1480" s="12">
        <v>0</v>
      </c>
      <c r="BD1480" s="12">
        <v>0</v>
      </c>
      <c r="BE1480" s="12">
        <v>0</v>
      </c>
      <c r="BF1480" s="12">
        <v>0</v>
      </c>
      <c r="BI1480" s="12">
        <v>0</v>
      </c>
      <c r="BJ1480" s="12">
        <v>0</v>
      </c>
    </row>
    <row r="1481" spans="1:62" x14ac:dyDescent="0.15">
      <c r="A1481" s="12"/>
      <c r="B1481" t="s">
        <v>8210</v>
      </c>
      <c r="C1481" s="27" t="s">
        <v>8211</v>
      </c>
      <c r="D1481" t="s">
        <v>6596</v>
      </c>
      <c r="E1481" t="s">
        <v>2182</v>
      </c>
      <c r="F1481"/>
      <c r="G1481"/>
      <c r="H1481"/>
      <c r="I1481"/>
      <c r="J1481"/>
      <c r="K1481"/>
      <c r="L1481" s="10">
        <v>4030550</v>
      </c>
      <c r="M1481" s="10">
        <v>721860</v>
      </c>
      <c r="N1481" s="12">
        <v>15</v>
      </c>
      <c r="O1481" s="12" t="s">
        <v>6992</v>
      </c>
      <c r="P1481" t="s">
        <v>2183</v>
      </c>
      <c r="R1481"/>
      <c r="S1481" t="s">
        <v>2184</v>
      </c>
      <c r="T1481" s="12" t="s">
        <v>2185</v>
      </c>
      <c r="U1481" s="12" t="s">
        <v>2186</v>
      </c>
      <c r="V1481" s="12" t="s">
        <v>2187</v>
      </c>
      <c r="W1481" s="12">
        <v>0</v>
      </c>
      <c r="X1481" s="12">
        <v>1</v>
      </c>
      <c r="Y1481" s="12">
        <v>0</v>
      </c>
      <c r="Z1481" s="12">
        <v>0</v>
      </c>
      <c r="AA1481" s="12">
        <v>0</v>
      </c>
      <c r="AB1481" s="12">
        <v>0</v>
      </c>
      <c r="AC1481" s="12">
        <v>0</v>
      </c>
      <c r="AD1481" s="12">
        <v>0</v>
      </c>
      <c r="AE1481" s="12">
        <v>0</v>
      </c>
      <c r="AF1481" s="12">
        <v>0</v>
      </c>
      <c r="AG1481" s="12">
        <v>0</v>
      </c>
      <c r="AH1481" s="12">
        <v>0</v>
      </c>
      <c r="AI1481" s="12">
        <v>0</v>
      </c>
      <c r="AJ1481" s="12">
        <v>0</v>
      </c>
      <c r="AK1481" s="12">
        <v>0</v>
      </c>
      <c r="AL1481" s="12">
        <v>0</v>
      </c>
      <c r="AM1481" s="12"/>
      <c r="AN1481" s="12">
        <v>0</v>
      </c>
      <c r="AO1481" s="12">
        <v>0</v>
      </c>
      <c r="AP1481" s="12">
        <v>0</v>
      </c>
      <c r="AQ1481" s="12">
        <v>0</v>
      </c>
      <c r="AR1481" s="12">
        <v>0</v>
      </c>
      <c r="AS1481" s="12">
        <v>0</v>
      </c>
      <c r="AT1481" s="12">
        <v>0</v>
      </c>
      <c r="AU1481" s="12">
        <v>0</v>
      </c>
      <c r="AV1481" s="12">
        <v>0</v>
      </c>
      <c r="AW1481" s="12">
        <v>0</v>
      </c>
      <c r="AX1481" s="12">
        <v>0</v>
      </c>
      <c r="AY1481" s="12">
        <v>0</v>
      </c>
      <c r="AZ1481"/>
      <c r="BA1481"/>
      <c r="BB1481" s="12">
        <v>0</v>
      </c>
      <c r="BC1481" s="12">
        <v>0</v>
      </c>
      <c r="BD1481" s="12">
        <v>0</v>
      </c>
      <c r="BE1481" s="12">
        <v>0</v>
      </c>
      <c r="BF1481" s="12">
        <v>0</v>
      </c>
      <c r="BI1481" s="12">
        <v>0</v>
      </c>
      <c r="BJ1481" s="12">
        <v>0</v>
      </c>
    </row>
    <row r="1482" spans="1:62" x14ac:dyDescent="0.15">
      <c r="A1482" s="12"/>
      <c r="B1482" t="s">
        <v>8212</v>
      </c>
      <c r="C1482" s="27" t="s">
        <v>6391</v>
      </c>
      <c r="D1482" t="s">
        <v>6596</v>
      </c>
      <c r="E1482" t="s">
        <v>2182</v>
      </c>
      <c r="F1482"/>
      <c r="G1482"/>
      <c r="H1482"/>
      <c r="I1482"/>
      <c r="J1482"/>
      <c r="K1482"/>
      <c r="L1482" s="10">
        <v>4037400</v>
      </c>
      <c r="M1482" s="10">
        <v>704080</v>
      </c>
      <c r="N1482" s="12">
        <v>15</v>
      </c>
      <c r="O1482" s="12" t="s">
        <v>6992</v>
      </c>
      <c r="P1482" t="s">
        <v>2183</v>
      </c>
      <c r="R1482"/>
      <c r="S1482" t="s">
        <v>2184</v>
      </c>
      <c r="T1482" s="12" t="s">
        <v>2185</v>
      </c>
      <c r="U1482" s="12" t="s">
        <v>2186</v>
      </c>
      <c r="V1482" s="12" t="s">
        <v>2187</v>
      </c>
      <c r="W1482" s="12">
        <v>0</v>
      </c>
      <c r="X1482" s="12">
        <v>1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2">
        <v>0</v>
      </c>
      <c r="AK1482" s="12">
        <v>0</v>
      </c>
      <c r="AL1482" s="12">
        <v>0</v>
      </c>
      <c r="AM1482" s="12"/>
      <c r="AN1482" s="12">
        <v>0</v>
      </c>
      <c r="AO1482" s="12">
        <v>0</v>
      </c>
      <c r="AP1482" s="12">
        <v>0</v>
      </c>
      <c r="AQ1482" s="12">
        <v>0</v>
      </c>
      <c r="AR1482" s="12">
        <v>0</v>
      </c>
      <c r="AS1482" s="12">
        <v>0</v>
      </c>
      <c r="AT1482" s="12">
        <v>0</v>
      </c>
      <c r="AU1482" s="12">
        <v>0</v>
      </c>
      <c r="AV1482" s="12">
        <v>0</v>
      </c>
      <c r="AW1482" s="12">
        <v>0</v>
      </c>
      <c r="AX1482" s="12">
        <v>0</v>
      </c>
      <c r="AY1482" s="12">
        <v>0</v>
      </c>
      <c r="AZ1482"/>
      <c r="BA1482"/>
      <c r="BB1482" s="12">
        <v>0</v>
      </c>
      <c r="BC1482" s="12">
        <v>0</v>
      </c>
      <c r="BD1482" s="12">
        <v>0</v>
      </c>
      <c r="BE1482" s="12">
        <v>0</v>
      </c>
      <c r="BF1482" s="12">
        <v>0</v>
      </c>
      <c r="BI1482" s="12">
        <v>0</v>
      </c>
      <c r="BJ1482" s="12">
        <v>0</v>
      </c>
    </row>
    <row r="1483" spans="1:62" x14ac:dyDescent="0.15">
      <c r="A1483" s="12"/>
      <c r="B1483" t="s">
        <v>8213</v>
      </c>
      <c r="C1483" s="27" t="s">
        <v>8214</v>
      </c>
      <c r="D1483" t="s">
        <v>6596</v>
      </c>
      <c r="E1483" t="s">
        <v>2182</v>
      </c>
      <c r="F1483"/>
      <c r="G1483"/>
      <c r="H1483"/>
      <c r="I1483"/>
      <c r="J1483"/>
      <c r="K1483"/>
      <c r="L1483" s="10">
        <v>4028940</v>
      </c>
      <c r="M1483" s="10">
        <v>712690</v>
      </c>
      <c r="N1483" s="12">
        <v>15</v>
      </c>
      <c r="O1483" s="12" t="s">
        <v>6992</v>
      </c>
      <c r="P1483" t="s">
        <v>2183</v>
      </c>
      <c r="R1483"/>
      <c r="S1483" t="s">
        <v>2184</v>
      </c>
      <c r="T1483" s="12" t="s">
        <v>2185</v>
      </c>
      <c r="U1483" s="12" t="s">
        <v>2186</v>
      </c>
      <c r="V1483" s="12" t="s">
        <v>2187</v>
      </c>
      <c r="W1483" s="12">
        <v>0</v>
      </c>
      <c r="X1483" s="12">
        <v>1</v>
      </c>
      <c r="Y1483" s="12">
        <v>0</v>
      </c>
      <c r="Z1483" s="12">
        <v>0</v>
      </c>
      <c r="AA1483" s="12">
        <v>0</v>
      </c>
      <c r="AB1483" s="12">
        <v>0</v>
      </c>
      <c r="AC1483" s="12">
        <v>0</v>
      </c>
      <c r="AD1483" s="12">
        <v>0</v>
      </c>
      <c r="AE1483" s="12">
        <v>0</v>
      </c>
      <c r="AF1483" s="12">
        <v>0</v>
      </c>
      <c r="AG1483" s="12">
        <v>0</v>
      </c>
      <c r="AH1483" s="12">
        <v>0</v>
      </c>
      <c r="AI1483" s="12">
        <v>0</v>
      </c>
      <c r="AJ1483" s="12">
        <v>0</v>
      </c>
      <c r="AK1483" s="12">
        <v>0</v>
      </c>
      <c r="AL1483" s="12">
        <v>0</v>
      </c>
      <c r="AM1483" s="12"/>
      <c r="AN1483" s="12">
        <v>0</v>
      </c>
      <c r="AO1483" s="12">
        <v>0</v>
      </c>
      <c r="AP1483" s="12">
        <v>0</v>
      </c>
      <c r="AQ1483" s="12">
        <v>0</v>
      </c>
      <c r="AR1483" s="12">
        <v>0</v>
      </c>
      <c r="AS1483" s="12">
        <v>0</v>
      </c>
      <c r="AT1483" s="12">
        <v>0</v>
      </c>
      <c r="AU1483" s="12">
        <v>0</v>
      </c>
      <c r="AV1483" s="12">
        <v>0</v>
      </c>
      <c r="AW1483" s="12">
        <v>0</v>
      </c>
      <c r="AX1483" s="12">
        <v>0</v>
      </c>
      <c r="AY1483" s="12">
        <v>0</v>
      </c>
      <c r="AZ1483"/>
      <c r="BA1483"/>
      <c r="BB1483" s="12">
        <v>0</v>
      </c>
      <c r="BC1483" s="12">
        <v>0</v>
      </c>
      <c r="BD1483" s="12">
        <v>0</v>
      </c>
      <c r="BE1483" s="12">
        <v>0</v>
      </c>
      <c r="BF1483" s="12">
        <v>0</v>
      </c>
      <c r="BI1483" s="12">
        <v>0</v>
      </c>
      <c r="BJ1483" s="12">
        <v>0</v>
      </c>
    </row>
    <row r="1484" spans="1:62" x14ac:dyDescent="0.15">
      <c r="A1484" s="12"/>
      <c r="B1484" t="s">
        <v>8215</v>
      </c>
      <c r="C1484" s="27" t="s">
        <v>8216</v>
      </c>
      <c r="D1484" t="s">
        <v>6596</v>
      </c>
      <c r="E1484" t="s">
        <v>2182</v>
      </c>
      <c r="F1484"/>
      <c r="G1484"/>
      <c r="H1484"/>
      <c r="I1484"/>
      <c r="J1484"/>
      <c r="K1484"/>
      <c r="L1484" s="10">
        <v>4025040</v>
      </c>
      <c r="M1484" s="10">
        <v>702490</v>
      </c>
      <c r="N1484" s="12">
        <v>15</v>
      </c>
      <c r="O1484" s="12" t="s">
        <v>6992</v>
      </c>
      <c r="P1484" t="s">
        <v>2183</v>
      </c>
      <c r="R1484"/>
      <c r="S1484" t="s">
        <v>2184</v>
      </c>
      <c r="T1484" s="12" t="s">
        <v>2185</v>
      </c>
      <c r="U1484" s="12" t="s">
        <v>2186</v>
      </c>
      <c r="V1484" s="12" t="s">
        <v>2187</v>
      </c>
      <c r="W1484" s="12">
        <v>0</v>
      </c>
      <c r="X1484" s="12">
        <v>1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2">
        <v>0</v>
      </c>
      <c r="AK1484" s="12">
        <v>0</v>
      </c>
      <c r="AL1484" s="12">
        <v>0</v>
      </c>
      <c r="AM1484" s="12"/>
      <c r="AN1484" s="12">
        <v>0</v>
      </c>
      <c r="AO1484" s="12">
        <v>0</v>
      </c>
      <c r="AP1484" s="12">
        <v>0</v>
      </c>
      <c r="AQ1484" s="12">
        <v>0</v>
      </c>
      <c r="AR1484" s="12">
        <v>0</v>
      </c>
      <c r="AS1484" s="12">
        <v>0</v>
      </c>
      <c r="AT1484" s="12">
        <v>0</v>
      </c>
      <c r="AU1484" s="12">
        <v>0</v>
      </c>
      <c r="AV1484" s="12">
        <v>0</v>
      </c>
      <c r="AW1484" s="12">
        <v>0</v>
      </c>
      <c r="AX1484" s="12">
        <v>0</v>
      </c>
      <c r="AY1484" s="12">
        <v>0</v>
      </c>
      <c r="AZ1484"/>
      <c r="BA1484"/>
      <c r="BB1484" s="12">
        <v>0</v>
      </c>
      <c r="BC1484" s="12">
        <v>0</v>
      </c>
      <c r="BD1484" s="12">
        <v>0</v>
      </c>
      <c r="BE1484" s="12">
        <v>0</v>
      </c>
      <c r="BF1484" s="12">
        <v>0</v>
      </c>
      <c r="BI1484" s="12">
        <v>0</v>
      </c>
      <c r="BJ1484" s="12">
        <v>0</v>
      </c>
    </row>
    <row r="1485" spans="1:62" x14ac:dyDescent="0.15">
      <c r="A1485" s="12"/>
      <c r="B1485" t="s">
        <v>8217</v>
      </c>
      <c r="C1485" s="27" t="s">
        <v>8218</v>
      </c>
      <c r="D1485" t="s">
        <v>6596</v>
      </c>
      <c r="E1485" t="s">
        <v>2182</v>
      </c>
      <c r="F1485"/>
      <c r="G1485"/>
      <c r="H1485"/>
      <c r="I1485"/>
      <c r="J1485"/>
      <c r="K1485"/>
      <c r="L1485" s="10">
        <v>4034700</v>
      </c>
      <c r="M1485" s="10">
        <v>702640</v>
      </c>
      <c r="N1485" s="12">
        <v>15</v>
      </c>
      <c r="O1485" s="12" t="s">
        <v>6992</v>
      </c>
      <c r="P1485" t="s">
        <v>2183</v>
      </c>
      <c r="R1485"/>
      <c r="S1485" t="s">
        <v>2184</v>
      </c>
      <c r="T1485" s="12" t="s">
        <v>2185</v>
      </c>
      <c r="U1485" s="12" t="s">
        <v>2186</v>
      </c>
      <c r="V1485" s="12" t="s">
        <v>2187</v>
      </c>
      <c r="W1485" s="12">
        <v>0</v>
      </c>
      <c r="X1485" s="12">
        <v>1</v>
      </c>
      <c r="Y1485" s="12">
        <v>0</v>
      </c>
      <c r="Z1485" s="12">
        <v>0</v>
      </c>
      <c r="AA1485" s="12">
        <v>0</v>
      </c>
      <c r="AB1485" s="12">
        <v>0</v>
      </c>
      <c r="AC1485" s="12">
        <v>0</v>
      </c>
      <c r="AD1485" s="12">
        <v>0</v>
      </c>
      <c r="AE1485" s="12">
        <v>0</v>
      </c>
      <c r="AF1485" s="12">
        <v>0</v>
      </c>
      <c r="AG1485" s="12">
        <v>0</v>
      </c>
      <c r="AH1485" s="12">
        <v>0</v>
      </c>
      <c r="AI1485" s="12">
        <v>0</v>
      </c>
      <c r="AJ1485" s="12">
        <v>0</v>
      </c>
      <c r="AK1485" s="12">
        <v>0</v>
      </c>
      <c r="AL1485" s="12">
        <v>0</v>
      </c>
      <c r="AM1485" s="12"/>
      <c r="AN1485" s="12">
        <v>0</v>
      </c>
      <c r="AO1485" s="12">
        <v>0</v>
      </c>
      <c r="AP1485" s="12">
        <v>0</v>
      </c>
      <c r="AQ1485" s="12">
        <v>0</v>
      </c>
      <c r="AR1485" s="12">
        <v>0</v>
      </c>
      <c r="AS1485" s="12">
        <v>0</v>
      </c>
      <c r="AT1485" s="12">
        <v>0</v>
      </c>
      <c r="AU1485" s="12">
        <v>0</v>
      </c>
      <c r="AV1485" s="12">
        <v>0</v>
      </c>
      <c r="AW1485" s="12">
        <v>0</v>
      </c>
      <c r="AX1485" s="12">
        <v>0</v>
      </c>
      <c r="AY1485" s="12">
        <v>0</v>
      </c>
      <c r="AZ1485"/>
      <c r="BA1485"/>
      <c r="BB1485" s="12">
        <v>0</v>
      </c>
      <c r="BC1485" s="12">
        <v>0</v>
      </c>
      <c r="BD1485" s="12">
        <v>0</v>
      </c>
      <c r="BE1485" s="12">
        <v>0</v>
      </c>
      <c r="BF1485" s="12">
        <v>0</v>
      </c>
      <c r="BI1485" s="12">
        <v>0</v>
      </c>
      <c r="BJ1485" s="12">
        <v>0</v>
      </c>
    </row>
    <row r="1486" spans="1:62" x14ac:dyDescent="0.15">
      <c r="A1486" s="12"/>
      <c r="B1486" t="s">
        <v>8219</v>
      </c>
      <c r="C1486" t="s">
        <v>8219</v>
      </c>
      <c r="D1486" t="s">
        <v>6596</v>
      </c>
      <c r="E1486" t="s">
        <v>2182</v>
      </c>
      <c r="F1486"/>
      <c r="G1486"/>
      <c r="H1486"/>
      <c r="I1486"/>
      <c r="J1486"/>
      <c r="K1486"/>
      <c r="L1486" s="10">
        <v>4040760</v>
      </c>
      <c r="M1486" s="10">
        <v>741140</v>
      </c>
      <c r="N1486" s="12">
        <v>15</v>
      </c>
      <c r="O1486" s="12" t="s">
        <v>6992</v>
      </c>
      <c r="P1486" t="s">
        <v>2183</v>
      </c>
      <c r="R1486"/>
      <c r="S1486" t="s">
        <v>2184</v>
      </c>
      <c r="T1486" s="12" t="s">
        <v>2185</v>
      </c>
      <c r="U1486" s="12" t="s">
        <v>2186</v>
      </c>
      <c r="V1486" s="12" t="s">
        <v>2187</v>
      </c>
      <c r="W1486" s="12">
        <v>0</v>
      </c>
      <c r="X1486" s="12">
        <v>1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2">
        <v>0</v>
      </c>
      <c r="AK1486" s="12">
        <v>0</v>
      </c>
      <c r="AL1486" s="12">
        <v>0</v>
      </c>
      <c r="AM1486" s="12"/>
      <c r="AN1486" s="12">
        <v>0</v>
      </c>
      <c r="AO1486" s="12">
        <v>0</v>
      </c>
      <c r="AP1486" s="12">
        <v>0</v>
      </c>
      <c r="AQ1486" s="12">
        <v>0</v>
      </c>
      <c r="AR1486" s="12">
        <v>0</v>
      </c>
      <c r="AS1486" s="12">
        <v>0</v>
      </c>
      <c r="AT1486" s="12">
        <v>0</v>
      </c>
      <c r="AU1486" s="12">
        <v>0</v>
      </c>
      <c r="AV1486" s="12">
        <v>0</v>
      </c>
      <c r="AW1486" s="12">
        <v>0</v>
      </c>
      <c r="AX1486" s="12">
        <v>0</v>
      </c>
      <c r="AY1486" s="12">
        <v>0</v>
      </c>
      <c r="AZ1486"/>
      <c r="BA1486"/>
      <c r="BB1486" s="12">
        <v>0</v>
      </c>
      <c r="BC1486" s="12">
        <v>0</v>
      </c>
      <c r="BD1486" s="12">
        <v>0</v>
      </c>
      <c r="BE1486" s="12">
        <v>0</v>
      </c>
      <c r="BF1486" s="12">
        <v>0</v>
      </c>
      <c r="BI1486" s="12">
        <v>0</v>
      </c>
      <c r="BJ1486" s="12">
        <v>0</v>
      </c>
    </row>
    <row r="1487" spans="1:62" x14ac:dyDescent="0.15">
      <c r="A1487" s="12"/>
      <c r="B1487" t="s">
        <v>8220</v>
      </c>
      <c r="C1487" t="s">
        <v>8220</v>
      </c>
      <c r="D1487" t="s">
        <v>6596</v>
      </c>
      <c r="E1487" t="s">
        <v>2182</v>
      </c>
      <c r="F1487"/>
      <c r="G1487"/>
      <c r="H1487"/>
      <c r="I1487"/>
      <c r="J1487"/>
      <c r="K1487"/>
      <c r="L1487" s="10">
        <v>4031510</v>
      </c>
      <c r="M1487" s="10">
        <v>709000</v>
      </c>
      <c r="N1487" s="12">
        <v>15</v>
      </c>
      <c r="O1487" s="12" t="s">
        <v>6992</v>
      </c>
      <c r="P1487" t="s">
        <v>2183</v>
      </c>
      <c r="R1487"/>
      <c r="S1487" t="s">
        <v>2184</v>
      </c>
      <c r="T1487" s="12" t="s">
        <v>2185</v>
      </c>
      <c r="U1487" s="12" t="s">
        <v>2186</v>
      </c>
      <c r="V1487" s="12" t="s">
        <v>2187</v>
      </c>
      <c r="W1487" s="12">
        <v>0</v>
      </c>
      <c r="X1487" s="12">
        <v>1</v>
      </c>
      <c r="Y1487" s="12">
        <v>0</v>
      </c>
      <c r="Z1487" s="12">
        <v>0</v>
      </c>
      <c r="AA1487" s="12">
        <v>0</v>
      </c>
      <c r="AB1487" s="12">
        <v>0</v>
      </c>
      <c r="AC1487" s="12">
        <v>0</v>
      </c>
      <c r="AD1487" s="12">
        <v>0</v>
      </c>
      <c r="AE1487" s="12">
        <v>0</v>
      </c>
      <c r="AF1487" s="12">
        <v>0</v>
      </c>
      <c r="AG1487" s="12">
        <v>0</v>
      </c>
      <c r="AH1487" s="12">
        <v>0</v>
      </c>
      <c r="AI1487" s="12">
        <v>0</v>
      </c>
      <c r="AJ1487" s="12">
        <v>0</v>
      </c>
      <c r="AK1487" s="12">
        <v>0</v>
      </c>
      <c r="AL1487" s="12">
        <v>0</v>
      </c>
      <c r="AM1487" s="12"/>
      <c r="AN1487" s="12">
        <v>0</v>
      </c>
      <c r="AO1487" s="12">
        <v>0</v>
      </c>
      <c r="AP1487" s="12">
        <v>0</v>
      </c>
      <c r="AQ1487" s="12">
        <v>0</v>
      </c>
      <c r="AR1487" s="12">
        <v>0</v>
      </c>
      <c r="AS1487" s="12">
        <v>0</v>
      </c>
      <c r="AT1487" s="12">
        <v>0</v>
      </c>
      <c r="AU1487" s="12">
        <v>0</v>
      </c>
      <c r="AV1487" s="12">
        <v>0</v>
      </c>
      <c r="AW1487" s="12">
        <v>0</v>
      </c>
      <c r="AX1487" s="12">
        <v>0</v>
      </c>
      <c r="AY1487" s="12">
        <v>0</v>
      </c>
      <c r="AZ1487"/>
      <c r="BA1487"/>
      <c r="BB1487" s="12">
        <v>0</v>
      </c>
      <c r="BC1487" s="12">
        <v>0</v>
      </c>
      <c r="BD1487" s="12">
        <v>0</v>
      </c>
      <c r="BE1487" s="12">
        <v>0</v>
      </c>
      <c r="BF1487" s="12">
        <v>0</v>
      </c>
      <c r="BI1487" s="12">
        <v>0</v>
      </c>
      <c r="BJ1487" s="12">
        <v>0</v>
      </c>
    </row>
    <row r="1488" spans="1:62" x14ac:dyDescent="0.15">
      <c r="A1488" s="12"/>
      <c r="B1488" t="s">
        <v>8221</v>
      </c>
      <c r="C1488" s="27" t="s">
        <v>8205</v>
      </c>
      <c r="D1488" t="s">
        <v>6596</v>
      </c>
      <c r="E1488" t="s">
        <v>2182</v>
      </c>
      <c r="F1488"/>
      <c r="G1488"/>
      <c r="H1488"/>
      <c r="I1488"/>
      <c r="J1488"/>
      <c r="K1488"/>
      <c r="L1488" s="10">
        <v>4028870</v>
      </c>
      <c r="M1488" s="10">
        <v>710680</v>
      </c>
      <c r="N1488" s="12">
        <v>15</v>
      </c>
      <c r="O1488" s="12" t="s">
        <v>6992</v>
      </c>
      <c r="P1488" t="s">
        <v>2183</v>
      </c>
      <c r="R1488"/>
      <c r="S1488" t="s">
        <v>2184</v>
      </c>
      <c r="T1488" s="12" t="s">
        <v>2185</v>
      </c>
      <c r="U1488" s="12" t="s">
        <v>2186</v>
      </c>
      <c r="V1488" s="12" t="s">
        <v>2187</v>
      </c>
      <c r="W1488" s="12">
        <v>0</v>
      </c>
      <c r="X1488" s="12">
        <v>1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2">
        <v>0</v>
      </c>
      <c r="AK1488" s="12">
        <v>0</v>
      </c>
      <c r="AL1488" s="12">
        <v>0</v>
      </c>
      <c r="AM1488" s="12"/>
      <c r="AN1488" s="12">
        <v>0</v>
      </c>
      <c r="AO1488" s="12">
        <v>0</v>
      </c>
      <c r="AP1488" s="12">
        <v>0</v>
      </c>
      <c r="AQ1488" s="12">
        <v>0</v>
      </c>
      <c r="AR1488" s="12">
        <v>0</v>
      </c>
      <c r="AS1488" s="12">
        <v>0</v>
      </c>
      <c r="AT1488" s="12">
        <v>0</v>
      </c>
      <c r="AU1488" s="12">
        <v>0</v>
      </c>
      <c r="AV1488" s="12">
        <v>0</v>
      </c>
      <c r="AW1488" s="12">
        <v>0</v>
      </c>
      <c r="AX1488" s="12">
        <v>0</v>
      </c>
      <c r="AY1488" s="12">
        <v>0</v>
      </c>
      <c r="AZ1488"/>
      <c r="BA1488"/>
      <c r="BB1488" s="12">
        <v>0</v>
      </c>
      <c r="BC1488" s="12">
        <v>0</v>
      </c>
      <c r="BD1488" s="12">
        <v>0</v>
      </c>
      <c r="BE1488" s="12">
        <v>0</v>
      </c>
      <c r="BF1488" s="12">
        <v>0</v>
      </c>
      <c r="BI1488" s="12">
        <v>0</v>
      </c>
      <c r="BJ1488" s="12">
        <v>0</v>
      </c>
    </row>
    <row r="1489" spans="1:62" x14ac:dyDescent="0.15">
      <c r="A1489" s="12"/>
      <c r="B1489" t="s">
        <v>8222</v>
      </c>
      <c r="C1489" t="s">
        <v>8222</v>
      </c>
      <c r="D1489" t="s">
        <v>6596</v>
      </c>
      <c r="E1489" t="s">
        <v>2182</v>
      </c>
      <c r="F1489"/>
      <c r="G1489"/>
      <c r="H1489"/>
      <c r="I1489"/>
      <c r="J1489"/>
      <c r="K1489"/>
      <c r="L1489" s="10">
        <v>4020660</v>
      </c>
      <c r="M1489" s="10">
        <v>726040</v>
      </c>
      <c r="N1489" s="12">
        <v>15</v>
      </c>
      <c r="O1489" s="12" t="s">
        <v>6992</v>
      </c>
      <c r="P1489" t="s">
        <v>2183</v>
      </c>
      <c r="R1489"/>
      <c r="S1489" t="s">
        <v>2184</v>
      </c>
      <c r="T1489" s="12" t="s">
        <v>2185</v>
      </c>
      <c r="U1489" s="12" t="s">
        <v>2186</v>
      </c>
      <c r="V1489" s="12" t="s">
        <v>2187</v>
      </c>
      <c r="W1489" s="12">
        <v>0</v>
      </c>
      <c r="X1489" s="12">
        <v>1</v>
      </c>
      <c r="Y1489" s="12">
        <v>0</v>
      </c>
      <c r="Z1489" s="12">
        <v>0</v>
      </c>
      <c r="AA1489" s="12">
        <v>0</v>
      </c>
      <c r="AB1489" s="12">
        <v>0</v>
      </c>
      <c r="AC1489" s="12">
        <v>0</v>
      </c>
      <c r="AD1489" s="12">
        <v>0</v>
      </c>
      <c r="AE1489" s="12">
        <v>0</v>
      </c>
      <c r="AF1489" s="12">
        <v>0</v>
      </c>
      <c r="AG1489" s="12">
        <v>0</v>
      </c>
      <c r="AH1489" s="12">
        <v>0</v>
      </c>
      <c r="AI1489" s="12">
        <v>0</v>
      </c>
      <c r="AJ1489" s="12">
        <v>0</v>
      </c>
      <c r="AK1489" s="12">
        <v>0</v>
      </c>
      <c r="AL1489" s="12">
        <v>0</v>
      </c>
      <c r="AM1489" s="12"/>
      <c r="AN1489" s="12">
        <v>0</v>
      </c>
      <c r="AO1489" s="12">
        <v>0</v>
      </c>
      <c r="AP1489" s="12">
        <v>0</v>
      </c>
      <c r="AQ1489" s="12">
        <v>0</v>
      </c>
      <c r="AR1489" s="12">
        <v>0</v>
      </c>
      <c r="AS1489" s="12">
        <v>0</v>
      </c>
      <c r="AT1489" s="12">
        <v>0</v>
      </c>
      <c r="AU1489" s="12">
        <v>0</v>
      </c>
      <c r="AV1489" s="12">
        <v>0</v>
      </c>
      <c r="AW1489" s="12">
        <v>0</v>
      </c>
      <c r="AX1489" s="12">
        <v>0</v>
      </c>
      <c r="AY1489" s="12">
        <v>0</v>
      </c>
      <c r="AZ1489"/>
      <c r="BA1489"/>
      <c r="BB1489" s="12">
        <v>0</v>
      </c>
      <c r="BC1489" s="12">
        <v>0</v>
      </c>
      <c r="BD1489" s="12">
        <v>0</v>
      </c>
      <c r="BE1489" s="12">
        <v>0</v>
      </c>
      <c r="BF1489" s="12">
        <v>0</v>
      </c>
      <c r="BI1489" s="12">
        <v>0</v>
      </c>
      <c r="BJ1489" s="12">
        <v>0</v>
      </c>
    </row>
    <row r="1490" spans="1:62" x14ac:dyDescent="0.15">
      <c r="A1490" s="12"/>
      <c r="B1490" t="s">
        <v>8223</v>
      </c>
      <c r="C1490" t="s">
        <v>8223</v>
      </c>
      <c r="D1490" t="s">
        <v>6596</v>
      </c>
      <c r="E1490" t="s">
        <v>2182</v>
      </c>
      <c r="F1490"/>
      <c r="G1490"/>
      <c r="H1490"/>
      <c r="I1490"/>
      <c r="J1490"/>
      <c r="K1490"/>
      <c r="L1490" s="10">
        <v>4027590</v>
      </c>
      <c r="M1490" s="10">
        <v>726370</v>
      </c>
      <c r="N1490" s="12">
        <v>15</v>
      </c>
      <c r="O1490" s="12" t="s">
        <v>6992</v>
      </c>
      <c r="P1490" t="s">
        <v>2183</v>
      </c>
      <c r="R1490"/>
      <c r="S1490" t="s">
        <v>2184</v>
      </c>
      <c r="T1490" s="12" t="s">
        <v>2185</v>
      </c>
      <c r="U1490" s="12" t="s">
        <v>2186</v>
      </c>
      <c r="V1490" s="12" t="s">
        <v>2187</v>
      </c>
      <c r="W1490" s="12">
        <v>0</v>
      </c>
      <c r="X1490" s="12">
        <v>1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2">
        <v>0</v>
      </c>
      <c r="AK1490" s="12">
        <v>0</v>
      </c>
      <c r="AL1490" s="12">
        <v>0</v>
      </c>
      <c r="AM1490" s="12"/>
      <c r="AN1490" s="12">
        <v>0</v>
      </c>
      <c r="AO1490" s="12">
        <v>0</v>
      </c>
      <c r="AP1490" s="12">
        <v>0</v>
      </c>
      <c r="AQ1490" s="12">
        <v>0</v>
      </c>
      <c r="AR1490" s="12">
        <v>0</v>
      </c>
      <c r="AS1490" s="12">
        <v>0</v>
      </c>
      <c r="AT1490" s="12">
        <v>0</v>
      </c>
      <c r="AU1490" s="12">
        <v>0</v>
      </c>
      <c r="AV1490" s="12">
        <v>0</v>
      </c>
      <c r="AW1490" s="12">
        <v>0</v>
      </c>
      <c r="AX1490" s="12">
        <v>0</v>
      </c>
      <c r="AY1490" s="12">
        <v>0</v>
      </c>
      <c r="AZ1490"/>
      <c r="BA1490"/>
      <c r="BB1490" s="12">
        <v>0</v>
      </c>
      <c r="BC1490" s="12">
        <v>0</v>
      </c>
      <c r="BD1490" s="12">
        <v>0</v>
      </c>
      <c r="BE1490" s="12">
        <v>0</v>
      </c>
      <c r="BF1490" s="12">
        <v>0</v>
      </c>
      <c r="BI1490" s="12">
        <v>0</v>
      </c>
      <c r="BJ1490" s="12">
        <v>0</v>
      </c>
    </row>
    <row r="1491" spans="1:62" x14ac:dyDescent="0.15">
      <c r="A1491" s="12"/>
      <c r="B1491" t="s">
        <v>8224</v>
      </c>
      <c r="C1491" t="s">
        <v>8224</v>
      </c>
      <c r="D1491" t="s">
        <v>6596</v>
      </c>
      <c r="E1491" t="s">
        <v>2182</v>
      </c>
      <c r="F1491"/>
      <c r="G1491"/>
      <c r="H1491"/>
      <c r="I1491"/>
      <c r="J1491"/>
      <c r="K1491"/>
      <c r="L1491" s="10">
        <v>4026440</v>
      </c>
      <c r="M1491" s="10">
        <v>726490</v>
      </c>
      <c r="N1491" s="12">
        <v>15</v>
      </c>
      <c r="O1491" s="12" t="s">
        <v>6992</v>
      </c>
      <c r="P1491" t="s">
        <v>2183</v>
      </c>
      <c r="R1491"/>
      <c r="S1491" t="s">
        <v>2184</v>
      </c>
      <c r="T1491" s="12" t="s">
        <v>2185</v>
      </c>
      <c r="U1491" s="12" t="s">
        <v>2186</v>
      </c>
      <c r="V1491" s="12" t="s">
        <v>2187</v>
      </c>
      <c r="W1491" s="12">
        <v>0</v>
      </c>
      <c r="X1491" s="12">
        <v>1</v>
      </c>
      <c r="Y1491" s="12">
        <v>0</v>
      </c>
      <c r="Z1491" s="12">
        <v>0</v>
      </c>
      <c r="AA1491" s="12">
        <v>0</v>
      </c>
      <c r="AB1491" s="12">
        <v>0</v>
      </c>
      <c r="AC1491" s="12">
        <v>0</v>
      </c>
      <c r="AD1491" s="12">
        <v>0</v>
      </c>
      <c r="AE1491" s="12">
        <v>0</v>
      </c>
      <c r="AF1491" s="12">
        <v>0</v>
      </c>
      <c r="AG1491" s="12">
        <v>0</v>
      </c>
      <c r="AH1491" s="12">
        <v>0</v>
      </c>
      <c r="AI1491" s="12">
        <v>0</v>
      </c>
      <c r="AJ1491" s="12">
        <v>0</v>
      </c>
      <c r="AK1491" s="12">
        <v>0</v>
      </c>
      <c r="AL1491" s="12">
        <v>0</v>
      </c>
      <c r="AM1491" s="12"/>
      <c r="AN1491" s="12">
        <v>0</v>
      </c>
      <c r="AO1491" s="12">
        <v>0</v>
      </c>
      <c r="AP1491" s="12">
        <v>0</v>
      </c>
      <c r="AQ1491" s="12">
        <v>0</v>
      </c>
      <c r="AR1491" s="12">
        <v>0</v>
      </c>
      <c r="AS1491" s="12">
        <v>0</v>
      </c>
      <c r="AT1491" s="12">
        <v>0</v>
      </c>
      <c r="AU1491" s="12">
        <v>0</v>
      </c>
      <c r="AV1491" s="12">
        <v>0</v>
      </c>
      <c r="AW1491" s="12">
        <v>0</v>
      </c>
      <c r="AX1491" s="12">
        <v>0</v>
      </c>
      <c r="AY1491" s="12">
        <v>0</v>
      </c>
      <c r="AZ1491"/>
      <c r="BA1491"/>
      <c r="BB1491" s="12">
        <v>0</v>
      </c>
      <c r="BC1491" s="12">
        <v>0</v>
      </c>
      <c r="BD1491" s="12">
        <v>0</v>
      </c>
      <c r="BE1491" s="12">
        <v>0</v>
      </c>
      <c r="BF1491" s="12">
        <v>0</v>
      </c>
      <c r="BI1491" s="12">
        <v>0</v>
      </c>
      <c r="BJ1491" s="12">
        <v>0</v>
      </c>
    </row>
    <row r="1492" spans="1:62" x14ac:dyDescent="0.15">
      <c r="A1492" s="12"/>
      <c r="B1492" t="s">
        <v>8225</v>
      </c>
      <c r="C1492" t="s">
        <v>8225</v>
      </c>
      <c r="D1492" t="s">
        <v>6596</v>
      </c>
      <c r="E1492" t="s">
        <v>2182</v>
      </c>
      <c r="F1492"/>
      <c r="G1492"/>
      <c r="H1492"/>
      <c r="I1492"/>
      <c r="J1492"/>
      <c r="K1492"/>
      <c r="L1492" s="10">
        <v>4025240</v>
      </c>
      <c r="M1492" s="10">
        <v>727260</v>
      </c>
      <c r="N1492" s="12">
        <v>15</v>
      </c>
      <c r="O1492" s="12" t="s">
        <v>6992</v>
      </c>
      <c r="P1492" t="s">
        <v>2183</v>
      </c>
      <c r="R1492"/>
      <c r="S1492" t="s">
        <v>2184</v>
      </c>
      <c r="T1492" s="12" t="s">
        <v>2185</v>
      </c>
      <c r="U1492" s="12" t="s">
        <v>2186</v>
      </c>
      <c r="V1492" s="12" t="s">
        <v>2187</v>
      </c>
      <c r="W1492" s="12">
        <v>0</v>
      </c>
      <c r="X1492" s="12">
        <v>1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2">
        <v>0</v>
      </c>
      <c r="AK1492" s="12">
        <v>0</v>
      </c>
      <c r="AL1492" s="12">
        <v>0</v>
      </c>
      <c r="AM1492" s="12"/>
      <c r="AN1492" s="12">
        <v>0</v>
      </c>
      <c r="AO1492" s="12">
        <v>0</v>
      </c>
      <c r="AP1492" s="12">
        <v>0</v>
      </c>
      <c r="AQ1492" s="12">
        <v>0</v>
      </c>
      <c r="AR1492" s="12">
        <v>0</v>
      </c>
      <c r="AS1492" s="12">
        <v>0</v>
      </c>
      <c r="AT1492" s="12">
        <v>0</v>
      </c>
      <c r="AU1492" s="12">
        <v>0</v>
      </c>
      <c r="AV1492" s="12">
        <v>0</v>
      </c>
      <c r="AW1492" s="12">
        <v>0</v>
      </c>
      <c r="AX1492" s="12">
        <v>0</v>
      </c>
      <c r="AY1492" s="12">
        <v>0</v>
      </c>
      <c r="AZ1492"/>
      <c r="BA1492"/>
      <c r="BB1492" s="12">
        <v>0</v>
      </c>
      <c r="BC1492" s="12">
        <v>0</v>
      </c>
      <c r="BD1492" s="12">
        <v>0</v>
      </c>
      <c r="BE1492" s="12">
        <v>0</v>
      </c>
      <c r="BF1492" s="12">
        <v>0</v>
      </c>
      <c r="BI1492" s="12">
        <v>0</v>
      </c>
      <c r="BJ1492" s="12">
        <v>0</v>
      </c>
    </row>
    <row r="1493" spans="1:62" x14ac:dyDescent="0.15">
      <c r="A1493" s="12"/>
      <c r="B1493" t="s">
        <v>8226</v>
      </c>
      <c r="C1493" s="27" t="s">
        <v>3204</v>
      </c>
      <c r="D1493" t="s">
        <v>6596</v>
      </c>
      <c r="E1493" t="s">
        <v>2182</v>
      </c>
      <c r="F1493"/>
      <c r="G1493"/>
      <c r="H1493"/>
      <c r="I1493"/>
      <c r="J1493"/>
      <c r="K1493"/>
      <c r="L1493" s="10">
        <v>4036250</v>
      </c>
      <c r="M1493" s="10">
        <v>721000</v>
      </c>
      <c r="N1493" s="12">
        <v>15</v>
      </c>
      <c r="O1493" s="12" t="s">
        <v>6992</v>
      </c>
      <c r="P1493" t="s">
        <v>2183</v>
      </c>
      <c r="R1493"/>
      <c r="S1493" t="s">
        <v>2184</v>
      </c>
      <c r="T1493" s="12" t="s">
        <v>2185</v>
      </c>
      <c r="U1493" s="12" t="s">
        <v>2186</v>
      </c>
      <c r="V1493" s="12" t="s">
        <v>2187</v>
      </c>
      <c r="W1493" s="12">
        <v>0</v>
      </c>
      <c r="X1493" s="12">
        <v>1</v>
      </c>
      <c r="Y1493" s="12">
        <v>0</v>
      </c>
      <c r="Z1493" s="12">
        <v>0</v>
      </c>
      <c r="AA1493" s="12">
        <v>0</v>
      </c>
      <c r="AB1493" s="12">
        <v>0</v>
      </c>
      <c r="AC1493" s="12">
        <v>0</v>
      </c>
      <c r="AD1493" s="12">
        <v>0</v>
      </c>
      <c r="AE1493" s="12">
        <v>0</v>
      </c>
      <c r="AF1493" s="12">
        <v>0</v>
      </c>
      <c r="AG1493" s="12">
        <v>0</v>
      </c>
      <c r="AH1493" s="12">
        <v>0</v>
      </c>
      <c r="AI1493" s="12">
        <v>0</v>
      </c>
      <c r="AJ1493" s="12">
        <v>0</v>
      </c>
      <c r="AK1493" s="12">
        <v>0</v>
      </c>
      <c r="AL1493" s="12">
        <v>0</v>
      </c>
      <c r="AM1493" s="12"/>
      <c r="AN1493" s="12">
        <v>0</v>
      </c>
      <c r="AO1493" s="12">
        <v>0</v>
      </c>
      <c r="AP1493" s="12">
        <v>0</v>
      </c>
      <c r="AQ1493" s="12">
        <v>0</v>
      </c>
      <c r="AR1493" s="12">
        <v>0</v>
      </c>
      <c r="AS1493" s="12">
        <v>0</v>
      </c>
      <c r="AT1493" s="12">
        <v>0</v>
      </c>
      <c r="AU1493" s="12">
        <v>0</v>
      </c>
      <c r="AV1493" s="12">
        <v>0</v>
      </c>
      <c r="AW1493" s="12">
        <v>0</v>
      </c>
      <c r="AX1493" s="12">
        <v>0</v>
      </c>
      <c r="AY1493" s="12">
        <v>0</v>
      </c>
      <c r="AZ1493"/>
      <c r="BA1493"/>
      <c r="BB1493" s="12">
        <v>0</v>
      </c>
      <c r="BC1493" s="12">
        <v>0</v>
      </c>
      <c r="BD1493" s="12">
        <v>0</v>
      </c>
      <c r="BE1493" s="12">
        <v>0</v>
      </c>
      <c r="BF1493" s="12">
        <v>0</v>
      </c>
      <c r="BI1493" s="12">
        <v>0</v>
      </c>
      <c r="BJ1493" s="12">
        <v>0</v>
      </c>
    </row>
    <row r="1494" spans="1:62" x14ac:dyDescent="0.15">
      <c r="A1494" s="12"/>
      <c r="B1494" t="s">
        <v>8227</v>
      </c>
      <c r="C1494" t="s">
        <v>8227</v>
      </c>
      <c r="D1494" t="s">
        <v>6596</v>
      </c>
      <c r="E1494" t="s">
        <v>2182</v>
      </c>
      <c r="F1494"/>
      <c r="G1494"/>
      <c r="H1494"/>
      <c r="I1494"/>
      <c r="J1494"/>
      <c r="K1494"/>
      <c r="L1494" s="10">
        <v>4028980</v>
      </c>
      <c r="M1494" s="10">
        <v>713680</v>
      </c>
      <c r="N1494" s="12">
        <v>15</v>
      </c>
      <c r="O1494" s="12" t="s">
        <v>6992</v>
      </c>
      <c r="P1494" t="s">
        <v>2183</v>
      </c>
      <c r="R1494"/>
      <c r="S1494" t="s">
        <v>2184</v>
      </c>
      <c r="T1494" s="12" t="s">
        <v>2185</v>
      </c>
      <c r="U1494" s="12" t="s">
        <v>2186</v>
      </c>
      <c r="V1494" s="12" t="s">
        <v>2187</v>
      </c>
      <c r="W1494" s="12">
        <v>0</v>
      </c>
      <c r="X1494" s="12">
        <v>1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2">
        <v>0</v>
      </c>
      <c r="AK1494" s="12">
        <v>0</v>
      </c>
      <c r="AL1494" s="12">
        <v>0</v>
      </c>
      <c r="AM1494" s="12"/>
      <c r="AN1494" s="12">
        <v>0</v>
      </c>
      <c r="AO1494" s="12">
        <v>0</v>
      </c>
      <c r="AP1494" s="12">
        <v>0</v>
      </c>
      <c r="AQ1494" s="12">
        <v>0</v>
      </c>
      <c r="AR1494" s="12">
        <v>0</v>
      </c>
      <c r="AS1494" s="12">
        <v>0</v>
      </c>
      <c r="AT1494" s="12">
        <v>0</v>
      </c>
      <c r="AU1494" s="12">
        <v>0</v>
      </c>
      <c r="AV1494" s="12">
        <v>0</v>
      </c>
      <c r="AW1494" s="12">
        <v>0</v>
      </c>
      <c r="AX1494" s="12">
        <v>0</v>
      </c>
      <c r="AY1494" s="12">
        <v>0</v>
      </c>
      <c r="AZ1494"/>
      <c r="BA1494"/>
      <c r="BB1494" s="12">
        <v>0</v>
      </c>
      <c r="BC1494" s="12">
        <v>0</v>
      </c>
      <c r="BD1494" s="12">
        <v>0</v>
      </c>
      <c r="BE1494" s="12">
        <v>0</v>
      </c>
      <c r="BF1494" s="12">
        <v>0</v>
      </c>
      <c r="BI1494" s="12">
        <v>0</v>
      </c>
      <c r="BJ1494" s="12">
        <v>0</v>
      </c>
    </row>
    <row r="1495" spans="1:62" x14ac:dyDescent="0.15">
      <c r="A1495" s="12"/>
      <c r="B1495" t="s">
        <v>8228</v>
      </c>
      <c r="C1495" t="s">
        <v>8228</v>
      </c>
      <c r="D1495" t="s">
        <v>6596</v>
      </c>
      <c r="E1495" t="s">
        <v>2182</v>
      </c>
      <c r="F1495"/>
      <c r="G1495"/>
      <c r="H1495"/>
      <c r="I1495"/>
      <c r="J1495"/>
      <c r="K1495"/>
      <c r="L1495" s="10">
        <v>4026780</v>
      </c>
      <c r="M1495" s="10">
        <v>712010</v>
      </c>
      <c r="N1495" s="12">
        <v>15</v>
      </c>
      <c r="O1495" s="12" t="s">
        <v>6992</v>
      </c>
      <c r="P1495" t="s">
        <v>2183</v>
      </c>
      <c r="R1495"/>
      <c r="S1495" t="s">
        <v>2184</v>
      </c>
      <c r="T1495" s="12" t="s">
        <v>2185</v>
      </c>
      <c r="U1495" s="12" t="s">
        <v>2186</v>
      </c>
      <c r="V1495" s="12" t="s">
        <v>2187</v>
      </c>
      <c r="W1495" s="12">
        <v>0</v>
      </c>
      <c r="X1495" s="12">
        <v>1</v>
      </c>
      <c r="Y1495" s="12">
        <v>0</v>
      </c>
      <c r="Z1495" s="12">
        <v>0</v>
      </c>
      <c r="AA1495" s="12">
        <v>0</v>
      </c>
      <c r="AB1495" s="12">
        <v>0</v>
      </c>
      <c r="AC1495" s="12">
        <v>0</v>
      </c>
      <c r="AD1495" s="12">
        <v>0</v>
      </c>
      <c r="AE1495" s="12">
        <v>0</v>
      </c>
      <c r="AF1495" s="12">
        <v>0</v>
      </c>
      <c r="AG1495" s="12">
        <v>0</v>
      </c>
      <c r="AH1495" s="12">
        <v>0</v>
      </c>
      <c r="AI1495" s="12">
        <v>0</v>
      </c>
      <c r="AJ1495" s="12">
        <v>0</v>
      </c>
      <c r="AK1495" s="12">
        <v>0</v>
      </c>
      <c r="AL1495" s="12">
        <v>0</v>
      </c>
      <c r="AM1495" s="12"/>
      <c r="AN1495" s="12">
        <v>0</v>
      </c>
      <c r="AO1495" s="12">
        <v>0</v>
      </c>
      <c r="AP1495" s="12">
        <v>0</v>
      </c>
      <c r="AQ1495" s="12">
        <v>0</v>
      </c>
      <c r="AR1495" s="12">
        <v>0</v>
      </c>
      <c r="AS1495" s="12">
        <v>0</v>
      </c>
      <c r="AT1495" s="12">
        <v>0</v>
      </c>
      <c r="AU1495" s="12">
        <v>0</v>
      </c>
      <c r="AV1495" s="12">
        <v>0</v>
      </c>
      <c r="AW1495" s="12">
        <v>0</v>
      </c>
      <c r="AX1495" s="12">
        <v>0</v>
      </c>
      <c r="AY1495" s="12">
        <v>0</v>
      </c>
      <c r="AZ1495"/>
      <c r="BA1495"/>
      <c r="BB1495" s="12">
        <v>0</v>
      </c>
      <c r="BC1495" s="12">
        <v>0</v>
      </c>
      <c r="BD1495" s="12">
        <v>0</v>
      </c>
      <c r="BE1495" s="12">
        <v>0</v>
      </c>
      <c r="BF1495" s="12">
        <v>0</v>
      </c>
      <c r="BI1495" s="12">
        <v>0</v>
      </c>
      <c r="BJ1495" s="12">
        <v>0</v>
      </c>
    </row>
    <row r="1496" spans="1:62" x14ac:dyDescent="0.15">
      <c r="A1496" s="12"/>
      <c r="B1496" t="s">
        <v>8229</v>
      </c>
      <c r="C1496" t="s">
        <v>8229</v>
      </c>
      <c r="D1496" t="s">
        <v>6596</v>
      </c>
      <c r="E1496" t="s">
        <v>2182</v>
      </c>
      <c r="F1496"/>
      <c r="G1496"/>
      <c r="H1496"/>
      <c r="I1496"/>
      <c r="J1496"/>
      <c r="K1496"/>
      <c r="L1496" s="10">
        <v>4026600</v>
      </c>
      <c r="M1496" s="10">
        <v>711960</v>
      </c>
      <c r="N1496" s="12">
        <v>15</v>
      </c>
      <c r="O1496" s="12" t="s">
        <v>6992</v>
      </c>
      <c r="P1496" t="s">
        <v>2183</v>
      </c>
      <c r="R1496"/>
      <c r="S1496" t="s">
        <v>2184</v>
      </c>
      <c r="T1496" s="12" t="s">
        <v>2185</v>
      </c>
      <c r="U1496" s="12" t="s">
        <v>2186</v>
      </c>
      <c r="V1496" s="12" t="s">
        <v>2187</v>
      </c>
      <c r="W1496" s="12">
        <v>0</v>
      </c>
      <c r="X1496" s="12">
        <v>1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2">
        <v>0</v>
      </c>
      <c r="AK1496" s="12">
        <v>0</v>
      </c>
      <c r="AL1496" s="12">
        <v>0</v>
      </c>
      <c r="AM1496" s="12"/>
      <c r="AN1496" s="12">
        <v>0</v>
      </c>
      <c r="AO1496" s="12">
        <v>0</v>
      </c>
      <c r="AP1496" s="12">
        <v>0</v>
      </c>
      <c r="AQ1496" s="12">
        <v>0</v>
      </c>
      <c r="AR1496" s="12">
        <v>0</v>
      </c>
      <c r="AS1496" s="12">
        <v>0</v>
      </c>
      <c r="AT1496" s="12">
        <v>0</v>
      </c>
      <c r="AU1496" s="12">
        <v>0</v>
      </c>
      <c r="AV1496" s="12">
        <v>0</v>
      </c>
      <c r="AW1496" s="12">
        <v>0</v>
      </c>
      <c r="AX1496" s="12">
        <v>0</v>
      </c>
      <c r="AY1496" s="12">
        <v>0</v>
      </c>
      <c r="AZ1496"/>
      <c r="BA1496"/>
      <c r="BB1496" s="12">
        <v>0</v>
      </c>
      <c r="BC1496" s="12">
        <v>0</v>
      </c>
      <c r="BD1496" s="12">
        <v>0</v>
      </c>
      <c r="BE1496" s="12">
        <v>0</v>
      </c>
      <c r="BF1496" s="12">
        <v>0</v>
      </c>
      <c r="BI1496" s="12">
        <v>0</v>
      </c>
      <c r="BJ1496" s="12">
        <v>0</v>
      </c>
    </row>
    <row r="1497" spans="1:62" x14ac:dyDescent="0.15">
      <c r="A1497" s="12"/>
      <c r="B1497" t="s">
        <v>8230</v>
      </c>
      <c r="C1497" t="s">
        <v>8230</v>
      </c>
      <c r="D1497" t="s">
        <v>6596</v>
      </c>
      <c r="E1497" t="s">
        <v>2182</v>
      </c>
      <c r="F1497"/>
      <c r="G1497"/>
      <c r="H1497"/>
      <c r="I1497"/>
      <c r="J1497"/>
      <c r="K1497"/>
      <c r="L1497" s="10">
        <v>4028090</v>
      </c>
      <c r="M1497" s="10">
        <v>722220</v>
      </c>
      <c r="N1497" s="12">
        <v>15</v>
      </c>
      <c r="O1497" s="12" t="s">
        <v>6992</v>
      </c>
      <c r="P1497" t="s">
        <v>2183</v>
      </c>
      <c r="R1497"/>
      <c r="S1497" t="s">
        <v>2184</v>
      </c>
      <c r="T1497" s="12" t="s">
        <v>2185</v>
      </c>
      <c r="U1497" s="12" t="s">
        <v>2186</v>
      </c>
      <c r="V1497" s="12" t="s">
        <v>2187</v>
      </c>
      <c r="W1497" s="12">
        <v>0</v>
      </c>
      <c r="X1497" s="12">
        <v>1</v>
      </c>
      <c r="Y1497" s="12">
        <v>0</v>
      </c>
      <c r="Z1497" s="12">
        <v>0</v>
      </c>
      <c r="AA1497" s="12">
        <v>0</v>
      </c>
      <c r="AB1497" s="12">
        <v>0</v>
      </c>
      <c r="AC1497" s="12">
        <v>0</v>
      </c>
      <c r="AD1497" s="12">
        <v>0</v>
      </c>
      <c r="AE1497" s="12">
        <v>0</v>
      </c>
      <c r="AF1497" s="12">
        <v>0</v>
      </c>
      <c r="AG1497" s="12">
        <v>0</v>
      </c>
      <c r="AH1497" s="12">
        <v>0</v>
      </c>
      <c r="AI1497" s="12">
        <v>0</v>
      </c>
      <c r="AJ1497" s="12">
        <v>0</v>
      </c>
      <c r="AK1497" s="12">
        <v>0</v>
      </c>
      <c r="AL1497" s="12">
        <v>0</v>
      </c>
      <c r="AM1497" s="12"/>
      <c r="AN1497" s="12">
        <v>0</v>
      </c>
      <c r="AO1497" s="12">
        <v>0</v>
      </c>
      <c r="AP1497" s="12">
        <v>0</v>
      </c>
      <c r="AQ1497" s="12">
        <v>0</v>
      </c>
      <c r="AR1497" s="12">
        <v>0</v>
      </c>
      <c r="AS1497" s="12">
        <v>0</v>
      </c>
      <c r="AT1497" s="12">
        <v>0</v>
      </c>
      <c r="AU1497" s="12">
        <v>0</v>
      </c>
      <c r="AV1497" s="12">
        <v>0</v>
      </c>
      <c r="AW1497" s="12">
        <v>0</v>
      </c>
      <c r="AX1497" s="12">
        <v>0</v>
      </c>
      <c r="AY1497" s="12">
        <v>0</v>
      </c>
      <c r="AZ1497"/>
      <c r="BA1497"/>
      <c r="BB1497" s="12">
        <v>0</v>
      </c>
      <c r="BC1497" s="12">
        <v>0</v>
      </c>
      <c r="BD1497" s="12">
        <v>0</v>
      </c>
      <c r="BE1497" s="12">
        <v>0</v>
      </c>
      <c r="BF1497" s="12">
        <v>0</v>
      </c>
      <c r="BI1497" s="12">
        <v>0</v>
      </c>
      <c r="BJ1497" s="12">
        <v>0</v>
      </c>
    </row>
    <row r="1498" spans="1:62" x14ac:dyDescent="0.15">
      <c r="A1498" s="12"/>
      <c r="B1498" t="s">
        <v>8231</v>
      </c>
      <c r="C1498" t="s">
        <v>8231</v>
      </c>
      <c r="D1498" t="s">
        <v>6596</v>
      </c>
      <c r="E1498" t="s">
        <v>2182</v>
      </c>
      <c r="F1498"/>
      <c r="G1498"/>
      <c r="H1498"/>
      <c r="I1498"/>
      <c r="J1498"/>
      <c r="K1498"/>
      <c r="L1498" s="10">
        <v>4028580</v>
      </c>
      <c r="M1498" s="10">
        <v>720920</v>
      </c>
      <c r="N1498" s="12">
        <v>15</v>
      </c>
      <c r="O1498" s="12" t="s">
        <v>6992</v>
      </c>
      <c r="P1498" t="s">
        <v>2183</v>
      </c>
      <c r="R1498"/>
      <c r="S1498" t="s">
        <v>2184</v>
      </c>
      <c r="T1498" s="12" t="s">
        <v>2185</v>
      </c>
      <c r="U1498" s="12" t="s">
        <v>2186</v>
      </c>
      <c r="V1498" s="12" t="s">
        <v>2187</v>
      </c>
      <c r="W1498" s="12">
        <v>0</v>
      </c>
      <c r="X1498" s="12">
        <v>1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2">
        <v>0</v>
      </c>
      <c r="AK1498" s="12">
        <v>0</v>
      </c>
      <c r="AL1498" s="12">
        <v>0</v>
      </c>
      <c r="AM1498" s="12"/>
      <c r="AN1498" s="12">
        <v>0</v>
      </c>
      <c r="AO1498" s="12">
        <v>0</v>
      </c>
      <c r="AP1498" s="12">
        <v>0</v>
      </c>
      <c r="AQ1498" s="12">
        <v>0</v>
      </c>
      <c r="AR1498" s="12">
        <v>0</v>
      </c>
      <c r="AS1498" s="12">
        <v>0</v>
      </c>
      <c r="AT1498" s="12">
        <v>0</v>
      </c>
      <c r="AU1498" s="12">
        <v>0</v>
      </c>
      <c r="AV1498" s="12">
        <v>0</v>
      </c>
      <c r="AW1498" s="12">
        <v>0</v>
      </c>
      <c r="AX1498" s="12">
        <v>0</v>
      </c>
      <c r="AY1498" s="12">
        <v>0</v>
      </c>
      <c r="AZ1498"/>
      <c r="BA1498"/>
      <c r="BB1498" s="12">
        <v>0</v>
      </c>
      <c r="BC1498" s="12">
        <v>0</v>
      </c>
      <c r="BD1498" s="12">
        <v>0</v>
      </c>
      <c r="BE1498" s="12">
        <v>0</v>
      </c>
      <c r="BF1498" s="12">
        <v>0</v>
      </c>
      <c r="BI1498" s="12">
        <v>0</v>
      </c>
      <c r="BJ1498" s="12">
        <v>0</v>
      </c>
    </row>
    <row r="1499" spans="1:62" x14ac:dyDescent="0.15">
      <c r="A1499" s="12"/>
      <c r="B1499" t="s">
        <v>8232</v>
      </c>
      <c r="C1499" t="s">
        <v>8232</v>
      </c>
      <c r="D1499" t="s">
        <v>6596</v>
      </c>
      <c r="E1499" t="s">
        <v>2182</v>
      </c>
      <c r="F1499"/>
      <c r="G1499"/>
      <c r="H1499"/>
      <c r="I1499"/>
      <c r="J1499"/>
      <c r="K1499"/>
      <c r="L1499" s="10">
        <v>4025810</v>
      </c>
      <c r="M1499" s="10">
        <v>731460</v>
      </c>
      <c r="N1499" s="12">
        <v>15</v>
      </c>
      <c r="O1499" s="12" t="s">
        <v>6992</v>
      </c>
      <c r="P1499" t="s">
        <v>2183</v>
      </c>
      <c r="R1499"/>
      <c r="S1499" t="s">
        <v>2184</v>
      </c>
      <c r="T1499" s="12" t="s">
        <v>2185</v>
      </c>
      <c r="U1499" s="12" t="s">
        <v>2186</v>
      </c>
      <c r="V1499" s="12" t="s">
        <v>2187</v>
      </c>
      <c r="W1499" s="12">
        <v>0</v>
      </c>
      <c r="X1499" s="12">
        <v>1</v>
      </c>
      <c r="Y1499" s="12">
        <v>0</v>
      </c>
      <c r="Z1499" s="12">
        <v>0</v>
      </c>
      <c r="AA1499" s="12">
        <v>0</v>
      </c>
      <c r="AB1499" s="12">
        <v>0</v>
      </c>
      <c r="AC1499" s="12">
        <v>0</v>
      </c>
      <c r="AD1499" s="12">
        <v>0</v>
      </c>
      <c r="AE1499" s="12">
        <v>0</v>
      </c>
      <c r="AF1499" s="12">
        <v>0</v>
      </c>
      <c r="AG1499" s="12">
        <v>0</v>
      </c>
      <c r="AH1499" s="12">
        <v>0</v>
      </c>
      <c r="AI1499" s="12">
        <v>0</v>
      </c>
      <c r="AJ1499" s="12">
        <v>0</v>
      </c>
      <c r="AK1499" s="12">
        <v>0</v>
      </c>
      <c r="AL1499" s="12">
        <v>0</v>
      </c>
      <c r="AM1499" s="12"/>
      <c r="AN1499" s="12">
        <v>0</v>
      </c>
      <c r="AO1499" s="12">
        <v>0</v>
      </c>
      <c r="AP1499" s="12">
        <v>0</v>
      </c>
      <c r="AQ1499" s="12">
        <v>0</v>
      </c>
      <c r="AR1499" s="12">
        <v>0</v>
      </c>
      <c r="AS1499" s="12">
        <v>0</v>
      </c>
      <c r="AT1499" s="12">
        <v>0</v>
      </c>
      <c r="AU1499" s="12">
        <v>0</v>
      </c>
      <c r="AV1499" s="12">
        <v>0</v>
      </c>
      <c r="AW1499" s="12">
        <v>0</v>
      </c>
      <c r="AX1499" s="12">
        <v>0</v>
      </c>
      <c r="AY1499" s="12">
        <v>0</v>
      </c>
      <c r="AZ1499"/>
      <c r="BA1499"/>
      <c r="BB1499" s="12">
        <v>0</v>
      </c>
      <c r="BC1499" s="12">
        <v>0</v>
      </c>
      <c r="BD1499" s="12">
        <v>0</v>
      </c>
      <c r="BE1499" s="12">
        <v>0</v>
      </c>
      <c r="BF1499" s="12">
        <v>0</v>
      </c>
      <c r="BI1499" s="12">
        <v>0</v>
      </c>
      <c r="BJ1499" s="12">
        <v>0</v>
      </c>
    </row>
    <row r="1500" spans="1:62" x14ac:dyDescent="0.15">
      <c r="A1500" s="12"/>
      <c r="B1500" t="s">
        <v>8233</v>
      </c>
      <c r="C1500" t="s">
        <v>8233</v>
      </c>
      <c r="D1500" t="s">
        <v>6596</v>
      </c>
      <c r="E1500" t="s">
        <v>2182</v>
      </c>
      <c r="F1500"/>
      <c r="G1500"/>
      <c r="H1500"/>
      <c r="I1500"/>
      <c r="J1500"/>
      <c r="K1500"/>
      <c r="L1500" s="10">
        <v>4040310</v>
      </c>
      <c r="M1500" s="10">
        <v>739910</v>
      </c>
      <c r="N1500" s="12">
        <v>15</v>
      </c>
      <c r="O1500" s="12" t="s">
        <v>6992</v>
      </c>
      <c r="P1500" t="s">
        <v>2183</v>
      </c>
      <c r="R1500"/>
      <c r="S1500" t="s">
        <v>2184</v>
      </c>
      <c r="T1500" s="12" t="s">
        <v>2185</v>
      </c>
      <c r="U1500" s="12" t="s">
        <v>2186</v>
      </c>
      <c r="V1500" s="12" t="s">
        <v>2187</v>
      </c>
      <c r="W1500" s="12">
        <v>0</v>
      </c>
      <c r="X1500" s="12">
        <v>1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2">
        <v>0</v>
      </c>
      <c r="AK1500" s="12">
        <v>0</v>
      </c>
      <c r="AL1500" s="12">
        <v>0</v>
      </c>
      <c r="AM1500" s="12"/>
      <c r="AN1500" s="12">
        <v>0</v>
      </c>
      <c r="AO1500" s="12">
        <v>0</v>
      </c>
      <c r="AP1500" s="12">
        <v>0</v>
      </c>
      <c r="AQ1500" s="12">
        <v>0</v>
      </c>
      <c r="AR1500" s="12">
        <v>0</v>
      </c>
      <c r="AS1500" s="12">
        <v>0</v>
      </c>
      <c r="AT1500" s="12">
        <v>0</v>
      </c>
      <c r="AU1500" s="12">
        <v>0</v>
      </c>
      <c r="AV1500" s="12">
        <v>0</v>
      </c>
      <c r="AW1500" s="12">
        <v>0</v>
      </c>
      <c r="AX1500" s="12">
        <v>0</v>
      </c>
      <c r="AY1500" s="12">
        <v>0</v>
      </c>
      <c r="AZ1500"/>
      <c r="BA1500"/>
      <c r="BB1500" s="12">
        <v>0</v>
      </c>
      <c r="BC1500" s="12">
        <v>0</v>
      </c>
      <c r="BD1500" s="12">
        <v>0</v>
      </c>
      <c r="BE1500" s="12">
        <v>0</v>
      </c>
      <c r="BF1500" s="12">
        <v>0</v>
      </c>
      <c r="BI1500" s="12">
        <v>0</v>
      </c>
      <c r="BJ1500" s="12">
        <v>0</v>
      </c>
    </row>
    <row r="1501" spans="1:62" x14ac:dyDescent="0.15">
      <c r="A1501" s="12"/>
      <c r="B1501" t="s">
        <v>8234</v>
      </c>
      <c r="C1501" t="s">
        <v>8234</v>
      </c>
      <c r="D1501" t="s">
        <v>6596</v>
      </c>
      <c r="E1501" t="s">
        <v>2182</v>
      </c>
      <c r="F1501"/>
      <c r="G1501"/>
      <c r="H1501"/>
      <c r="I1501"/>
      <c r="J1501"/>
      <c r="K1501"/>
      <c r="L1501" s="10">
        <v>4038800</v>
      </c>
      <c r="M1501" s="10">
        <v>737320</v>
      </c>
      <c r="N1501" s="12">
        <v>15</v>
      </c>
      <c r="O1501" s="12" t="s">
        <v>6992</v>
      </c>
      <c r="P1501" t="s">
        <v>2183</v>
      </c>
      <c r="R1501"/>
      <c r="S1501" t="s">
        <v>2184</v>
      </c>
      <c r="T1501" s="12" t="s">
        <v>2185</v>
      </c>
      <c r="U1501" s="12" t="s">
        <v>2186</v>
      </c>
      <c r="V1501" s="12" t="s">
        <v>2187</v>
      </c>
      <c r="W1501" s="12">
        <v>0</v>
      </c>
      <c r="X1501" s="12">
        <v>1</v>
      </c>
      <c r="Y1501" s="12">
        <v>0</v>
      </c>
      <c r="Z1501" s="12">
        <v>0</v>
      </c>
      <c r="AA1501" s="12">
        <v>0</v>
      </c>
      <c r="AB1501" s="12">
        <v>0</v>
      </c>
      <c r="AC1501" s="12">
        <v>0</v>
      </c>
      <c r="AD1501" s="12">
        <v>0</v>
      </c>
      <c r="AE1501" s="12">
        <v>0</v>
      </c>
      <c r="AF1501" s="12">
        <v>0</v>
      </c>
      <c r="AG1501" s="12">
        <v>0</v>
      </c>
      <c r="AH1501" s="12">
        <v>0</v>
      </c>
      <c r="AI1501" s="12">
        <v>0</v>
      </c>
      <c r="AJ1501" s="12">
        <v>0</v>
      </c>
      <c r="AK1501" s="12">
        <v>0</v>
      </c>
      <c r="AL1501" s="12">
        <v>0</v>
      </c>
      <c r="AM1501" s="12"/>
      <c r="AN1501" s="12">
        <v>0</v>
      </c>
      <c r="AO1501" s="12">
        <v>0</v>
      </c>
      <c r="AP1501" s="12">
        <v>0</v>
      </c>
      <c r="AQ1501" s="12">
        <v>0</v>
      </c>
      <c r="AR1501" s="12">
        <v>0</v>
      </c>
      <c r="AS1501" s="12">
        <v>0</v>
      </c>
      <c r="AT1501" s="12">
        <v>0</v>
      </c>
      <c r="AU1501" s="12">
        <v>0</v>
      </c>
      <c r="AV1501" s="12">
        <v>0</v>
      </c>
      <c r="AW1501" s="12">
        <v>0</v>
      </c>
      <c r="AX1501" s="12">
        <v>0</v>
      </c>
      <c r="AY1501" s="12">
        <v>0</v>
      </c>
      <c r="AZ1501"/>
      <c r="BA1501"/>
      <c r="BB1501" s="12">
        <v>0</v>
      </c>
      <c r="BC1501" s="12">
        <v>0</v>
      </c>
      <c r="BD1501" s="12">
        <v>0</v>
      </c>
      <c r="BE1501" s="12">
        <v>0</v>
      </c>
      <c r="BF1501" s="12">
        <v>0</v>
      </c>
      <c r="BI1501" s="12">
        <v>0</v>
      </c>
      <c r="BJ1501" s="12">
        <v>0</v>
      </c>
    </row>
    <row r="1502" spans="1:62" x14ac:dyDescent="0.15">
      <c r="A1502" s="12"/>
      <c r="B1502" t="s">
        <v>8235</v>
      </c>
      <c r="C1502" t="s">
        <v>8235</v>
      </c>
      <c r="D1502" t="s">
        <v>6596</v>
      </c>
      <c r="E1502" t="s">
        <v>2182</v>
      </c>
      <c r="F1502"/>
      <c r="G1502"/>
      <c r="H1502"/>
      <c r="I1502"/>
      <c r="J1502"/>
      <c r="K1502"/>
      <c r="L1502" s="10">
        <v>4036100</v>
      </c>
      <c r="M1502" s="10">
        <v>736230</v>
      </c>
      <c r="N1502" s="12">
        <v>15</v>
      </c>
      <c r="O1502" s="12" t="s">
        <v>6992</v>
      </c>
      <c r="P1502" t="s">
        <v>2183</v>
      </c>
      <c r="R1502"/>
      <c r="S1502" t="s">
        <v>2184</v>
      </c>
      <c r="T1502" s="12" t="s">
        <v>2185</v>
      </c>
      <c r="U1502" s="12" t="s">
        <v>2186</v>
      </c>
      <c r="V1502" s="12" t="s">
        <v>2187</v>
      </c>
      <c r="W1502" s="12">
        <v>0</v>
      </c>
      <c r="X1502" s="12">
        <v>1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2">
        <v>0</v>
      </c>
      <c r="AK1502" s="12">
        <v>0</v>
      </c>
      <c r="AL1502" s="12">
        <v>0</v>
      </c>
      <c r="AM1502" s="12"/>
      <c r="AN1502" s="12">
        <v>0</v>
      </c>
      <c r="AO1502" s="12">
        <v>0</v>
      </c>
      <c r="AP1502" s="12">
        <v>0</v>
      </c>
      <c r="AQ1502" s="12">
        <v>0</v>
      </c>
      <c r="AR1502" s="12">
        <v>0</v>
      </c>
      <c r="AS1502" s="12">
        <v>0</v>
      </c>
      <c r="AT1502" s="12">
        <v>0</v>
      </c>
      <c r="AU1502" s="12">
        <v>0</v>
      </c>
      <c r="AV1502" s="12">
        <v>0</v>
      </c>
      <c r="AW1502" s="12">
        <v>0</v>
      </c>
      <c r="AX1502" s="12">
        <v>0</v>
      </c>
      <c r="AY1502" s="12">
        <v>0</v>
      </c>
      <c r="AZ1502"/>
      <c r="BA1502"/>
      <c r="BB1502" s="12">
        <v>0</v>
      </c>
      <c r="BC1502" s="12">
        <v>0</v>
      </c>
      <c r="BD1502" s="12">
        <v>0</v>
      </c>
      <c r="BE1502" s="12">
        <v>0</v>
      </c>
      <c r="BF1502" s="12">
        <v>0</v>
      </c>
      <c r="BI1502" s="12">
        <v>0</v>
      </c>
      <c r="BJ1502" s="12">
        <v>0</v>
      </c>
    </row>
    <row r="1503" spans="1:62" x14ac:dyDescent="0.15">
      <c r="A1503" s="12"/>
      <c r="B1503" t="s">
        <v>8236</v>
      </c>
      <c r="C1503" t="s">
        <v>8236</v>
      </c>
      <c r="D1503" t="s">
        <v>6596</v>
      </c>
      <c r="E1503" t="s">
        <v>2182</v>
      </c>
      <c r="F1503"/>
      <c r="G1503"/>
      <c r="H1503"/>
      <c r="I1503"/>
      <c r="J1503"/>
      <c r="K1503"/>
      <c r="L1503" s="10">
        <v>4037680</v>
      </c>
      <c r="M1503" s="10">
        <v>736730</v>
      </c>
      <c r="N1503" s="12">
        <v>15</v>
      </c>
      <c r="O1503" s="12" t="s">
        <v>6992</v>
      </c>
      <c r="P1503" t="s">
        <v>2183</v>
      </c>
      <c r="R1503"/>
      <c r="S1503" t="s">
        <v>2184</v>
      </c>
      <c r="T1503" s="12" t="s">
        <v>2185</v>
      </c>
      <c r="U1503" s="12" t="s">
        <v>2186</v>
      </c>
      <c r="V1503" s="12" t="s">
        <v>2187</v>
      </c>
      <c r="W1503" s="12">
        <v>0</v>
      </c>
      <c r="X1503" s="12">
        <v>1</v>
      </c>
      <c r="Y1503" s="12">
        <v>0</v>
      </c>
      <c r="Z1503" s="12">
        <v>0</v>
      </c>
      <c r="AA1503" s="12">
        <v>0</v>
      </c>
      <c r="AB1503" s="12">
        <v>0</v>
      </c>
      <c r="AC1503" s="12">
        <v>0</v>
      </c>
      <c r="AD1503" s="12">
        <v>0</v>
      </c>
      <c r="AE1503" s="12">
        <v>0</v>
      </c>
      <c r="AF1503" s="12">
        <v>0</v>
      </c>
      <c r="AG1503" s="12">
        <v>0</v>
      </c>
      <c r="AH1503" s="12">
        <v>0</v>
      </c>
      <c r="AI1503" s="12">
        <v>0</v>
      </c>
      <c r="AJ1503" s="12">
        <v>0</v>
      </c>
      <c r="AK1503" s="12">
        <v>0</v>
      </c>
      <c r="AL1503" s="12">
        <v>0</v>
      </c>
      <c r="AM1503" s="12"/>
      <c r="AN1503" s="12">
        <v>0</v>
      </c>
      <c r="AO1503" s="12">
        <v>0</v>
      </c>
      <c r="AP1503" s="12">
        <v>0</v>
      </c>
      <c r="AQ1503" s="12">
        <v>0</v>
      </c>
      <c r="AR1503" s="12">
        <v>0</v>
      </c>
      <c r="AS1503" s="12">
        <v>0</v>
      </c>
      <c r="AT1503" s="12">
        <v>0</v>
      </c>
      <c r="AU1503" s="12">
        <v>0</v>
      </c>
      <c r="AV1503" s="12">
        <v>0</v>
      </c>
      <c r="AW1503" s="12">
        <v>0</v>
      </c>
      <c r="AX1503" s="12">
        <v>0</v>
      </c>
      <c r="AY1503" s="12">
        <v>0</v>
      </c>
      <c r="AZ1503"/>
      <c r="BA1503"/>
      <c r="BB1503" s="12">
        <v>0</v>
      </c>
      <c r="BC1503" s="12">
        <v>0</v>
      </c>
      <c r="BD1503" s="12">
        <v>0</v>
      </c>
      <c r="BE1503" s="12">
        <v>0</v>
      </c>
      <c r="BF1503" s="12">
        <v>0</v>
      </c>
      <c r="BI1503" s="12">
        <v>0</v>
      </c>
      <c r="BJ1503" s="12">
        <v>0</v>
      </c>
    </row>
    <row r="1504" spans="1:62" x14ac:dyDescent="0.15">
      <c r="A1504" s="12"/>
      <c r="B1504" t="s">
        <v>8237</v>
      </c>
      <c r="C1504" t="s">
        <v>8237</v>
      </c>
      <c r="D1504" t="s">
        <v>6596</v>
      </c>
      <c r="E1504" t="s">
        <v>2182</v>
      </c>
      <c r="F1504"/>
      <c r="G1504"/>
      <c r="H1504"/>
      <c r="I1504"/>
      <c r="J1504"/>
      <c r="K1504"/>
      <c r="L1504" s="10">
        <v>4037830</v>
      </c>
      <c r="M1504" s="10">
        <v>736500</v>
      </c>
      <c r="N1504" s="12">
        <v>15</v>
      </c>
      <c r="O1504" s="12" t="s">
        <v>6992</v>
      </c>
      <c r="P1504" t="s">
        <v>2183</v>
      </c>
      <c r="R1504"/>
      <c r="S1504" t="s">
        <v>2184</v>
      </c>
      <c r="T1504" s="12" t="s">
        <v>2185</v>
      </c>
      <c r="U1504" s="12" t="s">
        <v>2186</v>
      </c>
      <c r="V1504" s="12" t="s">
        <v>2187</v>
      </c>
      <c r="W1504" s="12">
        <v>0</v>
      </c>
      <c r="X1504" s="12">
        <v>1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2">
        <v>0</v>
      </c>
      <c r="AK1504" s="12">
        <v>0</v>
      </c>
      <c r="AL1504" s="12">
        <v>0</v>
      </c>
      <c r="AM1504" s="12"/>
      <c r="AN1504" s="12">
        <v>0</v>
      </c>
      <c r="AO1504" s="12">
        <v>0</v>
      </c>
      <c r="AP1504" s="12">
        <v>0</v>
      </c>
      <c r="AQ1504" s="12">
        <v>0</v>
      </c>
      <c r="AR1504" s="12">
        <v>0</v>
      </c>
      <c r="AS1504" s="12">
        <v>0</v>
      </c>
      <c r="AT1504" s="12">
        <v>0</v>
      </c>
      <c r="AU1504" s="12">
        <v>0</v>
      </c>
      <c r="AV1504" s="12">
        <v>0</v>
      </c>
      <c r="AW1504" s="12">
        <v>0</v>
      </c>
      <c r="AX1504" s="12">
        <v>0</v>
      </c>
      <c r="AY1504" s="12">
        <v>0</v>
      </c>
      <c r="AZ1504"/>
      <c r="BA1504"/>
      <c r="BB1504" s="12">
        <v>0</v>
      </c>
      <c r="BC1504" s="12">
        <v>0</v>
      </c>
      <c r="BD1504" s="12">
        <v>0</v>
      </c>
      <c r="BE1504" s="12">
        <v>0</v>
      </c>
      <c r="BF1504" s="12">
        <v>0</v>
      </c>
      <c r="BI1504" s="12">
        <v>0</v>
      </c>
      <c r="BJ1504" s="12">
        <v>0</v>
      </c>
    </row>
    <row r="1505" spans="1:62" x14ac:dyDescent="0.15">
      <c r="A1505" s="12"/>
      <c r="B1505" t="s">
        <v>8238</v>
      </c>
      <c r="C1505" t="s">
        <v>8238</v>
      </c>
      <c r="D1505" t="s">
        <v>6596</v>
      </c>
      <c r="E1505" t="s">
        <v>2182</v>
      </c>
      <c r="F1505"/>
      <c r="G1505"/>
      <c r="H1505"/>
      <c r="I1505"/>
      <c r="J1505"/>
      <c r="K1505"/>
      <c r="L1505" s="10">
        <v>4038700</v>
      </c>
      <c r="M1505" s="10">
        <v>737590</v>
      </c>
      <c r="N1505" s="12">
        <v>15</v>
      </c>
      <c r="O1505" s="12" t="s">
        <v>6992</v>
      </c>
      <c r="P1505" t="s">
        <v>2183</v>
      </c>
      <c r="R1505"/>
      <c r="S1505" t="s">
        <v>2184</v>
      </c>
      <c r="T1505" s="12" t="s">
        <v>2185</v>
      </c>
      <c r="U1505" s="12" t="s">
        <v>2186</v>
      </c>
      <c r="V1505" s="12" t="s">
        <v>2187</v>
      </c>
      <c r="W1505" s="12">
        <v>0</v>
      </c>
      <c r="X1505" s="12">
        <v>1</v>
      </c>
      <c r="Y1505" s="12">
        <v>0</v>
      </c>
      <c r="Z1505" s="12">
        <v>0</v>
      </c>
      <c r="AA1505" s="12">
        <v>0</v>
      </c>
      <c r="AB1505" s="12">
        <v>0</v>
      </c>
      <c r="AC1505" s="12">
        <v>0</v>
      </c>
      <c r="AD1505" s="12">
        <v>0</v>
      </c>
      <c r="AE1505" s="12">
        <v>0</v>
      </c>
      <c r="AF1505" s="12">
        <v>0</v>
      </c>
      <c r="AG1505" s="12">
        <v>0</v>
      </c>
      <c r="AH1505" s="12">
        <v>0</v>
      </c>
      <c r="AI1505" s="12">
        <v>0</v>
      </c>
      <c r="AJ1505" s="12">
        <v>0</v>
      </c>
      <c r="AK1505" s="12">
        <v>0</v>
      </c>
      <c r="AL1505" s="12">
        <v>0</v>
      </c>
      <c r="AM1505" s="12"/>
      <c r="AN1505" s="12">
        <v>0</v>
      </c>
      <c r="AO1505" s="12">
        <v>0</v>
      </c>
      <c r="AP1505" s="12">
        <v>0</v>
      </c>
      <c r="AQ1505" s="12">
        <v>0</v>
      </c>
      <c r="AR1505" s="12">
        <v>0</v>
      </c>
      <c r="AS1505" s="12">
        <v>0</v>
      </c>
      <c r="AT1505" s="12">
        <v>0</v>
      </c>
      <c r="AU1505" s="12">
        <v>0</v>
      </c>
      <c r="AV1505" s="12">
        <v>0</v>
      </c>
      <c r="AW1505" s="12">
        <v>0</v>
      </c>
      <c r="AX1505" s="12">
        <v>0</v>
      </c>
      <c r="AY1505" s="12">
        <v>0</v>
      </c>
      <c r="AZ1505"/>
      <c r="BA1505"/>
      <c r="BB1505" s="12">
        <v>0</v>
      </c>
      <c r="BC1505" s="12">
        <v>0</v>
      </c>
      <c r="BD1505" s="12">
        <v>0</v>
      </c>
      <c r="BE1505" s="12">
        <v>0</v>
      </c>
      <c r="BF1505" s="12">
        <v>0</v>
      </c>
      <c r="BI1505" s="12">
        <v>0</v>
      </c>
      <c r="BJ1505" s="12">
        <v>0</v>
      </c>
    </row>
    <row r="1506" spans="1:62" x14ac:dyDescent="0.15">
      <c r="A1506" s="12"/>
      <c r="B1506" t="s">
        <v>8239</v>
      </c>
      <c r="C1506" t="s">
        <v>8239</v>
      </c>
      <c r="D1506" t="s">
        <v>6596</v>
      </c>
      <c r="E1506" t="s">
        <v>2182</v>
      </c>
      <c r="F1506"/>
      <c r="G1506"/>
      <c r="H1506"/>
      <c r="I1506"/>
      <c r="J1506"/>
      <c r="K1506"/>
      <c r="L1506" s="10">
        <v>4039200</v>
      </c>
      <c r="M1506" s="10">
        <v>738100</v>
      </c>
      <c r="N1506" s="12">
        <v>15</v>
      </c>
      <c r="O1506" s="12" t="s">
        <v>6992</v>
      </c>
      <c r="P1506" t="s">
        <v>2183</v>
      </c>
      <c r="R1506"/>
      <c r="S1506" t="s">
        <v>2184</v>
      </c>
      <c r="T1506" s="12" t="s">
        <v>2185</v>
      </c>
      <c r="U1506" s="12" t="s">
        <v>2186</v>
      </c>
      <c r="V1506" s="12" t="s">
        <v>2187</v>
      </c>
      <c r="W1506" s="12">
        <v>0</v>
      </c>
      <c r="X1506" s="12">
        <v>1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2">
        <v>0</v>
      </c>
      <c r="AK1506" s="12">
        <v>0</v>
      </c>
      <c r="AL1506" s="12">
        <v>0</v>
      </c>
      <c r="AM1506" s="12"/>
      <c r="AN1506" s="12">
        <v>0</v>
      </c>
      <c r="AO1506" s="12">
        <v>0</v>
      </c>
      <c r="AP1506" s="12">
        <v>0</v>
      </c>
      <c r="AQ1506" s="12">
        <v>0</v>
      </c>
      <c r="AR1506" s="12">
        <v>0</v>
      </c>
      <c r="AS1506" s="12">
        <v>0</v>
      </c>
      <c r="AT1506" s="12">
        <v>0</v>
      </c>
      <c r="AU1506" s="12">
        <v>0</v>
      </c>
      <c r="AV1506" s="12">
        <v>0</v>
      </c>
      <c r="AW1506" s="12">
        <v>0</v>
      </c>
      <c r="AX1506" s="12">
        <v>0</v>
      </c>
      <c r="AY1506" s="12">
        <v>0</v>
      </c>
      <c r="AZ1506"/>
      <c r="BA1506"/>
      <c r="BB1506" s="12">
        <v>0</v>
      </c>
      <c r="BC1506" s="12">
        <v>0</v>
      </c>
      <c r="BD1506" s="12">
        <v>0</v>
      </c>
      <c r="BE1506" s="12">
        <v>0</v>
      </c>
      <c r="BF1506" s="12">
        <v>0</v>
      </c>
      <c r="BI1506" s="12">
        <v>0</v>
      </c>
      <c r="BJ1506" s="12">
        <v>0</v>
      </c>
    </row>
    <row r="1507" spans="1:62" x14ac:dyDescent="0.15">
      <c r="A1507" s="12"/>
      <c r="B1507" t="s">
        <v>7977</v>
      </c>
      <c r="C1507" t="s">
        <v>7977</v>
      </c>
      <c r="D1507" t="s">
        <v>6596</v>
      </c>
      <c r="E1507" t="s">
        <v>2182</v>
      </c>
      <c r="F1507"/>
      <c r="G1507"/>
      <c r="H1507"/>
      <c r="I1507"/>
      <c r="J1507"/>
      <c r="K1507"/>
      <c r="L1507" s="10">
        <v>4038470</v>
      </c>
      <c r="M1507" s="10">
        <v>737290</v>
      </c>
      <c r="N1507" s="12">
        <v>15</v>
      </c>
      <c r="O1507" s="12" t="s">
        <v>6992</v>
      </c>
      <c r="P1507" t="s">
        <v>2183</v>
      </c>
      <c r="R1507"/>
      <c r="S1507" t="s">
        <v>2184</v>
      </c>
      <c r="T1507" s="12" t="s">
        <v>2185</v>
      </c>
      <c r="U1507" s="12" t="s">
        <v>2186</v>
      </c>
      <c r="V1507" s="12" t="s">
        <v>2187</v>
      </c>
      <c r="W1507" s="12">
        <v>0</v>
      </c>
      <c r="X1507" s="12">
        <v>1</v>
      </c>
      <c r="Y1507" s="12">
        <v>0</v>
      </c>
      <c r="Z1507" s="12">
        <v>0</v>
      </c>
      <c r="AA1507" s="12">
        <v>0</v>
      </c>
      <c r="AB1507" s="12">
        <v>0</v>
      </c>
      <c r="AC1507" s="12">
        <v>0</v>
      </c>
      <c r="AD1507" s="12">
        <v>0</v>
      </c>
      <c r="AE1507" s="12">
        <v>0</v>
      </c>
      <c r="AF1507" s="12">
        <v>0</v>
      </c>
      <c r="AG1507" s="12">
        <v>0</v>
      </c>
      <c r="AH1507" s="12">
        <v>0</v>
      </c>
      <c r="AI1507" s="12">
        <v>0</v>
      </c>
      <c r="AJ1507" s="12">
        <v>0</v>
      </c>
      <c r="AK1507" s="12">
        <v>0</v>
      </c>
      <c r="AL1507" s="12">
        <v>0</v>
      </c>
      <c r="AM1507" s="12"/>
      <c r="AN1507" s="12">
        <v>0</v>
      </c>
      <c r="AO1507" s="12">
        <v>0</v>
      </c>
      <c r="AP1507" s="12">
        <v>0</v>
      </c>
      <c r="AQ1507" s="12">
        <v>0</v>
      </c>
      <c r="AR1507" s="12">
        <v>0</v>
      </c>
      <c r="AS1507" s="12">
        <v>0</v>
      </c>
      <c r="AT1507" s="12">
        <v>0</v>
      </c>
      <c r="AU1507" s="12">
        <v>0</v>
      </c>
      <c r="AV1507" s="12">
        <v>0</v>
      </c>
      <c r="AW1507" s="12">
        <v>0</v>
      </c>
      <c r="AX1507" s="12">
        <v>0</v>
      </c>
      <c r="AY1507" s="12">
        <v>0</v>
      </c>
      <c r="AZ1507"/>
      <c r="BA1507"/>
      <c r="BB1507" s="12">
        <v>0</v>
      </c>
      <c r="BC1507" s="12">
        <v>0</v>
      </c>
      <c r="BD1507" s="12">
        <v>0</v>
      </c>
      <c r="BE1507" s="12">
        <v>0</v>
      </c>
      <c r="BF1507" s="12">
        <v>0</v>
      </c>
      <c r="BI1507" s="12">
        <v>0</v>
      </c>
      <c r="BJ1507" s="12">
        <v>0</v>
      </c>
    </row>
    <row r="1508" spans="1:62" x14ac:dyDescent="0.15">
      <c r="A1508" s="12"/>
      <c r="B1508" t="s">
        <v>7978</v>
      </c>
      <c r="C1508" t="s">
        <v>7978</v>
      </c>
      <c r="D1508" t="s">
        <v>6596</v>
      </c>
      <c r="E1508" t="s">
        <v>2182</v>
      </c>
      <c r="F1508"/>
      <c r="G1508"/>
      <c r="H1508"/>
      <c r="I1508"/>
      <c r="J1508"/>
      <c r="K1508"/>
      <c r="L1508" s="10">
        <v>4019050</v>
      </c>
      <c r="M1508" s="10">
        <v>726200</v>
      </c>
      <c r="N1508" s="12">
        <v>15</v>
      </c>
      <c r="O1508" s="12" t="s">
        <v>6992</v>
      </c>
      <c r="P1508" t="s">
        <v>2183</v>
      </c>
      <c r="R1508"/>
      <c r="S1508" t="s">
        <v>2184</v>
      </c>
      <c r="T1508" s="12" t="s">
        <v>2185</v>
      </c>
      <c r="U1508" s="12" t="s">
        <v>2186</v>
      </c>
      <c r="V1508" s="12" t="s">
        <v>2187</v>
      </c>
      <c r="W1508" s="12">
        <v>0</v>
      </c>
      <c r="X1508" s="12">
        <v>1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2">
        <v>0</v>
      </c>
      <c r="AK1508" s="12">
        <v>0</v>
      </c>
      <c r="AL1508" s="12">
        <v>0</v>
      </c>
      <c r="AM1508" s="12"/>
      <c r="AN1508" s="12">
        <v>0</v>
      </c>
      <c r="AO1508" s="12">
        <v>0</v>
      </c>
      <c r="AP1508" s="12">
        <v>0</v>
      </c>
      <c r="AQ1508" s="12">
        <v>0</v>
      </c>
      <c r="AR1508" s="12">
        <v>0</v>
      </c>
      <c r="AS1508" s="12">
        <v>0</v>
      </c>
      <c r="AT1508" s="12">
        <v>0</v>
      </c>
      <c r="AU1508" s="12">
        <v>0</v>
      </c>
      <c r="AV1508" s="12">
        <v>0</v>
      </c>
      <c r="AW1508" s="12">
        <v>0</v>
      </c>
      <c r="AX1508" s="12">
        <v>0</v>
      </c>
      <c r="AY1508" s="12">
        <v>0</v>
      </c>
      <c r="AZ1508"/>
      <c r="BA1508"/>
      <c r="BB1508" s="12">
        <v>0</v>
      </c>
      <c r="BC1508" s="12">
        <v>0</v>
      </c>
      <c r="BD1508" s="12">
        <v>0</v>
      </c>
      <c r="BE1508" s="12">
        <v>0</v>
      </c>
      <c r="BF1508" s="12">
        <v>0</v>
      </c>
      <c r="BI1508" s="12">
        <v>0</v>
      </c>
      <c r="BJ1508" s="12">
        <v>0</v>
      </c>
    </row>
    <row r="1509" spans="1:62" x14ac:dyDescent="0.15">
      <c r="A1509" s="12"/>
      <c r="B1509" t="s">
        <v>7979</v>
      </c>
      <c r="C1509" t="s">
        <v>7979</v>
      </c>
      <c r="D1509" t="s">
        <v>6596</v>
      </c>
      <c r="E1509" t="s">
        <v>2182</v>
      </c>
      <c r="F1509"/>
      <c r="G1509"/>
      <c r="H1509"/>
      <c r="I1509"/>
      <c r="J1509"/>
      <c r="K1509"/>
      <c r="L1509" s="10">
        <v>4026650</v>
      </c>
      <c r="M1509" s="10">
        <v>706430</v>
      </c>
      <c r="N1509" s="12">
        <v>15</v>
      </c>
      <c r="O1509" s="12" t="s">
        <v>6992</v>
      </c>
      <c r="P1509" t="s">
        <v>2183</v>
      </c>
      <c r="R1509"/>
      <c r="S1509" t="s">
        <v>2184</v>
      </c>
      <c r="T1509" s="12" t="s">
        <v>2185</v>
      </c>
      <c r="U1509" s="12" t="s">
        <v>2186</v>
      </c>
      <c r="V1509" s="12" t="s">
        <v>2187</v>
      </c>
      <c r="W1509" s="12">
        <v>0</v>
      </c>
      <c r="X1509" s="12">
        <v>1</v>
      </c>
      <c r="Y1509" s="12">
        <v>0</v>
      </c>
      <c r="Z1509" s="12">
        <v>0</v>
      </c>
      <c r="AA1509" s="12">
        <v>0</v>
      </c>
      <c r="AB1509" s="12">
        <v>0</v>
      </c>
      <c r="AC1509" s="12">
        <v>0</v>
      </c>
      <c r="AD1509" s="12">
        <v>0</v>
      </c>
      <c r="AE1509" s="12">
        <v>0</v>
      </c>
      <c r="AF1509" s="12">
        <v>0</v>
      </c>
      <c r="AG1509" s="12">
        <v>0</v>
      </c>
      <c r="AH1509" s="12">
        <v>0</v>
      </c>
      <c r="AI1509" s="12">
        <v>0</v>
      </c>
      <c r="AJ1509" s="12">
        <v>0</v>
      </c>
      <c r="AK1509" s="12">
        <v>0</v>
      </c>
      <c r="AL1509" s="12">
        <v>0</v>
      </c>
      <c r="AM1509" s="12"/>
      <c r="AN1509" s="12">
        <v>0</v>
      </c>
      <c r="AO1509" s="12">
        <v>0</v>
      </c>
      <c r="AP1509" s="12">
        <v>0</v>
      </c>
      <c r="AQ1509" s="12">
        <v>0</v>
      </c>
      <c r="AR1509" s="12">
        <v>0</v>
      </c>
      <c r="AS1509" s="12">
        <v>0</v>
      </c>
      <c r="AT1509" s="12">
        <v>0</v>
      </c>
      <c r="AU1509" s="12">
        <v>0</v>
      </c>
      <c r="AV1509" s="12">
        <v>0</v>
      </c>
      <c r="AW1509" s="12">
        <v>0</v>
      </c>
      <c r="AX1509" s="12">
        <v>0</v>
      </c>
      <c r="AY1509" s="12">
        <v>0</v>
      </c>
      <c r="AZ1509"/>
      <c r="BA1509"/>
      <c r="BB1509" s="12">
        <v>0</v>
      </c>
      <c r="BC1509" s="12">
        <v>0</v>
      </c>
      <c r="BD1509" s="12">
        <v>0</v>
      </c>
      <c r="BE1509" s="12">
        <v>0</v>
      </c>
      <c r="BF1509" s="12">
        <v>0</v>
      </c>
      <c r="BI1509" s="12">
        <v>0</v>
      </c>
      <c r="BJ1509" s="12">
        <v>0</v>
      </c>
    </row>
    <row r="1510" spans="1:62" x14ac:dyDescent="0.15">
      <c r="A1510" s="12"/>
      <c r="B1510" t="s">
        <v>7980</v>
      </c>
      <c r="C1510" s="27" t="s">
        <v>7981</v>
      </c>
      <c r="D1510" t="s">
        <v>6596</v>
      </c>
      <c r="E1510" t="s">
        <v>2182</v>
      </c>
      <c r="F1510"/>
      <c r="G1510"/>
      <c r="H1510"/>
      <c r="I1510"/>
      <c r="J1510"/>
      <c r="K1510"/>
      <c r="L1510" s="10">
        <v>4035020</v>
      </c>
      <c r="M1510" s="10">
        <v>721150</v>
      </c>
      <c r="N1510" s="12">
        <v>15</v>
      </c>
      <c r="O1510" s="12" t="s">
        <v>6992</v>
      </c>
      <c r="P1510" t="s">
        <v>2183</v>
      </c>
      <c r="R1510"/>
      <c r="S1510" t="s">
        <v>2184</v>
      </c>
      <c r="T1510" s="12" t="s">
        <v>2185</v>
      </c>
      <c r="U1510" s="12" t="s">
        <v>2186</v>
      </c>
      <c r="V1510" s="12" t="s">
        <v>2187</v>
      </c>
      <c r="W1510" s="12">
        <v>0</v>
      </c>
      <c r="X1510" s="12">
        <v>1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2">
        <v>0</v>
      </c>
      <c r="AK1510" s="12">
        <v>0</v>
      </c>
      <c r="AL1510" s="12">
        <v>0</v>
      </c>
      <c r="AM1510" s="12"/>
      <c r="AN1510" s="12">
        <v>0</v>
      </c>
      <c r="AO1510" s="12">
        <v>0</v>
      </c>
      <c r="AP1510" s="12">
        <v>0</v>
      </c>
      <c r="AQ1510" s="12">
        <v>0</v>
      </c>
      <c r="AR1510" s="12">
        <v>0</v>
      </c>
      <c r="AS1510" s="12">
        <v>0</v>
      </c>
      <c r="AT1510" s="12">
        <v>0</v>
      </c>
      <c r="AU1510" s="12">
        <v>0</v>
      </c>
      <c r="AV1510" s="12">
        <v>0</v>
      </c>
      <c r="AW1510" s="12">
        <v>0</v>
      </c>
      <c r="AX1510" s="12">
        <v>0</v>
      </c>
      <c r="AY1510" s="12">
        <v>0</v>
      </c>
      <c r="AZ1510"/>
      <c r="BA1510"/>
      <c r="BB1510" s="12">
        <v>0</v>
      </c>
      <c r="BC1510" s="12">
        <v>0</v>
      </c>
      <c r="BD1510" s="12">
        <v>0</v>
      </c>
      <c r="BE1510" s="12">
        <v>0</v>
      </c>
      <c r="BF1510" s="12">
        <v>0</v>
      </c>
      <c r="BI1510" s="12">
        <v>0</v>
      </c>
      <c r="BJ1510" s="12">
        <v>0</v>
      </c>
    </row>
    <row r="1511" spans="1:62" x14ac:dyDescent="0.15">
      <c r="A1511" s="12"/>
      <c r="B1511" t="s">
        <v>7982</v>
      </c>
      <c r="C1511" s="27" t="s">
        <v>2183</v>
      </c>
      <c r="D1511" t="s">
        <v>6596</v>
      </c>
      <c r="E1511" t="s">
        <v>2182</v>
      </c>
      <c r="F1511"/>
      <c r="G1511"/>
      <c r="H1511"/>
      <c r="I1511"/>
      <c r="J1511"/>
      <c r="K1511"/>
      <c r="L1511" s="10">
        <v>4018920</v>
      </c>
      <c r="M1511" s="10">
        <v>706720</v>
      </c>
      <c r="N1511" s="12">
        <v>15</v>
      </c>
      <c r="O1511" s="12" t="s">
        <v>6992</v>
      </c>
      <c r="P1511" t="s">
        <v>2183</v>
      </c>
      <c r="R1511"/>
      <c r="S1511" t="s">
        <v>2184</v>
      </c>
      <c r="T1511" s="12" t="s">
        <v>2185</v>
      </c>
      <c r="U1511" s="12" t="s">
        <v>2186</v>
      </c>
      <c r="V1511" s="12" t="s">
        <v>2187</v>
      </c>
      <c r="W1511" s="12">
        <v>0</v>
      </c>
      <c r="X1511" s="12">
        <v>1</v>
      </c>
      <c r="Y1511" s="12">
        <v>0</v>
      </c>
      <c r="Z1511" s="12">
        <v>0</v>
      </c>
      <c r="AA1511" s="12">
        <v>0</v>
      </c>
      <c r="AB1511" s="12">
        <v>0</v>
      </c>
      <c r="AC1511" s="12">
        <v>0</v>
      </c>
      <c r="AD1511" s="12">
        <v>0</v>
      </c>
      <c r="AE1511" s="12">
        <v>0</v>
      </c>
      <c r="AF1511" s="12">
        <v>0</v>
      </c>
      <c r="AG1511" s="12">
        <v>0</v>
      </c>
      <c r="AH1511" s="12">
        <v>0</v>
      </c>
      <c r="AI1511" s="12">
        <v>0</v>
      </c>
      <c r="AJ1511" s="12">
        <v>0</v>
      </c>
      <c r="AK1511" s="12">
        <v>0</v>
      </c>
      <c r="AL1511" s="12">
        <v>0</v>
      </c>
      <c r="AM1511" s="12"/>
      <c r="AN1511" s="12">
        <v>0</v>
      </c>
      <c r="AO1511" s="12">
        <v>0</v>
      </c>
      <c r="AP1511" s="12">
        <v>0</v>
      </c>
      <c r="AQ1511" s="12">
        <v>0</v>
      </c>
      <c r="AR1511" s="12">
        <v>0</v>
      </c>
      <c r="AS1511" s="12">
        <v>0</v>
      </c>
      <c r="AT1511" s="12">
        <v>0</v>
      </c>
      <c r="AU1511" s="12">
        <v>0</v>
      </c>
      <c r="AV1511" s="12">
        <v>0</v>
      </c>
      <c r="AW1511" s="12">
        <v>0</v>
      </c>
      <c r="AX1511" s="12">
        <v>0</v>
      </c>
      <c r="AY1511" s="12">
        <v>0</v>
      </c>
      <c r="AZ1511"/>
      <c r="BA1511"/>
      <c r="BB1511" s="12">
        <v>0</v>
      </c>
      <c r="BC1511" s="12">
        <v>0</v>
      </c>
      <c r="BD1511" s="12">
        <v>0</v>
      </c>
      <c r="BE1511" s="12">
        <v>0</v>
      </c>
      <c r="BF1511" s="12">
        <v>0</v>
      </c>
      <c r="BI1511" s="12">
        <v>0</v>
      </c>
      <c r="BJ1511" s="12">
        <v>0</v>
      </c>
    </row>
    <row r="1512" spans="1:62" x14ac:dyDescent="0.15">
      <c r="A1512" s="12"/>
      <c r="B1512" t="s">
        <v>7983</v>
      </c>
      <c r="C1512" s="27" t="s">
        <v>7984</v>
      </c>
      <c r="D1512" t="s">
        <v>6596</v>
      </c>
      <c r="E1512" t="s">
        <v>2182</v>
      </c>
      <c r="F1512"/>
      <c r="G1512"/>
      <c r="H1512"/>
      <c r="I1512"/>
      <c r="J1512"/>
      <c r="K1512"/>
      <c r="L1512" s="10">
        <v>4031020</v>
      </c>
      <c r="M1512" s="10">
        <v>713550</v>
      </c>
      <c r="N1512" s="12">
        <v>15</v>
      </c>
      <c r="O1512" s="12" t="s">
        <v>6992</v>
      </c>
      <c r="P1512" t="s">
        <v>2183</v>
      </c>
      <c r="R1512"/>
      <c r="S1512" t="s">
        <v>2184</v>
      </c>
      <c r="T1512" s="12" t="s">
        <v>2185</v>
      </c>
      <c r="U1512" s="12" t="s">
        <v>2186</v>
      </c>
      <c r="V1512" s="12" t="s">
        <v>2187</v>
      </c>
      <c r="W1512" s="12">
        <v>0</v>
      </c>
      <c r="X1512" s="12">
        <v>1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2">
        <v>0</v>
      </c>
      <c r="AK1512" s="12">
        <v>0</v>
      </c>
      <c r="AL1512" s="12">
        <v>0</v>
      </c>
      <c r="AM1512" s="12"/>
      <c r="AN1512" s="12">
        <v>0</v>
      </c>
      <c r="AO1512" s="12">
        <v>0</v>
      </c>
      <c r="AP1512" s="12">
        <v>0</v>
      </c>
      <c r="AQ1512" s="12">
        <v>0</v>
      </c>
      <c r="AR1512" s="12">
        <v>0</v>
      </c>
      <c r="AS1512" s="12">
        <v>0</v>
      </c>
      <c r="AT1512" s="12">
        <v>0</v>
      </c>
      <c r="AU1512" s="12">
        <v>0</v>
      </c>
      <c r="AV1512" s="12">
        <v>0</v>
      </c>
      <c r="AW1512" s="12">
        <v>0</v>
      </c>
      <c r="AX1512" s="12">
        <v>0</v>
      </c>
      <c r="AY1512" s="12">
        <v>0</v>
      </c>
      <c r="AZ1512"/>
      <c r="BA1512"/>
      <c r="BB1512" s="12">
        <v>0</v>
      </c>
      <c r="BC1512" s="12">
        <v>0</v>
      </c>
      <c r="BD1512" s="12">
        <v>0</v>
      </c>
      <c r="BE1512" s="12">
        <v>0</v>
      </c>
      <c r="BF1512" s="12">
        <v>0</v>
      </c>
      <c r="BI1512" s="12">
        <v>0</v>
      </c>
      <c r="BJ1512" s="12">
        <v>0</v>
      </c>
    </row>
    <row r="1513" spans="1:62" x14ac:dyDescent="0.15">
      <c r="A1513" s="12"/>
      <c r="B1513" t="s">
        <v>7985</v>
      </c>
      <c r="C1513" s="27" t="s">
        <v>7986</v>
      </c>
      <c r="D1513" t="s">
        <v>6596</v>
      </c>
      <c r="E1513" t="s">
        <v>2182</v>
      </c>
      <c r="F1513"/>
      <c r="G1513"/>
      <c r="H1513"/>
      <c r="I1513"/>
      <c r="J1513"/>
      <c r="K1513"/>
      <c r="L1513" s="10">
        <v>4028600</v>
      </c>
      <c r="M1513" s="10">
        <v>760240</v>
      </c>
      <c r="N1513" s="12">
        <v>15</v>
      </c>
      <c r="O1513" s="12" t="s">
        <v>6992</v>
      </c>
      <c r="P1513" t="s">
        <v>2183</v>
      </c>
      <c r="R1513"/>
      <c r="S1513" t="s">
        <v>2184</v>
      </c>
      <c r="T1513" s="12" t="s">
        <v>2185</v>
      </c>
      <c r="U1513" s="12" t="s">
        <v>2186</v>
      </c>
      <c r="V1513" s="12" t="s">
        <v>2187</v>
      </c>
      <c r="W1513" s="12">
        <v>0</v>
      </c>
      <c r="X1513" s="12">
        <v>1</v>
      </c>
      <c r="Y1513" s="12">
        <v>0</v>
      </c>
      <c r="Z1513" s="12">
        <v>0</v>
      </c>
      <c r="AA1513" s="12">
        <v>0</v>
      </c>
      <c r="AB1513" s="12">
        <v>0</v>
      </c>
      <c r="AC1513" s="12">
        <v>0</v>
      </c>
      <c r="AD1513" s="12">
        <v>0</v>
      </c>
      <c r="AE1513" s="12">
        <v>0</v>
      </c>
      <c r="AF1513" s="12">
        <v>0</v>
      </c>
      <c r="AG1513" s="12">
        <v>0</v>
      </c>
      <c r="AH1513" s="12">
        <v>0</v>
      </c>
      <c r="AI1513" s="12">
        <v>0</v>
      </c>
      <c r="AJ1513" s="12">
        <v>0</v>
      </c>
      <c r="AK1513" s="12">
        <v>0</v>
      </c>
      <c r="AL1513" s="12">
        <v>0</v>
      </c>
      <c r="AM1513" s="12"/>
      <c r="AN1513" s="12">
        <v>0</v>
      </c>
      <c r="AO1513" s="12">
        <v>0</v>
      </c>
      <c r="AP1513" s="12">
        <v>0</v>
      </c>
      <c r="AQ1513" s="12">
        <v>0</v>
      </c>
      <c r="AR1513" s="12">
        <v>0</v>
      </c>
      <c r="AS1513" s="12">
        <v>0</v>
      </c>
      <c r="AT1513" s="12">
        <v>0</v>
      </c>
      <c r="AU1513" s="12">
        <v>0</v>
      </c>
      <c r="AV1513" s="12">
        <v>0</v>
      </c>
      <c r="AW1513" s="12">
        <v>0</v>
      </c>
      <c r="AX1513" s="12">
        <v>0</v>
      </c>
      <c r="AY1513" s="12">
        <v>0</v>
      </c>
      <c r="AZ1513"/>
      <c r="BA1513"/>
      <c r="BB1513" s="12">
        <v>0</v>
      </c>
      <c r="BC1513" s="12">
        <v>0</v>
      </c>
      <c r="BD1513" s="12">
        <v>0</v>
      </c>
      <c r="BE1513" s="12">
        <v>0</v>
      </c>
      <c r="BF1513" s="12">
        <v>0</v>
      </c>
      <c r="BI1513" s="12">
        <v>0</v>
      </c>
      <c r="BJ1513" s="12">
        <v>0</v>
      </c>
    </row>
    <row r="1514" spans="1:62" x14ac:dyDescent="0.15">
      <c r="A1514" s="12"/>
      <c r="B1514" t="s">
        <v>7987</v>
      </c>
      <c r="C1514" s="27" t="s">
        <v>7988</v>
      </c>
      <c r="D1514" t="s">
        <v>6596</v>
      </c>
      <c r="E1514" t="s">
        <v>2182</v>
      </c>
      <c r="F1514"/>
      <c r="G1514"/>
      <c r="H1514"/>
      <c r="I1514"/>
      <c r="J1514"/>
      <c r="K1514"/>
      <c r="L1514" s="10">
        <v>4029040</v>
      </c>
      <c r="M1514" s="10">
        <v>758900</v>
      </c>
      <c r="N1514" s="12">
        <v>15</v>
      </c>
      <c r="O1514" s="12" t="s">
        <v>6992</v>
      </c>
      <c r="P1514" t="s">
        <v>2183</v>
      </c>
      <c r="R1514"/>
      <c r="S1514" t="s">
        <v>2184</v>
      </c>
      <c r="T1514" s="12" t="s">
        <v>2185</v>
      </c>
      <c r="U1514" s="12" t="s">
        <v>2186</v>
      </c>
      <c r="V1514" s="12" t="s">
        <v>2187</v>
      </c>
      <c r="W1514" s="12">
        <v>0</v>
      </c>
      <c r="X1514" s="12">
        <v>1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2">
        <v>0</v>
      </c>
      <c r="AK1514" s="12">
        <v>0</v>
      </c>
      <c r="AL1514" s="12">
        <v>0</v>
      </c>
      <c r="AM1514" s="12"/>
      <c r="AN1514" s="12">
        <v>0</v>
      </c>
      <c r="AO1514" s="12">
        <v>0</v>
      </c>
      <c r="AP1514" s="12">
        <v>0</v>
      </c>
      <c r="AQ1514" s="12">
        <v>0</v>
      </c>
      <c r="AR1514" s="12">
        <v>0</v>
      </c>
      <c r="AS1514" s="12">
        <v>0</v>
      </c>
      <c r="AT1514" s="12">
        <v>0</v>
      </c>
      <c r="AU1514" s="12">
        <v>0</v>
      </c>
      <c r="AV1514" s="12">
        <v>0</v>
      </c>
      <c r="AW1514" s="12">
        <v>0</v>
      </c>
      <c r="AX1514" s="12">
        <v>0</v>
      </c>
      <c r="AY1514" s="12">
        <v>0</v>
      </c>
      <c r="AZ1514"/>
      <c r="BA1514"/>
      <c r="BB1514" s="12">
        <v>0</v>
      </c>
      <c r="BC1514" s="12">
        <v>0</v>
      </c>
      <c r="BD1514" s="12">
        <v>0</v>
      </c>
      <c r="BE1514" s="12">
        <v>0</v>
      </c>
      <c r="BF1514" s="12">
        <v>0</v>
      </c>
      <c r="BI1514" s="12">
        <v>0</v>
      </c>
      <c r="BJ1514" s="12">
        <v>0</v>
      </c>
    </row>
    <row r="1515" spans="1:62" x14ac:dyDescent="0.15">
      <c r="A1515" s="12"/>
      <c r="B1515" t="s">
        <v>7989</v>
      </c>
      <c r="C1515" t="s">
        <v>7989</v>
      </c>
      <c r="D1515" t="s">
        <v>6596</v>
      </c>
      <c r="E1515" t="s">
        <v>2182</v>
      </c>
      <c r="F1515"/>
      <c r="G1515"/>
      <c r="H1515"/>
      <c r="I1515"/>
      <c r="J1515"/>
      <c r="K1515"/>
      <c r="L1515" s="10">
        <v>3992200</v>
      </c>
      <c r="M1515" s="10">
        <v>697400</v>
      </c>
      <c r="N1515" s="12">
        <v>15</v>
      </c>
      <c r="O1515" s="12" t="s">
        <v>6992</v>
      </c>
      <c r="P1515" t="s">
        <v>2183</v>
      </c>
      <c r="R1515"/>
      <c r="S1515" t="s">
        <v>2184</v>
      </c>
      <c r="T1515" s="12" t="s">
        <v>2185</v>
      </c>
      <c r="U1515" s="12" t="s">
        <v>2186</v>
      </c>
      <c r="V1515" s="12" t="s">
        <v>2187</v>
      </c>
      <c r="W1515" s="12">
        <v>0</v>
      </c>
      <c r="X1515" s="12">
        <v>1</v>
      </c>
      <c r="Y1515" s="12">
        <v>0</v>
      </c>
      <c r="Z1515" s="12">
        <v>0</v>
      </c>
      <c r="AA1515" s="12">
        <v>0</v>
      </c>
      <c r="AB1515" s="12">
        <v>0</v>
      </c>
      <c r="AC1515" s="12">
        <v>0</v>
      </c>
      <c r="AD1515" s="12">
        <v>0</v>
      </c>
      <c r="AE1515" s="12">
        <v>0</v>
      </c>
      <c r="AF1515" s="12">
        <v>0</v>
      </c>
      <c r="AG1515" s="12">
        <v>0</v>
      </c>
      <c r="AH1515" s="12">
        <v>0</v>
      </c>
      <c r="AI1515" s="12">
        <v>0</v>
      </c>
      <c r="AJ1515" s="12">
        <v>0</v>
      </c>
      <c r="AK1515" s="12">
        <v>0</v>
      </c>
      <c r="AL1515" s="12">
        <v>0</v>
      </c>
      <c r="AM1515" s="12"/>
      <c r="AN1515" s="12">
        <v>0</v>
      </c>
      <c r="AO1515" s="12">
        <v>0</v>
      </c>
      <c r="AP1515" s="12">
        <v>0</v>
      </c>
      <c r="AQ1515" s="12">
        <v>0</v>
      </c>
      <c r="AR1515" s="12">
        <v>0</v>
      </c>
      <c r="AS1515" s="12">
        <v>0</v>
      </c>
      <c r="AT1515" s="12">
        <v>0</v>
      </c>
      <c r="AU1515" s="12">
        <v>0</v>
      </c>
      <c r="AV1515" s="12">
        <v>0</v>
      </c>
      <c r="AW1515" s="12">
        <v>0</v>
      </c>
      <c r="AX1515" s="12">
        <v>0</v>
      </c>
      <c r="AY1515" s="12">
        <v>0</v>
      </c>
      <c r="AZ1515"/>
      <c r="BA1515"/>
      <c r="BB1515" s="12">
        <v>0</v>
      </c>
      <c r="BC1515" s="12">
        <v>0</v>
      </c>
      <c r="BD1515" s="12">
        <v>0</v>
      </c>
      <c r="BE1515" s="12">
        <v>0</v>
      </c>
      <c r="BF1515" s="12">
        <v>0</v>
      </c>
      <c r="BI1515" s="12">
        <v>0</v>
      </c>
      <c r="BJ1515" s="12">
        <v>0</v>
      </c>
    </row>
    <row r="1516" spans="1:62" x14ac:dyDescent="0.15">
      <c r="A1516" s="12"/>
      <c r="B1516" t="s">
        <v>7990</v>
      </c>
      <c r="C1516" t="s">
        <v>7990</v>
      </c>
      <c r="D1516" t="s">
        <v>6596</v>
      </c>
      <c r="E1516" t="s">
        <v>2182</v>
      </c>
      <c r="F1516"/>
      <c r="G1516"/>
      <c r="H1516"/>
      <c r="I1516"/>
      <c r="J1516"/>
      <c r="K1516"/>
      <c r="L1516" s="10">
        <v>3988420</v>
      </c>
      <c r="M1516" s="10">
        <v>696950</v>
      </c>
      <c r="N1516" s="12">
        <v>15</v>
      </c>
      <c r="O1516" s="12" t="s">
        <v>6992</v>
      </c>
      <c r="P1516" t="s">
        <v>2183</v>
      </c>
      <c r="R1516"/>
      <c r="S1516" t="s">
        <v>2184</v>
      </c>
      <c r="T1516" s="12" t="s">
        <v>2185</v>
      </c>
      <c r="U1516" s="12" t="s">
        <v>2186</v>
      </c>
      <c r="V1516" s="12" t="s">
        <v>2187</v>
      </c>
      <c r="W1516" s="12">
        <v>0</v>
      </c>
      <c r="X1516" s="12">
        <v>1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2">
        <v>0</v>
      </c>
      <c r="AK1516" s="12">
        <v>0</v>
      </c>
      <c r="AL1516" s="12">
        <v>0</v>
      </c>
      <c r="AM1516" s="12"/>
      <c r="AN1516" s="12">
        <v>0</v>
      </c>
      <c r="AO1516" s="12">
        <v>0</v>
      </c>
      <c r="AP1516" s="12">
        <v>0</v>
      </c>
      <c r="AQ1516" s="12">
        <v>0</v>
      </c>
      <c r="AR1516" s="12">
        <v>0</v>
      </c>
      <c r="AS1516" s="12">
        <v>0</v>
      </c>
      <c r="AT1516" s="12">
        <v>0</v>
      </c>
      <c r="AU1516" s="12">
        <v>0</v>
      </c>
      <c r="AV1516" s="12">
        <v>0</v>
      </c>
      <c r="AW1516" s="12">
        <v>0</v>
      </c>
      <c r="AX1516" s="12">
        <v>0</v>
      </c>
      <c r="AY1516" s="12">
        <v>0</v>
      </c>
      <c r="AZ1516"/>
      <c r="BA1516"/>
      <c r="BB1516" s="12">
        <v>0</v>
      </c>
      <c r="BC1516" s="12">
        <v>0</v>
      </c>
      <c r="BD1516" s="12">
        <v>0</v>
      </c>
      <c r="BE1516" s="12">
        <v>0</v>
      </c>
      <c r="BF1516" s="12">
        <v>0</v>
      </c>
      <c r="BI1516" s="12">
        <v>0</v>
      </c>
      <c r="BJ1516" s="12">
        <v>0</v>
      </c>
    </row>
    <row r="1517" spans="1:62" x14ac:dyDescent="0.15">
      <c r="A1517" s="12"/>
      <c r="B1517" t="s">
        <v>7991</v>
      </c>
      <c r="C1517" s="27" t="s">
        <v>7992</v>
      </c>
      <c r="D1517" t="s">
        <v>6596</v>
      </c>
      <c r="E1517" t="s">
        <v>2182</v>
      </c>
      <c r="F1517"/>
      <c r="G1517"/>
      <c r="H1517"/>
      <c r="I1517"/>
      <c r="J1517"/>
      <c r="K1517"/>
      <c r="L1517" s="10">
        <v>3759300</v>
      </c>
      <c r="M1517" s="10">
        <v>613200</v>
      </c>
      <c r="N1517" s="12">
        <v>15</v>
      </c>
      <c r="O1517" s="12" t="s">
        <v>6992</v>
      </c>
      <c r="P1517" t="s">
        <v>2183</v>
      </c>
      <c r="R1517"/>
      <c r="S1517" t="s">
        <v>2184</v>
      </c>
      <c r="T1517" s="12" t="s">
        <v>2185</v>
      </c>
      <c r="U1517" s="12" t="s">
        <v>2186</v>
      </c>
      <c r="V1517" s="12" t="s">
        <v>2187</v>
      </c>
      <c r="W1517" s="12">
        <v>0</v>
      </c>
      <c r="X1517" s="12">
        <v>1</v>
      </c>
      <c r="Y1517" s="12">
        <v>0</v>
      </c>
      <c r="Z1517" s="12">
        <v>0</v>
      </c>
      <c r="AA1517" s="12">
        <v>0</v>
      </c>
      <c r="AB1517" s="12">
        <v>0</v>
      </c>
      <c r="AC1517" s="12">
        <v>0</v>
      </c>
      <c r="AD1517" s="12">
        <v>0</v>
      </c>
      <c r="AE1517" s="12">
        <v>0</v>
      </c>
      <c r="AF1517" s="12">
        <v>0</v>
      </c>
      <c r="AG1517" s="12">
        <v>0</v>
      </c>
      <c r="AH1517" s="12">
        <v>0</v>
      </c>
      <c r="AI1517" s="12">
        <v>0</v>
      </c>
      <c r="AJ1517" s="12">
        <v>0</v>
      </c>
      <c r="AK1517" s="12">
        <v>0</v>
      </c>
      <c r="AL1517" s="12">
        <v>0</v>
      </c>
      <c r="AM1517" s="12"/>
      <c r="AN1517" s="12">
        <v>0</v>
      </c>
      <c r="AO1517" s="12">
        <v>0</v>
      </c>
      <c r="AP1517" s="12">
        <v>0</v>
      </c>
      <c r="AQ1517" s="12">
        <v>0</v>
      </c>
      <c r="AR1517" s="12">
        <v>0</v>
      </c>
      <c r="AS1517" s="12">
        <v>0</v>
      </c>
      <c r="AT1517" s="12">
        <v>0</v>
      </c>
      <c r="AU1517" s="12">
        <v>0</v>
      </c>
      <c r="AV1517" s="12">
        <v>0</v>
      </c>
      <c r="AW1517" s="12">
        <v>0</v>
      </c>
      <c r="AX1517" s="12">
        <v>0</v>
      </c>
      <c r="AY1517" s="12">
        <v>0</v>
      </c>
      <c r="AZ1517"/>
      <c r="BA1517"/>
      <c r="BB1517" s="12">
        <v>0</v>
      </c>
      <c r="BC1517" s="12">
        <v>0</v>
      </c>
      <c r="BD1517" s="12">
        <v>0</v>
      </c>
      <c r="BE1517" s="12">
        <v>0</v>
      </c>
      <c r="BF1517" s="12">
        <v>0</v>
      </c>
      <c r="BI1517" s="12">
        <v>0</v>
      </c>
      <c r="BJ1517" s="12">
        <v>0</v>
      </c>
    </row>
    <row r="1518" spans="1:62" x14ac:dyDescent="0.15">
      <c r="A1518" s="12"/>
      <c r="B1518" t="s">
        <v>7993</v>
      </c>
      <c r="C1518" s="27" t="s">
        <v>7994</v>
      </c>
      <c r="D1518" t="s">
        <v>6596</v>
      </c>
      <c r="E1518" t="s">
        <v>2182</v>
      </c>
      <c r="F1518"/>
      <c r="G1518"/>
      <c r="H1518"/>
      <c r="I1518"/>
      <c r="J1518"/>
      <c r="K1518"/>
      <c r="L1518" s="10">
        <v>3760200</v>
      </c>
      <c r="M1518" s="10">
        <v>613410</v>
      </c>
      <c r="N1518" s="12">
        <v>15</v>
      </c>
      <c r="O1518" s="12" t="s">
        <v>6992</v>
      </c>
      <c r="P1518" t="s">
        <v>2183</v>
      </c>
      <c r="R1518"/>
      <c r="S1518" t="s">
        <v>2184</v>
      </c>
      <c r="T1518" s="12" t="s">
        <v>2185</v>
      </c>
      <c r="U1518" s="12" t="s">
        <v>2186</v>
      </c>
      <c r="V1518" s="12" t="s">
        <v>2187</v>
      </c>
      <c r="W1518" s="12">
        <v>0</v>
      </c>
      <c r="X1518" s="12">
        <v>1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2">
        <v>0</v>
      </c>
      <c r="AK1518" s="12">
        <v>0</v>
      </c>
      <c r="AL1518" s="12">
        <v>0</v>
      </c>
      <c r="AM1518" s="12"/>
      <c r="AN1518" s="12">
        <v>0</v>
      </c>
      <c r="AO1518" s="12">
        <v>0</v>
      </c>
      <c r="AP1518" s="12">
        <v>0</v>
      </c>
      <c r="AQ1518" s="12">
        <v>0</v>
      </c>
      <c r="AR1518" s="12">
        <v>0</v>
      </c>
      <c r="AS1518" s="12">
        <v>0</v>
      </c>
      <c r="AT1518" s="12">
        <v>0</v>
      </c>
      <c r="AU1518" s="12">
        <v>0</v>
      </c>
      <c r="AV1518" s="12">
        <v>0</v>
      </c>
      <c r="AW1518" s="12">
        <v>0</v>
      </c>
      <c r="AX1518" s="12">
        <v>0</v>
      </c>
      <c r="AY1518" s="12">
        <v>0</v>
      </c>
      <c r="AZ1518"/>
      <c r="BA1518"/>
      <c r="BB1518" s="12">
        <v>0</v>
      </c>
      <c r="BC1518" s="12">
        <v>0</v>
      </c>
      <c r="BD1518" s="12">
        <v>0</v>
      </c>
      <c r="BE1518" s="12">
        <v>0</v>
      </c>
      <c r="BF1518" s="12">
        <v>0</v>
      </c>
      <c r="BI1518" s="12">
        <v>0</v>
      </c>
      <c r="BJ1518" s="12">
        <v>0</v>
      </c>
    </row>
    <row r="1519" spans="1:62" x14ac:dyDescent="0.15">
      <c r="A1519" s="12"/>
      <c r="B1519" t="s">
        <v>7995</v>
      </c>
      <c r="C1519" s="27" t="s">
        <v>7996</v>
      </c>
      <c r="D1519" t="s">
        <v>6596</v>
      </c>
      <c r="E1519" t="s">
        <v>2182</v>
      </c>
      <c r="F1519"/>
      <c r="G1519"/>
      <c r="H1519"/>
      <c r="I1519"/>
      <c r="J1519"/>
      <c r="K1519"/>
      <c r="L1519" s="10">
        <v>3991280</v>
      </c>
      <c r="M1519" s="10">
        <v>710360</v>
      </c>
      <c r="N1519" s="12">
        <v>15</v>
      </c>
      <c r="O1519" s="12" t="s">
        <v>6992</v>
      </c>
      <c r="P1519" t="s">
        <v>2183</v>
      </c>
      <c r="R1519"/>
      <c r="S1519" t="s">
        <v>2184</v>
      </c>
      <c r="T1519" s="12" t="s">
        <v>2185</v>
      </c>
      <c r="U1519" s="12" t="s">
        <v>2186</v>
      </c>
      <c r="V1519" s="12" t="s">
        <v>2187</v>
      </c>
      <c r="W1519" s="12">
        <v>0</v>
      </c>
      <c r="X1519" s="12">
        <v>1</v>
      </c>
      <c r="Y1519" s="12">
        <v>0</v>
      </c>
      <c r="Z1519" s="12">
        <v>0</v>
      </c>
      <c r="AA1519" s="12">
        <v>0</v>
      </c>
      <c r="AB1519" s="12">
        <v>0</v>
      </c>
      <c r="AC1519" s="12">
        <v>0</v>
      </c>
      <c r="AD1519" s="12">
        <v>0</v>
      </c>
      <c r="AE1519" s="12">
        <v>0</v>
      </c>
      <c r="AF1519" s="12">
        <v>0</v>
      </c>
      <c r="AG1519" s="12">
        <v>0</v>
      </c>
      <c r="AH1519" s="12">
        <v>0</v>
      </c>
      <c r="AI1519" s="12">
        <v>0</v>
      </c>
      <c r="AJ1519" s="12">
        <v>0</v>
      </c>
      <c r="AK1519" s="12">
        <v>0</v>
      </c>
      <c r="AL1519" s="12">
        <v>0</v>
      </c>
      <c r="AM1519" s="12"/>
      <c r="AN1519" s="12">
        <v>0</v>
      </c>
      <c r="AO1519" s="12">
        <v>0</v>
      </c>
      <c r="AP1519" s="12">
        <v>0</v>
      </c>
      <c r="AQ1519" s="12">
        <v>0</v>
      </c>
      <c r="AR1519" s="12">
        <v>0</v>
      </c>
      <c r="AS1519" s="12">
        <v>0</v>
      </c>
      <c r="AT1519" s="12">
        <v>0</v>
      </c>
      <c r="AU1519" s="12">
        <v>0</v>
      </c>
      <c r="AV1519" s="12">
        <v>0</v>
      </c>
      <c r="AW1519" s="12">
        <v>0</v>
      </c>
      <c r="AX1519" s="12">
        <v>0</v>
      </c>
      <c r="AY1519" s="12">
        <v>0</v>
      </c>
      <c r="AZ1519"/>
      <c r="BA1519"/>
      <c r="BB1519" s="12">
        <v>0</v>
      </c>
      <c r="BC1519" s="12">
        <v>0</v>
      </c>
      <c r="BD1519" s="12">
        <v>0</v>
      </c>
      <c r="BE1519" s="12">
        <v>0</v>
      </c>
      <c r="BF1519" s="12">
        <v>0</v>
      </c>
      <c r="BI1519" s="12">
        <v>0</v>
      </c>
      <c r="BJ1519" s="12">
        <v>0</v>
      </c>
    </row>
    <row r="1520" spans="1:62" x14ac:dyDescent="0.15">
      <c r="A1520" s="12"/>
      <c r="B1520" t="s">
        <v>7997</v>
      </c>
      <c r="C1520" t="s">
        <v>7997</v>
      </c>
      <c r="D1520" t="s">
        <v>6596</v>
      </c>
      <c r="E1520" t="s">
        <v>2182</v>
      </c>
      <c r="F1520"/>
      <c r="G1520"/>
      <c r="H1520"/>
      <c r="I1520"/>
      <c r="J1520"/>
      <c r="K1520"/>
      <c r="L1520" s="10">
        <v>4039720</v>
      </c>
      <c r="M1520" s="10">
        <v>753250</v>
      </c>
      <c r="N1520" s="12">
        <v>15</v>
      </c>
      <c r="O1520" s="12" t="s">
        <v>6992</v>
      </c>
      <c r="P1520" t="s">
        <v>2183</v>
      </c>
      <c r="R1520"/>
      <c r="S1520" t="s">
        <v>2184</v>
      </c>
      <c r="T1520" s="12" t="s">
        <v>2185</v>
      </c>
      <c r="U1520" s="12" t="s">
        <v>2186</v>
      </c>
      <c r="V1520" s="12" t="s">
        <v>2187</v>
      </c>
      <c r="W1520" s="12">
        <v>0</v>
      </c>
      <c r="X1520" s="12">
        <v>1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2">
        <v>0</v>
      </c>
      <c r="AK1520" s="12">
        <v>0</v>
      </c>
      <c r="AL1520" s="12">
        <v>0</v>
      </c>
      <c r="AM1520" s="12"/>
      <c r="AN1520" s="12">
        <v>0</v>
      </c>
      <c r="AO1520" s="12">
        <v>0</v>
      </c>
      <c r="AP1520" s="12">
        <v>0</v>
      </c>
      <c r="AQ1520" s="12">
        <v>0</v>
      </c>
      <c r="AR1520" s="12">
        <v>0</v>
      </c>
      <c r="AS1520" s="12">
        <v>0</v>
      </c>
      <c r="AT1520" s="12">
        <v>0</v>
      </c>
      <c r="AU1520" s="12">
        <v>0</v>
      </c>
      <c r="AV1520" s="12">
        <v>0</v>
      </c>
      <c r="AW1520" s="12">
        <v>0</v>
      </c>
      <c r="AX1520" s="12">
        <v>0</v>
      </c>
      <c r="AY1520" s="12">
        <v>0</v>
      </c>
      <c r="AZ1520"/>
      <c r="BA1520"/>
      <c r="BB1520" s="12">
        <v>0</v>
      </c>
      <c r="BC1520" s="12">
        <v>0</v>
      </c>
      <c r="BD1520" s="12">
        <v>0</v>
      </c>
      <c r="BE1520" s="12">
        <v>0</v>
      </c>
      <c r="BF1520" s="12">
        <v>0</v>
      </c>
      <c r="BI1520" s="12">
        <v>0</v>
      </c>
      <c r="BJ1520" s="12">
        <v>0</v>
      </c>
    </row>
    <row r="1521" spans="1:62" ht="42" x14ac:dyDescent="0.15">
      <c r="A1521" s="12"/>
      <c r="B1521" s="25" t="s">
        <v>7998</v>
      </c>
      <c r="C1521" s="28" t="s">
        <v>7999</v>
      </c>
      <c r="D1521" t="s">
        <v>7267</v>
      </c>
      <c r="E1521" t="s">
        <v>2182</v>
      </c>
      <c r="F1521"/>
      <c r="G1521"/>
      <c r="H1521"/>
      <c r="I1521"/>
      <c r="J1521"/>
      <c r="K1521"/>
      <c r="L1521" s="21">
        <v>4025808.0649999999</v>
      </c>
      <c r="M1521" s="21">
        <v>767485.03200000001</v>
      </c>
      <c r="N1521" s="12">
        <v>15</v>
      </c>
      <c r="O1521" s="12" t="s">
        <v>6992</v>
      </c>
      <c r="P1521" t="s">
        <v>2183</v>
      </c>
      <c r="Q1521"/>
      <c r="R1521"/>
      <c r="S1521" t="s">
        <v>2184</v>
      </c>
      <c r="T1521" s="12" t="s">
        <v>2185</v>
      </c>
      <c r="U1521" s="12" t="s">
        <v>2186</v>
      </c>
      <c r="V1521" s="12" t="s">
        <v>2187</v>
      </c>
      <c r="W1521" s="12">
        <v>0</v>
      </c>
      <c r="X1521" s="12">
        <v>1</v>
      </c>
      <c r="Y1521" s="12">
        <v>0</v>
      </c>
      <c r="Z1521" s="12">
        <v>0</v>
      </c>
      <c r="AA1521" s="12">
        <v>0</v>
      </c>
      <c r="AB1521" s="12">
        <v>0</v>
      </c>
      <c r="AC1521" s="12">
        <v>0</v>
      </c>
      <c r="AD1521" s="12">
        <v>0</v>
      </c>
      <c r="AE1521" s="12">
        <v>0</v>
      </c>
      <c r="AF1521" s="12">
        <v>0</v>
      </c>
      <c r="AG1521" s="12">
        <v>0</v>
      </c>
      <c r="AH1521" s="12">
        <v>0</v>
      </c>
      <c r="AI1521" s="12">
        <v>0</v>
      </c>
      <c r="AJ1521" s="12">
        <v>0</v>
      </c>
      <c r="AK1521" s="12">
        <v>0</v>
      </c>
      <c r="AL1521" s="12">
        <v>0</v>
      </c>
      <c r="AM1521" s="12"/>
      <c r="AN1521" s="12">
        <v>0</v>
      </c>
      <c r="AO1521" s="12">
        <v>0</v>
      </c>
      <c r="AP1521" s="12">
        <v>0</v>
      </c>
      <c r="AQ1521" s="12">
        <v>0</v>
      </c>
      <c r="AR1521" s="12">
        <v>0</v>
      </c>
      <c r="AS1521" s="12">
        <v>0</v>
      </c>
      <c r="AT1521" s="12">
        <v>0</v>
      </c>
      <c r="AU1521" s="12">
        <v>0</v>
      </c>
      <c r="AV1521" s="12">
        <v>0</v>
      </c>
      <c r="AW1521" s="12">
        <v>0</v>
      </c>
      <c r="AX1521" s="12">
        <v>0</v>
      </c>
      <c r="AY1521" s="12">
        <v>0</v>
      </c>
      <c r="AZ1521"/>
      <c r="BA1521"/>
      <c r="BB1521" s="12">
        <v>0</v>
      </c>
      <c r="BC1521" s="12">
        <v>0</v>
      </c>
      <c r="BD1521" s="12">
        <v>0</v>
      </c>
      <c r="BE1521" s="12">
        <v>0</v>
      </c>
      <c r="BF1521" s="12">
        <v>0</v>
      </c>
      <c r="BI1521" s="12">
        <v>0</v>
      </c>
      <c r="BJ1521" s="12">
        <v>0</v>
      </c>
    </row>
    <row r="1522" spans="1:62" ht="28" x14ac:dyDescent="0.15">
      <c r="A1522" s="12"/>
      <c r="B1522" s="25" t="s">
        <v>8000</v>
      </c>
      <c r="C1522" s="28" t="s">
        <v>8001</v>
      </c>
      <c r="D1522" t="s">
        <v>7267</v>
      </c>
      <c r="E1522" t="s">
        <v>2182</v>
      </c>
      <c r="F1522"/>
      <c r="G1522"/>
      <c r="H1522"/>
      <c r="I1522"/>
      <c r="J1522"/>
      <c r="K1522"/>
      <c r="L1522" s="21">
        <v>4043658.085</v>
      </c>
      <c r="M1522" s="21">
        <v>764935.027</v>
      </c>
      <c r="N1522" s="12">
        <v>15</v>
      </c>
      <c r="O1522" s="12" t="s">
        <v>6992</v>
      </c>
      <c r="P1522" t="s">
        <v>2183</v>
      </c>
      <c r="Q1522"/>
      <c r="R1522"/>
      <c r="S1522" t="s">
        <v>2184</v>
      </c>
      <c r="T1522" s="12" t="s">
        <v>2185</v>
      </c>
      <c r="U1522" s="12" t="s">
        <v>2186</v>
      </c>
      <c r="V1522" s="12" t="s">
        <v>2187</v>
      </c>
      <c r="W1522" s="12">
        <v>0</v>
      </c>
      <c r="X1522" s="12">
        <v>1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2">
        <v>0</v>
      </c>
      <c r="AK1522" s="12">
        <v>0</v>
      </c>
      <c r="AL1522" s="12">
        <v>0</v>
      </c>
      <c r="AM1522" s="12"/>
      <c r="AN1522" s="12">
        <v>0</v>
      </c>
      <c r="AO1522" s="12">
        <v>0</v>
      </c>
      <c r="AP1522" s="12">
        <v>0</v>
      </c>
      <c r="AQ1522" s="12">
        <v>0</v>
      </c>
      <c r="AR1522" s="12">
        <v>0</v>
      </c>
      <c r="AS1522" s="12">
        <v>0</v>
      </c>
      <c r="AT1522" s="12">
        <v>0</v>
      </c>
      <c r="AU1522" s="12">
        <v>0</v>
      </c>
      <c r="AV1522" s="12">
        <v>0</v>
      </c>
      <c r="AW1522" s="12">
        <v>0</v>
      </c>
      <c r="AX1522" s="12">
        <v>0</v>
      </c>
      <c r="AY1522" s="12">
        <v>0</v>
      </c>
      <c r="AZ1522"/>
      <c r="BA1522"/>
      <c r="BB1522" s="12">
        <v>0</v>
      </c>
      <c r="BC1522" s="12">
        <v>0</v>
      </c>
      <c r="BD1522" s="12">
        <v>0</v>
      </c>
      <c r="BE1522" s="12">
        <v>0</v>
      </c>
      <c r="BF1522" s="12">
        <v>0</v>
      </c>
      <c r="BI1522" s="12">
        <v>0</v>
      </c>
      <c r="BJ1522" s="12">
        <v>0</v>
      </c>
    </row>
    <row r="1523" spans="1:62" ht="14" x14ac:dyDescent="0.15">
      <c r="A1523" s="12"/>
      <c r="B1523" s="25" t="s">
        <v>8002</v>
      </c>
      <c r="C1523" s="28" t="s">
        <v>8003</v>
      </c>
      <c r="D1523" t="s">
        <v>7267</v>
      </c>
      <c r="E1523" t="s">
        <v>2182</v>
      </c>
      <c r="F1523"/>
      <c r="G1523"/>
      <c r="H1523"/>
      <c r="I1523"/>
      <c r="J1523"/>
      <c r="K1523"/>
      <c r="L1523" s="21">
        <v>4035808.0780000002</v>
      </c>
      <c r="M1523" s="21">
        <v>766785.03899999999</v>
      </c>
      <c r="N1523" s="12">
        <v>15</v>
      </c>
      <c r="O1523" s="12" t="s">
        <v>6992</v>
      </c>
      <c r="P1523" t="s">
        <v>2183</v>
      </c>
      <c r="Q1523"/>
      <c r="R1523"/>
      <c r="S1523" t="s">
        <v>2184</v>
      </c>
      <c r="T1523" s="12" t="s">
        <v>2185</v>
      </c>
      <c r="U1523" s="12" t="s">
        <v>2186</v>
      </c>
      <c r="V1523" s="12" t="s">
        <v>2187</v>
      </c>
      <c r="W1523" s="12">
        <v>0</v>
      </c>
      <c r="X1523" s="12">
        <v>1</v>
      </c>
      <c r="Y1523" s="12">
        <v>0</v>
      </c>
      <c r="Z1523" s="12">
        <v>0</v>
      </c>
      <c r="AA1523" s="12">
        <v>0</v>
      </c>
      <c r="AB1523" s="12">
        <v>0</v>
      </c>
      <c r="AC1523" s="12">
        <v>0</v>
      </c>
      <c r="AD1523" s="12">
        <v>0</v>
      </c>
      <c r="AE1523" s="12">
        <v>0</v>
      </c>
      <c r="AF1523" s="12">
        <v>0</v>
      </c>
      <c r="AG1523" s="12">
        <v>0</v>
      </c>
      <c r="AH1523" s="12">
        <v>0</v>
      </c>
      <c r="AI1523" s="12">
        <v>0</v>
      </c>
      <c r="AJ1523" s="12">
        <v>0</v>
      </c>
      <c r="AK1523" s="12">
        <v>0</v>
      </c>
      <c r="AL1523" s="12">
        <v>0</v>
      </c>
      <c r="AM1523" s="12"/>
      <c r="AN1523" s="12">
        <v>0</v>
      </c>
      <c r="AO1523" s="12">
        <v>0</v>
      </c>
      <c r="AP1523" s="12">
        <v>0</v>
      </c>
      <c r="AQ1523" s="12">
        <v>0</v>
      </c>
      <c r="AR1523" s="12">
        <v>0</v>
      </c>
      <c r="AS1523" s="12">
        <v>0</v>
      </c>
      <c r="AT1523" s="12">
        <v>0</v>
      </c>
      <c r="AU1523" s="12">
        <v>0</v>
      </c>
      <c r="AV1523" s="12">
        <v>0</v>
      </c>
      <c r="AW1523" s="12">
        <v>0</v>
      </c>
      <c r="AX1523" s="12">
        <v>0</v>
      </c>
      <c r="AY1523" s="12">
        <v>0</v>
      </c>
      <c r="AZ1523"/>
      <c r="BA1523"/>
      <c r="BB1523" s="12">
        <v>0</v>
      </c>
      <c r="BC1523" s="12">
        <v>0</v>
      </c>
      <c r="BD1523" s="12">
        <v>0</v>
      </c>
      <c r="BE1523" s="12">
        <v>0</v>
      </c>
      <c r="BF1523" s="12">
        <v>0</v>
      </c>
      <c r="BI1523" s="12">
        <v>0</v>
      </c>
      <c r="BJ1523" s="12">
        <v>0</v>
      </c>
    </row>
    <row r="1524" spans="1:62" ht="14" x14ac:dyDescent="0.15">
      <c r="A1524" s="12"/>
      <c r="B1524" s="25" t="s">
        <v>8004</v>
      </c>
      <c r="C1524" s="28" t="s">
        <v>8005</v>
      </c>
      <c r="D1524" t="s">
        <v>7267</v>
      </c>
      <c r="E1524" t="s">
        <v>2182</v>
      </c>
      <c r="F1524"/>
      <c r="G1524"/>
      <c r="H1524"/>
      <c r="I1524"/>
      <c r="J1524"/>
      <c r="K1524"/>
      <c r="L1524" s="21">
        <v>4036008.0780000002</v>
      </c>
      <c r="M1524" s="21">
        <v>766785.03899999999</v>
      </c>
      <c r="N1524" s="12">
        <v>15</v>
      </c>
      <c r="O1524" s="12" t="s">
        <v>6992</v>
      </c>
      <c r="P1524" t="s">
        <v>2183</v>
      </c>
      <c r="Q1524"/>
      <c r="R1524"/>
      <c r="S1524" t="s">
        <v>2184</v>
      </c>
      <c r="T1524" s="12" t="s">
        <v>2185</v>
      </c>
      <c r="U1524" s="12" t="s">
        <v>2186</v>
      </c>
      <c r="V1524" s="12" t="s">
        <v>2187</v>
      </c>
      <c r="W1524" s="12">
        <v>0</v>
      </c>
      <c r="X1524" s="12">
        <v>1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2">
        <v>0</v>
      </c>
      <c r="AK1524" s="12">
        <v>0</v>
      </c>
      <c r="AL1524" s="12">
        <v>0</v>
      </c>
      <c r="AM1524" s="12"/>
      <c r="AN1524" s="12">
        <v>0</v>
      </c>
      <c r="AO1524" s="12">
        <v>0</v>
      </c>
      <c r="AP1524" s="12">
        <v>0</v>
      </c>
      <c r="AQ1524" s="12">
        <v>0</v>
      </c>
      <c r="AR1524" s="12">
        <v>0</v>
      </c>
      <c r="AS1524" s="12">
        <v>0</v>
      </c>
      <c r="AT1524" s="12">
        <v>0</v>
      </c>
      <c r="AU1524" s="12">
        <v>0</v>
      </c>
      <c r="AV1524" s="12">
        <v>0</v>
      </c>
      <c r="AW1524" s="12">
        <v>0</v>
      </c>
      <c r="AX1524" s="12">
        <v>0</v>
      </c>
      <c r="AY1524" s="12">
        <v>0</v>
      </c>
      <c r="AZ1524"/>
      <c r="BA1524"/>
      <c r="BB1524" s="12">
        <v>0</v>
      </c>
      <c r="BC1524" s="12">
        <v>0</v>
      </c>
      <c r="BD1524" s="12">
        <v>0</v>
      </c>
      <c r="BE1524" s="12">
        <v>0</v>
      </c>
      <c r="BF1524" s="12">
        <v>0</v>
      </c>
      <c r="BI1524" s="12">
        <v>0</v>
      </c>
      <c r="BJ1524" s="12">
        <v>0</v>
      </c>
    </row>
    <row r="1525" spans="1:62" ht="14" x14ac:dyDescent="0.15">
      <c r="A1525" s="12"/>
      <c r="B1525" s="25" t="s">
        <v>8006</v>
      </c>
      <c r="C1525" s="28" t="s">
        <v>8007</v>
      </c>
      <c r="D1525" t="s">
        <v>7267</v>
      </c>
      <c r="E1525" t="s">
        <v>2182</v>
      </c>
      <c r="F1525"/>
      <c r="G1525"/>
      <c r="H1525"/>
      <c r="I1525"/>
      <c r="J1525"/>
      <c r="K1525"/>
      <c r="L1525" s="21">
        <v>4029908.0780000002</v>
      </c>
      <c r="M1525" s="21">
        <v>768435.04500000004</v>
      </c>
      <c r="N1525" s="12">
        <v>15</v>
      </c>
      <c r="O1525" s="12" t="s">
        <v>6992</v>
      </c>
      <c r="P1525" t="s">
        <v>2183</v>
      </c>
      <c r="Q1525"/>
      <c r="R1525"/>
      <c r="S1525" t="s">
        <v>2184</v>
      </c>
      <c r="T1525" s="12" t="s">
        <v>2185</v>
      </c>
      <c r="U1525" s="12" t="s">
        <v>2186</v>
      </c>
      <c r="V1525" s="12" t="s">
        <v>2187</v>
      </c>
      <c r="W1525" s="12">
        <v>0</v>
      </c>
      <c r="X1525" s="12">
        <v>1</v>
      </c>
      <c r="Y1525" s="12">
        <v>0</v>
      </c>
      <c r="Z1525" s="12">
        <v>0</v>
      </c>
      <c r="AA1525" s="12">
        <v>0</v>
      </c>
      <c r="AB1525" s="12">
        <v>0</v>
      </c>
      <c r="AC1525" s="12">
        <v>0</v>
      </c>
      <c r="AD1525" s="12">
        <v>0</v>
      </c>
      <c r="AE1525" s="12">
        <v>0</v>
      </c>
      <c r="AF1525" s="12">
        <v>0</v>
      </c>
      <c r="AG1525" s="12">
        <v>0</v>
      </c>
      <c r="AH1525" s="12">
        <v>0</v>
      </c>
      <c r="AI1525" s="12">
        <v>0</v>
      </c>
      <c r="AJ1525" s="12">
        <v>0</v>
      </c>
      <c r="AK1525" s="12">
        <v>0</v>
      </c>
      <c r="AL1525" s="12">
        <v>0</v>
      </c>
      <c r="AM1525" s="12"/>
      <c r="AN1525" s="12">
        <v>0</v>
      </c>
      <c r="AO1525" s="12">
        <v>0</v>
      </c>
      <c r="AP1525" s="12">
        <v>0</v>
      </c>
      <c r="AQ1525" s="12">
        <v>0</v>
      </c>
      <c r="AR1525" s="12">
        <v>0</v>
      </c>
      <c r="AS1525" s="12">
        <v>0</v>
      </c>
      <c r="AT1525" s="12">
        <v>0</v>
      </c>
      <c r="AU1525" s="12">
        <v>0</v>
      </c>
      <c r="AV1525" s="12">
        <v>0</v>
      </c>
      <c r="AW1525" s="12">
        <v>0</v>
      </c>
      <c r="AX1525" s="12">
        <v>0</v>
      </c>
      <c r="AY1525" s="12">
        <v>0</v>
      </c>
      <c r="AZ1525"/>
      <c r="BA1525"/>
      <c r="BB1525" s="12">
        <v>0</v>
      </c>
      <c r="BC1525" s="12">
        <v>0</v>
      </c>
      <c r="BD1525" s="12">
        <v>0</v>
      </c>
      <c r="BE1525" s="12">
        <v>0</v>
      </c>
      <c r="BF1525" s="12">
        <v>0</v>
      </c>
      <c r="BI1525" s="12">
        <v>0</v>
      </c>
      <c r="BJ1525" s="12">
        <v>0</v>
      </c>
    </row>
    <row r="1526" spans="1:62" ht="14" x14ac:dyDescent="0.15">
      <c r="A1526" s="12"/>
      <c r="B1526" s="25" t="s">
        <v>8008</v>
      </c>
      <c r="C1526" s="28" t="s">
        <v>8009</v>
      </c>
      <c r="D1526" t="s">
        <v>7267</v>
      </c>
      <c r="E1526" t="s">
        <v>2182</v>
      </c>
      <c r="F1526"/>
      <c r="G1526"/>
      <c r="H1526"/>
      <c r="I1526"/>
      <c r="J1526"/>
      <c r="K1526"/>
      <c r="L1526" s="21">
        <v>4033208.0809999998</v>
      </c>
      <c r="M1526" s="21">
        <v>768185.04799999995</v>
      </c>
      <c r="N1526" s="12">
        <v>15</v>
      </c>
      <c r="O1526" s="12" t="s">
        <v>6992</v>
      </c>
      <c r="P1526" t="s">
        <v>2183</v>
      </c>
      <c r="Q1526"/>
      <c r="R1526"/>
      <c r="S1526" t="s">
        <v>2184</v>
      </c>
      <c r="T1526" s="12" t="s">
        <v>2185</v>
      </c>
      <c r="U1526" s="12" t="s">
        <v>2186</v>
      </c>
      <c r="V1526" s="12" t="s">
        <v>2187</v>
      </c>
      <c r="W1526" s="12">
        <v>0</v>
      </c>
      <c r="X1526" s="12">
        <v>1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2">
        <v>0</v>
      </c>
      <c r="AK1526" s="12">
        <v>0</v>
      </c>
      <c r="AL1526" s="12">
        <v>0</v>
      </c>
      <c r="AM1526" s="12"/>
      <c r="AN1526" s="12">
        <v>0</v>
      </c>
      <c r="AO1526" s="12">
        <v>0</v>
      </c>
      <c r="AP1526" s="12">
        <v>0</v>
      </c>
      <c r="AQ1526" s="12">
        <v>0</v>
      </c>
      <c r="AR1526" s="12">
        <v>0</v>
      </c>
      <c r="AS1526" s="12">
        <v>0</v>
      </c>
      <c r="AT1526" s="12">
        <v>0</v>
      </c>
      <c r="AU1526" s="12">
        <v>0</v>
      </c>
      <c r="AV1526" s="12">
        <v>0</v>
      </c>
      <c r="AW1526" s="12">
        <v>0</v>
      </c>
      <c r="AX1526" s="12">
        <v>0</v>
      </c>
      <c r="AY1526" s="12">
        <v>0</v>
      </c>
      <c r="AZ1526"/>
      <c r="BA1526"/>
      <c r="BB1526" s="12">
        <v>0</v>
      </c>
      <c r="BC1526" s="12">
        <v>0</v>
      </c>
      <c r="BD1526" s="12">
        <v>0</v>
      </c>
      <c r="BE1526" s="12">
        <v>0</v>
      </c>
      <c r="BF1526" s="12">
        <v>0</v>
      </c>
      <c r="BI1526" s="12">
        <v>0</v>
      </c>
      <c r="BJ1526" s="12">
        <v>0</v>
      </c>
    </row>
    <row r="1527" spans="1:62" ht="14" x14ac:dyDescent="0.15">
      <c r="A1527" s="12"/>
      <c r="B1527" s="25" t="s">
        <v>8010</v>
      </c>
      <c r="C1527" s="28" t="s">
        <v>8011</v>
      </c>
      <c r="D1527" t="s">
        <v>7267</v>
      </c>
      <c r="E1527" t="s">
        <v>2182</v>
      </c>
      <c r="F1527"/>
      <c r="G1527"/>
      <c r="H1527"/>
      <c r="I1527"/>
      <c r="J1527"/>
      <c r="K1527"/>
      <c r="L1527" s="21">
        <v>4034408.0809999998</v>
      </c>
      <c r="M1527" s="21">
        <v>767885.04700000002</v>
      </c>
      <c r="N1527" s="12">
        <v>15</v>
      </c>
      <c r="O1527" s="12" t="s">
        <v>6992</v>
      </c>
      <c r="P1527" t="s">
        <v>2183</v>
      </c>
      <c r="Q1527"/>
      <c r="R1527"/>
      <c r="S1527" t="s">
        <v>2184</v>
      </c>
      <c r="T1527" s="12" t="s">
        <v>2185</v>
      </c>
      <c r="U1527" s="12" t="s">
        <v>2186</v>
      </c>
      <c r="V1527" s="12" t="s">
        <v>2187</v>
      </c>
      <c r="W1527" s="12">
        <v>0</v>
      </c>
      <c r="X1527" s="12">
        <v>1</v>
      </c>
      <c r="Y1527" s="12">
        <v>0</v>
      </c>
      <c r="Z1527" s="12">
        <v>0</v>
      </c>
      <c r="AA1527" s="12">
        <v>0</v>
      </c>
      <c r="AB1527" s="12">
        <v>0</v>
      </c>
      <c r="AC1527" s="12">
        <v>0</v>
      </c>
      <c r="AD1527" s="12">
        <v>0</v>
      </c>
      <c r="AE1527" s="12">
        <v>0</v>
      </c>
      <c r="AF1527" s="12">
        <v>0</v>
      </c>
      <c r="AG1527" s="12">
        <v>0</v>
      </c>
      <c r="AH1527" s="12">
        <v>0</v>
      </c>
      <c r="AI1527" s="12">
        <v>0</v>
      </c>
      <c r="AJ1527" s="12">
        <v>0</v>
      </c>
      <c r="AK1527" s="12">
        <v>0</v>
      </c>
      <c r="AL1527" s="12">
        <v>0</v>
      </c>
      <c r="AM1527" s="12"/>
      <c r="AN1527" s="12">
        <v>0</v>
      </c>
      <c r="AO1527" s="12">
        <v>0</v>
      </c>
      <c r="AP1527" s="12">
        <v>0</v>
      </c>
      <c r="AQ1527" s="12">
        <v>0</v>
      </c>
      <c r="AR1527" s="12">
        <v>0</v>
      </c>
      <c r="AS1527" s="12">
        <v>0</v>
      </c>
      <c r="AT1527" s="12">
        <v>0</v>
      </c>
      <c r="AU1527" s="12">
        <v>0</v>
      </c>
      <c r="AV1527" s="12">
        <v>0</v>
      </c>
      <c r="AW1527" s="12">
        <v>0</v>
      </c>
      <c r="AX1527" s="12">
        <v>0</v>
      </c>
      <c r="AY1527" s="12">
        <v>0</v>
      </c>
      <c r="AZ1527"/>
      <c r="BA1527"/>
      <c r="BB1527" s="12">
        <v>0</v>
      </c>
      <c r="BC1527" s="12">
        <v>0</v>
      </c>
      <c r="BD1527" s="12">
        <v>0</v>
      </c>
      <c r="BE1527" s="12">
        <v>0</v>
      </c>
      <c r="BF1527" s="12">
        <v>0</v>
      </c>
      <c r="BI1527" s="12">
        <v>0</v>
      </c>
      <c r="BJ1527" s="12">
        <v>0</v>
      </c>
    </row>
    <row r="1528" spans="1:62" ht="28" x14ac:dyDescent="0.15">
      <c r="A1528" s="12"/>
      <c r="B1528" s="25" t="s">
        <v>8012</v>
      </c>
      <c r="C1528" s="28" t="s">
        <v>8013</v>
      </c>
      <c r="D1528" t="s">
        <v>7267</v>
      </c>
      <c r="E1528" t="s">
        <v>2182</v>
      </c>
      <c r="F1528"/>
      <c r="G1528"/>
      <c r="H1528"/>
      <c r="I1528"/>
      <c r="J1528"/>
      <c r="K1528"/>
      <c r="L1528" s="21">
        <v>4034408.0789999999</v>
      </c>
      <c r="M1528" s="21">
        <v>767435.04299999995</v>
      </c>
      <c r="N1528" s="12">
        <v>15</v>
      </c>
      <c r="O1528" s="12" t="s">
        <v>6992</v>
      </c>
      <c r="P1528" t="s">
        <v>2183</v>
      </c>
      <c r="Q1528"/>
      <c r="R1528"/>
      <c r="S1528" t="s">
        <v>2184</v>
      </c>
      <c r="T1528" s="12" t="s">
        <v>2185</v>
      </c>
      <c r="U1528" s="12" t="s">
        <v>2186</v>
      </c>
      <c r="V1528" s="12" t="s">
        <v>2187</v>
      </c>
      <c r="W1528" s="12">
        <v>0</v>
      </c>
      <c r="X1528" s="12">
        <v>1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2">
        <v>0</v>
      </c>
      <c r="AK1528" s="12">
        <v>0</v>
      </c>
      <c r="AL1528" s="12">
        <v>0</v>
      </c>
      <c r="AM1528" s="12"/>
      <c r="AN1528" s="12">
        <v>0</v>
      </c>
      <c r="AO1528" s="12">
        <v>0</v>
      </c>
      <c r="AP1528" s="12">
        <v>0</v>
      </c>
      <c r="AQ1528" s="12">
        <v>0</v>
      </c>
      <c r="AR1528" s="12">
        <v>0</v>
      </c>
      <c r="AS1528" s="12">
        <v>0</v>
      </c>
      <c r="AT1528" s="12">
        <v>0</v>
      </c>
      <c r="AU1528" s="12">
        <v>0</v>
      </c>
      <c r="AV1528" s="12">
        <v>0</v>
      </c>
      <c r="AW1528" s="12">
        <v>0</v>
      </c>
      <c r="AX1528" s="12">
        <v>0</v>
      </c>
      <c r="AY1528" s="12">
        <v>0</v>
      </c>
      <c r="AZ1528"/>
      <c r="BA1528"/>
      <c r="BB1528" s="12">
        <v>0</v>
      </c>
      <c r="BC1528" s="12">
        <v>0</v>
      </c>
      <c r="BD1528" s="12">
        <v>0</v>
      </c>
      <c r="BE1528" s="12">
        <v>0</v>
      </c>
      <c r="BF1528" s="12">
        <v>0</v>
      </c>
      <c r="BI1528" s="12">
        <v>0</v>
      </c>
      <c r="BJ1528" s="12">
        <v>0</v>
      </c>
    </row>
    <row r="1529" spans="1:62" ht="14" x14ac:dyDescent="0.15">
      <c r="A1529" s="12"/>
      <c r="B1529" s="25" t="s">
        <v>8014</v>
      </c>
      <c r="C1529" s="28" t="s">
        <v>8015</v>
      </c>
      <c r="D1529" t="s">
        <v>7267</v>
      </c>
      <c r="E1529" t="s">
        <v>2182</v>
      </c>
      <c r="F1529"/>
      <c r="G1529"/>
      <c r="H1529"/>
      <c r="I1529"/>
      <c r="J1529"/>
      <c r="K1529"/>
      <c r="L1529" s="21">
        <v>4035108.08</v>
      </c>
      <c r="M1529" s="21">
        <v>767585.04599999997</v>
      </c>
      <c r="N1529" s="12">
        <v>15</v>
      </c>
      <c r="O1529" s="12" t="s">
        <v>6992</v>
      </c>
      <c r="P1529" t="s">
        <v>2183</v>
      </c>
      <c r="Q1529"/>
      <c r="R1529"/>
      <c r="S1529" t="s">
        <v>2184</v>
      </c>
      <c r="T1529" s="12" t="s">
        <v>2185</v>
      </c>
      <c r="U1529" s="12" t="s">
        <v>2186</v>
      </c>
      <c r="V1529" s="12" t="s">
        <v>2187</v>
      </c>
      <c r="W1529" s="12">
        <v>0</v>
      </c>
      <c r="X1529" s="12">
        <v>1</v>
      </c>
      <c r="Y1529" s="12">
        <v>0</v>
      </c>
      <c r="Z1529" s="12">
        <v>0</v>
      </c>
      <c r="AA1529" s="12">
        <v>0</v>
      </c>
      <c r="AB1529" s="12">
        <v>0</v>
      </c>
      <c r="AC1529" s="12">
        <v>0</v>
      </c>
      <c r="AD1529" s="12">
        <v>0</v>
      </c>
      <c r="AE1529" s="12">
        <v>0</v>
      </c>
      <c r="AF1529" s="12">
        <v>0</v>
      </c>
      <c r="AG1529" s="12">
        <v>0</v>
      </c>
      <c r="AH1529" s="12">
        <v>0</v>
      </c>
      <c r="AI1529" s="12">
        <v>0</v>
      </c>
      <c r="AJ1529" s="12">
        <v>0</v>
      </c>
      <c r="AK1529" s="12">
        <v>0</v>
      </c>
      <c r="AL1529" s="12">
        <v>0</v>
      </c>
      <c r="AM1529" s="12"/>
      <c r="AN1529" s="12">
        <v>0</v>
      </c>
      <c r="AO1529" s="12">
        <v>0</v>
      </c>
      <c r="AP1529" s="12">
        <v>0</v>
      </c>
      <c r="AQ1529" s="12">
        <v>0</v>
      </c>
      <c r="AR1529" s="12">
        <v>0</v>
      </c>
      <c r="AS1529" s="12">
        <v>0</v>
      </c>
      <c r="AT1529" s="12">
        <v>0</v>
      </c>
      <c r="AU1529" s="12">
        <v>0</v>
      </c>
      <c r="AV1529" s="12">
        <v>0</v>
      </c>
      <c r="AW1529" s="12">
        <v>0</v>
      </c>
      <c r="AX1529" s="12">
        <v>0</v>
      </c>
      <c r="AY1529" s="12">
        <v>0</v>
      </c>
      <c r="AZ1529"/>
      <c r="BA1529"/>
      <c r="BB1529" s="12">
        <v>0</v>
      </c>
      <c r="BC1529" s="12">
        <v>0</v>
      </c>
      <c r="BD1529" s="12">
        <v>0</v>
      </c>
      <c r="BE1529" s="12">
        <v>0</v>
      </c>
      <c r="BF1529" s="12">
        <v>0</v>
      </c>
      <c r="BI1529" s="12">
        <v>0</v>
      </c>
      <c r="BJ1529" s="12">
        <v>0</v>
      </c>
    </row>
    <row r="1530" spans="1:62" ht="14" x14ac:dyDescent="0.15">
      <c r="A1530" s="12"/>
      <c r="B1530" s="25" t="s">
        <v>8016</v>
      </c>
      <c r="C1530" s="28" t="s">
        <v>8017</v>
      </c>
      <c r="D1530" t="s">
        <v>7267</v>
      </c>
      <c r="E1530" t="s">
        <v>2182</v>
      </c>
      <c r="F1530"/>
      <c r="G1530"/>
      <c r="H1530"/>
      <c r="I1530"/>
      <c r="J1530"/>
      <c r="K1530"/>
      <c r="L1530" s="21">
        <v>4033708.0660000001</v>
      </c>
      <c r="M1530" s="21">
        <v>765185.022</v>
      </c>
      <c r="N1530" s="12">
        <v>15</v>
      </c>
      <c r="O1530" s="12" t="s">
        <v>6992</v>
      </c>
      <c r="P1530" t="s">
        <v>2183</v>
      </c>
      <c r="Q1530"/>
      <c r="R1530"/>
      <c r="S1530" t="s">
        <v>2184</v>
      </c>
      <c r="T1530" s="12" t="s">
        <v>2185</v>
      </c>
      <c r="U1530" s="12" t="s">
        <v>2186</v>
      </c>
      <c r="V1530" s="12" t="s">
        <v>2187</v>
      </c>
      <c r="W1530" s="12">
        <v>0</v>
      </c>
      <c r="X1530" s="12">
        <v>1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2">
        <v>0</v>
      </c>
      <c r="AK1530" s="12">
        <v>0</v>
      </c>
      <c r="AL1530" s="12">
        <v>0</v>
      </c>
      <c r="AM1530" s="12"/>
      <c r="AN1530" s="12">
        <v>0</v>
      </c>
      <c r="AO1530" s="12">
        <v>0</v>
      </c>
      <c r="AP1530" s="12">
        <v>0</v>
      </c>
      <c r="AQ1530" s="12">
        <v>0</v>
      </c>
      <c r="AR1530" s="12">
        <v>0</v>
      </c>
      <c r="AS1530" s="12">
        <v>0</v>
      </c>
      <c r="AT1530" s="12">
        <v>0</v>
      </c>
      <c r="AU1530" s="12">
        <v>0</v>
      </c>
      <c r="AV1530" s="12">
        <v>0</v>
      </c>
      <c r="AW1530" s="12">
        <v>0</v>
      </c>
      <c r="AX1530" s="12">
        <v>0</v>
      </c>
      <c r="AY1530" s="12">
        <v>0</v>
      </c>
      <c r="AZ1530"/>
      <c r="BA1530"/>
      <c r="BB1530" s="12">
        <v>0</v>
      </c>
      <c r="BC1530" s="12">
        <v>0</v>
      </c>
      <c r="BD1530" s="12">
        <v>0</v>
      </c>
      <c r="BE1530" s="12">
        <v>0</v>
      </c>
      <c r="BF1530" s="12">
        <v>0</v>
      </c>
      <c r="BI1530" s="12">
        <v>0</v>
      </c>
      <c r="BJ1530" s="12">
        <v>0</v>
      </c>
    </row>
    <row r="1531" spans="1:62" ht="28" x14ac:dyDescent="0.15">
      <c r="A1531" s="12"/>
      <c r="B1531" s="25" t="s">
        <v>8018</v>
      </c>
      <c r="C1531" s="28" t="s">
        <v>8019</v>
      </c>
      <c r="D1531" t="s">
        <v>7267</v>
      </c>
      <c r="E1531" t="s">
        <v>2182</v>
      </c>
      <c r="F1531"/>
      <c r="G1531"/>
      <c r="H1531"/>
      <c r="I1531"/>
      <c r="J1531"/>
      <c r="K1531"/>
      <c r="L1531" s="21">
        <v>4036708.0819999999</v>
      </c>
      <c r="M1531" s="21">
        <v>767385.04599999997</v>
      </c>
      <c r="N1531" s="12">
        <v>15</v>
      </c>
      <c r="O1531" s="12" t="s">
        <v>6992</v>
      </c>
      <c r="P1531" t="s">
        <v>2183</v>
      </c>
      <c r="Q1531"/>
      <c r="R1531"/>
      <c r="S1531" t="s">
        <v>2184</v>
      </c>
      <c r="T1531" s="12" t="s">
        <v>2185</v>
      </c>
      <c r="U1531" s="12" t="s">
        <v>2186</v>
      </c>
      <c r="V1531" s="12" t="s">
        <v>2187</v>
      </c>
      <c r="W1531" s="12">
        <v>0</v>
      </c>
      <c r="X1531" s="12">
        <v>1</v>
      </c>
      <c r="Y1531" s="12">
        <v>0</v>
      </c>
      <c r="Z1531" s="12">
        <v>0</v>
      </c>
      <c r="AA1531" s="12">
        <v>0</v>
      </c>
      <c r="AB1531" s="12">
        <v>0</v>
      </c>
      <c r="AC1531" s="12">
        <v>0</v>
      </c>
      <c r="AD1531" s="12">
        <v>0</v>
      </c>
      <c r="AE1531" s="12">
        <v>0</v>
      </c>
      <c r="AF1531" s="12">
        <v>0</v>
      </c>
      <c r="AG1531" s="12">
        <v>0</v>
      </c>
      <c r="AH1531" s="12">
        <v>0</v>
      </c>
      <c r="AI1531" s="12">
        <v>0</v>
      </c>
      <c r="AJ1531" s="12">
        <v>0</v>
      </c>
      <c r="AK1531" s="12">
        <v>0</v>
      </c>
      <c r="AL1531" s="12">
        <v>0</v>
      </c>
      <c r="AM1531" s="12"/>
      <c r="AN1531" s="12">
        <v>0</v>
      </c>
      <c r="AO1531" s="12">
        <v>0</v>
      </c>
      <c r="AP1531" s="12">
        <v>0</v>
      </c>
      <c r="AQ1531" s="12">
        <v>0</v>
      </c>
      <c r="AR1531" s="12">
        <v>0</v>
      </c>
      <c r="AS1531" s="12">
        <v>0</v>
      </c>
      <c r="AT1531" s="12">
        <v>0</v>
      </c>
      <c r="AU1531" s="12">
        <v>0</v>
      </c>
      <c r="AV1531" s="12">
        <v>0</v>
      </c>
      <c r="AW1531" s="12">
        <v>0</v>
      </c>
      <c r="AX1531" s="12">
        <v>0</v>
      </c>
      <c r="AY1531" s="12">
        <v>0</v>
      </c>
      <c r="AZ1531"/>
      <c r="BA1531"/>
      <c r="BB1531" s="12">
        <v>0</v>
      </c>
      <c r="BC1531" s="12">
        <v>0</v>
      </c>
      <c r="BD1531" s="12">
        <v>0</v>
      </c>
      <c r="BE1531" s="12">
        <v>0</v>
      </c>
      <c r="BF1531" s="12">
        <v>0</v>
      </c>
      <c r="BI1531" s="12">
        <v>0</v>
      </c>
      <c r="BJ1531" s="12">
        <v>0</v>
      </c>
    </row>
    <row r="1532" spans="1:62" ht="14" x14ac:dyDescent="0.15">
      <c r="A1532" s="12"/>
      <c r="B1532" s="25" t="s">
        <v>8020</v>
      </c>
      <c r="C1532" s="28" t="s">
        <v>8021</v>
      </c>
      <c r="D1532" t="s">
        <v>7267</v>
      </c>
      <c r="E1532" t="s">
        <v>2182</v>
      </c>
      <c r="F1532"/>
      <c r="G1532"/>
      <c r="H1532"/>
      <c r="I1532"/>
      <c r="J1532"/>
      <c r="K1532"/>
      <c r="L1532" s="21">
        <v>4035708.085</v>
      </c>
      <c r="M1532" s="21">
        <v>768335.054</v>
      </c>
      <c r="N1532" s="12">
        <v>15</v>
      </c>
      <c r="O1532" s="12" t="s">
        <v>6992</v>
      </c>
      <c r="P1532" t="s">
        <v>2183</v>
      </c>
      <c r="Q1532"/>
      <c r="R1532"/>
      <c r="S1532" t="s">
        <v>2184</v>
      </c>
      <c r="T1532" s="12" t="s">
        <v>2185</v>
      </c>
      <c r="U1532" s="12" t="s">
        <v>2186</v>
      </c>
      <c r="V1532" s="12" t="s">
        <v>2187</v>
      </c>
      <c r="W1532" s="12">
        <v>0</v>
      </c>
      <c r="X1532" s="12">
        <v>1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2">
        <v>0</v>
      </c>
      <c r="AK1532" s="12">
        <v>0</v>
      </c>
      <c r="AL1532" s="12">
        <v>0</v>
      </c>
      <c r="AM1532" s="12"/>
      <c r="AN1532" s="12">
        <v>0</v>
      </c>
      <c r="AO1532" s="12">
        <v>0</v>
      </c>
      <c r="AP1532" s="12">
        <v>0</v>
      </c>
      <c r="AQ1532" s="12">
        <v>0</v>
      </c>
      <c r="AR1532" s="12">
        <v>0</v>
      </c>
      <c r="AS1532" s="12">
        <v>0</v>
      </c>
      <c r="AT1532" s="12">
        <v>0</v>
      </c>
      <c r="AU1532" s="12">
        <v>0</v>
      </c>
      <c r="AV1532" s="12">
        <v>0</v>
      </c>
      <c r="AW1532" s="12">
        <v>0</v>
      </c>
      <c r="AX1532" s="12">
        <v>0</v>
      </c>
      <c r="AY1532" s="12">
        <v>0</v>
      </c>
      <c r="AZ1532"/>
      <c r="BA1532"/>
      <c r="BB1532" s="12">
        <v>0</v>
      </c>
      <c r="BC1532" s="12">
        <v>0</v>
      </c>
      <c r="BD1532" s="12">
        <v>0</v>
      </c>
      <c r="BE1532" s="12">
        <v>0</v>
      </c>
      <c r="BF1532" s="12">
        <v>0</v>
      </c>
      <c r="BI1532" s="12">
        <v>0</v>
      </c>
      <c r="BJ1532" s="12">
        <v>0</v>
      </c>
    </row>
    <row r="1533" spans="1:62" ht="14" x14ac:dyDescent="0.15">
      <c r="A1533" s="12"/>
      <c r="B1533" s="25" t="s">
        <v>8022</v>
      </c>
      <c r="C1533" s="28" t="s">
        <v>8023</v>
      </c>
      <c r="D1533" t="s">
        <v>7267</v>
      </c>
      <c r="E1533" t="s">
        <v>2182</v>
      </c>
      <c r="F1533"/>
      <c r="G1533"/>
      <c r="H1533"/>
      <c r="I1533"/>
      <c r="J1533"/>
      <c r="K1533"/>
      <c r="L1533" s="21">
        <v>4024401.6770000001</v>
      </c>
      <c r="M1533" s="21">
        <v>770799.48600000003</v>
      </c>
      <c r="N1533" s="12">
        <v>15</v>
      </c>
      <c r="O1533" s="12" t="s">
        <v>6992</v>
      </c>
      <c r="P1533" t="s">
        <v>2183</v>
      </c>
      <c r="Q1533"/>
      <c r="R1533"/>
      <c r="S1533" t="s">
        <v>2184</v>
      </c>
      <c r="T1533" s="12" t="s">
        <v>2185</v>
      </c>
      <c r="U1533" s="12" t="s">
        <v>2186</v>
      </c>
      <c r="V1533" s="12" t="s">
        <v>2187</v>
      </c>
      <c r="W1533" s="12">
        <v>0</v>
      </c>
      <c r="X1533" s="12">
        <v>1</v>
      </c>
      <c r="Y1533" s="12">
        <v>0</v>
      </c>
      <c r="Z1533" s="12">
        <v>0</v>
      </c>
      <c r="AA1533" s="12">
        <v>0</v>
      </c>
      <c r="AB1533" s="12">
        <v>0</v>
      </c>
      <c r="AC1533" s="12">
        <v>0</v>
      </c>
      <c r="AD1533" s="12">
        <v>0</v>
      </c>
      <c r="AE1533" s="12">
        <v>0</v>
      </c>
      <c r="AF1533" s="12">
        <v>0</v>
      </c>
      <c r="AG1533" s="12">
        <v>0</v>
      </c>
      <c r="AH1533" s="12">
        <v>0</v>
      </c>
      <c r="AI1533" s="12">
        <v>0</v>
      </c>
      <c r="AJ1533" s="12">
        <v>0</v>
      </c>
      <c r="AK1533" s="12">
        <v>0</v>
      </c>
      <c r="AL1533" s="12">
        <v>0</v>
      </c>
      <c r="AM1533" s="12"/>
      <c r="AN1533" s="12">
        <v>0</v>
      </c>
      <c r="AO1533" s="12">
        <v>0</v>
      </c>
      <c r="AP1533" s="12">
        <v>0</v>
      </c>
      <c r="AQ1533" s="12">
        <v>0</v>
      </c>
      <c r="AR1533" s="12">
        <v>0</v>
      </c>
      <c r="AS1533" s="12">
        <v>0</v>
      </c>
      <c r="AT1533" s="12">
        <v>0</v>
      </c>
      <c r="AU1533" s="12">
        <v>0</v>
      </c>
      <c r="AV1533" s="12">
        <v>0</v>
      </c>
      <c r="AW1533" s="12">
        <v>0</v>
      </c>
      <c r="AX1533" s="12">
        <v>0</v>
      </c>
      <c r="AY1533" s="12">
        <v>0</v>
      </c>
      <c r="AZ1533"/>
      <c r="BA1533"/>
      <c r="BB1533" s="12">
        <v>0</v>
      </c>
      <c r="BC1533" s="12">
        <v>0</v>
      </c>
      <c r="BD1533" s="12">
        <v>0</v>
      </c>
      <c r="BE1533" s="12">
        <v>0</v>
      </c>
      <c r="BF1533" s="12">
        <v>0</v>
      </c>
      <c r="BI1533" s="12">
        <v>0</v>
      </c>
      <c r="BJ1533" s="12">
        <v>0</v>
      </c>
    </row>
    <row r="1534" spans="1:62" ht="14" x14ac:dyDescent="0.15">
      <c r="A1534" s="12"/>
      <c r="B1534" s="25" t="s">
        <v>8024</v>
      </c>
      <c r="C1534" s="28" t="s">
        <v>8025</v>
      </c>
      <c r="D1534" t="s">
        <v>7267</v>
      </c>
      <c r="E1534" t="s">
        <v>2182</v>
      </c>
      <c r="F1534"/>
      <c r="G1534"/>
      <c r="H1534"/>
      <c r="I1534"/>
      <c r="J1534"/>
      <c r="K1534"/>
      <c r="L1534" s="21">
        <v>4030446.341</v>
      </c>
      <c r="M1534" s="21">
        <v>770523.76100000006</v>
      </c>
      <c r="N1534" s="12">
        <v>15</v>
      </c>
      <c r="O1534" s="12" t="s">
        <v>6992</v>
      </c>
      <c r="P1534" t="s">
        <v>2183</v>
      </c>
      <c r="Q1534"/>
      <c r="R1534"/>
      <c r="S1534" t="s">
        <v>2184</v>
      </c>
      <c r="T1534" s="12" t="s">
        <v>2185</v>
      </c>
      <c r="U1534" s="12" t="s">
        <v>2186</v>
      </c>
      <c r="V1534" s="12" t="s">
        <v>2187</v>
      </c>
      <c r="W1534" s="12">
        <v>0</v>
      </c>
      <c r="X1534" s="12">
        <v>1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2">
        <v>0</v>
      </c>
      <c r="AK1534" s="12">
        <v>0</v>
      </c>
      <c r="AL1534" s="12">
        <v>0</v>
      </c>
      <c r="AM1534" s="12"/>
      <c r="AN1534" s="12">
        <v>0</v>
      </c>
      <c r="AO1534" s="12">
        <v>0</v>
      </c>
      <c r="AP1534" s="12">
        <v>0</v>
      </c>
      <c r="AQ1534" s="12">
        <v>0</v>
      </c>
      <c r="AR1534" s="12">
        <v>0</v>
      </c>
      <c r="AS1534" s="12">
        <v>0</v>
      </c>
      <c r="AT1534" s="12">
        <v>0</v>
      </c>
      <c r="AU1534" s="12">
        <v>0</v>
      </c>
      <c r="AV1534" s="12">
        <v>0</v>
      </c>
      <c r="AW1534" s="12">
        <v>0</v>
      </c>
      <c r="AX1534" s="12">
        <v>0</v>
      </c>
      <c r="AY1534" s="12">
        <v>0</v>
      </c>
      <c r="AZ1534"/>
      <c r="BA1534"/>
      <c r="BB1534" s="12">
        <v>0</v>
      </c>
      <c r="BC1534" s="12">
        <v>0</v>
      </c>
      <c r="BD1534" s="12">
        <v>0</v>
      </c>
      <c r="BE1534" s="12">
        <v>0</v>
      </c>
      <c r="BF1534" s="12">
        <v>0</v>
      </c>
      <c r="BI1534" s="12">
        <v>0</v>
      </c>
      <c r="BJ1534" s="12">
        <v>0</v>
      </c>
    </row>
    <row r="1535" spans="1:62" ht="14" x14ac:dyDescent="0.15">
      <c r="A1535" s="12"/>
      <c r="B1535" s="25" t="s">
        <v>8026</v>
      </c>
      <c r="C1535" s="28" t="s">
        <v>8027</v>
      </c>
      <c r="D1535" t="s">
        <v>7267</v>
      </c>
      <c r="E1535" t="s">
        <v>2182</v>
      </c>
      <c r="F1535"/>
      <c r="G1535"/>
      <c r="H1535"/>
      <c r="I1535"/>
      <c r="J1535"/>
      <c r="K1535"/>
      <c r="L1535" s="21">
        <v>4029810.2179999999</v>
      </c>
      <c r="M1535" s="21">
        <v>769962.16700000002</v>
      </c>
      <c r="N1535" s="12">
        <v>15</v>
      </c>
      <c r="O1535" s="12" t="s">
        <v>6992</v>
      </c>
      <c r="P1535" t="s">
        <v>2183</v>
      </c>
      <c r="Q1535"/>
      <c r="R1535"/>
      <c r="S1535" t="s">
        <v>2184</v>
      </c>
      <c r="T1535" s="12" t="s">
        <v>2185</v>
      </c>
      <c r="U1535" s="12" t="s">
        <v>2186</v>
      </c>
      <c r="V1535" s="12" t="s">
        <v>2187</v>
      </c>
      <c r="W1535" s="12">
        <v>0</v>
      </c>
      <c r="X1535" s="12">
        <v>1</v>
      </c>
      <c r="Y1535" s="12">
        <v>0</v>
      </c>
      <c r="Z1535" s="12">
        <v>0</v>
      </c>
      <c r="AA1535" s="12">
        <v>0</v>
      </c>
      <c r="AB1535" s="12">
        <v>0</v>
      </c>
      <c r="AC1535" s="12">
        <v>0</v>
      </c>
      <c r="AD1535" s="12">
        <v>0</v>
      </c>
      <c r="AE1535" s="12">
        <v>0</v>
      </c>
      <c r="AF1535" s="12">
        <v>0</v>
      </c>
      <c r="AG1535" s="12">
        <v>0</v>
      </c>
      <c r="AH1535" s="12">
        <v>0</v>
      </c>
      <c r="AI1535" s="12">
        <v>0</v>
      </c>
      <c r="AJ1535" s="12">
        <v>0</v>
      </c>
      <c r="AK1535" s="12">
        <v>0</v>
      </c>
      <c r="AL1535" s="12">
        <v>0</v>
      </c>
      <c r="AM1535" s="12"/>
      <c r="AN1535" s="12">
        <v>0</v>
      </c>
      <c r="AO1535" s="12">
        <v>0</v>
      </c>
      <c r="AP1535" s="12">
        <v>0</v>
      </c>
      <c r="AQ1535" s="12">
        <v>0</v>
      </c>
      <c r="AR1535" s="12">
        <v>0</v>
      </c>
      <c r="AS1535" s="12">
        <v>0</v>
      </c>
      <c r="AT1535" s="12">
        <v>0</v>
      </c>
      <c r="AU1535" s="12">
        <v>0</v>
      </c>
      <c r="AV1535" s="12">
        <v>0</v>
      </c>
      <c r="AW1535" s="12">
        <v>0</v>
      </c>
      <c r="AX1535" s="12">
        <v>0</v>
      </c>
      <c r="AY1535" s="12">
        <v>0</v>
      </c>
      <c r="AZ1535"/>
      <c r="BA1535"/>
      <c r="BB1535" s="12">
        <v>0</v>
      </c>
      <c r="BC1535" s="12">
        <v>0</v>
      </c>
      <c r="BD1535" s="12">
        <v>0</v>
      </c>
      <c r="BE1535" s="12">
        <v>0</v>
      </c>
      <c r="BF1535" s="12">
        <v>0</v>
      </c>
      <c r="BI1535" s="12">
        <v>0</v>
      </c>
      <c r="BJ1535" s="12">
        <v>0</v>
      </c>
    </row>
    <row r="1536" spans="1:62" ht="28" x14ac:dyDescent="0.15">
      <c r="A1536" s="12"/>
      <c r="B1536" s="25" t="s">
        <v>8028</v>
      </c>
      <c r="C1536" s="28" t="s">
        <v>8029</v>
      </c>
      <c r="D1536" t="s">
        <v>7267</v>
      </c>
      <c r="E1536" t="s">
        <v>2182</v>
      </c>
      <c r="F1536"/>
      <c r="G1536"/>
      <c r="H1536"/>
      <c r="I1536"/>
      <c r="J1536"/>
      <c r="K1536"/>
      <c r="L1536" s="21">
        <v>4030140.9109999998</v>
      </c>
      <c r="M1536" s="21">
        <v>769641.00300000003</v>
      </c>
      <c r="N1536" s="12">
        <v>15</v>
      </c>
      <c r="O1536" s="12" t="s">
        <v>6992</v>
      </c>
      <c r="P1536" t="s">
        <v>2183</v>
      </c>
      <c r="Q1536"/>
      <c r="R1536"/>
      <c r="S1536" t="s">
        <v>2184</v>
      </c>
      <c r="T1536" s="12" t="s">
        <v>2185</v>
      </c>
      <c r="U1536" s="12" t="s">
        <v>2186</v>
      </c>
      <c r="V1536" s="12" t="s">
        <v>2187</v>
      </c>
      <c r="W1536" s="12">
        <v>0</v>
      </c>
      <c r="X1536" s="12">
        <v>1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2">
        <v>0</v>
      </c>
      <c r="AK1536" s="12">
        <v>0</v>
      </c>
      <c r="AL1536" s="12">
        <v>0</v>
      </c>
      <c r="AM1536" s="12"/>
      <c r="AN1536" s="12">
        <v>0</v>
      </c>
      <c r="AO1536" s="12">
        <v>0</v>
      </c>
      <c r="AP1536" s="12">
        <v>0</v>
      </c>
      <c r="AQ1536" s="12">
        <v>0</v>
      </c>
      <c r="AR1536" s="12">
        <v>0</v>
      </c>
      <c r="AS1536" s="12">
        <v>0</v>
      </c>
      <c r="AT1536" s="12">
        <v>0</v>
      </c>
      <c r="AU1536" s="12">
        <v>0</v>
      </c>
      <c r="AV1536" s="12">
        <v>0</v>
      </c>
      <c r="AW1536" s="12">
        <v>0</v>
      </c>
      <c r="AX1536" s="12">
        <v>0</v>
      </c>
      <c r="AY1536" s="12">
        <v>0</v>
      </c>
      <c r="AZ1536"/>
      <c r="BA1536"/>
      <c r="BB1536" s="12">
        <v>0</v>
      </c>
      <c r="BC1536" s="12">
        <v>0</v>
      </c>
      <c r="BD1536" s="12">
        <v>0</v>
      </c>
      <c r="BE1536" s="12">
        <v>0</v>
      </c>
      <c r="BF1536" s="12">
        <v>0</v>
      </c>
      <c r="BI1536" s="12">
        <v>0</v>
      </c>
      <c r="BJ1536" s="12">
        <v>0</v>
      </c>
    </row>
    <row r="1537" spans="1:62" ht="14" x14ac:dyDescent="0.15">
      <c r="A1537" s="12"/>
      <c r="B1537" s="25" t="s">
        <v>8030</v>
      </c>
      <c r="C1537" s="28" t="s">
        <v>8031</v>
      </c>
      <c r="D1537" t="s">
        <v>7267</v>
      </c>
      <c r="E1537" t="s">
        <v>2182</v>
      </c>
      <c r="F1537"/>
      <c r="G1537"/>
      <c r="H1537"/>
      <c r="I1537"/>
      <c r="J1537"/>
      <c r="K1537"/>
      <c r="L1537" s="21">
        <v>4030215.8709999998</v>
      </c>
      <c r="M1537" s="21">
        <v>769235.55700000003</v>
      </c>
      <c r="N1537" s="12">
        <v>15</v>
      </c>
      <c r="O1537" s="12" t="s">
        <v>6992</v>
      </c>
      <c r="P1537" t="s">
        <v>2183</v>
      </c>
      <c r="Q1537"/>
      <c r="R1537"/>
      <c r="S1537" t="s">
        <v>2184</v>
      </c>
      <c r="T1537" s="12" t="s">
        <v>2185</v>
      </c>
      <c r="U1537" s="12" t="s">
        <v>2186</v>
      </c>
      <c r="V1537" s="12" t="s">
        <v>2187</v>
      </c>
      <c r="W1537" s="12">
        <v>0</v>
      </c>
      <c r="X1537" s="12">
        <v>1</v>
      </c>
      <c r="Y1537" s="12">
        <v>0</v>
      </c>
      <c r="Z1537" s="12">
        <v>0</v>
      </c>
      <c r="AA1537" s="12">
        <v>0</v>
      </c>
      <c r="AB1537" s="12">
        <v>0</v>
      </c>
      <c r="AC1537" s="12">
        <v>0</v>
      </c>
      <c r="AD1537" s="12">
        <v>0</v>
      </c>
      <c r="AE1537" s="12">
        <v>0</v>
      </c>
      <c r="AF1537" s="12">
        <v>0</v>
      </c>
      <c r="AG1537" s="12">
        <v>0</v>
      </c>
      <c r="AH1537" s="12">
        <v>0</v>
      </c>
      <c r="AI1537" s="12">
        <v>0</v>
      </c>
      <c r="AJ1537" s="12">
        <v>0</v>
      </c>
      <c r="AK1537" s="12">
        <v>0</v>
      </c>
      <c r="AL1537" s="12">
        <v>0</v>
      </c>
      <c r="AM1537" s="12"/>
      <c r="AN1537" s="12">
        <v>0</v>
      </c>
      <c r="AO1537" s="12">
        <v>0</v>
      </c>
      <c r="AP1537" s="12">
        <v>0</v>
      </c>
      <c r="AQ1537" s="12">
        <v>0</v>
      </c>
      <c r="AR1537" s="12">
        <v>0</v>
      </c>
      <c r="AS1537" s="12">
        <v>0</v>
      </c>
      <c r="AT1537" s="12">
        <v>0</v>
      </c>
      <c r="AU1537" s="12">
        <v>0</v>
      </c>
      <c r="AV1537" s="12">
        <v>0</v>
      </c>
      <c r="AW1537" s="12">
        <v>0</v>
      </c>
      <c r="AX1537" s="12">
        <v>0</v>
      </c>
      <c r="AY1537" s="12">
        <v>0</v>
      </c>
      <c r="AZ1537"/>
      <c r="BA1537"/>
      <c r="BB1537" s="12">
        <v>0</v>
      </c>
      <c r="BC1537" s="12">
        <v>0</v>
      </c>
      <c r="BD1537" s="12">
        <v>0</v>
      </c>
      <c r="BE1537" s="12">
        <v>0</v>
      </c>
      <c r="BF1537" s="12">
        <v>0</v>
      </c>
      <c r="BI1537" s="12">
        <v>0</v>
      </c>
      <c r="BJ1537" s="12">
        <v>0</v>
      </c>
    </row>
    <row r="1538" spans="1:62" ht="14" x14ac:dyDescent="0.15">
      <c r="A1538" s="12"/>
      <c r="B1538" s="25" t="s">
        <v>8032</v>
      </c>
      <c r="C1538" s="28" t="s">
        <v>8033</v>
      </c>
      <c r="D1538" t="s">
        <v>7267</v>
      </c>
      <c r="E1538" t="s">
        <v>2182</v>
      </c>
      <c r="F1538"/>
      <c r="G1538"/>
      <c r="H1538"/>
      <c r="I1538"/>
      <c r="J1538"/>
      <c r="K1538"/>
      <c r="L1538" s="21">
        <v>4031269.8620000002</v>
      </c>
      <c r="M1538" s="21">
        <v>770071.72199999995</v>
      </c>
      <c r="N1538" s="12">
        <v>15</v>
      </c>
      <c r="O1538" s="12" t="s">
        <v>6992</v>
      </c>
      <c r="P1538" t="s">
        <v>2183</v>
      </c>
      <c r="Q1538"/>
      <c r="R1538"/>
      <c r="S1538" t="s">
        <v>2184</v>
      </c>
      <c r="T1538" s="12" t="s">
        <v>2185</v>
      </c>
      <c r="U1538" s="12" t="s">
        <v>2186</v>
      </c>
      <c r="V1538" s="12" t="s">
        <v>2187</v>
      </c>
      <c r="W1538" s="12">
        <v>0</v>
      </c>
      <c r="X1538" s="12">
        <v>1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2">
        <v>0</v>
      </c>
      <c r="AK1538" s="12">
        <v>0</v>
      </c>
      <c r="AL1538" s="12">
        <v>0</v>
      </c>
      <c r="AM1538" s="12"/>
      <c r="AN1538" s="12">
        <v>0</v>
      </c>
      <c r="AO1538" s="12">
        <v>0</v>
      </c>
      <c r="AP1538" s="12">
        <v>0</v>
      </c>
      <c r="AQ1538" s="12">
        <v>0</v>
      </c>
      <c r="AR1538" s="12">
        <v>0</v>
      </c>
      <c r="AS1538" s="12">
        <v>0</v>
      </c>
      <c r="AT1538" s="12">
        <v>0</v>
      </c>
      <c r="AU1538" s="12">
        <v>0</v>
      </c>
      <c r="AV1538" s="12">
        <v>0</v>
      </c>
      <c r="AW1538" s="12">
        <v>0</v>
      </c>
      <c r="AX1538" s="12">
        <v>0</v>
      </c>
      <c r="AY1538" s="12">
        <v>0</v>
      </c>
      <c r="AZ1538"/>
      <c r="BA1538"/>
      <c r="BB1538" s="12">
        <v>0</v>
      </c>
      <c r="BC1538" s="12">
        <v>0</v>
      </c>
      <c r="BD1538" s="12">
        <v>0</v>
      </c>
      <c r="BE1538" s="12">
        <v>0</v>
      </c>
      <c r="BF1538" s="12">
        <v>0</v>
      </c>
      <c r="BI1538" s="12">
        <v>0</v>
      </c>
      <c r="BJ1538" s="12">
        <v>0</v>
      </c>
    </row>
    <row r="1539" spans="1:62" ht="28" x14ac:dyDescent="0.15">
      <c r="A1539" s="12"/>
      <c r="B1539" s="25" t="s">
        <v>8034</v>
      </c>
      <c r="C1539" s="28" t="s">
        <v>8035</v>
      </c>
      <c r="D1539" t="s">
        <v>7267</v>
      </c>
      <c r="E1539" t="s">
        <v>2182</v>
      </c>
      <c r="F1539"/>
      <c r="G1539"/>
      <c r="H1539"/>
      <c r="I1539"/>
      <c r="J1539"/>
      <c r="K1539"/>
      <c r="L1539" s="21">
        <v>4031872.0090000001</v>
      </c>
      <c r="M1539" s="21">
        <v>769282.77300000004</v>
      </c>
      <c r="N1539" s="12">
        <v>15</v>
      </c>
      <c r="O1539" s="12" t="s">
        <v>6992</v>
      </c>
      <c r="P1539" t="s">
        <v>2183</v>
      </c>
      <c r="Q1539"/>
      <c r="R1539"/>
      <c r="S1539" t="s">
        <v>2184</v>
      </c>
      <c r="T1539" s="12" t="s">
        <v>2185</v>
      </c>
      <c r="U1539" s="12" t="s">
        <v>2186</v>
      </c>
      <c r="V1539" s="12" t="s">
        <v>2187</v>
      </c>
      <c r="W1539" s="12">
        <v>0</v>
      </c>
      <c r="X1539" s="12">
        <v>1</v>
      </c>
      <c r="Y1539" s="12">
        <v>0</v>
      </c>
      <c r="Z1539" s="12">
        <v>0</v>
      </c>
      <c r="AA1539" s="12">
        <v>0</v>
      </c>
      <c r="AB1539" s="12">
        <v>0</v>
      </c>
      <c r="AC1539" s="12">
        <v>0</v>
      </c>
      <c r="AD1539" s="12">
        <v>0</v>
      </c>
      <c r="AE1539" s="12">
        <v>0</v>
      </c>
      <c r="AF1539" s="12">
        <v>0</v>
      </c>
      <c r="AG1539" s="12">
        <v>0</v>
      </c>
      <c r="AH1539" s="12">
        <v>0</v>
      </c>
      <c r="AI1539" s="12">
        <v>0</v>
      </c>
      <c r="AJ1539" s="12">
        <v>0</v>
      </c>
      <c r="AK1539" s="12">
        <v>0</v>
      </c>
      <c r="AL1539" s="12">
        <v>0</v>
      </c>
      <c r="AM1539" s="12"/>
      <c r="AN1539" s="12">
        <v>0</v>
      </c>
      <c r="AO1539" s="12">
        <v>0</v>
      </c>
      <c r="AP1539" s="12">
        <v>0</v>
      </c>
      <c r="AQ1539" s="12">
        <v>0</v>
      </c>
      <c r="AR1539" s="12">
        <v>0</v>
      </c>
      <c r="AS1539" s="12">
        <v>0</v>
      </c>
      <c r="AT1539" s="12">
        <v>0</v>
      </c>
      <c r="AU1539" s="12">
        <v>0</v>
      </c>
      <c r="AV1539" s="12">
        <v>0</v>
      </c>
      <c r="AW1539" s="12">
        <v>0</v>
      </c>
      <c r="AX1539" s="12">
        <v>0</v>
      </c>
      <c r="AY1539" s="12">
        <v>0</v>
      </c>
      <c r="AZ1539"/>
      <c r="BA1539"/>
      <c r="BB1539" s="12">
        <v>0</v>
      </c>
      <c r="BC1539" s="12">
        <v>0</v>
      </c>
      <c r="BD1539" s="12">
        <v>0</v>
      </c>
      <c r="BE1539" s="12">
        <v>0</v>
      </c>
      <c r="BF1539" s="12">
        <v>0</v>
      </c>
      <c r="BI1539" s="12">
        <v>0</v>
      </c>
      <c r="BJ1539" s="12">
        <v>0</v>
      </c>
    </row>
    <row r="1540" spans="1:62" ht="14" x14ac:dyDescent="0.15">
      <c r="A1540" s="12"/>
      <c r="B1540" s="25" t="s">
        <v>8036</v>
      </c>
      <c r="C1540" s="28" t="s">
        <v>8037</v>
      </c>
      <c r="D1540" t="s">
        <v>7267</v>
      </c>
      <c r="E1540" t="s">
        <v>2182</v>
      </c>
      <c r="F1540"/>
      <c r="G1540"/>
      <c r="H1540"/>
      <c r="I1540"/>
      <c r="J1540"/>
      <c r="K1540"/>
      <c r="L1540" s="21">
        <v>4021758.0389999999</v>
      </c>
      <c r="M1540" s="21">
        <v>765435.01599999995</v>
      </c>
      <c r="N1540" s="12">
        <v>15</v>
      </c>
      <c r="O1540" s="12" t="s">
        <v>6992</v>
      </c>
      <c r="P1540" t="s">
        <v>2183</v>
      </c>
      <c r="Q1540"/>
      <c r="R1540"/>
      <c r="S1540" t="s">
        <v>2184</v>
      </c>
      <c r="T1540" s="12" t="s">
        <v>2185</v>
      </c>
      <c r="U1540" s="12" t="s">
        <v>2186</v>
      </c>
      <c r="V1540" s="12" t="s">
        <v>2187</v>
      </c>
      <c r="W1540" s="12">
        <v>0</v>
      </c>
      <c r="X1540" s="12">
        <v>1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2">
        <v>0</v>
      </c>
      <c r="AK1540" s="12">
        <v>0</v>
      </c>
      <c r="AL1540" s="12">
        <v>0</v>
      </c>
      <c r="AM1540" s="12"/>
      <c r="AN1540" s="12">
        <v>0</v>
      </c>
      <c r="AO1540" s="12">
        <v>0</v>
      </c>
      <c r="AP1540" s="12">
        <v>0</v>
      </c>
      <c r="AQ1540" s="12">
        <v>0</v>
      </c>
      <c r="AR1540" s="12">
        <v>0</v>
      </c>
      <c r="AS1540" s="12">
        <v>0</v>
      </c>
      <c r="AT1540" s="12">
        <v>0</v>
      </c>
      <c r="AU1540" s="12">
        <v>0</v>
      </c>
      <c r="AV1540" s="12">
        <v>0</v>
      </c>
      <c r="AW1540" s="12">
        <v>0</v>
      </c>
      <c r="AX1540" s="12">
        <v>0</v>
      </c>
      <c r="AY1540" s="12">
        <v>0</v>
      </c>
      <c r="AZ1540"/>
      <c r="BA1540"/>
      <c r="BB1540" s="12">
        <v>0</v>
      </c>
      <c r="BC1540" s="12">
        <v>0</v>
      </c>
      <c r="BD1540" s="12">
        <v>0</v>
      </c>
      <c r="BE1540" s="12">
        <v>0</v>
      </c>
      <c r="BF1540" s="12">
        <v>0</v>
      </c>
      <c r="BI1540" s="12">
        <v>0</v>
      </c>
      <c r="BJ1540" s="12">
        <v>0</v>
      </c>
    </row>
    <row r="1541" spans="1:62" ht="28" x14ac:dyDescent="0.15">
      <c r="A1541" s="12"/>
      <c r="B1541" s="25" t="s">
        <v>8038</v>
      </c>
      <c r="C1541" s="28" t="s">
        <v>8039</v>
      </c>
      <c r="D1541" t="s">
        <v>7267</v>
      </c>
      <c r="E1541" t="s">
        <v>2182</v>
      </c>
      <c r="F1541"/>
      <c r="G1541"/>
      <c r="H1541"/>
      <c r="I1541"/>
      <c r="J1541"/>
      <c r="K1541"/>
      <c r="L1541" s="21">
        <v>4025608.0690000001</v>
      </c>
      <c r="M1541" s="21">
        <v>768035.03500000003</v>
      </c>
      <c r="N1541" s="12">
        <v>15</v>
      </c>
      <c r="O1541" s="12" t="s">
        <v>6992</v>
      </c>
      <c r="P1541" t="s">
        <v>2183</v>
      </c>
      <c r="Q1541"/>
      <c r="R1541"/>
      <c r="S1541" t="s">
        <v>2184</v>
      </c>
      <c r="T1541" s="12" t="s">
        <v>2185</v>
      </c>
      <c r="U1541" s="12" t="s">
        <v>2186</v>
      </c>
      <c r="V1541" s="12" t="s">
        <v>2187</v>
      </c>
      <c r="W1541" s="12">
        <v>0</v>
      </c>
      <c r="X1541" s="12">
        <v>1</v>
      </c>
      <c r="Y1541" s="12">
        <v>0</v>
      </c>
      <c r="Z1541" s="12">
        <v>0</v>
      </c>
      <c r="AA1541" s="12">
        <v>0</v>
      </c>
      <c r="AB1541" s="12">
        <v>0</v>
      </c>
      <c r="AC1541" s="12">
        <v>0</v>
      </c>
      <c r="AD1541" s="12">
        <v>0</v>
      </c>
      <c r="AE1541" s="12">
        <v>0</v>
      </c>
      <c r="AF1541" s="12">
        <v>0</v>
      </c>
      <c r="AG1541" s="12">
        <v>0</v>
      </c>
      <c r="AH1541" s="12">
        <v>0</v>
      </c>
      <c r="AI1541" s="12">
        <v>0</v>
      </c>
      <c r="AJ1541" s="12">
        <v>0</v>
      </c>
      <c r="AK1541" s="12">
        <v>0</v>
      </c>
      <c r="AL1541" s="12">
        <v>0</v>
      </c>
      <c r="AM1541" s="12"/>
      <c r="AN1541" s="12">
        <v>0</v>
      </c>
      <c r="AO1541" s="12">
        <v>0</v>
      </c>
      <c r="AP1541" s="12">
        <v>0</v>
      </c>
      <c r="AQ1541" s="12">
        <v>0</v>
      </c>
      <c r="AR1541" s="12">
        <v>0</v>
      </c>
      <c r="AS1541" s="12">
        <v>0</v>
      </c>
      <c r="AT1541" s="12">
        <v>0</v>
      </c>
      <c r="AU1541" s="12">
        <v>0</v>
      </c>
      <c r="AV1541" s="12">
        <v>0</v>
      </c>
      <c r="AW1541" s="12">
        <v>0</v>
      </c>
      <c r="AX1541" s="12">
        <v>0</v>
      </c>
      <c r="AY1541" s="12">
        <v>0</v>
      </c>
      <c r="AZ1541"/>
      <c r="BA1541"/>
      <c r="BB1541" s="12">
        <v>0</v>
      </c>
      <c r="BC1541" s="12">
        <v>0</v>
      </c>
      <c r="BD1541" s="12">
        <v>0</v>
      </c>
      <c r="BE1541" s="12">
        <v>0</v>
      </c>
      <c r="BF1541" s="12">
        <v>0</v>
      </c>
      <c r="BI1541" s="12">
        <v>0</v>
      </c>
      <c r="BJ1541" s="12">
        <v>0</v>
      </c>
    </row>
    <row r="1542" spans="1:62" ht="28" x14ac:dyDescent="0.15">
      <c r="A1542" s="12"/>
      <c r="B1542" s="25" t="s">
        <v>8040</v>
      </c>
      <c r="C1542" s="28" t="s">
        <v>8041</v>
      </c>
      <c r="D1542" t="s">
        <v>7267</v>
      </c>
      <c r="E1542" t="s">
        <v>2182</v>
      </c>
      <c r="F1542"/>
      <c r="G1542"/>
      <c r="H1542"/>
      <c r="I1542"/>
      <c r="J1542"/>
      <c r="K1542"/>
      <c r="L1542" s="21">
        <v>4029813.1120000002</v>
      </c>
      <c r="M1542" s="21">
        <v>770813.65700000001</v>
      </c>
      <c r="N1542" s="12">
        <v>15</v>
      </c>
      <c r="O1542" s="12" t="s">
        <v>6992</v>
      </c>
      <c r="P1542" t="s">
        <v>2183</v>
      </c>
      <c r="Q1542"/>
      <c r="R1542"/>
      <c r="S1542" t="s">
        <v>2184</v>
      </c>
      <c r="T1542" s="12" t="s">
        <v>2185</v>
      </c>
      <c r="U1542" s="12" t="s">
        <v>2186</v>
      </c>
      <c r="V1542" s="12" t="s">
        <v>2187</v>
      </c>
      <c r="W1542" s="12">
        <v>0</v>
      </c>
      <c r="X1542" s="12">
        <v>1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2">
        <v>0</v>
      </c>
      <c r="AK1542" s="12">
        <v>0</v>
      </c>
      <c r="AL1542" s="12">
        <v>0</v>
      </c>
      <c r="AM1542" s="12"/>
      <c r="AN1542" s="12">
        <v>0</v>
      </c>
      <c r="AO1542" s="12">
        <v>0</v>
      </c>
      <c r="AP1542" s="12">
        <v>0</v>
      </c>
      <c r="AQ1542" s="12">
        <v>0</v>
      </c>
      <c r="AR1542" s="12">
        <v>0</v>
      </c>
      <c r="AS1542" s="12">
        <v>0</v>
      </c>
      <c r="AT1542" s="12">
        <v>0</v>
      </c>
      <c r="AU1542" s="12">
        <v>0</v>
      </c>
      <c r="AV1542" s="12">
        <v>0</v>
      </c>
      <c r="AW1542" s="12">
        <v>0</v>
      </c>
      <c r="AX1542" s="12">
        <v>0</v>
      </c>
      <c r="AY1542" s="12">
        <v>0</v>
      </c>
      <c r="AZ1542"/>
      <c r="BA1542"/>
      <c r="BB1542" s="12">
        <v>0</v>
      </c>
      <c r="BC1542" s="12">
        <v>0</v>
      </c>
      <c r="BD1542" s="12">
        <v>0</v>
      </c>
      <c r="BE1542" s="12">
        <v>0</v>
      </c>
      <c r="BF1542" s="12">
        <v>0</v>
      </c>
      <c r="BI1542" s="12">
        <v>0</v>
      </c>
      <c r="BJ1542" s="12">
        <v>0</v>
      </c>
    </row>
    <row r="1543" spans="1:62" ht="14" x14ac:dyDescent="0.15">
      <c r="A1543" s="12"/>
      <c r="B1543" s="25" t="s">
        <v>8042</v>
      </c>
      <c r="C1543" s="28" t="s">
        <v>8043</v>
      </c>
      <c r="D1543" t="s">
        <v>7267</v>
      </c>
      <c r="E1543" t="s">
        <v>2182</v>
      </c>
      <c r="F1543"/>
      <c r="G1543"/>
      <c r="H1543"/>
      <c r="I1543"/>
      <c r="J1543"/>
      <c r="K1543"/>
      <c r="L1543" s="21">
        <v>4024508.0610000002</v>
      </c>
      <c r="M1543" s="21">
        <v>767285.02899999998</v>
      </c>
      <c r="N1543" s="12">
        <v>15</v>
      </c>
      <c r="O1543" s="12" t="s">
        <v>6992</v>
      </c>
      <c r="P1543" t="s">
        <v>2183</v>
      </c>
      <c r="Q1543"/>
      <c r="R1543"/>
      <c r="S1543" t="s">
        <v>2184</v>
      </c>
      <c r="T1543" s="12" t="s">
        <v>2185</v>
      </c>
      <c r="U1543" s="12" t="s">
        <v>2186</v>
      </c>
      <c r="V1543" s="12" t="s">
        <v>2187</v>
      </c>
      <c r="W1543" s="12">
        <v>0</v>
      </c>
      <c r="X1543" s="12">
        <v>1</v>
      </c>
      <c r="Y1543" s="12">
        <v>0</v>
      </c>
      <c r="Z1543" s="12">
        <v>0</v>
      </c>
      <c r="AA1543" s="12">
        <v>0</v>
      </c>
      <c r="AB1543" s="12">
        <v>0</v>
      </c>
      <c r="AC1543" s="12">
        <v>0</v>
      </c>
      <c r="AD1543" s="12">
        <v>0</v>
      </c>
      <c r="AE1543" s="12">
        <v>0</v>
      </c>
      <c r="AF1543" s="12">
        <v>0</v>
      </c>
      <c r="AG1543" s="12">
        <v>0</v>
      </c>
      <c r="AH1543" s="12">
        <v>0</v>
      </c>
      <c r="AI1543" s="12">
        <v>0</v>
      </c>
      <c r="AJ1543" s="12">
        <v>0</v>
      </c>
      <c r="AK1543" s="12">
        <v>0</v>
      </c>
      <c r="AL1543" s="12">
        <v>0</v>
      </c>
      <c r="AM1543" s="12"/>
      <c r="AN1543" s="12">
        <v>0</v>
      </c>
      <c r="AO1543" s="12">
        <v>0</v>
      </c>
      <c r="AP1543" s="12">
        <v>0</v>
      </c>
      <c r="AQ1543" s="12">
        <v>0</v>
      </c>
      <c r="AR1543" s="12">
        <v>0</v>
      </c>
      <c r="AS1543" s="12">
        <v>0</v>
      </c>
      <c r="AT1543" s="12">
        <v>0</v>
      </c>
      <c r="AU1543" s="12">
        <v>0</v>
      </c>
      <c r="AV1543" s="12">
        <v>0</v>
      </c>
      <c r="AW1543" s="12">
        <v>0</v>
      </c>
      <c r="AX1543" s="12">
        <v>0</v>
      </c>
      <c r="AY1543" s="12">
        <v>0</v>
      </c>
      <c r="AZ1543"/>
      <c r="BA1543"/>
      <c r="BB1543" s="12">
        <v>0</v>
      </c>
      <c r="BC1543" s="12">
        <v>0</v>
      </c>
      <c r="BD1543" s="12">
        <v>0</v>
      </c>
      <c r="BE1543" s="12">
        <v>0</v>
      </c>
      <c r="BF1543" s="12">
        <v>0</v>
      </c>
      <c r="BI1543" s="12">
        <v>0</v>
      </c>
      <c r="BJ1543" s="12">
        <v>0</v>
      </c>
    </row>
    <row r="1544" spans="1:62" ht="14" x14ac:dyDescent="0.15">
      <c r="A1544" s="12"/>
      <c r="B1544" s="25" t="s">
        <v>5329</v>
      </c>
      <c r="C1544" s="28" t="s">
        <v>5330</v>
      </c>
      <c r="D1544" t="s">
        <v>7267</v>
      </c>
      <c r="E1544" t="s">
        <v>2182</v>
      </c>
      <c r="F1544"/>
      <c r="G1544"/>
      <c r="H1544"/>
      <c r="I1544"/>
      <c r="J1544"/>
      <c r="K1544"/>
      <c r="L1544" s="21">
        <v>4028708.0720000002</v>
      </c>
      <c r="M1544" s="21">
        <v>767885.03899999999</v>
      </c>
      <c r="N1544" s="12">
        <v>15</v>
      </c>
      <c r="O1544" s="12" t="s">
        <v>6992</v>
      </c>
      <c r="P1544" t="s">
        <v>2183</v>
      </c>
      <c r="Q1544"/>
      <c r="R1544"/>
      <c r="S1544" t="s">
        <v>2184</v>
      </c>
      <c r="T1544" s="12" t="s">
        <v>2185</v>
      </c>
      <c r="U1544" s="12" t="s">
        <v>2186</v>
      </c>
      <c r="V1544" s="12" t="s">
        <v>2187</v>
      </c>
      <c r="W1544" s="12">
        <v>0</v>
      </c>
      <c r="X1544" s="12">
        <v>1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2">
        <v>0</v>
      </c>
      <c r="AK1544" s="12">
        <v>0</v>
      </c>
      <c r="AL1544" s="12">
        <v>0</v>
      </c>
      <c r="AM1544" s="12"/>
      <c r="AN1544" s="12">
        <v>0</v>
      </c>
      <c r="AO1544" s="12">
        <v>0</v>
      </c>
      <c r="AP1544" s="12">
        <v>0</v>
      </c>
      <c r="AQ1544" s="12">
        <v>0</v>
      </c>
      <c r="AR1544" s="12">
        <v>0</v>
      </c>
      <c r="AS1544" s="12">
        <v>0</v>
      </c>
      <c r="AT1544" s="12">
        <v>0</v>
      </c>
      <c r="AU1544" s="12">
        <v>0</v>
      </c>
      <c r="AV1544" s="12">
        <v>0</v>
      </c>
      <c r="AW1544" s="12">
        <v>0</v>
      </c>
      <c r="AX1544" s="12">
        <v>0</v>
      </c>
      <c r="AY1544" s="12">
        <v>0</v>
      </c>
      <c r="AZ1544"/>
      <c r="BA1544"/>
      <c r="BB1544" s="12">
        <v>0</v>
      </c>
      <c r="BC1544" s="12">
        <v>0</v>
      </c>
      <c r="BD1544" s="12">
        <v>0</v>
      </c>
      <c r="BE1544" s="12">
        <v>0</v>
      </c>
      <c r="BF1544" s="12">
        <v>0</v>
      </c>
      <c r="BI1544" s="12">
        <v>0</v>
      </c>
      <c r="BJ1544" s="12">
        <v>0</v>
      </c>
    </row>
    <row r="1545" spans="1:62" ht="28" x14ac:dyDescent="0.15">
      <c r="A1545" s="12"/>
      <c r="B1545" s="25" t="s">
        <v>5331</v>
      </c>
      <c r="C1545" s="28" t="s">
        <v>5332</v>
      </c>
      <c r="D1545" t="s">
        <v>7267</v>
      </c>
      <c r="E1545" t="s">
        <v>2182</v>
      </c>
      <c r="F1545"/>
      <c r="G1545"/>
      <c r="H1545"/>
      <c r="I1545"/>
      <c r="J1545"/>
      <c r="K1545"/>
      <c r="L1545" s="21">
        <v>4028408.071</v>
      </c>
      <c r="M1545" s="21">
        <v>767685.03700000001</v>
      </c>
      <c r="N1545" s="12">
        <v>15</v>
      </c>
      <c r="O1545" s="12" t="s">
        <v>6992</v>
      </c>
      <c r="P1545" t="s">
        <v>2183</v>
      </c>
      <c r="Q1545"/>
      <c r="R1545"/>
      <c r="S1545" t="s">
        <v>2184</v>
      </c>
      <c r="T1545" s="12" t="s">
        <v>2185</v>
      </c>
      <c r="U1545" s="12" t="s">
        <v>2186</v>
      </c>
      <c r="V1545" s="12" t="s">
        <v>2187</v>
      </c>
      <c r="W1545" s="12">
        <v>0</v>
      </c>
      <c r="X1545" s="12">
        <v>1</v>
      </c>
      <c r="Y1545" s="12">
        <v>0</v>
      </c>
      <c r="Z1545" s="12">
        <v>0</v>
      </c>
      <c r="AA1545" s="12">
        <v>0</v>
      </c>
      <c r="AB1545" s="12">
        <v>0</v>
      </c>
      <c r="AC1545" s="12">
        <v>0</v>
      </c>
      <c r="AD1545" s="12">
        <v>0</v>
      </c>
      <c r="AE1545" s="12">
        <v>0</v>
      </c>
      <c r="AF1545" s="12">
        <v>0</v>
      </c>
      <c r="AG1545" s="12">
        <v>0</v>
      </c>
      <c r="AH1545" s="12">
        <v>0</v>
      </c>
      <c r="AI1545" s="12">
        <v>0</v>
      </c>
      <c r="AJ1545" s="12">
        <v>0</v>
      </c>
      <c r="AK1545" s="12">
        <v>0</v>
      </c>
      <c r="AL1545" s="12">
        <v>0</v>
      </c>
      <c r="AM1545" s="12"/>
      <c r="AN1545" s="12">
        <v>0</v>
      </c>
      <c r="AO1545" s="12">
        <v>0</v>
      </c>
      <c r="AP1545" s="12">
        <v>0</v>
      </c>
      <c r="AQ1545" s="12">
        <v>0</v>
      </c>
      <c r="AR1545" s="12">
        <v>0</v>
      </c>
      <c r="AS1545" s="12">
        <v>0</v>
      </c>
      <c r="AT1545" s="12">
        <v>0</v>
      </c>
      <c r="AU1545" s="12">
        <v>0</v>
      </c>
      <c r="AV1545" s="12">
        <v>0</v>
      </c>
      <c r="AW1545" s="12">
        <v>0</v>
      </c>
      <c r="AX1545" s="12">
        <v>0</v>
      </c>
      <c r="AY1545" s="12">
        <v>0</v>
      </c>
      <c r="AZ1545"/>
      <c r="BA1545"/>
      <c r="BB1545" s="12">
        <v>0</v>
      </c>
      <c r="BC1545" s="12">
        <v>0</v>
      </c>
      <c r="BD1545" s="12">
        <v>0</v>
      </c>
      <c r="BE1545" s="12">
        <v>0</v>
      </c>
      <c r="BF1545" s="12">
        <v>0</v>
      </c>
      <c r="BI1545" s="12">
        <v>0</v>
      </c>
      <c r="BJ1545" s="12">
        <v>0</v>
      </c>
    </row>
    <row r="1546" spans="1:62" ht="28" x14ac:dyDescent="0.15">
      <c r="A1546" s="12"/>
      <c r="B1546" s="25" t="s">
        <v>5333</v>
      </c>
      <c r="C1546" s="28" t="s">
        <v>5334</v>
      </c>
      <c r="D1546" t="s">
        <v>7267</v>
      </c>
      <c r="E1546" t="s">
        <v>2182</v>
      </c>
      <c r="F1546"/>
      <c r="G1546"/>
      <c r="H1546"/>
      <c r="I1546"/>
      <c r="J1546"/>
      <c r="K1546"/>
      <c r="L1546" s="21">
        <v>4028308.071</v>
      </c>
      <c r="M1546" s="21">
        <v>767835.03799999994</v>
      </c>
      <c r="N1546" s="12">
        <v>15</v>
      </c>
      <c r="O1546" s="12" t="s">
        <v>6992</v>
      </c>
      <c r="P1546" t="s">
        <v>2183</v>
      </c>
      <c r="Q1546"/>
      <c r="R1546"/>
      <c r="S1546" t="s">
        <v>2184</v>
      </c>
      <c r="T1546" s="12" t="s">
        <v>2185</v>
      </c>
      <c r="U1546" s="12" t="s">
        <v>2186</v>
      </c>
      <c r="V1546" s="12" t="s">
        <v>2187</v>
      </c>
      <c r="W1546" s="12">
        <v>0</v>
      </c>
      <c r="X1546" s="12">
        <v>1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2">
        <v>0</v>
      </c>
      <c r="AK1546" s="12">
        <v>0</v>
      </c>
      <c r="AL1546" s="12">
        <v>0</v>
      </c>
      <c r="AM1546" s="12"/>
      <c r="AN1546" s="12">
        <v>0</v>
      </c>
      <c r="AO1546" s="12">
        <v>0</v>
      </c>
      <c r="AP1546" s="12">
        <v>0</v>
      </c>
      <c r="AQ1546" s="12">
        <v>0</v>
      </c>
      <c r="AR1546" s="12">
        <v>0</v>
      </c>
      <c r="AS1546" s="12">
        <v>0</v>
      </c>
      <c r="AT1546" s="12">
        <v>0</v>
      </c>
      <c r="AU1546" s="12">
        <v>0</v>
      </c>
      <c r="AV1546" s="12">
        <v>0</v>
      </c>
      <c r="AW1546" s="12">
        <v>0</v>
      </c>
      <c r="AX1546" s="12">
        <v>0</v>
      </c>
      <c r="AY1546" s="12">
        <v>0</v>
      </c>
      <c r="AZ1546"/>
      <c r="BA1546"/>
      <c r="BB1546" s="12">
        <v>0</v>
      </c>
      <c r="BC1546" s="12">
        <v>0</v>
      </c>
      <c r="BD1546" s="12">
        <v>0</v>
      </c>
      <c r="BE1546" s="12">
        <v>0</v>
      </c>
      <c r="BF1546" s="12">
        <v>0</v>
      </c>
      <c r="BI1546" s="12">
        <v>0</v>
      </c>
      <c r="BJ1546" s="12">
        <v>0</v>
      </c>
    </row>
    <row r="1547" spans="1:62" ht="42" x14ac:dyDescent="0.15">
      <c r="A1547" s="12"/>
      <c r="B1547" s="25" t="s">
        <v>5335</v>
      </c>
      <c r="C1547" s="28" t="s">
        <v>5336</v>
      </c>
      <c r="D1547" t="s">
        <v>7267</v>
      </c>
      <c r="E1547" t="s">
        <v>2182</v>
      </c>
      <c r="F1547"/>
      <c r="G1547"/>
      <c r="H1547"/>
      <c r="I1547"/>
      <c r="J1547"/>
      <c r="K1547"/>
      <c r="L1547" s="21">
        <v>4025008.071</v>
      </c>
      <c r="M1547" s="21">
        <v>768485.03700000001</v>
      </c>
      <c r="N1547" s="12">
        <v>15</v>
      </c>
      <c r="O1547" s="12" t="s">
        <v>6992</v>
      </c>
      <c r="P1547" t="s">
        <v>2183</v>
      </c>
      <c r="Q1547"/>
      <c r="R1547"/>
      <c r="S1547" t="s">
        <v>2184</v>
      </c>
      <c r="T1547" s="12" t="s">
        <v>2185</v>
      </c>
      <c r="U1547" s="12" t="s">
        <v>2186</v>
      </c>
      <c r="V1547" s="12" t="s">
        <v>2187</v>
      </c>
      <c r="W1547" s="12">
        <v>0</v>
      </c>
      <c r="X1547" s="12">
        <v>1</v>
      </c>
      <c r="Y1547" s="12">
        <v>0</v>
      </c>
      <c r="Z1547" s="12">
        <v>0</v>
      </c>
      <c r="AA1547" s="12">
        <v>0</v>
      </c>
      <c r="AB1547" s="12">
        <v>0</v>
      </c>
      <c r="AC1547" s="12">
        <v>0</v>
      </c>
      <c r="AD1547" s="12">
        <v>0</v>
      </c>
      <c r="AE1547" s="12">
        <v>0</v>
      </c>
      <c r="AF1547" s="12">
        <v>0</v>
      </c>
      <c r="AG1547" s="12">
        <v>0</v>
      </c>
      <c r="AH1547" s="12">
        <v>0</v>
      </c>
      <c r="AI1547" s="12">
        <v>0</v>
      </c>
      <c r="AJ1547" s="12">
        <v>0</v>
      </c>
      <c r="AK1547" s="12">
        <v>0</v>
      </c>
      <c r="AL1547" s="12">
        <v>0</v>
      </c>
      <c r="AM1547" s="12"/>
      <c r="AN1547" s="12">
        <v>0</v>
      </c>
      <c r="AO1547" s="12">
        <v>0</v>
      </c>
      <c r="AP1547" s="12">
        <v>0</v>
      </c>
      <c r="AQ1547" s="12">
        <v>0</v>
      </c>
      <c r="AR1547" s="12">
        <v>0</v>
      </c>
      <c r="AS1547" s="12">
        <v>0</v>
      </c>
      <c r="AT1547" s="12">
        <v>0</v>
      </c>
      <c r="AU1547" s="12">
        <v>0</v>
      </c>
      <c r="AV1547" s="12">
        <v>0</v>
      </c>
      <c r="AW1547" s="12">
        <v>0</v>
      </c>
      <c r="AX1547" s="12">
        <v>0</v>
      </c>
      <c r="AY1547" s="12">
        <v>0</v>
      </c>
      <c r="AZ1547"/>
      <c r="BA1547"/>
      <c r="BB1547" s="12">
        <v>0</v>
      </c>
      <c r="BC1547" s="12">
        <v>0</v>
      </c>
      <c r="BD1547" s="12">
        <v>0</v>
      </c>
      <c r="BE1547" s="12">
        <v>0</v>
      </c>
      <c r="BF1547" s="12">
        <v>0</v>
      </c>
      <c r="BI1547" s="12">
        <v>0</v>
      </c>
      <c r="BJ1547" s="12">
        <v>0</v>
      </c>
    </row>
    <row r="1548" spans="1:62" ht="42" x14ac:dyDescent="0.15">
      <c r="A1548" s="12"/>
      <c r="B1548" s="25" t="s">
        <v>5337</v>
      </c>
      <c r="C1548" s="28" t="s">
        <v>5338</v>
      </c>
      <c r="D1548" t="s">
        <v>7267</v>
      </c>
      <c r="E1548" t="s">
        <v>2182</v>
      </c>
      <c r="F1548"/>
      <c r="G1548"/>
      <c r="H1548"/>
      <c r="I1548"/>
      <c r="J1548"/>
      <c r="K1548"/>
      <c r="L1548" s="21">
        <v>4028008.0729999999</v>
      </c>
      <c r="M1548" s="21">
        <v>768185.04</v>
      </c>
      <c r="N1548" s="12">
        <v>15</v>
      </c>
      <c r="O1548" s="12" t="s">
        <v>6992</v>
      </c>
      <c r="P1548" t="s">
        <v>2183</v>
      </c>
      <c r="Q1548"/>
      <c r="R1548"/>
      <c r="S1548" t="s">
        <v>2184</v>
      </c>
      <c r="T1548" s="12" t="s">
        <v>2185</v>
      </c>
      <c r="U1548" s="12" t="s">
        <v>2186</v>
      </c>
      <c r="V1548" s="12" t="s">
        <v>2187</v>
      </c>
      <c r="W1548" s="12">
        <v>0</v>
      </c>
      <c r="X1548" s="12">
        <v>1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2">
        <v>0</v>
      </c>
      <c r="AK1548" s="12">
        <v>0</v>
      </c>
      <c r="AL1548" s="12">
        <v>0</v>
      </c>
      <c r="AM1548" s="12"/>
      <c r="AN1548" s="12">
        <v>0</v>
      </c>
      <c r="AO1548" s="12">
        <v>0</v>
      </c>
      <c r="AP1548" s="12">
        <v>0</v>
      </c>
      <c r="AQ1548" s="12">
        <v>0</v>
      </c>
      <c r="AR1548" s="12">
        <v>0</v>
      </c>
      <c r="AS1548" s="12">
        <v>0</v>
      </c>
      <c r="AT1548" s="12">
        <v>0</v>
      </c>
      <c r="AU1548" s="12">
        <v>0</v>
      </c>
      <c r="AV1548" s="12">
        <v>0</v>
      </c>
      <c r="AW1548" s="12">
        <v>0</v>
      </c>
      <c r="AX1548" s="12">
        <v>0</v>
      </c>
      <c r="AY1548" s="12">
        <v>0</v>
      </c>
      <c r="AZ1548"/>
      <c r="BA1548"/>
      <c r="BB1548" s="12">
        <v>0</v>
      </c>
      <c r="BC1548" s="12">
        <v>0</v>
      </c>
      <c r="BD1548" s="12">
        <v>0</v>
      </c>
      <c r="BE1548" s="12">
        <v>0</v>
      </c>
      <c r="BF1548" s="12">
        <v>0</v>
      </c>
      <c r="BI1548" s="12">
        <v>0</v>
      </c>
      <c r="BJ1548" s="12">
        <v>0</v>
      </c>
    </row>
    <row r="1549" spans="1:62" ht="42" x14ac:dyDescent="0.15">
      <c r="A1549" s="12"/>
      <c r="B1549" s="25" t="s">
        <v>5339</v>
      </c>
      <c r="C1549" s="28" t="s">
        <v>5340</v>
      </c>
      <c r="D1549" t="s">
        <v>7267</v>
      </c>
      <c r="E1549" t="s">
        <v>2182</v>
      </c>
      <c r="F1549"/>
      <c r="G1549"/>
      <c r="H1549"/>
      <c r="I1549"/>
      <c r="J1549"/>
      <c r="K1549"/>
      <c r="L1549" s="21">
        <v>4024208.0660000001</v>
      </c>
      <c r="M1549" s="21">
        <v>767985.03300000005</v>
      </c>
      <c r="N1549" s="12">
        <v>15</v>
      </c>
      <c r="O1549" s="12" t="s">
        <v>6992</v>
      </c>
      <c r="P1549" t="s">
        <v>2183</v>
      </c>
      <c r="Q1549"/>
      <c r="R1549"/>
      <c r="S1549" t="s">
        <v>2184</v>
      </c>
      <c r="T1549" s="12" t="s">
        <v>2185</v>
      </c>
      <c r="U1549" s="12" t="s">
        <v>2186</v>
      </c>
      <c r="V1549" s="12" t="s">
        <v>2187</v>
      </c>
      <c r="W1549" s="12">
        <v>0</v>
      </c>
      <c r="X1549" s="12">
        <v>1</v>
      </c>
      <c r="Y1549" s="12">
        <v>0</v>
      </c>
      <c r="Z1549" s="12">
        <v>0</v>
      </c>
      <c r="AA1549" s="12">
        <v>0</v>
      </c>
      <c r="AB1549" s="12">
        <v>0</v>
      </c>
      <c r="AC1549" s="12">
        <v>0</v>
      </c>
      <c r="AD1549" s="12">
        <v>0</v>
      </c>
      <c r="AE1549" s="12">
        <v>0</v>
      </c>
      <c r="AF1549" s="12">
        <v>0</v>
      </c>
      <c r="AG1549" s="12">
        <v>0</v>
      </c>
      <c r="AH1549" s="12">
        <v>0</v>
      </c>
      <c r="AI1549" s="12">
        <v>0</v>
      </c>
      <c r="AJ1549" s="12">
        <v>0</v>
      </c>
      <c r="AK1549" s="12">
        <v>0</v>
      </c>
      <c r="AL1549" s="12">
        <v>0</v>
      </c>
      <c r="AM1549" s="12"/>
      <c r="AN1549" s="12">
        <v>0</v>
      </c>
      <c r="AO1549" s="12">
        <v>0</v>
      </c>
      <c r="AP1549" s="12">
        <v>0</v>
      </c>
      <c r="AQ1549" s="12">
        <v>0</v>
      </c>
      <c r="AR1549" s="12">
        <v>0</v>
      </c>
      <c r="AS1549" s="12">
        <v>0</v>
      </c>
      <c r="AT1549" s="12">
        <v>0</v>
      </c>
      <c r="AU1549" s="12">
        <v>0</v>
      </c>
      <c r="AV1549" s="12">
        <v>0</v>
      </c>
      <c r="AW1549" s="12">
        <v>0</v>
      </c>
      <c r="AX1549" s="12">
        <v>0</v>
      </c>
      <c r="AY1549" s="12">
        <v>0</v>
      </c>
      <c r="AZ1549"/>
      <c r="BA1549"/>
      <c r="BB1549" s="12">
        <v>0</v>
      </c>
      <c r="BC1549" s="12">
        <v>0</v>
      </c>
      <c r="BD1549" s="12">
        <v>0</v>
      </c>
      <c r="BE1549" s="12">
        <v>0</v>
      </c>
      <c r="BF1549" s="12">
        <v>0</v>
      </c>
      <c r="BI1549" s="12">
        <v>0</v>
      </c>
      <c r="BJ1549" s="12">
        <v>0</v>
      </c>
    </row>
    <row r="1550" spans="1:62" ht="28" x14ac:dyDescent="0.15">
      <c r="A1550" s="12"/>
      <c r="B1550" s="25" t="s">
        <v>5341</v>
      </c>
      <c r="C1550" s="28" t="s">
        <v>5342</v>
      </c>
      <c r="D1550" t="s">
        <v>7267</v>
      </c>
      <c r="E1550" t="s">
        <v>2182</v>
      </c>
      <c r="F1550"/>
      <c r="G1550"/>
      <c r="H1550"/>
      <c r="I1550"/>
      <c r="J1550"/>
      <c r="K1550"/>
      <c r="L1550" s="21">
        <v>4029308.07</v>
      </c>
      <c r="M1550" s="21">
        <v>767385.03599999996</v>
      </c>
      <c r="N1550" s="12">
        <v>15</v>
      </c>
      <c r="O1550" s="12" t="s">
        <v>6992</v>
      </c>
      <c r="P1550" t="s">
        <v>2183</v>
      </c>
      <c r="Q1550"/>
      <c r="R1550"/>
      <c r="S1550" t="s">
        <v>2184</v>
      </c>
      <c r="T1550" s="12" t="s">
        <v>2185</v>
      </c>
      <c r="U1550" s="12" t="s">
        <v>2186</v>
      </c>
      <c r="V1550" s="12" t="s">
        <v>2187</v>
      </c>
      <c r="W1550" s="12">
        <v>0</v>
      </c>
      <c r="X1550" s="12">
        <v>1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2">
        <v>0</v>
      </c>
      <c r="AK1550" s="12">
        <v>0</v>
      </c>
      <c r="AL1550" s="12">
        <v>0</v>
      </c>
      <c r="AM1550" s="12"/>
      <c r="AN1550" s="12">
        <v>0</v>
      </c>
      <c r="AO1550" s="12">
        <v>0</v>
      </c>
      <c r="AP1550" s="12">
        <v>0</v>
      </c>
      <c r="AQ1550" s="12">
        <v>0</v>
      </c>
      <c r="AR1550" s="12">
        <v>0</v>
      </c>
      <c r="AS1550" s="12">
        <v>0</v>
      </c>
      <c r="AT1550" s="12">
        <v>0</v>
      </c>
      <c r="AU1550" s="12">
        <v>0</v>
      </c>
      <c r="AV1550" s="12">
        <v>0</v>
      </c>
      <c r="AW1550" s="12">
        <v>0</v>
      </c>
      <c r="AX1550" s="12">
        <v>0</v>
      </c>
      <c r="AY1550" s="12">
        <v>0</v>
      </c>
      <c r="AZ1550"/>
      <c r="BA1550"/>
      <c r="BB1550" s="12">
        <v>0</v>
      </c>
      <c r="BC1550" s="12">
        <v>0</v>
      </c>
      <c r="BD1550" s="12">
        <v>0</v>
      </c>
      <c r="BE1550" s="12">
        <v>0</v>
      </c>
      <c r="BF1550" s="12">
        <v>0</v>
      </c>
      <c r="BI1550" s="12">
        <v>0</v>
      </c>
      <c r="BJ1550" s="12">
        <v>0</v>
      </c>
    </row>
    <row r="1551" spans="1:62" ht="42" x14ac:dyDescent="0.15">
      <c r="A1551" s="12"/>
      <c r="B1551" s="25" t="s">
        <v>5343</v>
      </c>
      <c r="C1551" s="28" t="s">
        <v>5344</v>
      </c>
      <c r="D1551" t="s">
        <v>7267</v>
      </c>
      <c r="E1551" t="s">
        <v>2182</v>
      </c>
      <c r="F1551"/>
      <c r="G1551"/>
      <c r="H1551"/>
      <c r="I1551"/>
      <c r="J1551"/>
      <c r="K1551"/>
      <c r="L1551" s="21">
        <v>4043608.0860000001</v>
      </c>
      <c r="M1551" s="21">
        <v>765335.03200000001</v>
      </c>
      <c r="N1551" s="12">
        <v>15</v>
      </c>
      <c r="O1551" s="12" t="s">
        <v>6992</v>
      </c>
      <c r="P1551" t="s">
        <v>2183</v>
      </c>
      <c r="Q1551"/>
      <c r="R1551"/>
      <c r="S1551" t="s">
        <v>2184</v>
      </c>
      <c r="T1551" s="12" t="s">
        <v>2185</v>
      </c>
      <c r="U1551" s="12" t="s">
        <v>2186</v>
      </c>
      <c r="V1551" s="12" t="s">
        <v>2187</v>
      </c>
      <c r="W1551" s="12">
        <v>0</v>
      </c>
      <c r="X1551" s="12">
        <v>1</v>
      </c>
      <c r="Y1551" s="12">
        <v>0</v>
      </c>
      <c r="Z1551" s="12">
        <v>0</v>
      </c>
      <c r="AA1551" s="12">
        <v>0</v>
      </c>
      <c r="AB1551" s="12">
        <v>0</v>
      </c>
      <c r="AC1551" s="12">
        <v>0</v>
      </c>
      <c r="AD1551" s="12">
        <v>0</v>
      </c>
      <c r="AE1551" s="12">
        <v>0</v>
      </c>
      <c r="AF1551" s="12">
        <v>0</v>
      </c>
      <c r="AG1551" s="12">
        <v>0</v>
      </c>
      <c r="AH1551" s="12">
        <v>0</v>
      </c>
      <c r="AI1551" s="12">
        <v>0</v>
      </c>
      <c r="AJ1551" s="12">
        <v>0</v>
      </c>
      <c r="AK1551" s="12">
        <v>0</v>
      </c>
      <c r="AL1551" s="12">
        <v>0</v>
      </c>
      <c r="AM1551" s="12"/>
      <c r="AN1551" s="12">
        <v>0</v>
      </c>
      <c r="AO1551" s="12">
        <v>0</v>
      </c>
      <c r="AP1551" s="12">
        <v>0</v>
      </c>
      <c r="AQ1551" s="12">
        <v>0</v>
      </c>
      <c r="AR1551" s="12">
        <v>0</v>
      </c>
      <c r="AS1551" s="12">
        <v>0</v>
      </c>
      <c r="AT1551" s="12">
        <v>0</v>
      </c>
      <c r="AU1551" s="12">
        <v>0</v>
      </c>
      <c r="AV1551" s="12">
        <v>0</v>
      </c>
      <c r="AW1551" s="12">
        <v>0</v>
      </c>
      <c r="AX1551" s="12">
        <v>0</v>
      </c>
      <c r="AY1551" s="12">
        <v>0</v>
      </c>
      <c r="AZ1551"/>
      <c r="BA1551"/>
      <c r="BB1551" s="12">
        <v>0</v>
      </c>
      <c r="BC1551" s="12">
        <v>0</v>
      </c>
      <c r="BD1551" s="12">
        <v>0</v>
      </c>
      <c r="BE1551" s="12">
        <v>0</v>
      </c>
      <c r="BF1551" s="12">
        <v>0</v>
      </c>
      <c r="BI1551" s="12">
        <v>0</v>
      </c>
      <c r="BJ1551" s="12">
        <v>0</v>
      </c>
    </row>
    <row r="1552" spans="1:62" ht="28" x14ac:dyDescent="0.15">
      <c r="A1552" s="12"/>
      <c r="B1552" s="25" t="s">
        <v>5345</v>
      </c>
      <c r="C1552" s="28" t="s">
        <v>5346</v>
      </c>
      <c r="D1552" t="s">
        <v>7267</v>
      </c>
      <c r="E1552" t="s">
        <v>2182</v>
      </c>
      <c r="F1552"/>
      <c r="G1552"/>
      <c r="H1552"/>
      <c r="I1552"/>
      <c r="J1552"/>
      <c r="K1552"/>
      <c r="L1552" s="21">
        <v>4044908.09</v>
      </c>
      <c r="M1552" s="21">
        <v>765785.03700000001</v>
      </c>
      <c r="N1552" s="12">
        <v>15</v>
      </c>
      <c r="O1552" s="12" t="s">
        <v>6992</v>
      </c>
      <c r="P1552" t="s">
        <v>2183</v>
      </c>
      <c r="Q1552"/>
      <c r="R1552"/>
      <c r="S1552" t="s">
        <v>2184</v>
      </c>
      <c r="T1552" s="12" t="s">
        <v>2185</v>
      </c>
      <c r="U1552" s="12" t="s">
        <v>2186</v>
      </c>
      <c r="V1552" s="12" t="s">
        <v>2187</v>
      </c>
      <c r="W1552" s="12">
        <v>0</v>
      </c>
      <c r="X1552" s="12">
        <v>1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2">
        <v>0</v>
      </c>
      <c r="AK1552" s="12">
        <v>0</v>
      </c>
      <c r="AL1552" s="12">
        <v>0</v>
      </c>
      <c r="AM1552" s="12"/>
      <c r="AN1552" s="12">
        <v>0</v>
      </c>
      <c r="AO1552" s="12">
        <v>0</v>
      </c>
      <c r="AP1552" s="12">
        <v>0</v>
      </c>
      <c r="AQ1552" s="12">
        <v>0</v>
      </c>
      <c r="AR1552" s="12">
        <v>0</v>
      </c>
      <c r="AS1552" s="12">
        <v>0</v>
      </c>
      <c r="AT1552" s="12">
        <v>0</v>
      </c>
      <c r="AU1552" s="12">
        <v>0</v>
      </c>
      <c r="AV1552" s="12">
        <v>0</v>
      </c>
      <c r="AW1552" s="12">
        <v>0</v>
      </c>
      <c r="AX1552" s="12">
        <v>0</v>
      </c>
      <c r="AY1552" s="12">
        <v>0</v>
      </c>
      <c r="AZ1552"/>
      <c r="BA1552"/>
      <c r="BB1552" s="12">
        <v>0</v>
      </c>
      <c r="BC1552" s="12">
        <v>0</v>
      </c>
      <c r="BD1552" s="12">
        <v>0</v>
      </c>
      <c r="BE1552" s="12">
        <v>0</v>
      </c>
      <c r="BF1552" s="12">
        <v>0</v>
      </c>
      <c r="BI1552" s="12">
        <v>0</v>
      </c>
      <c r="BJ1552" s="12">
        <v>0</v>
      </c>
    </row>
    <row r="1553" spans="1:62" ht="14" x14ac:dyDescent="0.15">
      <c r="A1553" s="12"/>
      <c r="B1553" s="25" t="s">
        <v>5347</v>
      </c>
      <c r="C1553" s="28" t="s">
        <v>5348</v>
      </c>
      <c r="D1553" t="s">
        <v>7267</v>
      </c>
      <c r="E1553" t="s">
        <v>2182</v>
      </c>
      <c r="F1553"/>
      <c r="G1553"/>
      <c r="H1553"/>
      <c r="I1553"/>
      <c r="J1553"/>
      <c r="K1553"/>
      <c r="L1553" s="21">
        <v>4045708.07</v>
      </c>
      <c r="M1553" s="21">
        <v>749684.821</v>
      </c>
      <c r="N1553" s="12">
        <v>15</v>
      </c>
      <c r="O1553" s="12" t="s">
        <v>6992</v>
      </c>
      <c r="P1553" t="s">
        <v>2183</v>
      </c>
      <c r="Q1553"/>
      <c r="R1553"/>
      <c r="S1553" t="s">
        <v>2184</v>
      </c>
      <c r="T1553" s="12" t="s">
        <v>2185</v>
      </c>
      <c r="U1553" s="12" t="s">
        <v>2186</v>
      </c>
      <c r="V1553" s="12" t="s">
        <v>2187</v>
      </c>
      <c r="W1553" s="12">
        <v>0</v>
      </c>
      <c r="X1553" s="12">
        <v>1</v>
      </c>
      <c r="Y1553" s="12">
        <v>0</v>
      </c>
      <c r="Z1553" s="12">
        <v>0</v>
      </c>
      <c r="AA1553" s="12">
        <v>0</v>
      </c>
      <c r="AB1553" s="12">
        <v>0</v>
      </c>
      <c r="AC1553" s="12">
        <v>0</v>
      </c>
      <c r="AD1553" s="12">
        <v>0</v>
      </c>
      <c r="AE1553" s="12">
        <v>0</v>
      </c>
      <c r="AF1553" s="12">
        <v>0</v>
      </c>
      <c r="AG1553" s="12">
        <v>0</v>
      </c>
      <c r="AH1553" s="12">
        <v>0</v>
      </c>
      <c r="AI1553" s="12">
        <v>0</v>
      </c>
      <c r="AJ1553" s="12">
        <v>0</v>
      </c>
      <c r="AK1553" s="12">
        <v>0</v>
      </c>
      <c r="AL1553" s="12">
        <v>0</v>
      </c>
      <c r="AM1553" s="12"/>
      <c r="AN1553" s="12">
        <v>0</v>
      </c>
      <c r="AO1553" s="12">
        <v>0</v>
      </c>
      <c r="AP1553" s="12">
        <v>0</v>
      </c>
      <c r="AQ1553" s="12">
        <v>0</v>
      </c>
      <c r="AR1553" s="12">
        <v>0</v>
      </c>
      <c r="AS1553" s="12">
        <v>0</v>
      </c>
      <c r="AT1553" s="12">
        <v>0</v>
      </c>
      <c r="AU1553" s="12">
        <v>0</v>
      </c>
      <c r="AV1553" s="12">
        <v>0</v>
      </c>
      <c r="AW1553" s="12">
        <v>0</v>
      </c>
      <c r="AX1553" s="12">
        <v>0</v>
      </c>
      <c r="AY1553" s="12">
        <v>0</v>
      </c>
      <c r="AZ1553"/>
      <c r="BA1553"/>
      <c r="BB1553" s="12">
        <v>0</v>
      </c>
      <c r="BC1553" s="12">
        <v>0</v>
      </c>
      <c r="BD1553" s="12">
        <v>0</v>
      </c>
      <c r="BE1553" s="12">
        <v>0</v>
      </c>
      <c r="BF1553" s="12">
        <v>0</v>
      </c>
      <c r="BI1553" s="12">
        <v>0</v>
      </c>
      <c r="BJ1553" s="12">
        <v>0</v>
      </c>
    </row>
    <row r="1554" spans="1:62" ht="14" x14ac:dyDescent="0.15">
      <c r="A1554" s="12"/>
      <c r="B1554" s="25" t="s">
        <v>5349</v>
      </c>
      <c r="C1554" s="28" t="s">
        <v>5350</v>
      </c>
      <c r="D1554" t="s">
        <v>7267</v>
      </c>
      <c r="E1554" t="s">
        <v>2182</v>
      </c>
      <c r="F1554"/>
      <c r="G1554"/>
      <c r="H1554"/>
      <c r="I1554"/>
      <c r="J1554"/>
      <c r="K1554"/>
      <c r="L1554" s="21">
        <v>4042308.0839999998</v>
      </c>
      <c r="M1554" s="21">
        <v>765585.03399999999</v>
      </c>
      <c r="N1554" s="12">
        <v>15</v>
      </c>
      <c r="O1554" s="12" t="s">
        <v>6992</v>
      </c>
      <c r="P1554" t="s">
        <v>2183</v>
      </c>
      <c r="Q1554"/>
      <c r="R1554"/>
      <c r="S1554" t="s">
        <v>2184</v>
      </c>
      <c r="T1554" s="12" t="s">
        <v>2185</v>
      </c>
      <c r="U1554" s="12" t="s">
        <v>2186</v>
      </c>
      <c r="V1554" s="12" t="s">
        <v>2187</v>
      </c>
      <c r="W1554" s="12">
        <v>0</v>
      </c>
      <c r="X1554" s="12">
        <v>1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2">
        <v>0</v>
      </c>
      <c r="AK1554" s="12">
        <v>0</v>
      </c>
      <c r="AL1554" s="12">
        <v>0</v>
      </c>
      <c r="AM1554" s="12"/>
      <c r="AN1554" s="12">
        <v>0</v>
      </c>
      <c r="AO1554" s="12">
        <v>0</v>
      </c>
      <c r="AP1554" s="12">
        <v>0</v>
      </c>
      <c r="AQ1554" s="12">
        <v>0</v>
      </c>
      <c r="AR1554" s="12">
        <v>0</v>
      </c>
      <c r="AS1554" s="12">
        <v>0</v>
      </c>
      <c r="AT1554" s="12">
        <v>0</v>
      </c>
      <c r="AU1554" s="12">
        <v>0</v>
      </c>
      <c r="AV1554" s="12">
        <v>0</v>
      </c>
      <c r="AW1554" s="12">
        <v>0</v>
      </c>
      <c r="AX1554" s="12">
        <v>0</v>
      </c>
      <c r="AY1554" s="12">
        <v>0</v>
      </c>
      <c r="AZ1554"/>
      <c r="BA1554"/>
      <c r="BB1554" s="12">
        <v>0</v>
      </c>
      <c r="BC1554" s="12">
        <v>0</v>
      </c>
      <c r="BD1554" s="12">
        <v>0</v>
      </c>
      <c r="BE1554" s="12">
        <v>0</v>
      </c>
      <c r="BF1554" s="12">
        <v>0</v>
      </c>
      <c r="BI1554" s="12">
        <v>0</v>
      </c>
      <c r="BJ1554" s="12">
        <v>0</v>
      </c>
    </row>
    <row r="1555" spans="1:62" ht="14" x14ac:dyDescent="0.15">
      <c r="A1555" s="12"/>
      <c r="B1555" s="25" t="s">
        <v>5351</v>
      </c>
      <c r="C1555" s="28" t="s">
        <v>5352</v>
      </c>
      <c r="D1555" t="s">
        <v>7267</v>
      </c>
      <c r="E1555" t="s">
        <v>2182</v>
      </c>
      <c r="F1555"/>
      <c r="G1555"/>
      <c r="H1555"/>
      <c r="I1555"/>
      <c r="J1555"/>
      <c r="K1555"/>
      <c r="L1555" s="21">
        <v>4035458.074</v>
      </c>
      <c r="M1555" s="21">
        <v>766185.03300000005</v>
      </c>
      <c r="N1555" s="12">
        <v>15</v>
      </c>
      <c r="O1555" s="12" t="s">
        <v>6992</v>
      </c>
      <c r="P1555" t="s">
        <v>2183</v>
      </c>
      <c r="Q1555"/>
      <c r="R1555"/>
      <c r="S1555" t="s">
        <v>2184</v>
      </c>
      <c r="T1555" s="12" t="s">
        <v>2185</v>
      </c>
      <c r="U1555" s="12" t="s">
        <v>2186</v>
      </c>
      <c r="V1555" s="12" t="s">
        <v>2187</v>
      </c>
      <c r="W1555" s="12">
        <v>0</v>
      </c>
      <c r="X1555" s="12">
        <v>1</v>
      </c>
      <c r="Y1555" s="12">
        <v>0</v>
      </c>
      <c r="Z1555" s="12">
        <v>0</v>
      </c>
      <c r="AA1555" s="12">
        <v>0</v>
      </c>
      <c r="AB1555" s="12">
        <v>0</v>
      </c>
      <c r="AC1555" s="12">
        <v>0</v>
      </c>
      <c r="AD1555" s="12">
        <v>0</v>
      </c>
      <c r="AE1555" s="12">
        <v>0</v>
      </c>
      <c r="AF1555" s="12">
        <v>0</v>
      </c>
      <c r="AG1555" s="12">
        <v>0</v>
      </c>
      <c r="AH1555" s="12">
        <v>0</v>
      </c>
      <c r="AI1555" s="12">
        <v>0</v>
      </c>
      <c r="AJ1555" s="12">
        <v>0</v>
      </c>
      <c r="AK1555" s="12">
        <v>0</v>
      </c>
      <c r="AL1555" s="12">
        <v>0</v>
      </c>
      <c r="AM1555" s="12"/>
      <c r="AN1555" s="12">
        <v>0</v>
      </c>
      <c r="AO1555" s="12">
        <v>0</v>
      </c>
      <c r="AP1555" s="12">
        <v>0</v>
      </c>
      <c r="AQ1555" s="12">
        <v>0</v>
      </c>
      <c r="AR1555" s="12">
        <v>0</v>
      </c>
      <c r="AS1555" s="12">
        <v>0</v>
      </c>
      <c r="AT1555" s="12">
        <v>0</v>
      </c>
      <c r="AU1555" s="12">
        <v>0</v>
      </c>
      <c r="AV1555" s="12">
        <v>0</v>
      </c>
      <c r="AW1555" s="12">
        <v>0</v>
      </c>
      <c r="AX1555" s="12">
        <v>0</v>
      </c>
      <c r="AY1555" s="12">
        <v>0</v>
      </c>
      <c r="AZ1555"/>
      <c r="BA1555"/>
      <c r="BB1555" s="12">
        <v>0</v>
      </c>
      <c r="BC1555" s="12">
        <v>0</v>
      </c>
      <c r="BD1555" s="12">
        <v>0</v>
      </c>
      <c r="BE1555" s="12">
        <v>0</v>
      </c>
      <c r="BF1555" s="12">
        <v>0</v>
      </c>
      <c r="BI1555" s="12">
        <v>0</v>
      </c>
      <c r="BJ1555" s="12">
        <v>0</v>
      </c>
    </row>
    <row r="1556" spans="1:62" ht="14" x14ac:dyDescent="0.15">
      <c r="A1556" s="12"/>
      <c r="B1556" s="25" t="s">
        <v>5353</v>
      </c>
      <c r="C1556" s="28" t="s">
        <v>5354</v>
      </c>
      <c r="D1556" t="s">
        <v>7267</v>
      </c>
      <c r="E1556" t="s">
        <v>2182</v>
      </c>
      <c r="F1556"/>
      <c r="G1556"/>
      <c r="H1556"/>
      <c r="I1556"/>
      <c r="J1556"/>
      <c r="K1556"/>
      <c r="L1556" s="21">
        <v>4038208.0559999999</v>
      </c>
      <c r="M1556" s="21">
        <v>760184.973</v>
      </c>
      <c r="N1556" s="12">
        <v>15</v>
      </c>
      <c r="O1556" s="12" t="s">
        <v>6992</v>
      </c>
      <c r="P1556" t="s">
        <v>2183</v>
      </c>
      <c r="Q1556"/>
      <c r="R1556"/>
      <c r="S1556" t="s">
        <v>2184</v>
      </c>
      <c r="T1556" s="12" t="s">
        <v>2185</v>
      </c>
      <c r="U1556" s="12" t="s">
        <v>2186</v>
      </c>
      <c r="V1556" s="12" t="s">
        <v>2187</v>
      </c>
      <c r="W1556" s="12">
        <v>0</v>
      </c>
      <c r="X1556" s="12">
        <v>1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2">
        <v>0</v>
      </c>
      <c r="AK1556" s="12">
        <v>0</v>
      </c>
      <c r="AL1556" s="12">
        <v>0</v>
      </c>
      <c r="AM1556" s="12"/>
      <c r="AN1556" s="12">
        <v>0</v>
      </c>
      <c r="AO1556" s="12">
        <v>0</v>
      </c>
      <c r="AP1556" s="12">
        <v>0</v>
      </c>
      <c r="AQ1556" s="12">
        <v>0</v>
      </c>
      <c r="AR1556" s="12">
        <v>0</v>
      </c>
      <c r="AS1556" s="12">
        <v>0</v>
      </c>
      <c r="AT1556" s="12">
        <v>0</v>
      </c>
      <c r="AU1556" s="12">
        <v>0</v>
      </c>
      <c r="AV1556" s="12">
        <v>0</v>
      </c>
      <c r="AW1556" s="12">
        <v>0</v>
      </c>
      <c r="AX1556" s="12">
        <v>0</v>
      </c>
      <c r="AY1556" s="12">
        <v>0</v>
      </c>
      <c r="AZ1556"/>
      <c r="BA1556"/>
      <c r="BB1556" s="12">
        <v>0</v>
      </c>
      <c r="BC1556" s="12">
        <v>0</v>
      </c>
      <c r="BD1556" s="12">
        <v>0</v>
      </c>
      <c r="BE1556" s="12">
        <v>0</v>
      </c>
      <c r="BF1556" s="12">
        <v>0</v>
      </c>
      <c r="BI1556" s="12">
        <v>0</v>
      </c>
      <c r="BJ1556" s="12">
        <v>0</v>
      </c>
    </row>
    <row r="1557" spans="1:62" ht="14" x14ac:dyDescent="0.15">
      <c r="A1557" s="12"/>
      <c r="B1557" s="25" t="s">
        <v>5355</v>
      </c>
      <c r="C1557" s="28" t="s">
        <v>5356</v>
      </c>
      <c r="D1557" t="s">
        <v>7267</v>
      </c>
      <c r="E1557" t="s">
        <v>2182</v>
      </c>
      <c r="F1557"/>
      <c r="G1557"/>
      <c r="H1557"/>
      <c r="I1557"/>
      <c r="J1557"/>
      <c r="K1557"/>
      <c r="L1557" s="21">
        <v>4032808.0839999998</v>
      </c>
      <c r="M1557" s="21">
        <v>768785.05299999996</v>
      </c>
      <c r="N1557" s="12">
        <v>15</v>
      </c>
      <c r="O1557" s="12" t="s">
        <v>6992</v>
      </c>
      <c r="P1557" t="s">
        <v>2183</v>
      </c>
      <c r="Q1557"/>
      <c r="R1557"/>
      <c r="S1557" t="s">
        <v>2184</v>
      </c>
      <c r="T1557" s="12" t="s">
        <v>2185</v>
      </c>
      <c r="U1557" s="12" t="s">
        <v>2186</v>
      </c>
      <c r="V1557" s="12" t="s">
        <v>2187</v>
      </c>
      <c r="W1557" s="12">
        <v>0</v>
      </c>
      <c r="X1557" s="12">
        <v>1</v>
      </c>
      <c r="Y1557" s="12">
        <v>0</v>
      </c>
      <c r="Z1557" s="12">
        <v>0</v>
      </c>
      <c r="AA1557" s="12">
        <v>0</v>
      </c>
      <c r="AB1557" s="12">
        <v>0</v>
      </c>
      <c r="AC1557" s="12">
        <v>0</v>
      </c>
      <c r="AD1557" s="12">
        <v>0</v>
      </c>
      <c r="AE1557" s="12">
        <v>0</v>
      </c>
      <c r="AF1557" s="12">
        <v>0</v>
      </c>
      <c r="AG1557" s="12">
        <v>0</v>
      </c>
      <c r="AH1557" s="12">
        <v>0</v>
      </c>
      <c r="AI1557" s="12">
        <v>0</v>
      </c>
      <c r="AJ1557" s="12">
        <v>0</v>
      </c>
      <c r="AK1557" s="12">
        <v>0</v>
      </c>
      <c r="AL1557" s="12">
        <v>0</v>
      </c>
      <c r="AM1557" s="12"/>
      <c r="AN1557" s="12">
        <v>0</v>
      </c>
      <c r="AO1557" s="12">
        <v>0</v>
      </c>
      <c r="AP1557" s="12">
        <v>0</v>
      </c>
      <c r="AQ1557" s="12">
        <v>0</v>
      </c>
      <c r="AR1557" s="12">
        <v>0</v>
      </c>
      <c r="AS1557" s="12">
        <v>0</v>
      </c>
      <c r="AT1557" s="12">
        <v>0</v>
      </c>
      <c r="AU1557" s="12">
        <v>0</v>
      </c>
      <c r="AV1557" s="12">
        <v>0</v>
      </c>
      <c r="AW1557" s="12">
        <v>0</v>
      </c>
      <c r="AX1557" s="12">
        <v>0</v>
      </c>
      <c r="AY1557" s="12">
        <v>0</v>
      </c>
      <c r="AZ1557"/>
      <c r="BA1557"/>
      <c r="BB1557" s="12">
        <v>0</v>
      </c>
      <c r="BC1557" s="12">
        <v>0</v>
      </c>
      <c r="BD1557" s="12">
        <v>0</v>
      </c>
      <c r="BE1557" s="12">
        <v>0</v>
      </c>
      <c r="BF1557" s="12">
        <v>0</v>
      </c>
      <c r="BI1557" s="12">
        <v>0</v>
      </c>
      <c r="BJ1557" s="12">
        <v>0</v>
      </c>
    </row>
    <row r="1558" spans="1:62" ht="14" x14ac:dyDescent="0.15">
      <c r="A1558" s="12"/>
      <c r="B1558" s="25" t="s">
        <v>5357</v>
      </c>
      <c r="C1558" s="28" t="s">
        <v>5358</v>
      </c>
      <c r="D1558" t="s">
        <v>7267</v>
      </c>
      <c r="E1558" t="s">
        <v>2182</v>
      </c>
      <c r="F1558"/>
      <c r="G1558"/>
      <c r="H1558"/>
      <c r="I1558"/>
      <c r="J1558"/>
      <c r="K1558"/>
      <c r="L1558" s="21">
        <v>4042208.0860000001</v>
      </c>
      <c r="M1558" s="21">
        <v>766135.04</v>
      </c>
      <c r="N1558" s="12">
        <v>15</v>
      </c>
      <c r="O1558" s="12" t="s">
        <v>6992</v>
      </c>
      <c r="P1558" t="s">
        <v>2183</v>
      </c>
      <c r="Q1558"/>
      <c r="R1558"/>
      <c r="S1558" t="s">
        <v>2184</v>
      </c>
      <c r="T1558" s="12" t="s">
        <v>2185</v>
      </c>
      <c r="U1558" s="12" t="s">
        <v>2186</v>
      </c>
      <c r="V1558" s="12" t="s">
        <v>2187</v>
      </c>
      <c r="W1558" s="12">
        <v>0</v>
      </c>
      <c r="X1558" s="12">
        <v>1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2">
        <v>0</v>
      </c>
      <c r="AK1558" s="12">
        <v>0</v>
      </c>
      <c r="AL1558" s="12">
        <v>0</v>
      </c>
      <c r="AM1558" s="12"/>
      <c r="AN1558" s="12">
        <v>0</v>
      </c>
      <c r="AO1558" s="12">
        <v>0</v>
      </c>
      <c r="AP1558" s="12">
        <v>0</v>
      </c>
      <c r="AQ1558" s="12">
        <v>0</v>
      </c>
      <c r="AR1558" s="12">
        <v>0</v>
      </c>
      <c r="AS1558" s="12">
        <v>0</v>
      </c>
      <c r="AT1558" s="12">
        <v>0</v>
      </c>
      <c r="AU1558" s="12">
        <v>0</v>
      </c>
      <c r="AV1558" s="12">
        <v>0</v>
      </c>
      <c r="AW1558" s="12">
        <v>0</v>
      </c>
      <c r="AX1558" s="12">
        <v>0</v>
      </c>
      <c r="AY1558" s="12">
        <v>0</v>
      </c>
      <c r="AZ1558"/>
      <c r="BA1558"/>
      <c r="BB1558" s="12">
        <v>0</v>
      </c>
      <c r="BC1558" s="12">
        <v>0</v>
      </c>
      <c r="BD1558" s="12">
        <v>0</v>
      </c>
      <c r="BE1558" s="12">
        <v>0</v>
      </c>
      <c r="BF1558" s="12">
        <v>0</v>
      </c>
      <c r="BI1558" s="12">
        <v>0</v>
      </c>
      <c r="BJ1558" s="12">
        <v>0</v>
      </c>
    </row>
    <row r="1559" spans="1:62" ht="28" x14ac:dyDescent="0.15">
      <c r="A1559" s="12"/>
      <c r="B1559" s="25" t="s">
        <v>5359</v>
      </c>
      <c r="C1559" s="28" t="s">
        <v>5170</v>
      </c>
      <c r="D1559" t="s">
        <v>7267</v>
      </c>
      <c r="E1559" t="s">
        <v>2182</v>
      </c>
      <c r="F1559"/>
      <c r="G1559"/>
      <c r="H1559"/>
      <c r="I1559"/>
      <c r="J1559"/>
      <c r="K1559"/>
      <c r="L1559" s="21">
        <v>4035358.03</v>
      </c>
      <c r="M1559" s="21">
        <v>756984.94400000002</v>
      </c>
      <c r="N1559" s="12">
        <v>15</v>
      </c>
      <c r="O1559" s="12" t="s">
        <v>6992</v>
      </c>
      <c r="P1559" t="s">
        <v>2183</v>
      </c>
      <c r="Q1559"/>
      <c r="R1559"/>
      <c r="S1559" t="s">
        <v>2184</v>
      </c>
      <c r="T1559" s="12" t="s">
        <v>2185</v>
      </c>
      <c r="U1559" s="12" t="s">
        <v>2186</v>
      </c>
      <c r="V1559" s="12" t="s">
        <v>2187</v>
      </c>
      <c r="W1559" s="12">
        <v>0</v>
      </c>
      <c r="X1559" s="12">
        <v>1</v>
      </c>
      <c r="Y1559" s="12">
        <v>0</v>
      </c>
      <c r="Z1559" s="12">
        <v>0</v>
      </c>
      <c r="AA1559" s="12">
        <v>0</v>
      </c>
      <c r="AB1559" s="12">
        <v>0</v>
      </c>
      <c r="AC1559" s="12">
        <v>0</v>
      </c>
      <c r="AD1559" s="12">
        <v>0</v>
      </c>
      <c r="AE1559" s="12">
        <v>0</v>
      </c>
      <c r="AF1559" s="12">
        <v>0</v>
      </c>
      <c r="AG1559" s="12">
        <v>0</v>
      </c>
      <c r="AH1559" s="12">
        <v>0</v>
      </c>
      <c r="AI1559" s="12">
        <v>0</v>
      </c>
      <c r="AJ1559" s="12">
        <v>0</v>
      </c>
      <c r="AK1559" s="12">
        <v>0</v>
      </c>
      <c r="AL1559" s="12">
        <v>0</v>
      </c>
      <c r="AM1559" s="12"/>
      <c r="AN1559" s="12">
        <v>0</v>
      </c>
      <c r="AO1559" s="12">
        <v>0</v>
      </c>
      <c r="AP1559" s="12">
        <v>0</v>
      </c>
      <c r="AQ1559" s="12">
        <v>0</v>
      </c>
      <c r="AR1559" s="12">
        <v>0</v>
      </c>
      <c r="AS1559" s="12">
        <v>0</v>
      </c>
      <c r="AT1559" s="12">
        <v>0</v>
      </c>
      <c r="AU1559" s="12">
        <v>0</v>
      </c>
      <c r="AV1559" s="12">
        <v>0</v>
      </c>
      <c r="AW1559" s="12">
        <v>0</v>
      </c>
      <c r="AX1559" s="12">
        <v>0</v>
      </c>
      <c r="AY1559" s="12">
        <v>0</v>
      </c>
      <c r="AZ1559"/>
      <c r="BA1559"/>
      <c r="BB1559" s="12">
        <v>0</v>
      </c>
      <c r="BC1559" s="12">
        <v>0</v>
      </c>
      <c r="BD1559" s="12">
        <v>0</v>
      </c>
      <c r="BE1559" s="12">
        <v>0</v>
      </c>
      <c r="BF1559" s="12">
        <v>0</v>
      </c>
      <c r="BI1559" s="12">
        <v>0</v>
      </c>
      <c r="BJ1559" s="12">
        <v>0</v>
      </c>
    </row>
    <row r="1560" spans="1:62" ht="14" x14ac:dyDescent="0.15">
      <c r="A1560" s="12"/>
      <c r="B1560" s="25" t="s">
        <v>5171</v>
      </c>
      <c r="C1560" s="28" t="s">
        <v>5172</v>
      </c>
      <c r="D1560" t="s">
        <v>7267</v>
      </c>
      <c r="E1560" t="s">
        <v>2182</v>
      </c>
      <c r="F1560"/>
      <c r="G1560"/>
      <c r="H1560"/>
      <c r="I1560"/>
      <c r="J1560"/>
      <c r="K1560"/>
      <c r="L1560" s="21">
        <v>4051928.1159999999</v>
      </c>
      <c r="M1560" s="21">
        <v>753784.84199999995</v>
      </c>
      <c r="N1560" s="12">
        <v>15</v>
      </c>
      <c r="O1560" s="12" t="s">
        <v>6992</v>
      </c>
      <c r="P1560" t="s">
        <v>2183</v>
      </c>
      <c r="Q1560"/>
      <c r="R1560"/>
      <c r="S1560" t="s">
        <v>2184</v>
      </c>
      <c r="T1560" s="12" t="s">
        <v>2185</v>
      </c>
      <c r="U1560" s="12" t="s">
        <v>2186</v>
      </c>
      <c r="V1560" s="12" t="s">
        <v>2187</v>
      </c>
      <c r="W1560" s="12">
        <v>0</v>
      </c>
      <c r="X1560" s="12">
        <v>1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2">
        <v>0</v>
      </c>
      <c r="AK1560" s="12">
        <v>0</v>
      </c>
      <c r="AL1560" s="12">
        <v>0</v>
      </c>
      <c r="AM1560" s="12"/>
      <c r="AN1560" s="12">
        <v>0</v>
      </c>
      <c r="AO1560" s="12">
        <v>0</v>
      </c>
      <c r="AP1560" s="12">
        <v>0</v>
      </c>
      <c r="AQ1560" s="12">
        <v>0</v>
      </c>
      <c r="AR1560" s="12">
        <v>0</v>
      </c>
      <c r="AS1560" s="12">
        <v>0</v>
      </c>
      <c r="AT1560" s="12">
        <v>0</v>
      </c>
      <c r="AU1560" s="12">
        <v>0</v>
      </c>
      <c r="AV1560" s="12">
        <v>0</v>
      </c>
      <c r="AW1560" s="12">
        <v>0</v>
      </c>
      <c r="AX1560" s="12">
        <v>0</v>
      </c>
      <c r="AY1560" s="12">
        <v>0</v>
      </c>
      <c r="AZ1560"/>
      <c r="BA1560"/>
      <c r="BB1560" s="12">
        <v>0</v>
      </c>
      <c r="BC1560" s="12">
        <v>0</v>
      </c>
      <c r="BD1560" s="12">
        <v>0</v>
      </c>
      <c r="BE1560" s="12">
        <v>0</v>
      </c>
      <c r="BF1560" s="12">
        <v>0</v>
      </c>
      <c r="BI1560" s="12">
        <v>0</v>
      </c>
      <c r="BJ1560" s="12">
        <v>0</v>
      </c>
    </row>
    <row r="1561" spans="1:62" ht="14" x14ac:dyDescent="0.15">
      <c r="A1561" s="12"/>
      <c r="B1561" s="25" t="s">
        <v>5173</v>
      </c>
      <c r="C1561" s="28" t="s">
        <v>5174</v>
      </c>
      <c r="D1561" t="s">
        <v>7267</v>
      </c>
      <c r="E1561" t="s">
        <v>2182</v>
      </c>
      <c r="F1561"/>
      <c r="G1561"/>
      <c r="H1561"/>
      <c r="I1561"/>
      <c r="J1561"/>
      <c r="K1561"/>
      <c r="L1561" s="21">
        <v>4036832.4780000001</v>
      </c>
      <c r="M1561" s="21">
        <v>772190.16</v>
      </c>
      <c r="N1561" s="12">
        <v>15</v>
      </c>
      <c r="O1561" s="12" t="s">
        <v>6992</v>
      </c>
      <c r="P1561" t="s">
        <v>2183</v>
      </c>
      <c r="Q1561"/>
      <c r="R1561"/>
      <c r="S1561" t="s">
        <v>2184</v>
      </c>
      <c r="T1561" s="12" t="s">
        <v>2185</v>
      </c>
      <c r="U1561" s="12" t="s">
        <v>2186</v>
      </c>
      <c r="V1561" s="12" t="s">
        <v>2187</v>
      </c>
      <c r="W1561" s="12">
        <v>0</v>
      </c>
      <c r="X1561" s="12">
        <v>1</v>
      </c>
      <c r="Y1561" s="12">
        <v>0</v>
      </c>
      <c r="Z1561" s="12">
        <v>0</v>
      </c>
      <c r="AA1561" s="12">
        <v>0</v>
      </c>
      <c r="AB1561" s="12">
        <v>0</v>
      </c>
      <c r="AC1561" s="12">
        <v>0</v>
      </c>
      <c r="AD1561" s="12">
        <v>0</v>
      </c>
      <c r="AE1561" s="12">
        <v>0</v>
      </c>
      <c r="AF1561" s="12">
        <v>0</v>
      </c>
      <c r="AG1561" s="12">
        <v>0</v>
      </c>
      <c r="AH1561" s="12">
        <v>0</v>
      </c>
      <c r="AI1561" s="12">
        <v>0</v>
      </c>
      <c r="AJ1561" s="12">
        <v>0</v>
      </c>
      <c r="AK1561" s="12">
        <v>0</v>
      </c>
      <c r="AL1561" s="12">
        <v>0</v>
      </c>
      <c r="AM1561" s="12"/>
      <c r="AN1561" s="12">
        <v>0</v>
      </c>
      <c r="AO1561" s="12">
        <v>0</v>
      </c>
      <c r="AP1561" s="12">
        <v>0</v>
      </c>
      <c r="AQ1561" s="12">
        <v>0</v>
      </c>
      <c r="AR1561" s="12">
        <v>0</v>
      </c>
      <c r="AS1561" s="12">
        <v>0</v>
      </c>
      <c r="AT1561" s="12">
        <v>0</v>
      </c>
      <c r="AU1561" s="12">
        <v>0</v>
      </c>
      <c r="AV1561" s="12">
        <v>0</v>
      </c>
      <c r="AW1561" s="12">
        <v>0</v>
      </c>
      <c r="AX1561" s="12">
        <v>0</v>
      </c>
      <c r="AY1561" s="12">
        <v>0</v>
      </c>
      <c r="AZ1561"/>
      <c r="BA1561"/>
      <c r="BB1561" s="12">
        <v>0</v>
      </c>
      <c r="BC1561" s="12">
        <v>0</v>
      </c>
      <c r="BD1561" s="12">
        <v>0</v>
      </c>
      <c r="BE1561" s="12">
        <v>0</v>
      </c>
      <c r="BF1561" s="12">
        <v>0</v>
      </c>
      <c r="BI1561" s="12">
        <v>0</v>
      </c>
      <c r="BJ1561" s="12">
        <v>0</v>
      </c>
    </row>
    <row r="1562" spans="1:62" ht="56" x14ac:dyDescent="0.15">
      <c r="A1562" s="12"/>
      <c r="B1562" s="25" t="s">
        <v>5175</v>
      </c>
      <c r="C1562" s="28" t="s">
        <v>5176</v>
      </c>
      <c r="D1562" t="s">
        <v>7267</v>
      </c>
      <c r="E1562" t="s">
        <v>2182</v>
      </c>
      <c r="F1562"/>
      <c r="G1562"/>
      <c r="H1562"/>
      <c r="I1562"/>
      <c r="J1562"/>
      <c r="K1562"/>
      <c r="L1562" s="21">
        <v>4042959.5320000001</v>
      </c>
      <c r="M1562" s="21">
        <v>772429.34400000004</v>
      </c>
      <c r="N1562" s="12">
        <v>15</v>
      </c>
      <c r="O1562" s="12" t="s">
        <v>6992</v>
      </c>
      <c r="P1562" t="s">
        <v>2183</v>
      </c>
      <c r="Q1562"/>
      <c r="R1562"/>
      <c r="S1562" t="s">
        <v>2184</v>
      </c>
      <c r="T1562" s="12" t="s">
        <v>2185</v>
      </c>
      <c r="U1562" s="12" t="s">
        <v>2186</v>
      </c>
      <c r="V1562" s="12" t="s">
        <v>2187</v>
      </c>
      <c r="W1562" s="12">
        <v>0</v>
      </c>
      <c r="X1562" s="12">
        <v>1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2">
        <v>0</v>
      </c>
      <c r="AK1562" s="12">
        <v>0</v>
      </c>
      <c r="AL1562" s="12">
        <v>0</v>
      </c>
      <c r="AM1562" s="12"/>
      <c r="AN1562" s="12">
        <v>0</v>
      </c>
      <c r="AO1562" s="12">
        <v>0</v>
      </c>
      <c r="AP1562" s="12">
        <v>0</v>
      </c>
      <c r="AQ1562" s="12">
        <v>0</v>
      </c>
      <c r="AR1562" s="12">
        <v>0</v>
      </c>
      <c r="AS1562" s="12">
        <v>0</v>
      </c>
      <c r="AT1562" s="12">
        <v>0</v>
      </c>
      <c r="AU1562" s="12">
        <v>0</v>
      </c>
      <c r="AV1562" s="12">
        <v>0</v>
      </c>
      <c r="AW1562" s="12">
        <v>0</v>
      </c>
      <c r="AX1562" s="12">
        <v>0</v>
      </c>
      <c r="AY1562" s="12">
        <v>0</v>
      </c>
      <c r="AZ1562"/>
      <c r="BA1562"/>
      <c r="BB1562" s="12">
        <v>0</v>
      </c>
      <c r="BC1562" s="12">
        <v>0</v>
      </c>
      <c r="BD1562" s="12">
        <v>0</v>
      </c>
      <c r="BE1562" s="12">
        <v>0</v>
      </c>
      <c r="BF1562" s="12">
        <v>0</v>
      </c>
      <c r="BI1562" s="12">
        <v>0</v>
      </c>
      <c r="BJ1562" s="12">
        <v>0</v>
      </c>
    </row>
    <row r="1563" spans="1:62" ht="14" x14ac:dyDescent="0.15">
      <c r="A1563" s="12"/>
      <c r="B1563" s="25" t="s">
        <v>5177</v>
      </c>
      <c r="C1563" s="28" t="s">
        <v>5178</v>
      </c>
      <c r="D1563" t="s">
        <v>7267</v>
      </c>
      <c r="E1563" t="s">
        <v>2182</v>
      </c>
      <c r="F1563"/>
      <c r="G1563"/>
      <c r="H1563"/>
      <c r="I1563"/>
      <c r="J1563"/>
      <c r="K1563"/>
      <c r="L1563" s="21">
        <v>4031131.18</v>
      </c>
      <c r="M1563" s="21">
        <v>775891.95700000005</v>
      </c>
      <c r="N1563" s="12">
        <v>15</v>
      </c>
      <c r="O1563" s="12" t="s">
        <v>6992</v>
      </c>
      <c r="P1563" t="s">
        <v>2183</v>
      </c>
      <c r="Q1563"/>
      <c r="R1563"/>
      <c r="S1563" t="s">
        <v>2184</v>
      </c>
      <c r="T1563" s="12" t="s">
        <v>2185</v>
      </c>
      <c r="U1563" s="12" t="s">
        <v>2186</v>
      </c>
      <c r="V1563" s="12" t="s">
        <v>2187</v>
      </c>
      <c r="W1563" s="12">
        <v>0</v>
      </c>
      <c r="X1563" s="12">
        <v>1</v>
      </c>
      <c r="Y1563" s="12">
        <v>0</v>
      </c>
      <c r="Z1563" s="12">
        <v>0</v>
      </c>
      <c r="AA1563" s="12">
        <v>0</v>
      </c>
      <c r="AB1563" s="12">
        <v>0</v>
      </c>
      <c r="AC1563" s="12">
        <v>0</v>
      </c>
      <c r="AD1563" s="12">
        <v>0</v>
      </c>
      <c r="AE1563" s="12">
        <v>0</v>
      </c>
      <c r="AF1563" s="12">
        <v>0</v>
      </c>
      <c r="AG1563" s="12">
        <v>0</v>
      </c>
      <c r="AH1563" s="12">
        <v>0</v>
      </c>
      <c r="AI1563" s="12">
        <v>0</v>
      </c>
      <c r="AJ1563" s="12">
        <v>0</v>
      </c>
      <c r="AK1563" s="12">
        <v>0</v>
      </c>
      <c r="AL1563" s="12">
        <v>0</v>
      </c>
      <c r="AM1563" s="12"/>
      <c r="AN1563" s="12">
        <v>0</v>
      </c>
      <c r="AO1563" s="12">
        <v>0</v>
      </c>
      <c r="AP1563" s="12">
        <v>0</v>
      </c>
      <c r="AQ1563" s="12">
        <v>0</v>
      </c>
      <c r="AR1563" s="12">
        <v>0</v>
      </c>
      <c r="AS1563" s="12">
        <v>0</v>
      </c>
      <c r="AT1563" s="12">
        <v>0</v>
      </c>
      <c r="AU1563" s="12">
        <v>0</v>
      </c>
      <c r="AV1563" s="12">
        <v>0</v>
      </c>
      <c r="AW1563" s="12">
        <v>0</v>
      </c>
      <c r="AX1563" s="12">
        <v>0</v>
      </c>
      <c r="AY1563" s="12">
        <v>0</v>
      </c>
      <c r="AZ1563"/>
      <c r="BA1563"/>
      <c r="BB1563" s="12">
        <v>0</v>
      </c>
      <c r="BC1563" s="12">
        <v>0</v>
      </c>
      <c r="BD1563" s="12">
        <v>0</v>
      </c>
      <c r="BE1563" s="12">
        <v>0</v>
      </c>
      <c r="BF1563" s="12">
        <v>0</v>
      </c>
      <c r="BI1563" s="12">
        <v>0</v>
      </c>
      <c r="BJ1563" s="12">
        <v>0</v>
      </c>
    </row>
    <row r="1564" spans="1:62" x14ac:dyDescent="0.15">
      <c r="A1564" s="12"/>
      <c r="B1564"/>
      <c r="C1564" s="20" t="s">
        <v>5179</v>
      </c>
      <c r="D1564" t="s">
        <v>7422</v>
      </c>
      <c r="E1564" s="12" t="s">
        <v>7423</v>
      </c>
      <c r="F1564" s="12"/>
      <c r="G1564" s="12"/>
      <c r="H1564" s="12"/>
      <c r="I1564" s="12"/>
      <c r="J1564" s="12"/>
      <c r="K1564" s="12"/>
      <c r="L1564" s="10">
        <v>3361196</v>
      </c>
      <c r="M1564" s="10">
        <v>590772</v>
      </c>
      <c r="N1564" s="12">
        <v>15</v>
      </c>
      <c r="O1564" s="12" t="s">
        <v>6992</v>
      </c>
      <c r="P1564" t="s">
        <v>7424</v>
      </c>
      <c r="Q1564"/>
      <c r="R1564"/>
      <c r="S1564" t="s">
        <v>7422</v>
      </c>
      <c r="T1564" s="12" t="s">
        <v>6655</v>
      </c>
      <c r="U1564" s="12" t="s">
        <v>5016</v>
      </c>
      <c r="V1564" s="12" t="s">
        <v>5017</v>
      </c>
      <c r="W1564" s="12">
        <v>0</v>
      </c>
      <c r="X1564" s="12">
        <v>0</v>
      </c>
      <c r="Y1564" s="12">
        <v>0</v>
      </c>
      <c r="Z1564" s="12">
        <v>0</v>
      </c>
      <c r="AA1564" s="12">
        <v>1</v>
      </c>
      <c r="AB1564" s="12">
        <v>1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1</v>
      </c>
      <c r="AI1564" s="12">
        <v>1</v>
      </c>
      <c r="AJ1564" s="12">
        <v>1</v>
      </c>
      <c r="AK1564" s="12">
        <v>0</v>
      </c>
      <c r="AL1564" s="12">
        <v>0</v>
      </c>
      <c r="AM1564" s="12"/>
      <c r="AN1564" s="12">
        <v>0</v>
      </c>
      <c r="AO1564" s="12">
        <v>0</v>
      </c>
      <c r="AP1564" s="12">
        <v>0</v>
      </c>
      <c r="AQ1564" s="12">
        <v>0</v>
      </c>
      <c r="AR1564" s="12">
        <v>1</v>
      </c>
      <c r="AS1564" s="12">
        <v>0</v>
      </c>
      <c r="AT1564" s="12">
        <v>0</v>
      </c>
      <c r="AU1564" s="12">
        <v>0</v>
      </c>
      <c r="AV1564" s="12">
        <v>0</v>
      </c>
      <c r="AW1564" s="12">
        <v>0</v>
      </c>
      <c r="AX1564" s="12">
        <v>0</v>
      </c>
      <c r="AY1564" s="12">
        <v>0</v>
      </c>
      <c r="BB1564" s="12">
        <v>0</v>
      </c>
      <c r="BC1564" s="12">
        <v>0</v>
      </c>
      <c r="BD1564" s="12">
        <v>0</v>
      </c>
      <c r="BE1564" s="12">
        <v>0</v>
      </c>
      <c r="BF1564" s="12">
        <v>0</v>
      </c>
      <c r="BI1564" s="12">
        <v>0</v>
      </c>
      <c r="BJ1564" s="12">
        <v>0</v>
      </c>
    </row>
    <row r="1565" spans="1:62" x14ac:dyDescent="0.15">
      <c r="A1565" s="12"/>
      <c r="B1565"/>
      <c r="C1565" s="20" t="s">
        <v>5180</v>
      </c>
      <c r="D1565" t="s">
        <v>7422</v>
      </c>
      <c r="E1565" s="12" t="s">
        <v>7423</v>
      </c>
      <c r="F1565" s="12"/>
      <c r="G1565" s="12"/>
      <c r="H1565" s="12"/>
      <c r="I1565" s="12"/>
      <c r="J1565" s="12"/>
      <c r="K1565" s="12"/>
      <c r="L1565" s="10">
        <v>3342116</v>
      </c>
      <c r="M1565" s="10">
        <v>599776</v>
      </c>
      <c r="N1565" s="12">
        <v>15</v>
      </c>
      <c r="O1565" s="12" t="s">
        <v>6992</v>
      </c>
      <c r="P1565" t="s">
        <v>7424</v>
      </c>
      <c r="Q1565"/>
      <c r="R1565"/>
      <c r="S1565" t="s">
        <v>7422</v>
      </c>
      <c r="T1565" s="12" t="s">
        <v>6655</v>
      </c>
      <c r="U1565" s="12" t="s">
        <v>4898</v>
      </c>
      <c r="V1565" s="12" t="s">
        <v>5016</v>
      </c>
      <c r="W1565" s="12">
        <v>0</v>
      </c>
      <c r="X1565" s="12">
        <v>0</v>
      </c>
      <c r="Y1565" s="12">
        <v>0</v>
      </c>
      <c r="Z1565" s="12">
        <v>0</v>
      </c>
      <c r="AA1565" s="12">
        <v>1</v>
      </c>
      <c r="AB1565" s="12">
        <v>1</v>
      </c>
      <c r="AC1565" s="12">
        <v>0</v>
      </c>
      <c r="AD1565" s="12">
        <v>0</v>
      </c>
      <c r="AE1565" s="12">
        <v>0</v>
      </c>
      <c r="AF1565" s="12">
        <v>0</v>
      </c>
      <c r="AG1565" s="12">
        <v>0</v>
      </c>
      <c r="AH1565" s="12">
        <v>5</v>
      </c>
      <c r="AI1565" s="12">
        <v>5</v>
      </c>
      <c r="AJ1565" s="12">
        <v>1</v>
      </c>
      <c r="AK1565" s="12">
        <v>1</v>
      </c>
      <c r="AL1565" s="12">
        <v>0</v>
      </c>
      <c r="AM1565" s="12"/>
      <c r="AN1565" s="12">
        <v>0</v>
      </c>
      <c r="AO1565" s="12">
        <v>0</v>
      </c>
      <c r="AP1565" s="12">
        <v>0</v>
      </c>
      <c r="AQ1565" s="12">
        <v>0</v>
      </c>
      <c r="AR1565" s="12">
        <v>1</v>
      </c>
      <c r="AS1565" s="12">
        <v>0</v>
      </c>
      <c r="AT1565" s="12">
        <v>0</v>
      </c>
      <c r="AU1565" s="12">
        <v>0</v>
      </c>
      <c r="AV1565" s="12">
        <v>0</v>
      </c>
      <c r="AW1565" s="12">
        <v>0</v>
      </c>
      <c r="AX1565" s="12">
        <v>0</v>
      </c>
      <c r="AY1565" s="12">
        <v>0</v>
      </c>
      <c r="BB1565" s="12">
        <v>0</v>
      </c>
      <c r="BC1565" s="12">
        <v>0</v>
      </c>
      <c r="BD1565" s="12">
        <v>0</v>
      </c>
      <c r="BE1565" s="12">
        <v>0</v>
      </c>
      <c r="BF1565" s="12">
        <v>0</v>
      </c>
      <c r="BI1565" s="12">
        <v>0</v>
      </c>
      <c r="BJ1565" s="12">
        <v>0</v>
      </c>
    </row>
    <row r="1566" spans="1:62" x14ac:dyDescent="0.15">
      <c r="A1566" s="12"/>
      <c r="B1566"/>
      <c r="C1566" s="20" t="s">
        <v>5181</v>
      </c>
      <c r="D1566" t="s">
        <v>7422</v>
      </c>
      <c r="E1566" s="12" t="s">
        <v>7423</v>
      </c>
      <c r="F1566" s="12"/>
      <c r="G1566" s="12"/>
      <c r="H1566" s="12"/>
      <c r="I1566" s="12"/>
      <c r="J1566" s="12"/>
      <c r="K1566" s="12"/>
      <c r="L1566" s="10">
        <v>3342000</v>
      </c>
      <c r="M1566" s="10">
        <v>599696</v>
      </c>
      <c r="N1566" s="12">
        <v>15</v>
      </c>
      <c r="O1566" s="12" t="s">
        <v>6992</v>
      </c>
      <c r="P1566" t="s">
        <v>7424</v>
      </c>
      <c r="Q1566"/>
      <c r="R1566"/>
      <c r="S1566" t="s">
        <v>7422</v>
      </c>
      <c r="T1566" s="12" t="s">
        <v>6655</v>
      </c>
      <c r="U1566" s="12" t="s">
        <v>4898</v>
      </c>
      <c r="V1566" s="12" t="s">
        <v>5016</v>
      </c>
      <c r="W1566" s="12">
        <v>0</v>
      </c>
      <c r="X1566" s="12">
        <v>0</v>
      </c>
      <c r="Y1566" s="12">
        <v>0</v>
      </c>
      <c r="Z1566" s="12">
        <v>0</v>
      </c>
      <c r="AA1566" s="12">
        <v>1</v>
      </c>
      <c r="AB1566" s="12">
        <v>1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 t="s">
        <v>1131</v>
      </c>
      <c r="AI1566" s="12">
        <v>2</v>
      </c>
      <c r="AJ1566" s="12">
        <v>1</v>
      </c>
      <c r="AK1566" s="12">
        <v>1</v>
      </c>
      <c r="AL1566" s="12">
        <v>0</v>
      </c>
      <c r="AM1566" s="12"/>
      <c r="AN1566" s="12">
        <v>0</v>
      </c>
      <c r="AO1566" s="12">
        <v>0</v>
      </c>
      <c r="AP1566" s="12">
        <v>0</v>
      </c>
      <c r="AQ1566" s="12">
        <v>0</v>
      </c>
      <c r="AR1566" s="12">
        <v>1</v>
      </c>
      <c r="AS1566" s="12">
        <v>0</v>
      </c>
      <c r="AT1566" s="12">
        <v>0</v>
      </c>
      <c r="AU1566" s="12">
        <v>0</v>
      </c>
      <c r="AV1566" s="12">
        <v>0</v>
      </c>
      <c r="AW1566" s="12">
        <v>0</v>
      </c>
      <c r="AX1566" s="12">
        <v>0</v>
      </c>
      <c r="AY1566" s="12">
        <v>0</v>
      </c>
      <c r="BB1566" s="12">
        <v>0</v>
      </c>
      <c r="BC1566" s="12">
        <v>0</v>
      </c>
      <c r="BD1566" s="12">
        <v>0</v>
      </c>
      <c r="BE1566" s="12">
        <v>0</v>
      </c>
      <c r="BF1566" s="12">
        <v>0</v>
      </c>
      <c r="BI1566" s="12">
        <v>0</v>
      </c>
      <c r="BJ1566" s="12">
        <v>0</v>
      </c>
    </row>
    <row r="1567" spans="1:62" x14ac:dyDescent="0.15">
      <c r="A1567" s="12"/>
      <c r="B1567"/>
      <c r="C1567" s="20" t="s">
        <v>5182</v>
      </c>
      <c r="D1567" t="s">
        <v>7422</v>
      </c>
      <c r="E1567" s="12" t="s">
        <v>7423</v>
      </c>
      <c r="F1567" s="12"/>
      <c r="G1567" s="12"/>
      <c r="H1567" s="12"/>
      <c r="I1567" s="12"/>
      <c r="J1567" s="12"/>
      <c r="K1567" s="12"/>
      <c r="L1567" s="10">
        <v>3340680</v>
      </c>
      <c r="M1567" s="10">
        <v>604784</v>
      </c>
      <c r="N1567" s="12">
        <v>15</v>
      </c>
      <c r="O1567" s="12" t="s">
        <v>6992</v>
      </c>
      <c r="P1567" t="s">
        <v>7424</v>
      </c>
      <c r="Q1567"/>
      <c r="R1567"/>
      <c r="S1567" t="s">
        <v>7422</v>
      </c>
      <c r="T1567" s="12" t="s">
        <v>6655</v>
      </c>
      <c r="U1567" s="12" t="s">
        <v>4898</v>
      </c>
      <c r="V1567" s="12" t="s">
        <v>5016</v>
      </c>
      <c r="W1567" s="12">
        <v>0</v>
      </c>
      <c r="X1567" s="12">
        <v>0</v>
      </c>
      <c r="Y1567" s="12">
        <v>0</v>
      </c>
      <c r="Z1567" s="12">
        <v>0</v>
      </c>
      <c r="AA1567" s="12">
        <v>1</v>
      </c>
      <c r="AB1567" s="12">
        <v>1</v>
      </c>
      <c r="AC1567" s="12">
        <v>0</v>
      </c>
      <c r="AD1567" s="12">
        <v>0</v>
      </c>
      <c r="AE1567" s="12">
        <v>0</v>
      </c>
      <c r="AF1567" s="12">
        <v>0</v>
      </c>
      <c r="AG1567" s="12">
        <v>0</v>
      </c>
      <c r="AH1567" s="12" t="s">
        <v>1131</v>
      </c>
      <c r="AI1567" s="12">
        <v>2</v>
      </c>
      <c r="AJ1567" s="12">
        <v>1</v>
      </c>
      <c r="AK1567" s="12">
        <v>1</v>
      </c>
      <c r="AL1567" s="12">
        <v>0</v>
      </c>
      <c r="AM1567" s="12"/>
      <c r="AN1567" s="12">
        <v>0</v>
      </c>
      <c r="AO1567" s="12">
        <v>0</v>
      </c>
      <c r="AP1567" s="12">
        <v>0</v>
      </c>
      <c r="AQ1567" s="12">
        <v>0</v>
      </c>
      <c r="AR1567" s="12">
        <v>1</v>
      </c>
      <c r="AS1567" s="12">
        <v>0</v>
      </c>
      <c r="AT1567" s="12">
        <v>0</v>
      </c>
      <c r="AU1567" s="12">
        <v>0</v>
      </c>
      <c r="AV1567" s="12">
        <v>0</v>
      </c>
      <c r="AW1567" s="12">
        <v>0</v>
      </c>
      <c r="AX1567" s="12">
        <v>0</v>
      </c>
      <c r="AY1567" s="12">
        <v>0</v>
      </c>
      <c r="BB1567" s="12">
        <v>0</v>
      </c>
      <c r="BC1567" s="12">
        <v>0</v>
      </c>
      <c r="BD1567" s="12">
        <v>0</v>
      </c>
      <c r="BE1567" s="12">
        <v>0</v>
      </c>
      <c r="BF1567" s="12">
        <v>0</v>
      </c>
      <c r="BI1567" s="12">
        <v>0</v>
      </c>
      <c r="BJ1567" s="12">
        <v>0</v>
      </c>
    </row>
    <row r="1568" spans="1:62" x14ac:dyDescent="0.15">
      <c r="A1568" s="12" t="s">
        <v>5183</v>
      </c>
      <c r="B1568"/>
      <c r="C1568" s="20" t="s">
        <v>5184</v>
      </c>
      <c r="D1568" t="s">
        <v>7422</v>
      </c>
      <c r="E1568" s="12" t="s">
        <v>7423</v>
      </c>
      <c r="F1568" s="12"/>
      <c r="G1568" s="12"/>
      <c r="H1568" s="12"/>
      <c r="I1568" s="12"/>
      <c r="J1568" s="12"/>
      <c r="K1568" s="12"/>
      <c r="L1568" s="10">
        <v>3521236</v>
      </c>
      <c r="M1568" s="10">
        <v>613968</v>
      </c>
      <c r="N1568" s="12">
        <v>15</v>
      </c>
      <c r="O1568" s="12" t="s">
        <v>6992</v>
      </c>
      <c r="P1568" t="s">
        <v>7428</v>
      </c>
      <c r="Q1568"/>
      <c r="R1568"/>
      <c r="S1568" t="s">
        <v>7429</v>
      </c>
      <c r="T1568" s="12" t="s">
        <v>4884</v>
      </c>
      <c r="U1568" s="12" t="s">
        <v>5016</v>
      </c>
      <c r="V1568" s="12" t="s">
        <v>5017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1</v>
      </c>
      <c r="AC1568" s="12">
        <v>1</v>
      </c>
      <c r="AD1568" s="12">
        <v>0</v>
      </c>
      <c r="AE1568" s="12">
        <v>0</v>
      </c>
      <c r="AF1568" s="12">
        <v>0</v>
      </c>
      <c r="AG1568" s="12">
        <v>0</v>
      </c>
      <c r="AH1568" s="12" t="s">
        <v>1131</v>
      </c>
      <c r="AI1568" s="12">
        <v>2</v>
      </c>
      <c r="AJ1568" s="12">
        <v>1</v>
      </c>
      <c r="AK1568" s="12">
        <v>1</v>
      </c>
      <c r="AL1568" s="12">
        <v>0</v>
      </c>
      <c r="AM1568" s="12"/>
      <c r="AN1568" s="12">
        <v>0</v>
      </c>
      <c r="AO1568" s="12">
        <v>0</v>
      </c>
      <c r="AP1568" s="12">
        <v>0</v>
      </c>
      <c r="AQ1568" s="12">
        <v>0</v>
      </c>
      <c r="AR1568" s="12">
        <v>1</v>
      </c>
      <c r="AS1568" s="12">
        <v>0</v>
      </c>
      <c r="AT1568" s="12">
        <v>0</v>
      </c>
      <c r="AU1568" s="12">
        <v>0</v>
      </c>
      <c r="AV1568" s="12">
        <v>0</v>
      </c>
      <c r="AW1568" s="12">
        <v>0</v>
      </c>
      <c r="AX1568" s="12">
        <v>0</v>
      </c>
      <c r="AY1568" s="12">
        <v>0</v>
      </c>
      <c r="BB1568" s="12">
        <v>0</v>
      </c>
      <c r="BC1568" s="12">
        <v>0</v>
      </c>
      <c r="BD1568" s="12">
        <v>0</v>
      </c>
      <c r="BE1568" s="12">
        <v>0</v>
      </c>
      <c r="BF1568" s="12">
        <v>0</v>
      </c>
      <c r="BI1568" s="12">
        <v>0</v>
      </c>
      <c r="BJ1568" s="12">
        <v>0</v>
      </c>
    </row>
    <row r="1569" spans="1:62" x14ac:dyDescent="0.15">
      <c r="A1569" s="12" t="s">
        <v>5185</v>
      </c>
      <c r="B1569"/>
      <c r="C1569" s="20" t="s">
        <v>5186</v>
      </c>
      <c r="D1569" t="s">
        <v>7422</v>
      </c>
      <c r="E1569" s="12" t="s">
        <v>7423</v>
      </c>
      <c r="F1569" s="12"/>
      <c r="G1569" s="12"/>
      <c r="H1569" s="12"/>
      <c r="I1569" s="12"/>
      <c r="J1569" s="12"/>
      <c r="K1569" s="12"/>
      <c r="L1569" s="10">
        <v>3521796</v>
      </c>
      <c r="M1569" s="10">
        <v>627544</v>
      </c>
      <c r="N1569" s="12">
        <v>15</v>
      </c>
      <c r="O1569" s="12" t="s">
        <v>6992</v>
      </c>
      <c r="P1569" t="s">
        <v>7424</v>
      </c>
      <c r="Q1569"/>
      <c r="R1569"/>
      <c r="S1569" t="s">
        <v>5187</v>
      </c>
      <c r="T1569" s="12" t="s">
        <v>4884</v>
      </c>
      <c r="U1569" s="12" t="s">
        <v>5016</v>
      </c>
      <c r="V1569" s="12" t="s">
        <v>5017</v>
      </c>
      <c r="W1569" s="12">
        <v>0</v>
      </c>
      <c r="X1569" s="12">
        <v>0</v>
      </c>
      <c r="Y1569" s="12">
        <v>0</v>
      </c>
      <c r="Z1569" s="12">
        <v>0</v>
      </c>
      <c r="AA1569" s="12">
        <v>0</v>
      </c>
      <c r="AB1569" s="12">
        <v>1</v>
      </c>
      <c r="AC1569" s="12">
        <v>1</v>
      </c>
      <c r="AD1569" s="12">
        <f>VLOOKUP(C1569,'[1]Phillips 1970 - Baytown'!A$1:B$65536,2,FALSE)</f>
        <v>1</v>
      </c>
      <c r="AE1569" s="12">
        <v>0</v>
      </c>
      <c r="AF1569" s="12">
        <v>0</v>
      </c>
      <c r="AG1569" s="12">
        <v>0</v>
      </c>
      <c r="AH1569" s="12">
        <v>1</v>
      </c>
      <c r="AI1569" s="12">
        <v>1</v>
      </c>
      <c r="AJ1569" s="12">
        <v>0</v>
      </c>
      <c r="AK1569" s="12">
        <v>0</v>
      </c>
      <c r="AL1569" s="12">
        <v>0</v>
      </c>
      <c r="AM1569" s="12"/>
      <c r="AN1569" s="12">
        <v>0</v>
      </c>
      <c r="AO1569" s="12">
        <v>0</v>
      </c>
      <c r="AP1569" s="12">
        <v>0</v>
      </c>
      <c r="AQ1569" s="12">
        <v>0</v>
      </c>
      <c r="AR1569" s="12">
        <v>1</v>
      </c>
      <c r="AS1569" s="12">
        <v>0</v>
      </c>
      <c r="AT1569" s="12">
        <v>0</v>
      </c>
      <c r="AU1569" s="12">
        <v>0</v>
      </c>
      <c r="AV1569" s="12">
        <v>0</v>
      </c>
      <c r="AW1569" s="12">
        <v>0</v>
      </c>
      <c r="AX1569" s="12">
        <v>0</v>
      </c>
      <c r="AY1569" s="12">
        <v>0</v>
      </c>
      <c r="BB1569" s="12">
        <v>0</v>
      </c>
      <c r="BC1569" s="12">
        <v>0</v>
      </c>
      <c r="BD1569">
        <f>3.7*100/2.54/12</f>
        <v>12.139107611548555</v>
      </c>
      <c r="BE1569" s="12">
        <v>0</v>
      </c>
      <c r="BF1569" s="12">
        <v>0</v>
      </c>
      <c r="BG1569" t="s">
        <v>5188</v>
      </c>
      <c r="BH1569" t="s">
        <v>5188</v>
      </c>
      <c r="BI1569" s="12">
        <v>0</v>
      </c>
      <c r="BJ1569" s="12">
        <v>0</v>
      </c>
    </row>
    <row r="1570" spans="1:62" x14ac:dyDescent="0.15">
      <c r="A1570" s="12" t="s">
        <v>5189</v>
      </c>
      <c r="B1570"/>
      <c r="C1570" s="20" t="s">
        <v>5190</v>
      </c>
      <c r="D1570" t="s">
        <v>7422</v>
      </c>
      <c r="E1570" s="12" t="s">
        <v>7423</v>
      </c>
      <c r="F1570" s="12"/>
      <c r="G1570" s="12"/>
      <c r="H1570" s="12"/>
      <c r="I1570" s="12"/>
      <c r="J1570" s="12"/>
      <c r="K1570" s="12"/>
      <c r="L1570" s="10">
        <v>3347672</v>
      </c>
      <c r="M1570" s="10">
        <v>597456</v>
      </c>
      <c r="N1570" s="12">
        <v>15</v>
      </c>
      <c r="O1570" s="12" t="s">
        <v>6992</v>
      </c>
      <c r="P1570" t="s">
        <v>5191</v>
      </c>
      <c r="Q1570"/>
      <c r="R1570"/>
      <c r="S1570" t="s">
        <v>5192</v>
      </c>
      <c r="T1570" s="12" t="s">
        <v>5193</v>
      </c>
      <c r="U1570" s="12" t="s">
        <v>5016</v>
      </c>
      <c r="V1570" s="12" t="s">
        <v>5021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1</v>
      </c>
      <c r="AC1570" s="12">
        <v>0</v>
      </c>
      <c r="AD1570" s="12">
        <v>0</v>
      </c>
      <c r="AE1570" s="12">
        <v>0</v>
      </c>
      <c r="AF1570" s="12">
        <v>1</v>
      </c>
      <c r="AG1570" s="12">
        <v>1</v>
      </c>
      <c r="AH1570" s="12" t="s">
        <v>1131</v>
      </c>
      <c r="AI1570" s="12">
        <v>2</v>
      </c>
      <c r="AJ1570" s="12">
        <v>1</v>
      </c>
      <c r="AK1570" s="12">
        <v>1</v>
      </c>
      <c r="AL1570" s="12">
        <v>0</v>
      </c>
      <c r="AM1570" s="12"/>
      <c r="AN1570" s="12">
        <v>0</v>
      </c>
      <c r="AO1570" s="12">
        <v>0</v>
      </c>
      <c r="AP1570" s="12">
        <v>0</v>
      </c>
      <c r="AQ1570" s="12">
        <v>0</v>
      </c>
      <c r="AR1570" s="12">
        <v>1</v>
      </c>
      <c r="AS1570" s="12">
        <v>0</v>
      </c>
      <c r="AT1570" s="12">
        <v>0</v>
      </c>
      <c r="AU1570" s="12">
        <v>0</v>
      </c>
      <c r="AV1570" s="12">
        <v>0</v>
      </c>
      <c r="AW1570" s="12">
        <v>0</v>
      </c>
      <c r="AX1570" s="12">
        <v>0</v>
      </c>
      <c r="AY1570" s="12">
        <v>0</v>
      </c>
      <c r="BB1570" s="12">
        <v>0</v>
      </c>
      <c r="BC1570" s="12">
        <v>0</v>
      </c>
      <c r="BD1570" s="12">
        <v>0</v>
      </c>
      <c r="BE1570" s="12">
        <v>0</v>
      </c>
      <c r="BF1570" s="12">
        <v>0</v>
      </c>
      <c r="BI1570" s="12">
        <v>0</v>
      </c>
      <c r="BJ1570" s="12">
        <v>0</v>
      </c>
    </row>
    <row r="1571" spans="1:62" x14ac:dyDescent="0.15">
      <c r="A1571" s="12"/>
      <c r="B1571" t="s">
        <v>5194</v>
      </c>
      <c r="C1571" t="s">
        <v>5194</v>
      </c>
      <c r="D1571" t="s">
        <v>5195</v>
      </c>
      <c r="E1571" s="12" t="s">
        <v>4882</v>
      </c>
      <c r="F1571" s="12"/>
      <c r="G1571" s="12"/>
      <c r="H1571" s="12"/>
      <c r="I1571" s="12"/>
      <c r="J1571" s="12"/>
      <c r="K1571" s="12"/>
      <c r="L1571" s="10">
        <v>3811354</v>
      </c>
      <c r="M1571" s="10">
        <v>762075</v>
      </c>
      <c r="N1571" s="12">
        <v>15</v>
      </c>
      <c r="O1571" s="12" t="s">
        <v>4871</v>
      </c>
      <c r="P1571" t="s">
        <v>5196</v>
      </c>
      <c r="Q1571"/>
      <c r="R1571"/>
      <c r="S1571" t="s">
        <v>5195</v>
      </c>
      <c r="T1571" s="12" t="s">
        <v>2185</v>
      </c>
      <c r="U1571" s="12" t="s">
        <v>2186</v>
      </c>
      <c r="V1571" s="12" t="s">
        <v>2187</v>
      </c>
      <c r="W1571" s="12">
        <v>0</v>
      </c>
      <c r="X1571" s="12">
        <v>1</v>
      </c>
      <c r="Y1571" s="12">
        <v>0</v>
      </c>
      <c r="Z1571" s="12">
        <v>0</v>
      </c>
      <c r="AA1571" s="12">
        <v>0</v>
      </c>
      <c r="AB1571" s="12">
        <v>0</v>
      </c>
      <c r="AC1571" s="12">
        <v>1</v>
      </c>
      <c r="AD1571" s="12">
        <v>0</v>
      </c>
      <c r="AE1571" s="12">
        <v>0</v>
      </c>
      <c r="AF1571" s="12">
        <v>0</v>
      </c>
      <c r="AG1571" s="12">
        <v>0</v>
      </c>
      <c r="AH1571" s="12">
        <v>12</v>
      </c>
      <c r="AI1571" s="12">
        <v>12</v>
      </c>
      <c r="AJ1571" s="12">
        <v>1</v>
      </c>
      <c r="AK1571" s="12">
        <v>1</v>
      </c>
      <c r="AL1571" s="12">
        <v>0</v>
      </c>
      <c r="AM1571" s="12"/>
      <c r="AN1571" s="12">
        <v>0</v>
      </c>
      <c r="AO1571" s="12">
        <v>0</v>
      </c>
      <c r="AP1571" s="12">
        <v>0</v>
      </c>
      <c r="AQ1571" s="12">
        <v>0</v>
      </c>
      <c r="AR1571" s="12">
        <v>0</v>
      </c>
      <c r="AS1571" s="12">
        <v>0</v>
      </c>
      <c r="AT1571" s="12">
        <v>1</v>
      </c>
      <c r="AU1571" s="12">
        <v>0</v>
      </c>
      <c r="AV1571" s="12">
        <v>0</v>
      </c>
      <c r="AW1571" s="12">
        <v>0</v>
      </c>
      <c r="AX1571" s="12">
        <v>0</v>
      </c>
      <c r="AY1571" s="12">
        <v>0</v>
      </c>
      <c r="BB1571" s="12">
        <v>0</v>
      </c>
      <c r="BC1571" s="12">
        <v>0</v>
      </c>
      <c r="BD1571" s="12">
        <v>0</v>
      </c>
      <c r="BE1571" s="12">
        <v>0</v>
      </c>
      <c r="BF1571" s="12">
        <v>0</v>
      </c>
      <c r="BI1571" s="12">
        <v>0</v>
      </c>
      <c r="BJ1571" s="12">
        <v>0</v>
      </c>
    </row>
    <row r="1572" spans="1:62" x14ac:dyDescent="0.15">
      <c r="A1572" s="12"/>
      <c r="B1572" t="s">
        <v>5197</v>
      </c>
      <c r="C1572" t="s">
        <v>5197</v>
      </c>
      <c r="D1572" t="s">
        <v>5195</v>
      </c>
      <c r="E1572" s="12" t="s">
        <v>4882</v>
      </c>
      <c r="F1572" s="12"/>
      <c r="G1572" s="12"/>
      <c r="H1572" s="12"/>
      <c r="I1572" s="12"/>
      <c r="J1572" s="12"/>
      <c r="K1572" s="12"/>
      <c r="L1572" s="10">
        <v>3804860</v>
      </c>
      <c r="M1572" s="10">
        <v>764830</v>
      </c>
      <c r="N1572" s="12">
        <v>15</v>
      </c>
      <c r="O1572" s="12" t="s">
        <v>4871</v>
      </c>
      <c r="P1572" t="s">
        <v>2183</v>
      </c>
      <c r="Q1572"/>
      <c r="R1572"/>
      <c r="S1572" t="s">
        <v>5195</v>
      </c>
      <c r="T1572" s="12" t="s">
        <v>2185</v>
      </c>
      <c r="U1572" s="12" t="s">
        <v>2186</v>
      </c>
      <c r="V1572" s="12" t="s">
        <v>2187</v>
      </c>
      <c r="W1572" s="12">
        <v>0</v>
      </c>
      <c r="X1572" s="12">
        <v>1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2">
        <v>0</v>
      </c>
      <c r="AK1572" s="12">
        <v>0</v>
      </c>
      <c r="AL1572" s="12">
        <v>0</v>
      </c>
      <c r="AM1572" s="12"/>
      <c r="AN1572" s="12">
        <v>0</v>
      </c>
      <c r="AO1572" s="12">
        <v>0</v>
      </c>
      <c r="AP1572" s="12">
        <v>0</v>
      </c>
      <c r="AQ1572" s="12">
        <v>0</v>
      </c>
      <c r="AR1572" s="12">
        <v>0</v>
      </c>
      <c r="AS1572" s="12">
        <v>0</v>
      </c>
      <c r="AT1572" s="12">
        <v>0</v>
      </c>
      <c r="AU1572" s="12">
        <v>0</v>
      </c>
      <c r="AV1572" s="12">
        <v>0</v>
      </c>
      <c r="AW1572" s="12">
        <v>0</v>
      </c>
      <c r="AX1572" s="12">
        <v>0</v>
      </c>
      <c r="AY1572" s="12">
        <v>0</v>
      </c>
      <c r="BB1572" s="12">
        <v>0</v>
      </c>
      <c r="BC1572" s="12">
        <v>0</v>
      </c>
      <c r="BD1572" s="12">
        <v>0</v>
      </c>
      <c r="BE1572" s="12">
        <v>0</v>
      </c>
      <c r="BF1572" s="12">
        <v>0</v>
      </c>
      <c r="BI1572" s="12">
        <v>0</v>
      </c>
      <c r="BJ1572" s="12">
        <v>0</v>
      </c>
    </row>
    <row r="1573" spans="1:62" x14ac:dyDescent="0.15">
      <c r="A1573" s="12"/>
      <c r="B1573" t="s">
        <v>5198</v>
      </c>
      <c r="C1573" t="s">
        <v>5198</v>
      </c>
      <c r="D1573" t="s">
        <v>5195</v>
      </c>
      <c r="E1573" s="12" t="s">
        <v>4882</v>
      </c>
      <c r="F1573" s="12"/>
      <c r="G1573" s="12"/>
      <c r="H1573" s="12"/>
      <c r="I1573" s="12"/>
      <c r="J1573" s="12"/>
      <c r="K1573" s="12"/>
      <c r="L1573" s="10">
        <v>3804700</v>
      </c>
      <c r="M1573" s="10">
        <v>766120</v>
      </c>
      <c r="N1573" s="12">
        <v>15</v>
      </c>
      <c r="O1573" s="12" t="s">
        <v>4871</v>
      </c>
      <c r="P1573" t="s">
        <v>2183</v>
      </c>
      <c r="Q1573"/>
      <c r="R1573"/>
      <c r="S1573" t="s">
        <v>5195</v>
      </c>
      <c r="T1573" s="12" t="s">
        <v>2185</v>
      </c>
      <c r="U1573" s="12" t="s">
        <v>2186</v>
      </c>
      <c r="V1573" s="12" t="s">
        <v>2187</v>
      </c>
      <c r="W1573" s="12">
        <v>0</v>
      </c>
      <c r="X1573" s="12">
        <v>1</v>
      </c>
      <c r="Y1573" s="12">
        <v>0</v>
      </c>
      <c r="Z1573" s="12">
        <v>0</v>
      </c>
      <c r="AA1573" s="12">
        <v>0</v>
      </c>
      <c r="AB1573" s="12">
        <v>0</v>
      </c>
      <c r="AC1573" s="12">
        <v>0</v>
      </c>
      <c r="AD1573" s="12">
        <v>0</v>
      </c>
      <c r="AE1573" s="12">
        <v>0</v>
      </c>
      <c r="AF1573" s="12">
        <v>0</v>
      </c>
      <c r="AG1573" s="12">
        <v>0</v>
      </c>
      <c r="AH1573" s="12">
        <v>0</v>
      </c>
      <c r="AI1573" s="12">
        <v>0</v>
      </c>
      <c r="AJ1573" s="12">
        <v>0</v>
      </c>
      <c r="AK1573" s="12">
        <v>0</v>
      </c>
      <c r="AL1573" s="12">
        <v>0</v>
      </c>
      <c r="AM1573" s="12"/>
      <c r="AN1573" s="12">
        <v>0</v>
      </c>
      <c r="AO1573" s="12">
        <v>0</v>
      </c>
      <c r="AP1573" s="12">
        <v>0</v>
      </c>
      <c r="AQ1573" s="12">
        <v>0</v>
      </c>
      <c r="AR1573" s="12">
        <v>0</v>
      </c>
      <c r="AS1573" s="12">
        <v>0</v>
      </c>
      <c r="AT1573" s="12">
        <v>0</v>
      </c>
      <c r="AU1573" s="12">
        <v>0</v>
      </c>
      <c r="AV1573" s="12">
        <v>0</v>
      </c>
      <c r="AW1573" s="12">
        <v>0</v>
      </c>
      <c r="AX1573" s="12">
        <v>0</v>
      </c>
      <c r="AY1573" s="12">
        <v>0</v>
      </c>
      <c r="BB1573" s="12">
        <v>0</v>
      </c>
      <c r="BC1573" s="12">
        <v>0</v>
      </c>
      <c r="BD1573" s="12">
        <v>0</v>
      </c>
      <c r="BE1573" s="12">
        <v>0</v>
      </c>
      <c r="BF1573" s="12">
        <v>0</v>
      </c>
      <c r="BI1573" s="12">
        <v>0</v>
      </c>
      <c r="BJ1573" s="12">
        <v>0</v>
      </c>
    </row>
    <row r="1574" spans="1:62" x14ac:dyDescent="0.15">
      <c r="A1574" s="12"/>
      <c r="B1574" t="s">
        <v>5199</v>
      </c>
      <c r="C1574" t="s">
        <v>5199</v>
      </c>
      <c r="D1574" t="s">
        <v>5195</v>
      </c>
      <c r="E1574" s="12" t="s">
        <v>4882</v>
      </c>
      <c r="F1574" s="12"/>
      <c r="G1574" s="12"/>
      <c r="H1574" s="12"/>
      <c r="I1574" s="12"/>
      <c r="J1574" s="12"/>
      <c r="K1574" s="12"/>
      <c r="L1574" s="10">
        <v>3806800</v>
      </c>
      <c r="M1574" s="10">
        <v>769090</v>
      </c>
      <c r="N1574" s="12">
        <v>15</v>
      </c>
      <c r="O1574" s="12" t="s">
        <v>4871</v>
      </c>
      <c r="P1574" t="s">
        <v>5196</v>
      </c>
      <c r="Q1574"/>
      <c r="R1574"/>
      <c r="S1574" t="s">
        <v>5195</v>
      </c>
      <c r="T1574" s="12" t="s">
        <v>2185</v>
      </c>
      <c r="U1574" s="12" t="s">
        <v>2186</v>
      </c>
      <c r="V1574" s="12" t="s">
        <v>2187</v>
      </c>
      <c r="W1574" s="12">
        <v>0</v>
      </c>
      <c r="X1574" s="12">
        <v>1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2">
        <v>0</v>
      </c>
      <c r="AK1574" s="12">
        <v>0</v>
      </c>
      <c r="AL1574" s="12">
        <v>0</v>
      </c>
      <c r="AM1574" s="12"/>
      <c r="AN1574" s="12">
        <v>0</v>
      </c>
      <c r="AO1574" s="12">
        <v>0</v>
      </c>
      <c r="AP1574" s="12">
        <v>0</v>
      </c>
      <c r="AQ1574" s="12">
        <v>0</v>
      </c>
      <c r="AR1574" s="12">
        <v>0</v>
      </c>
      <c r="AS1574" s="12">
        <v>0</v>
      </c>
      <c r="AT1574" s="12">
        <v>0</v>
      </c>
      <c r="AU1574" s="12">
        <v>0</v>
      </c>
      <c r="AV1574" s="12">
        <v>0</v>
      </c>
      <c r="AW1574" s="12">
        <v>0</v>
      </c>
      <c r="AX1574" s="12">
        <v>0</v>
      </c>
      <c r="AY1574" s="12">
        <v>0</v>
      </c>
      <c r="BB1574" s="12">
        <v>0</v>
      </c>
      <c r="BC1574" s="12">
        <v>0</v>
      </c>
      <c r="BD1574" s="12">
        <v>0</v>
      </c>
      <c r="BE1574" s="12">
        <v>0</v>
      </c>
      <c r="BF1574" s="12">
        <v>0</v>
      </c>
      <c r="BI1574" s="12">
        <v>0</v>
      </c>
      <c r="BJ1574" s="12">
        <v>0</v>
      </c>
    </row>
    <row r="1575" spans="1:62" x14ac:dyDescent="0.15">
      <c r="A1575" s="12"/>
      <c r="B1575" t="s">
        <v>5200</v>
      </c>
      <c r="C1575" t="s">
        <v>5200</v>
      </c>
      <c r="D1575" t="s">
        <v>5195</v>
      </c>
      <c r="E1575" s="12" t="s">
        <v>4882</v>
      </c>
      <c r="F1575" s="12"/>
      <c r="G1575" s="12"/>
      <c r="H1575" s="12"/>
      <c r="I1575" s="12"/>
      <c r="J1575" s="12"/>
      <c r="K1575" s="12"/>
      <c r="L1575" s="10">
        <v>3785960</v>
      </c>
      <c r="M1575" s="10">
        <v>769220</v>
      </c>
      <c r="N1575" s="12">
        <v>15</v>
      </c>
      <c r="O1575" s="12" t="s">
        <v>4871</v>
      </c>
      <c r="P1575" t="s">
        <v>2183</v>
      </c>
      <c r="Q1575"/>
      <c r="R1575"/>
      <c r="S1575" t="s">
        <v>5195</v>
      </c>
      <c r="T1575" s="12" t="s">
        <v>2185</v>
      </c>
      <c r="U1575" s="12" t="s">
        <v>2186</v>
      </c>
      <c r="V1575" s="12" t="s">
        <v>2187</v>
      </c>
      <c r="W1575" s="12">
        <v>0</v>
      </c>
      <c r="X1575" s="12">
        <v>1</v>
      </c>
      <c r="Y1575" s="12">
        <v>0</v>
      </c>
      <c r="Z1575" s="12">
        <v>0</v>
      </c>
      <c r="AA1575" s="12">
        <v>0</v>
      </c>
      <c r="AB1575" s="12">
        <v>0</v>
      </c>
      <c r="AC1575" s="12">
        <v>0</v>
      </c>
      <c r="AD1575" s="12">
        <v>0</v>
      </c>
      <c r="AE1575" s="12">
        <v>0</v>
      </c>
      <c r="AF1575" s="12">
        <v>0</v>
      </c>
      <c r="AG1575" s="12">
        <v>0</v>
      </c>
      <c r="AH1575" s="12">
        <v>0</v>
      </c>
      <c r="AI1575" s="12">
        <v>0</v>
      </c>
      <c r="AJ1575" s="12">
        <v>0</v>
      </c>
      <c r="AK1575" s="12">
        <v>0</v>
      </c>
      <c r="AL1575" s="12">
        <v>0</v>
      </c>
      <c r="AM1575" s="12"/>
      <c r="AN1575" s="12">
        <v>0</v>
      </c>
      <c r="AO1575" s="12">
        <v>0</v>
      </c>
      <c r="AP1575" s="12">
        <v>0</v>
      </c>
      <c r="AQ1575" s="12">
        <v>0</v>
      </c>
      <c r="AR1575" s="12">
        <v>0</v>
      </c>
      <c r="AS1575" s="12">
        <v>0</v>
      </c>
      <c r="AT1575" s="12">
        <v>0</v>
      </c>
      <c r="AU1575" s="12">
        <v>0</v>
      </c>
      <c r="AV1575" s="12">
        <v>0</v>
      </c>
      <c r="AW1575" s="12">
        <v>0</v>
      </c>
      <c r="AX1575" s="12">
        <v>0</v>
      </c>
      <c r="AY1575" s="12">
        <v>0</v>
      </c>
      <c r="BB1575" s="12">
        <v>0</v>
      </c>
      <c r="BC1575" s="12">
        <v>0</v>
      </c>
      <c r="BD1575" s="12">
        <v>0</v>
      </c>
      <c r="BE1575" s="12">
        <v>0</v>
      </c>
      <c r="BF1575" s="12">
        <v>0</v>
      </c>
      <c r="BI1575" s="12">
        <v>0</v>
      </c>
      <c r="BJ1575" s="12">
        <v>0</v>
      </c>
    </row>
    <row r="1576" spans="1:62" x14ac:dyDescent="0.15">
      <c r="A1576" s="12"/>
      <c r="B1576" t="s">
        <v>5201</v>
      </c>
      <c r="C1576" t="s">
        <v>5201</v>
      </c>
      <c r="D1576" t="s">
        <v>5195</v>
      </c>
      <c r="E1576" s="12" t="s">
        <v>4882</v>
      </c>
      <c r="F1576" s="12"/>
      <c r="G1576" s="12"/>
      <c r="H1576" s="12"/>
      <c r="I1576" s="12"/>
      <c r="J1576" s="12"/>
      <c r="K1576" s="12"/>
      <c r="L1576" s="10">
        <v>3803380</v>
      </c>
      <c r="M1576" s="10">
        <v>767400</v>
      </c>
      <c r="N1576" s="12">
        <v>15</v>
      </c>
      <c r="O1576" s="12" t="s">
        <v>4871</v>
      </c>
      <c r="P1576" t="s">
        <v>5196</v>
      </c>
      <c r="Q1576"/>
      <c r="R1576"/>
      <c r="S1576" t="s">
        <v>5195</v>
      </c>
      <c r="T1576" s="12" t="s">
        <v>2185</v>
      </c>
      <c r="U1576" s="12" t="s">
        <v>2186</v>
      </c>
      <c r="V1576" s="12" t="s">
        <v>2187</v>
      </c>
      <c r="W1576" s="12">
        <v>0</v>
      </c>
      <c r="X1576" s="12">
        <v>1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2">
        <v>0</v>
      </c>
      <c r="AK1576" s="12">
        <v>0</v>
      </c>
      <c r="AL1576" s="12">
        <v>0</v>
      </c>
      <c r="AM1576" s="12"/>
      <c r="AN1576" s="12">
        <v>0</v>
      </c>
      <c r="AO1576" s="12">
        <v>0</v>
      </c>
      <c r="AP1576" s="12">
        <v>0</v>
      </c>
      <c r="AQ1576" s="12">
        <v>0</v>
      </c>
      <c r="AR1576" s="12">
        <v>0</v>
      </c>
      <c r="AS1576" s="12">
        <v>0</v>
      </c>
      <c r="AT1576" s="12">
        <v>0</v>
      </c>
      <c r="AU1576" s="12">
        <v>0</v>
      </c>
      <c r="AV1576" s="12">
        <v>0</v>
      </c>
      <c r="AW1576" s="12">
        <v>0</v>
      </c>
      <c r="AX1576" s="12">
        <v>0</v>
      </c>
      <c r="AY1576" s="12">
        <v>0</v>
      </c>
      <c r="BB1576" s="12">
        <v>0</v>
      </c>
      <c r="BC1576" s="12">
        <v>0</v>
      </c>
      <c r="BD1576" s="12">
        <v>0</v>
      </c>
      <c r="BE1576" s="12">
        <v>0</v>
      </c>
      <c r="BF1576" s="12">
        <v>0</v>
      </c>
      <c r="BI1576" s="12">
        <v>0</v>
      </c>
      <c r="BJ1576" s="12">
        <v>0</v>
      </c>
    </row>
    <row r="1577" spans="1:62" x14ac:dyDescent="0.15">
      <c r="A1577" s="12"/>
      <c r="B1577" t="s">
        <v>5202</v>
      </c>
      <c r="C1577" t="s">
        <v>5202</v>
      </c>
      <c r="D1577" t="s">
        <v>5195</v>
      </c>
      <c r="E1577" s="12" t="s">
        <v>4882</v>
      </c>
      <c r="F1577" s="12"/>
      <c r="G1577" s="12"/>
      <c r="H1577" s="12"/>
      <c r="I1577" s="12"/>
      <c r="J1577" s="12"/>
      <c r="K1577" s="12"/>
      <c r="L1577" s="10">
        <v>3802250</v>
      </c>
      <c r="M1577" s="10">
        <v>773740</v>
      </c>
      <c r="N1577" s="12">
        <v>15</v>
      </c>
      <c r="O1577" s="12" t="s">
        <v>4871</v>
      </c>
      <c r="P1577" t="s">
        <v>2183</v>
      </c>
      <c r="Q1577"/>
      <c r="R1577"/>
      <c r="S1577" t="s">
        <v>5195</v>
      </c>
      <c r="T1577" s="12" t="s">
        <v>2185</v>
      </c>
      <c r="U1577" s="12" t="s">
        <v>2186</v>
      </c>
      <c r="V1577" s="12" t="s">
        <v>2187</v>
      </c>
      <c r="W1577" s="12">
        <v>0</v>
      </c>
      <c r="X1577" s="12">
        <v>1</v>
      </c>
      <c r="Y1577" s="12">
        <v>0</v>
      </c>
      <c r="Z1577" s="12">
        <v>0</v>
      </c>
      <c r="AA1577" s="12">
        <v>0</v>
      </c>
      <c r="AB1577" s="12">
        <v>0</v>
      </c>
      <c r="AC1577" s="12">
        <v>0</v>
      </c>
      <c r="AD1577" s="12">
        <v>0</v>
      </c>
      <c r="AE1577" s="12">
        <v>0</v>
      </c>
      <c r="AF1577" s="12">
        <v>0</v>
      </c>
      <c r="AG1577" s="12">
        <v>0</v>
      </c>
      <c r="AH1577" s="12">
        <v>0</v>
      </c>
      <c r="AI1577" s="12">
        <v>0</v>
      </c>
      <c r="AJ1577" s="12">
        <v>0</v>
      </c>
      <c r="AK1577" s="12">
        <v>0</v>
      </c>
      <c r="AL1577" s="12">
        <v>0</v>
      </c>
      <c r="AM1577" s="12"/>
      <c r="AN1577" s="12">
        <v>0</v>
      </c>
      <c r="AO1577" s="12">
        <v>0</v>
      </c>
      <c r="AP1577" s="12">
        <v>0</v>
      </c>
      <c r="AQ1577" s="12">
        <v>0</v>
      </c>
      <c r="AR1577" s="12">
        <v>0</v>
      </c>
      <c r="AS1577" s="12">
        <v>0</v>
      </c>
      <c r="AT1577" s="12">
        <v>0</v>
      </c>
      <c r="AU1577" s="12">
        <v>0</v>
      </c>
      <c r="AV1577" s="12">
        <v>0</v>
      </c>
      <c r="AW1577" s="12">
        <v>0</v>
      </c>
      <c r="AX1577" s="12">
        <v>0</v>
      </c>
      <c r="AY1577" s="12">
        <v>0</v>
      </c>
      <c r="BB1577" s="12">
        <v>0</v>
      </c>
      <c r="BC1577" s="12">
        <v>0</v>
      </c>
      <c r="BD1577" s="12">
        <v>0</v>
      </c>
      <c r="BE1577" s="12">
        <v>0</v>
      </c>
      <c r="BF1577" s="12">
        <v>0</v>
      </c>
      <c r="BI1577" s="12">
        <v>0</v>
      </c>
      <c r="BJ1577" s="12">
        <v>0</v>
      </c>
    </row>
    <row r="1578" spans="1:62" x14ac:dyDescent="0.15">
      <c r="A1578" s="12"/>
      <c r="B1578" t="s">
        <v>5203</v>
      </c>
      <c r="C1578" t="s">
        <v>5203</v>
      </c>
      <c r="D1578" t="s">
        <v>5195</v>
      </c>
      <c r="E1578" s="12" t="s">
        <v>4882</v>
      </c>
      <c r="F1578" s="12"/>
      <c r="G1578" s="12"/>
      <c r="H1578" s="12"/>
      <c r="I1578" s="12"/>
      <c r="J1578" s="12"/>
      <c r="K1578" s="12"/>
      <c r="L1578" s="10">
        <v>3807725.98</v>
      </c>
      <c r="M1578" s="10">
        <v>786457.02800000005</v>
      </c>
      <c r="N1578" s="12">
        <v>15</v>
      </c>
      <c r="O1578" s="12" t="s">
        <v>4871</v>
      </c>
      <c r="P1578" t="s">
        <v>5204</v>
      </c>
      <c r="Q1578"/>
      <c r="R1578"/>
      <c r="S1578" t="s">
        <v>5195</v>
      </c>
      <c r="T1578" s="12" t="s">
        <v>2186</v>
      </c>
      <c r="U1578" s="12" t="s">
        <v>2186</v>
      </c>
      <c r="V1578" s="12" t="s">
        <v>2186</v>
      </c>
      <c r="W1578" s="12">
        <v>1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2">
        <v>0</v>
      </c>
      <c r="AK1578" s="12">
        <v>0</v>
      </c>
      <c r="AL1578" s="12">
        <v>0</v>
      </c>
      <c r="AM1578" s="12"/>
      <c r="AN1578" s="12">
        <v>0</v>
      </c>
      <c r="AO1578" s="12">
        <v>0</v>
      </c>
      <c r="AP1578" s="12">
        <v>0</v>
      </c>
      <c r="AQ1578" s="12">
        <v>0</v>
      </c>
      <c r="AR1578" s="12">
        <v>0</v>
      </c>
      <c r="AS1578" s="12">
        <v>0</v>
      </c>
      <c r="AT1578" s="12">
        <v>0</v>
      </c>
      <c r="AU1578" s="12">
        <v>0</v>
      </c>
      <c r="AV1578" s="12">
        <v>0</v>
      </c>
      <c r="AW1578" s="12">
        <v>0</v>
      </c>
      <c r="AX1578" s="12">
        <v>0</v>
      </c>
      <c r="AY1578" s="12">
        <v>0</v>
      </c>
      <c r="BB1578" s="12">
        <v>0</v>
      </c>
      <c r="BC1578" s="12">
        <v>0</v>
      </c>
      <c r="BD1578" s="12">
        <v>0</v>
      </c>
      <c r="BE1578" s="12">
        <v>0</v>
      </c>
      <c r="BF1578" s="12">
        <v>0</v>
      </c>
      <c r="BI1578" s="12">
        <v>0</v>
      </c>
      <c r="BJ1578" s="12">
        <v>0</v>
      </c>
    </row>
    <row r="1579" spans="1:62" x14ac:dyDescent="0.15">
      <c r="A1579" s="12"/>
      <c r="B1579" t="s">
        <v>5205</v>
      </c>
      <c r="C1579" t="s">
        <v>5205</v>
      </c>
      <c r="D1579" t="s">
        <v>5195</v>
      </c>
      <c r="E1579" s="12" t="s">
        <v>4882</v>
      </c>
      <c r="F1579" s="12"/>
      <c r="G1579" s="12"/>
      <c r="H1579" s="12"/>
      <c r="I1579" s="12"/>
      <c r="J1579" s="12"/>
      <c r="K1579" s="12"/>
      <c r="L1579" s="10">
        <v>3719413</v>
      </c>
      <c r="M1579" s="10">
        <v>703331</v>
      </c>
      <c r="N1579" s="12">
        <v>15</v>
      </c>
      <c r="O1579" s="12" t="s">
        <v>4871</v>
      </c>
      <c r="P1579" t="s">
        <v>2183</v>
      </c>
      <c r="Q1579"/>
      <c r="R1579"/>
      <c r="S1579" t="s">
        <v>5195</v>
      </c>
      <c r="T1579" s="12" t="s">
        <v>2185</v>
      </c>
      <c r="U1579" s="12" t="s">
        <v>2186</v>
      </c>
      <c r="V1579" s="12" t="s">
        <v>2187</v>
      </c>
      <c r="W1579" s="12">
        <v>0</v>
      </c>
      <c r="X1579" s="12">
        <v>1</v>
      </c>
      <c r="Y1579" s="12">
        <v>0</v>
      </c>
      <c r="Z1579" s="12">
        <v>0</v>
      </c>
      <c r="AA1579" s="12">
        <v>0</v>
      </c>
      <c r="AB1579" s="12">
        <v>0</v>
      </c>
      <c r="AC1579" s="12">
        <v>0</v>
      </c>
      <c r="AD1579" s="12">
        <v>0</v>
      </c>
      <c r="AE1579" s="12">
        <v>0</v>
      </c>
      <c r="AF1579" s="12">
        <v>0</v>
      </c>
      <c r="AG1579" s="12">
        <v>0</v>
      </c>
      <c r="AH1579" s="12">
        <v>0</v>
      </c>
      <c r="AI1579" s="12">
        <v>0</v>
      </c>
      <c r="AJ1579" s="12">
        <v>0</v>
      </c>
      <c r="AK1579" s="12">
        <v>0</v>
      </c>
      <c r="AL1579" s="12">
        <v>0</v>
      </c>
      <c r="AM1579" s="12"/>
      <c r="AN1579" s="12">
        <v>0</v>
      </c>
      <c r="AO1579" s="12">
        <v>0</v>
      </c>
      <c r="AP1579" s="12">
        <v>0</v>
      </c>
      <c r="AQ1579" s="12">
        <v>0</v>
      </c>
      <c r="AR1579" s="12">
        <v>0</v>
      </c>
      <c r="AS1579" s="12">
        <v>0</v>
      </c>
      <c r="AT1579" s="12">
        <v>0</v>
      </c>
      <c r="AU1579" s="12">
        <v>0</v>
      </c>
      <c r="AV1579" s="12">
        <v>0</v>
      </c>
      <c r="AW1579" s="12">
        <v>0</v>
      </c>
      <c r="AX1579" s="12">
        <v>0</v>
      </c>
      <c r="AY1579" s="12">
        <v>0</v>
      </c>
      <c r="BB1579" s="12">
        <v>0</v>
      </c>
      <c r="BC1579" s="12">
        <v>0</v>
      </c>
      <c r="BD1579" s="12">
        <v>0</v>
      </c>
      <c r="BE1579" s="12">
        <v>0</v>
      </c>
      <c r="BF1579" s="12">
        <v>0</v>
      </c>
      <c r="BI1579" s="12">
        <v>0</v>
      </c>
      <c r="BJ1579" s="12">
        <v>0</v>
      </c>
    </row>
    <row r="1580" spans="1:62" x14ac:dyDescent="0.15">
      <c r="A1580" s="12"/>
      <c r="B1580" t="s">
        <v>5206</v>
      </c>
      <c r="C1580" t="s">
        <v>5206</v>
      </c>
      <c r="D1580" t="s">
        <v>5195</v>
      </c>
      <c r="E1580" s="12" t="s">
        <v>4882</v>
      </c>
      <c r="F1580" s="12"/>
      <c r="G1580" s="12"/>
      <c r="H1580" s="12"/>
      <c r="I1580" s="12"/>
      <c r="J1580" s="12"/>
      <c r="K1580" s="12"/>
      <c r="L1580" s="10">
        <v>3723760</v>
      </c>
      <c r="M1580" s="10">
        <v>704100</v>
      </c>
      <c r="N1580" s="12">
        <v>15</v>
      </c>
      <c r="O1580" s="12" t="s">
        <v>4871</v>
      </c>
      <c r="P1580" t="s">
        <v>5207</v>
      </c>
      <c r="Q1580"/>
      <c r="R1580"/>
      <c r="S1580" t="s">
        <v>5195</v>
      </c>
      <c r="T1580" s="12" t="s">
        <v>2185</v>
      </c>
      <c r="U1580" s="12" t="s">
        <v>2186</v>
      </c>
      <c r="V1580" s="12" t="s">
        <v>2187</v>
      </c>
      <c r="W1580" s="12">
        <v>0</v>
      </c>
      <c r="X1580" s="12">
        <v>1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1</v>
      </c>
      <c r="AE1580" s="12">
        <v>0</v>
      </c>
      <c r="AF1580" s="12">
        <v>1</v>
      </c>
      <c r="AG1580" s="12">
        <v>1</v>
      </c>
      <c r="AH1580" s="12">
        <v>0</v>
      </c>
      <c r="AI1580" s="12">
        <v>0</v>
      </c>
      <c r="AJ1580" s="12">
        <v>0</v>
      </c>
      <c r="AK1580" s="12">
        <v>0</v>
      </c>
      <c r="AL1580" s="12">
        <v>0</v>
      </c>
      <c r="AM1580" s="12"/>
      <c r="AN1580" s="12">
        <v>0</v>
      </c>
      <c r="AO1580" s="12">
        <v>0</v>
      </c>
      <c r="AP1580" s="12">
        <v>0</v>
      </c>
      <c r="AQ1580" s="12">
        <v>0</v>
      </c>
      <c r="AR1580" s="12">
        <v>0</v>
      </c>
      <c r="AS1580" s="12">
        <v>0</v>
      </c>
      <c r="AT1580" s="12">
        <v>0</v>
      </c>
      <c r="AU1580" s="12">
        <v>0</v>
      </c>
      <c r="AV1580" s="12">
        <v>0</v>
      </c>
      <c r="AW1580" s="12">
        <v>0</v>
      </c>
      <c r="AX1580" s="12">
        <v>0</v>
      </c>
      <c r="AY1580" s="12">
        <v>0</v>
      </c>
      <c r="BB1580" s="12">
        <v>0</v>
      </c>
      <c r="BC1580" s="12">
        <v>0</v>
      </c>
      <c r="BD1580" s="12">
        <v>0</v>
      </c>
      <c r="BE1580" s="12">
        <v>0</v>
      </c>
      <c r="BF1580" s="12">
        <v>0</v>
      </c>
      <c r="BI1580" s="12">
        <v>0</v>
      </c>
      <c r="BJ1580" s="12">
        <v>0</v>
      </c>
    </row>
    <row r="1581" spans="1:62" x14ac:dyDescent="0.15">
      <c r="A1581" s="12"/>
      <c r="B1581" t="s">
        <v>5208</v>
      </c>
      <c r="C1581" t="s">
        <v>5208</v>
      </c>
      <c r="D1581" t="s">
        <v>5195</v>
      </c>
      <c r="E1581" s="12" t="s">
        <v>4882</v>
      </c>
      <c r="F1581" s="12"/>
      <c r="G1581" s="12"/>
      <c r="H1581" s="12"/>
      <c r="I1581" s="12"/>
      <c r="J1581" s="12"/>
      <c r="K1581" s="12"/>
      <c r="L1581" s="10">
        <v>3802140.0389999999</v>
      </c>
      <c r="M1581" s="10">
        <v>777389.48</v>
      </c>
      <c r="N1581" s="12">
        <v>15</v>
      </c>
      <c r="O1581" s="12" t="s">
        <v>4871</v>
      </c>
      <c r="P1581" t="s">
        <v>5204</v>
      </c>
      <c r="Q1581"/>
      <c r="R1581"/>
      <c r="S1581" t="s">
        <v>5195</v>
      </c>
      <c r="T1581" s="12" t="s">
        <v>2186</v>
      </c>
      <c r="U1581" s="12" t="s">
        <v>2186</v>
      </c>
      <c r="V1581" s="12" t="s">
        <v>2186</v>
      </c>
      <c r="W1581" s="12">
        <v>1</v>
      </c>
      <c r="X1581" s="12">
        <v>0</v>
      </c>
      <c r="Y1581" s="12">
        <v>0</v>
      </c>
      <c r="Z1581" s="12">
        <v>0</v>
      </c>
      <c r="AA1581" s="12">
        <v>0</v>
      </c>
      <c r="AB1581" s="12">
        <v>0</v>
      </c>
      <c r="AC1581" s="12">
        <v>0</v>
      </c>
      <c r="AD1581" s="12">
        <v>0</v>
      </c>
      <c r="AE1581" s="12">
        <v>0</v>
      </c>
      <c r="AF1581" s="12">
        <v>0</v>
      </c>
      <c r="AG1581" s="12">
        <v>0</v>
      </c>
      <c r="AH1581" s="12">
        <v>0</v>
      </c>
      <c r="AI1581" s="12">
        <v>0</v>
      </c>
      <c r="AJ1581" s="12">
        <v>0</v>
      </c>
      <c r="AK1581" s="12">
        <v>0</v>
      </c>
      <c r="AL1581" s="12">
        <v>0</v>
      </c>
      <c r="AM1581" s="12"/>
      <c r="AN1581" s="12">
        <v>0</v>
      </c>
      <c r="AO1581" s="12">
        <v>0</v>
      </c>
      <c r="AP1581" s="12">
        <v>0</v>
      </c>
      <c r="AQ1581" s="12">
        <v>0</v>
      </c>
      <c r="AR1581" s="12">
        <v>0</v>
      </c>
      <c r="AS1581" s="12">
        <v>0</v>
      </c>
      <c r="AT1581" s="12">
        <v>0</v>
      </c>
      <c r="AU1581" s="12">
        <v>0</v>
      </c>
      <c r="AV1581" s="12">
        <v>0</v>
      </c>
      <c r="AW1581" s="12">
        <v>0</v>
      </c>
      <c r="AX1581" s="12">
        <v>0</v>
      </c>
      <c r="AY1581" s="12">
        <v>0</v>
      </c>
      <c r="BB1581" s="12">
        <v>0</v>
      </c>
      <c r="BC1581" s="12">
        <v>0</v>
      </c>
      <c r="BD1581" s="12">
        <v>0</v>
      </c>
      <c r="BE1581" s="12">
        <v>0</v>
      </c>
      <c r="BF1581" s="12">
        <v>0</v>
      </c>
      <c r="BI1581" s="12">
        <v>0</v>
      </c>
      <c r="BJ1581" s="12">
        <v>0</v>
      </c>
    </row>
    <row r="1582" spans="1:62" x14ac:dyDescent="0.15">
      <c r="A1582" s="12"/>
      <c r="B1582" t="s">
        <v>5209</v>
      </c>
      <c r="C1582" t="s">
        <v>5209</v>
      </c>
      <c r="D1582" t="s">
        <v>5195</v>
      </c>
      <c r="E1582" s="12" t="s">
        <v>4882</v>
      </c>
      <c r="F1582" s="12"/>
      <c r="G1582" s="12"/>
      <c r="H1582" s="12"/>
      <c r="I1582" s="12"/>
      <c r="J1582" s="12"/>
      <c r="K1582" s="12"/>
      <c r="L1582" s="10">
        <v>3807444</v>
      </c>
      <c r="M1582" s="10">
        <v>764187</v>
      </c>
      <c r="N1582" s="12">
        <v>15</v>
      </c>
      <c r="O1582" s="12" t="s">
        <v>4871</v>
      </c>
      <c r="P1582" t="s">
        <v>5204</v>
      </c>
      <c r="Q1582"/>
      <c r="R1582"/>
      <c r="S1582" t="s">
        <v>5195</v>
      </c>
      <c r="T1582" s="12" t="s">
        <v>2186</v>
      </c>
      <c r="U1582" s="12" t="s">
        <v>2186</v>
      </c>
      <c r="V1582" s="12" t="s">
        <v>2186</v>
      </c>
      <c r="W1582" s="12">
        <v>1</v>
      </c>
      <c r="X1582" s="12">
        <v>0</v>
      </c>
      <c r="Y1582" s="12">
        <v>0</v>
      </c>
      <c r="Z1582" s="12">
        <v>1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2">
        <v>0</v>
      </c>
      <c r="AK1582" s="12">
        <v>0</v>
      </c>
      <c r="AL1582" s="12">
        <v>0</v>
      </c>
      <c r="AM1582" s="12"/>
      <c r="AN1582" s="12">
        <v>0</v>
      </c>
      <c r="AO1582" s="12">
        <v>0</v>
      </c>
      <c r="AP1582" s="12">
        <v>0</v>
      </c>
      <c r="AQ1582" s="12">
        <v>0</v>
      </c>
      <c r="AR1582" s="12">
        <v>0</v>
      </c>
      <c r="AS1582" s="12">
        <v>0</v>
      </c>
      <c r="AT1582" s="12">
        <v>0</v>
      </c>
      <c r="AU1582" s="12">
        <v>0</v>
      </c>
      <c r="AV1582" s="12">
        <v>0</v>
      </c>
      <c r="AW1582" s="12">
        <v>0</v>
      </c>
      <c r="AX1582" s="12">
        <v>0</v>
      </c>
      <c r="AY1582" s="12">
        <v>0</v>
      </c>
      <c r="BB1582" s="12">
        <v>0</v>
      </c>
      <c r="BC1582" s="12">
        <v>0</v>
      </c>
      <c r="BD1582" s="12">
        <v>0</v>
      </c>
      <c r="BE1582" s="12">
        <v>0</v>
      </c>
      <c r="BF1582" s="12">
        <v>0</v>
      </c>
      <c r="BI1582" s="12">
        <v>0</v>
      </c>
      <c r="BJ1582" s="12">
        <v>0</v>
      </c>
    </row>
    <row r="1583" spans="1:62" x14ac:dyDescent="0.15">
      <c r="A1583" s="12" t="s">
        <v>5210</v>
      </c>
      <c r="B1583"/>
      <c r="C1583" s="20" t="s">
        <v>5211</v>
      </c>
      <c r="D1583" t="s">
        <v>4881</v>
      </c>
      <c r="E1583" s="12" t="s">
        <v>7423</v>
      </c>
      <c r="F1583" s="12"/>
      <c r="G1583" s="12"/>
      <c r="H1583" s="12"/>
      <c r="I1583" s="12"/>
      <c r="J1583" s="12"/>
      <c r="K1583" s="12"/>
      <c r="L1583" s="10">
        <v>3484536</v>
      </c>
      <c r="M1583" s="10">
        <v>576400</v>
      </c>
      <c r="N1583" s="12">
        <v>15</v>
      </c>
      <c r="O1583" s="12" t="s">
        <v>6992</v>
      </c>
      <c r="P1583" t="s">
        <v>5212</v>
      </c>
      <c r="Q1583"/>
      <c r="R1583"/>
      <c r="S1583" t="s">
        <v>5213</v>
      </c>
      <c r="T1583" s="12" t="s">
        <v>5214</v>
      </c>
      <c r="U1583" s="12" t="s">
        <v>4898</v>
      </c>
      <c r="V1583" s="12" t="s">
        <v>4897</v>
      </c>
      <c r="W1583" s="12">
        <v>0</v>
      </c>
      <c r="X1583" s="12">
        <v>0</v>
      </c>
      <c r="Y1583" s="12">
        <v>0</v>
      </c>
      <c r="Z1583" s="12">
        <v>0</v>
      </c>
      <c r="AA1583" s="12">
        <v>1</v>
      </c>
      <c r="AB1583" s="12">
        <v>0</v>
      </c>
      <c r="AC1583" s="12">
        <v>0</v>
      </c>
      <c r="AD1583" s="12">
        <v>0</v>
      </c>
      <c r="AE1583" s="12">
        <v>0</v>
      </c>
      <c r="AF1583" s="12">
        <v>0</v>
      </c>
      <c r="AG1583" s="12">
        <v>0</v>
      </c>
      <c r="AH1583" s="12">
        <v>0</v>
      </c>
      <c r="AI1583" s="12">
        <v>0</v>
      </c>
      <c r="AJ1583" s="12">
        <v>0</v>
      </c>
      <c r="AK1583" s="12">
        <v>0</v>
      </c>
      <c r="AL1583" s="12">
        <v>0</v>
      </c>
      <c r="AM1583" s="12"/>
      <c r="AN1583" s="12">
        <v>0</v>
      </c>
      <c r="AO1583" s="12">
        <v>0</v>
      </c>
      <c r="AP1583" s="12">
        <v>0</v>
      </c>
      <c r="AQ1583" s="12">
        <v>0</v>
      </c>
      <c r="AR1583" s="12">
        <v>0</v>
      </c>
      <c r="AS1583" s="12">
        <v>0</v>
      </c>
      <c r="AT1583" s="12">
        <v>0</v>
      </c>
      <c r="AU1583" s="12">
        <v>0</v>
      </c>
      <c r="AV1583" s="12">
        <v>0</v>
      </c>
      <c r="AW1583" s="12">
        <v>0</v>
      </c>
      <c r="AX1583" s="12">
        <v>0</v>
      </c>
      <c r="AY1583" s="12">
        <v>0</v>
      </c>
      <c r="BB1583" s="12">
        <v>0</v>
      </c>
      <c r="BC1583" s="12">
        <v>0</v>
      </c>
      <c r="BD1583" s="12">
        <v>0</v>
      </c>
      <c r="BE1583" s="12">
        <v>0</v>
      </c>
      <c r="BF1583" s="12">
        <v>0</v>
      </c>
      <c r="BI1583" s="12">
        <v>0</v>
      </c>
      <c r="BJ1583" s="12">
        <v>0</v>
      </c>
    </row>
    <row r="1584" spans="1:62" x14ac:dyDescent="0.15">
      <c r="A1584" s="12" t="s">
        <v>5215</v>
      </c>
      <c r="B1584"/>
      <c r="C1584" s="20" t="s">
        <v>5216</v>
      </c>
      <c r="D1584" t="s">
        <v>4881</v>
      </c>
      <c r="E1584" s="12" t="s">
        <v>7423</v>
      </c>
      <c r="F1584" s="12"/>
      <c r="G1584" s="12"/>
      <c r="H1584" s="12"/>
      <c r="I1584" s="12"/>
      <c r="J1584" s="12"/>
      <c r="K1584" s="12"/>
      <c r="L1584" s="10">
        <v>3486472</v>
      </c>
      <c r="M1584" s="10">
        <v>587128</v>
      </c>
      <c r="N1584" s="12">
        <v>15</v>
      </c>
      <c r="O1584" s="12" t="s">
        <v>6992</v>
      </c>
      <c r="P1584" t="s">
        <v>5212</v>
      </c>
      <c r="Q1584"/>
      <c r="R1584"/>
      <c r="S1584" t="s">
        <v>5217</v>
      </c>
      <c r="T1584" s="12" t="s">
        <v>5214</v>
      </c>
      <c r="U1584" s="12" t="s">
        <v>4898</v>
      </c>
      <c r="V1584" s="12" t="s">
        <v>4897</v>
      </c>
      <c r="W1584" s="12">
        <v>0</v>
      </c>
      <c r="X1584" s="12">
        <v>0</v>
      </c>
      <c r="Y1584" s="12">
        <v>0</v>
      </c>
      <c r="Z1584" s="12">
        <v>0</v>
      </c>
      <c r="AA1584" s="12">
        <v>1</v>
      </c>
      <c r="AB1584" s="12">
        <v>0</v>
      </c>
      <c r="AC1584" s="12">
        <v>0</v>
      </c>
      <c r="AD1584" s="12">
        <v>0</v>
      </c>
      <c r="AE1584" s="12">
        <f>VLOOKUP(C1584,'[1]Phillips 1970 - coles creek'!A$1:B$65536,2,FALSE)</f>
        <v>1</v>
      </c>
      <c r="AF1584" s="12">
        <v>0</v>
      </c>
      <c r="AG1584" s="12">
        <v>0</v>
      </c>
      <c r="AH1584" s="12">
        <v>0</v>
      </c>
      <c r="AI1584" s="12">
        <v>0</v>
      </c>
      <c r="AJ1584" s="12">
        <v>0</v>
      </c>
      <c r="AK1584" s="12">
        <v>0</v>
      </c>
      <c r="AL1584" s="12">
        <v>0</v>
      </c>
      <c r="AM1584" s="12"/>
      <c r="AN1584" s="12">
        <v>0</v>
      </c>
      <c r="AO1584" s="12">
        <v>0</v>
      </c>
      <c r="AP1584" s="12">
        <v>0</v>
      </c>
      <c r="AQ1584" s="12">
        <v>0</v>
      </c>
      <c r="AR1584" s="12">
        <v>0</v>
      </c>
      <c r="AS1584" s="12">
        <v>0</v>
      </c>
      <c r="AT1584" s="12">
        <v>0</v>
      </c>
      <c r="AU1584" s="12">
        <v>0</v>
      </c>
      <c r="AV1584" s="12">
        <v>0</v>
      </c>
      <c r="AW1584" s="12">
        <v>0</v>
      </c>
      <c r="AX1584" s="12">
        <v>0</v>
      </c>
      <c r="AY1584" s="12">
        <v>0</v>
      </c>
      <c r="BB1584" s="12">
        <v>0</v>
      </c>
      <c r="BC1584" s="12">
        <v>0</v>
      </c>
      <c r="BD1584" s="12">
        <v>0</v>
      </c>
      <c r="BE1584" s="12">
        <v>0</v>
      </c>
      <c r="BF1584" s="12">
        <v>0</v>
      </c>
      <c r="BI1584" s="12">
        <v>0</v>
      </c>
      <c r="BJ1584" s="12">
        <v>0</v>
      </c>
    </row>
    <row r="1585" spans="1:62" x14ac:dyDescent="0.15">
      <c r="A1585" s="12" t="s">
        <v>5218</v>
      </c>
      <c r="B1585"/>
      <c r="C1585" s="20" t="s">
        <v>5219</v>
      </c>
      <c r="D1585" t="s">
        <v>4881</v>
      </c>
      <c r="E1585" s="12" t="s">
        <v>7423</v>
      </c>
      <c r="F1585" s="12"/>
      <c r="G1585" s="12"/>
      <c r="H1585" s="12"/>
      <c r="I1585" s="12"/>
      <c r="J1585" s="12"/>
      <c r="K1585" s="12"/>
      <c r="L1585" s="10">
        <v>3540604</v>
      </c>
      <c r="M1585" s="10">
        <v>630720</v>
      </c>
      <c r="N1585" s="12">
        <v>15</v>
      </c>
      <c r="O1585" s="12" t="s">
        <v>6992</v>
      </c>
      <c r="P1585" t="s">
        <v>5220</v>
      </c>
      <c r="Q1585"/>
      <c r="R1585"/>
      <c r="S1585" t="s">
        <v>5221</v>
      </c>
      <c r="T1585" s="12" t="s">
        <v>5214</v>
      </c>
      <c r="U1585" s="12" t="s">
        <v>4898</v>
      </c>
      <c r="V1585" s="12" t="s">
        <v>4897</v>
      </c>
      <c r="W1585" s="12">
        <v>0</v>
      </c>
      <c r="X1585" s="12">
        <v>0</v>
      </c>
      <c r="Y1585" s="12">
        <v>0</v>
      </c>
      <c r="Z1585" s="12">
        <v>0</v>
      </c>
      <c r="AA1585" s="12">
        <v>1</v>
      </c>
      <c r="AB1585" s="12">
        <v>0</v>
      </c>
      <c r="AC1585" s="12">
        <v>0</v>
      </c>
      <c r="AD1585" s="12">
        <v>0</v>
      </c>
      <c r="AE1585" s="12">
        <f>VLOOKUP(C1585,'[1]Phillips 1970 - coles creek'!A$1:B$65536,2,FALSE)</f>
        <v>1</v>
      </c>
      <c r="AF1585" s="12">
        <v>0</v>
      </c>
      <c r="AG1585" s="12">
        <v>0</v>
      </c>
      <c r="AH1585" s="12">
        <v>0</v>
      </c>
      <c r="AI1585" s="12">
        <v>0</v>
      </c>
      <c r="AJ1585" s="12">
        <v>0</v>
      </c>
      <c r="AK1585" s="12">
        <v>0</v>
      </c>
      <c r="AL1585" s="12">
        <v>0</v>
      </c>
      <c r="AM1585" s="12"/>
      <c r="AN1585" s="12">
        <v>0</v>
      </c>
      <c r="AO1585" s="12">
        <v>0</v>
      </c>
      <c r="AP1585" s="12">
        <v>0</v>
      </c>
      <c r="AQ1585" s="12">
        <v>0</v>
      </c>
      <c r="AR1585" s="12">
        <v>0</v>
      </c>
      <c r="AS1585" s="12">
        <v>0</v>
      </c>
      <c r="AT1585" s="12">
        <v>0</v>
      </c>
      <c r="AU1585" s="12">
        <v>0</v>
      </c>
      <c r="AV1585" s="12">
        <v>0</v>
      </c>
      <c r="AW1585" s="12">
        <v>0</v>
      </c>
      <c r="AX1585" s="12">
        <v>0</v>
      </c>
      <c r="AY1585" s="12">
        <v>0</v>
      </c>
      <c r="BB1585" s="12">
        <v>0</v>
      </c>
      <c r="BC1585" s="12">
        <v>0</v>
      </c>
      <c r="BD1585" s="12">
        <v>0</v>
      </c>
      <c r="BE1585" s="12">
        <v>0</v>
      </c>
      <c r="BF1585" s="12">
        <v>0</v>
      </c>
      <c r="BI1585" s="12">
        <v>0</v>
      </c>
      <c r="BJ1585" s="12">
        <v>0</v>
      </c>
    </row>
    <row r="1586" spans="1:62" x14ac:dyDescent="0.15">
      <c r="A1586" s="12" t="s">
        <v>5222</v>
      </c>
      <c r="B1586"/>
      <c r="C1586" s="20" t="s">
        <v>5223</v>
      </c>
      <c r="D1586" t="s">
        <v>4881</v>
      </c>
      <c r="E1586" s="12" t="s">
        <v>7423</v>
      </c>
      <c r="F1586" s="12"/>
      <c r="G1586" s="12"/>
      <c r="H1586" s="12"/>
      <c r="I1586" s="12"/>
      <c r="J1586" s="12"/>
      <c r="K1586" s="12"/>
      <c r="L1586" s="10">
        <v>3515900</v>
      </c>
      <c r="M1586" s="10">
        <v>614344</v>
      </c>
      <c r="N1586" s="12">
        <v>15</v>
      </c>
      <c r="O1586" s="12" t="s">
        <v>6992</v>
      </c>
      <c r="P1586" t="s">
        <v>5220</v>
      </c>
      <c r="Q1586"/>
      <c r="R1586"/>
      <c r="S1586" t="s">
        <v>5221</v>
      </c>
      <c r="T1586" s="12" t="s">
        <v>5224</v>
      </c>
      <c r="U1586" s="12" t="s">
        <v>4898</v>
      </c>
      <c r="V1586" s="12" t="s">
        <v>5017</v>
      </c>
      <c r="W1586" s="12">
        <v>0</v>
      </c>
      <c r="X1586" s="12">
        <v>0</v>
      </c>
      <c r="Y1586" s="12">
        <v>0</v>
      </c>
      <c r="Z1586" s="12">
        <v>0</v>
      </c>
      <c r="AA1586" s="12">
        <v>1</v>
      </c>
      <c r="AB1586" s="12">
        <v>0</v>
      </c>
      <c r="AC1586" s="12">
        <v>1</v>
      </c>
      <c r="AD1586" s="12">
        <v>0</v>
      </c>
      <c r="AE1586" s="12">
        <f>VLOOKUP(C1586,'[1]Phillips 1970 - coles creek'!A$1:B$65536,2,FALSE)</f>
        <v>1</v>
      </c>
      <c r="AF1586" s="12">
        <v>0</v>
      </c>
      <c r="AG1586" s="12">
        <v>0</v>
      </c>
      <c r="AH1586" s="12">
        <v>0</v>
      </c>
      <c r="AI1586" s="12">
        <v>0</v>
      </c>
      <c r="AJ1586" s="12">
        <v>0</v>
      </c>
      <c r="AK1586" s="12">
        <v>0</v>
      </c>
      <c r="AL1586" s="12">
        <v>0</v>
      </c>
      <c r="AM1586" s="12"/>
      <c r="AN1586" s="12">
        <v>0</v>
      </c>
      <c r="AO1586" s="12">
        <v>0</v>
      </c>
      <c r="AP1586" s="12">
        <v>0</v>
      </c>
      <c r="AQ1586" s="12">
        <v>0</v>
      </c>
      <c r="AR1586" s="12">
        <v>0</v>
      </c>
      <c r="AS1586" s="12">
        <v>0</v>
      </c>
      <c r="AT1586" s="12">
        <v>0</v>
      </c>
      <c r="AU1586" s="12">
        <v>0</v>
      </c>
      <c r="AV1586" s="12">
        <v>0</v>
      </c>
      <c r="AW1586" s="12">
        <v>0</v>
      </c>
      <c r="AX1586" s="12">
        <v>0</v>
      </c>
      <c r="AY1586" s="12">
        <v>0</v>
      </c>
      <c r="BB1586" s="12">
        <v>0</v>
      </c>
      <c r="BC1586" s="12">
        <v>0</v>
      </c>
      <c r="BD1586" s="12">
        <v>0</v>
      </c>
      <c r="BE1586" s="12">
        <v>0</v>
      </c>
      <c r="BF1586" s="12">
        <v>0</v>
      </c>
      <c r="BI1586" s="12">
        <v>0</v>
      </c>
      <c r="BJ1586" s="12">
        <v>0</v>
      </c>
    </row>
    <row r="1587" spans="1:62" x14ac:dyDescent="0.15">
      <c r="A1587" s="12" t="s">
        <v>5225</v>
      </c>
      <c r="B1587"/>
      <c r="C1587" s="20" t="s">
        <v>5226</v>
      </c>
      <c r="D1587" t="s">
        <v>4881</v>
      </c>
      <c r="E1587" s="12" t="s">
        <v>7423</v>
      </c>
      <c r="F1587" s="12"/>
      <c r="G1587" s="12"/>
      <c r="H1587" s="12"/>
      <c r="I1587" s="12"/>
      <c r="J1587" s="12"/>
      <c r="K1587" s="12"/>
      <c r="L1587" s="10">
        <v>3599920</v>
      </c>
      <c r="M1587" s="10">
        <v>655392</v>
      </c>
      <c r="N1587" s="12">
        <v>15</v>
      </c>
      <c r="O1587" s="12" t="s">
        <v>6992</v>
      </c>
      <c r="P1587" t="s">
        <v>5227</v>
      </c>
      <c r="Q1587"/>
      <c r="R1587"/>
      <c r="S1587" t="s">
        <v>5228</v>
      </c>
      <c r="T1587" s="12" t="s">
        <v>8276</v>
      </c>
      <c r="U1587" s="12" t="s">
        <v>4898</v>
      </c>
      <c r="V1587" s="12" t="s">
        <v>5017</v>
      </c>
      <c r="W1587" s="12">
        <v>0</v>
      </c>
      <c r="X1587" s="12">
        <v>0</v>
      </c>
      <c r="Y1587" s="12">
        <v>0</v>
      </c>
      <c r="Z1587" s="12">
        <v>0</v>
      </c>
      <c r="AA1587" s="12">
        <v>1</v>
      </c>
      <c r="AB1587" s="12">
        <v>1</v>
      </c>
      <c r="AC1587" s="12">
        <v>1</v>
      </c>
      <c r="AD1587" s="12">
        <v>0</v>
      </c>
      <c r="AE1587" s="12">
        <f>VLOOKUP(C1587,'[1]Phillips 1970 - coles creek'!A$1:B$65536,2,FALSE)</f>
        <v>1</v>
      </c>
      <c r="AF1587" s="12">
        <v>0</v>
      </c>
      <c r="AG1587" s="12">
        <v>0</v>
      </c>
      <c r="AH1587" s="12">
        <v>0</v>
      </c>
      <c r="AI1587" s="12">
        <v>0</v>
      </c>
      <c r="AJ1587" s="12">
        <v>0</v>
      </c>
      <c r="AK1587" s="12">
        <v>0</v>
      </c>
      <c r="AL1587" s="12">
        <v>0</v>
      </c>
      <c r="AM1587" s="12"/>
      <c r="AN1587" s="12">
        <v>0</v>
      </c>
      <c r="AO1587" s="12">
        <v>0</v>
      </c>
      <c r="AP1587" s="12">
        <v>0</v>
      </c>
      <c r="AQ1587" s="12">
        <v>0</v>
      </c>
      <c r="AR1587" s="12">
        <v>0</v>
      </c>
      <c r="AS1587" s="12">
        <v>0</v>
      </c>
      <c r="AT1587" s="12">
        <v>0</v>
      </c>
      <c r="AU1587" s="12">
        <v>0</v>
      </c>
      <c r="AV1587" s="12">
        <v>0</v>
      </c>
      <c r="AW1587" s="12">
        <v>0</v>
      </c>
      <c r="AX1587" s="12">
        <v>0</v>
      </c>
      <c r="AY1587" s="12">
        <v>0</v>
      </c>
      <c r="BB1587" s="12">
        <v>0</v>
      </c>
      <c r="BC1587" s="12">
        <v>0</v>
      </c>
      <c r="BD1587" s="12">
        <v>0</v>
      </c>
      <c r="BE1587" s="12">
        <v>0</v>
      </c>
      <c r="BF1587" s="12">
        <v>0</v>
      </c>
      <c r="BI1587" s="12">
        <v>0</v>
      </c>
      <c r="BJ1587" s="12">
        <v>0</v>
      </c>
    </row>
    <row r="1588" spans="1:62" x14ac:dyDescent="0.15">
      <c r="A1588" s="12" t="s">
        <v>5229</v>
      </c>
      <c r="B1588"/>
      <c r="C1588" s="20" t="s">
        <v>5230</v>
      </c>
      <c r="D1588" t="s">
        <v>4881</v>
      </c>
      <c r="E1588" s="12" t="s">
        <v>7423</v>
      </c>
      <c r="F1588" s="12"/>
      <c r="G1588" s="12"/>
      <c r="H1588" s="12"/>
      <c r="I1588" s="12"/>
      <c r="J1588" s="12"/>
      <c r="K1588" s="12"/>
      <c r="L1588" s="10">
        <v>3479540</v>
      </c>
      <c r="M1588" s="10">
        <v>578744</v>
      </c>
      <c r="N1588" s="12">
        <v>15</v>
      </c>
      <c r="O1588" s="12" t="s">
        <v>6992</v>
      </c>
      <c r="P1588" t="s">
        <v>5231</v>
      </c>
      <c r="Q1588"/>
      <c r="R1588"/>
      <c r="S1588" t="s">
        <v>5232</v>
      </c>
      <c r="T1588" s="12" t="s">
        <v>7441</v>
      </c>
      <c r="U1588" s="12" t="s">
        <v>4898</v>
      </c>
      <c r="V1588" s="12" t="s">
        <v>5021</v>
      </c>
      <c r="W1588" s="12">
        <v>0</v>
      </c>
      <c r="X1588" s="12">
        <v>0</v>
      </c>
      <c r="Y1588" s="12">
        <v>0</v>
      </c>
      <c r="Z1588" s="12">
        <v>1</v>
      </c>
      <c r="AA1588" s="12">
        <v>1</v>
      </c>
      <c r="AB1588" s="12">
        <v>1</v>
      </c>
      <c r="AC1588" s="12">
        <v>1</v>
      </c>
      <c r="AD1588" s="12">
        <v>1</v>
      </c>
      <c r="AE1588" s="12">
        <v>1</v>
      </c>
      <c r="AF1588" s="12">
        <v>1</v>
      </c>
      <c r="AG1588" s="12">
        <v>1</v>
      </c>
      <c r="AH1588" s="12">
        <v>0</v>
      </c>
      <c r="AI1588" s="12">
        <v>0</v>
      </c>
      <c r="AJ1588" s="12">
        <v>0</v>
      </c>
      <c r="AK1588" s="12">
        <v>0</v>
      </c>
      <c r="AL1588" s="12">
        <v>0</v>
      </c>
      <c r="AM1588" s="12"/>
      <c r="AN1588" s="12">
        <v>0</v>
      </c>
      <c r="AO1588" s="12">
        <v>0</v>
      </c>
      <c r="AP1588" s="12">
        <v>0</v>
      </c>
      <c r="AQ1588" s="12">
        <v>0</v>
      </c>
      <c r="AR1588" s="12">
        <v>0</v>
      </c>
      <c r="AS1588" s="12">
        <v>0</v>
      </c>
      <c r="AT1588" s="12">
        <v>0</v>
      </c>
      <c r="AU1588" s="12">
        <v>0</v>
      </c>
      <c r="AV1588" s="12">
        <v>0</v>
      </c>
      <c r="AW1588" s="12">
        <v>0</v>
      </c>
      <c r="AX1588" s="12">
        <v>0</v>
      </c>
      <c r="AY1588" s="12">
        <v>0</v>
      </c>
      <c r="BB1588" s="12">
        <v>0</v>
      </c>
      <c r="BC1588" s="12">
        <v>0</v>
      </c>
      <c r="BD1588" s="12">
        <v>0</v>
      </c>
      <c r="BE1588" s="12">
        <v>0</v>
      </c>
      <c r="BF1588" s="12">
        <v>0</v>
      </c>
      <c r="BI1588" s="12">
        <v>0</v>
      </c>
      <c r="BJ1588" s="12">
        <v>0</v>
      </c>
    </row>
    <row r="1589" spans="1:62" x14ac:dyDescent="0.15">
      <c r="A1589" s="12" t="s">
        <v>5233</v>
      </c>
      <c r="B1589"/>
      <c r="C1589" s="20" t="s">
        <v>5234</v>
      </c>
      <c r="D1589" t="s">
        <v>4881</v>
      </c>
      <c r="E1589" s="12" t="s">
        <v>7423</v>
      </c>
      <c r="F1589" s="12"/>
      <c r="G1589" s="12"/>
      <c r="H1589" s="12"/>
      <c r="I1589" s="12"/>
      <c r="J1589" s="12"/>
      <c r="K1589" s="12"/>
      <c r="L1589" s="10">
        <v>3470944</v>
      </c>
      <c r="M1589" s="10">
        <v>600384</v>
      </c>
      <c r="N1589" s="12">
        <v>15</v>
      </c>
      <c r="O1589" s="12" t="s">
        <v>6992</v>
      </c>
      <c r="P1589" t="s">
        <v>5235</v>
      </c>
      <c r="Q1589"/>
      <c r="R1589"/>
      <c r="S1589" t="s">
        <v>5236</v>
      </c>
      <c r="T1589" s="12" t="s">
        <v>5237</v>
      </c>
      <c r="U1589" s="12" t="s">
        <v>4897</v>
      </c>
      <c r="V1589" s="12" t="s">
        <v>5017</v>
      </c>
      <c r="W1589" s="12">
        <v>0</v>
      </c>
      <c r="X1589" s="12">
        <v>0</v>
      </c>
      <c r="Y1589" s="12">
        <v>0</v>
      </c>
      <c r="Z1589" s="12">
        <v>0</v>
      </c>
      <c r="AA1589" s="12">
        <v>1</v>
      </c>
      <c r="AB1589" s="12">
        <v>1</v>
      </c>
      <c r="AC1589" s="12">
        <v>1</v>
      </c>
      <c r="AD1589" s="12">
        <f>VLOOKUP(C1589,'[1]Phillips 1970 - Baytown'!A$1:B$65536,2,FALSE)</f>
        <v>1</v>
      </c>
      <c r="AE1589" s="12">
        <f>VLOOKUP(C1589,'[1]Phillips 1970 - coles creek'!A$1:B$65536,2,FALSE)</f>
        <v>1</v>
      </c>
      <c r="AF1589" s="12">
        <v>0</v>
      </c>
      <c r="AG1589" s="12">
        <v>0</v>
      </c>
      <c r="AH1589" s="12">
        <v>0</v>
      </c>
      <c r="AI1589" s="12">
        <v>0</v>
      </c>
      <c r="AJ1589" s="12">
        <v>0</v>
      </c>
      <c r="AK1589" s="12">
        <v>0</v>
      </c>
      <c r="AL1589" s="12">
        <v>0</v>
      </c>
      <c r="AM1589" s="12"/>
      <c r="AN1589" s="12">
        <v>0</v>
      </c>
      <c r="AO1589" s="12">
        <v>0</v>
      </c>
      <c r="AP1589" s="12">
        <v>0</v>
      </c>
      <c r="AQ1589" s="12">
        <v>0</v>
      </c>
      <c r="AR1589" s="12">
        <v>0</v>
      </c>
      <c r="AS1589" s="12">
        <v>0</v>
      </c>
      <c r="AT1589" s="12">
        <v>0</v>
      </c>
      <c r="AU1589" s="12">
        <v>0</v>
      </c>
      <c r="AV1589" s="12">
        <v>0</v>
      </c>
      <c r="AW1589" s="12">
        <v>0</v>
      </c>
      <c r="AX1589" s="12">
        <v>0</v>
      </c>
      <c r="AY1589" s="12">
        <v>0</v>
      </c>
      <c r="BB1589" s="12">
        <v>0</v>
      </c>
      <c r="BC1589" s="12">
        <v>0</v>
      </c>
      <c r="BD1589" s="12">
        <v>0</v>
      </c>
      <c r="BE1589" s="12">
        <v>0</v>
      </c>
      <c r="BF1589" s="12">
        <v>0</v>
      </c>
      <c r="BI1589" s="12">
        <v>0</v>
      </c>
      <c r="BJ1589" s="12">
        <v>0</v>
      </c>
    </row>
    <row r="1590" spans="1:62" x14ac:dyDescent="0.15">
      <c r="A1590" s="12" t="s">
        <v>5238</v>
      </c>
      <c r="B1590"/>
      <c r="C1590" s="20" t="s">
        <v>5239</v>
      </c>
      <c r="D1590" t="s">
        <v>4881</v>
      </c>
      <c r="E1590" s="12" t="s">
        <v>7423</v>
      </c>
      <c r="F1590" s="12"/>
      <c r="G1590" s="12"/>
      <c r="H1590" s="12"/>
      <c r="I1590" s="12"/>
      <c r="J1590" s="12"/>
      <c r="K1590" s="12"/>
      <c r="L1590" s="10">
        <v>3449704</v>
      </c>
      <c r="M1590" s="10">
        <v>566128</v>
      </c>
      <c r="N1590" s="12">
        <v>15</v>
      </c>
      <c r="O1590" s="12" t="s">
        <v>6992</v>
      </c>
      <c r="P1590" t="s">
        <v>5240</v>
      </c>
      <c r="Q1590"/>
      <c r="R1590"/>
      <c r="S1590" t="s">
        <v>5241</v>
      </c>
      <c r="T1590" s="12" t="s">
        <v>5214</v>
      </c>
      <c r="U1590" s="12" t="s">
        <v>4898</v>
      </c>
      <c r="V1590" s="12" t="s">
        <v>4897</v>
      </c>
      <c r="W1590" s="12">
        <v>0</v>
      </c>
      <c r="X1590" s="12">
        <v>0</v>
      </c>
      <c r="Y1590" s="12">
        <v>0</v>
      </c>
      <c r="Z1590" s="12">
        <v>1</v>
      </c>
      <c r="AA1590" s="12">
        <v>1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2">
        <v>0</v>
      </c>
      <c r="AK1590" s="12">
        <v>0</v>
      </c>
      <c r="AL1590" s="12">
        <v>0</v>
      </c>
      <c r="AM1590" s="12"/>
      <c r="AN1590" s="12">
        <v>0</v>
      </c>
      <c r="AO1590" s="12">
        <v>0</v>
      </c>
      <c r="AP1590" s="12">
        <v>0</v>
      </c>
      <c r="AQ1590" s="12">
        <v>0</v>
      </c>
      <c r="AR1590" s="12">
        <v>0</v>
      </c>
      <c r="AS1590" s="12">
        <v>0</v>
      </c>
      <c r="AT1590" s="12">
        <v>0</v>
      </c>
      <c r="AU1590" s="12">
        <v>0</v>
      </c>
      <c r="AV1590" s="12">
        <v>0</v>
      </c>
      <c r="AW1590" s="12">
        <v>0</v>
      </c>
      <c r="AX1590" s="12">
        <v>0</v>
      </c>
      <c r="AY1590" s="12">
        <v>0</v>
      </c>
      <c r="BB1590" s="12">
        <v>0</v>
      </c>
      <c r="BC1590" s="12">
        <v>0</v>
      </c>
      <c r="BD1590" s="12">
        <v>0</v>
      </c>
      <c r="BE1590" s="12">
        <v>0</v>
      </c>
      <c r="BF1590" s="12">
        <v>0</v>
      </c>
      <c r="BI1590" s="12">
        <v>0</v>
      </c>
      <c r="BJ1590" s="12">
        <v>0</v>
      </c>
    </row>
    <row r="1591" spans="1:62" x14ac:dyDescent="0.15">
      <c r="A1591" s="12" t="s">
        <v>5242</v>
      </c>
      <c r="B1591"/>
      <c r="C1591" s="20" t="s">
        <v>5243</v>
      </c>
      <c r="D1591" t="s">
        <v>4881</v>
      </c>
      <c r="E1591" s="12" t="s">
        <v>7963</v>
      </c>
      <c r="F1591" s="12"/>
      <c r="G1591" s="12"/>
      <c r="H1591" s="12"/>
      <c r="I1591" s="12"/>
      <c r="J1591" s="12"/>
      <c r="K1591" s="12"/>
      <c r="L1591" s="10">
        <v>4033210</v>
      </c>
      <c r="M1591" s="10">
        <v>761064</v>
      </c>
      <c r="N1591" s="12">
        <v>15</v>
      </c>
      <c r="O1591" s="12" t="s">
        <v>6992</v>
      </c>
      <c r="P1591" t="s">
        <v>3549</v>
      </c>
      <c r="Q1591"/>
      <c r="R1591"/>
      <c r="S1591" t="s">
        <v>5244</v>
      </c>
      <c r="T1591" s="12" t="s">
        <v>5214</v>
      </c>
      <c r="U1591" s="12" t="s">
        <v>4898</v>
      </c>
      <c r="V1591" s="12" t="s">
        <v>4897</v>
      </c>
      <c r="W1591" s="12">
        <v>0</v>
      </c>
      <c r="X1591" s="12">
        <v>0</v>
      </c>
      <c r="Y1591" s="12">
        <v>0</v>
      </c>
      <c r="Z1591" s="12">
        <v>1</v>
      </c>
      <c r="AA1591" s="12">
        <v>1</v>
      </c>
      <c r="AB1591" s="12">
        <v>0</v>
      </c>
      <c r="AC1591" s="12">
        <v>0</v>
      </c>
      <c r="AD1591" s="12">
        <f>VLOOKUP(C1591,'[1]Phillips 1970 - Baytown'!A$1:B$65536,2,FALSE)</f>
        <v>1</v>
      </c>
      <c r="AE1591" s="12">
        <v>0</v>
      </c>
      <c r="AF1591" s="12">
        <v>0</v>
      </c>
      <c r="AG1591" s="12">
        <v>0</v>
      </c>
      <c r="AH1591" s="12">
        <v>0</v>
      </c>
      <c r="AI1591" s="12">
        <v>0</v>
      </c>
      <c r="AJ1591" s="12">
        <v>0</v>
      </c>
      <c r="AK1591" s="12">
        <v>0</v>
      </c>
      <c r="AL1591" s="12">
        <v>0</v>
      </c>
      <c r="AM1591" s="12"/>
      <c r="AN1591" s="12">
        <v>0</v>
      </c>
      <c r="AO1591" s="12">
        <v>0</v>
      </c>
      <c r="AP1591" s="12">
        <v>0</v>
      </c>
      <c r="AQ1591" s="12">
        <v>0</v>
      </c>
      <c r="AR1591" s="12">
        <v>0</v>
      </c>
      <c r="AS1591" s="12">
        <v>0</v>
      </c>
      <c r="AT1591" s="12">
        <v>0</v>
      </c>
      <c r="AU1591" s="12">
        <v>0</v>
      </c>
      <c r="AV1591" s="12">
        <v>0</v>
      </c>
      <c r="AW1591" s="12">
        <v>0</v>
      </c>
      <c r="AX1591" s="12">
        <v>0</v>
      </c>
      <c r="AY1591" s="12">
        <v>0</v>
      </c>
      <c r="BB1591" s="12">
        <v>0</v>
      </c>
      <c r="BC1591" s="12">
        <v>0</v>
      </c>
      <c r="BD1591" s="12">
        <v>0</v>
      </c>
      <c r="BE1591" s="12">
        <v>0</v>
      </c>
      <c r="BF1591" s="12">
        <v>0</v>
      </c>
      <c r="BI1591" s="12">
        <v>0</v>
      </c>
      <c r="BJ1591" s="12">
        <v>0</v>
      </c>
    </row>
    <row r="1592" spans="1:62" x14ac:dyDescent="0.15">
      <c r="A1592" s="12" t="s">
        <v>5245</v>
      </c>
      <c r="B1592"/>
      <c r="C1592" s="20" t="s">
        <v>7572</v>
      </c>
      <c r="D1592" t="s">
        <v>4881</v>
      </c>
      <c r="E1592" s="12" t="s">
        <v>7963</v>
      </c>
      <c r="F1592" s="12"/>
      <c r="G1592" s="12"/>
      <c r="H1592" s="12"/>
      <c r="I1592" s="12"/>
      <c r="J1592" s="12"/>
      <c r="K1592" s="12"/>
      <c r="L1592" s="10">
        <v>4016076</v>
      </c>
      <c r="M1592" s="10">
        <v>768020</v>
      </c>
      <c r="N1592" s="12">
        <v>15</v>
      </c>
      <c r="O1592" s="12" t="s">
        <v>6992</v>
      </c>
      <c r="P1592" t="s">
        <v>3549</v>
      </c>
      <c r="Q1592"/>
      <c r="R1592"/>
      <c r="S1592" t="s">
        <v>5244</v>
      </c>
      <c r="T1592" s="12" t="s">
        <v>5214</v>
      </c>
      <c r="U1592" s="12" t="s">
        <v>4898</v>
      </c>
      <c r="V1592" s="12" t="s">
        <v>4897</v>
      </c>
      <c r="W1592" s="12">
        <v>0</v>
      </c>
      <c r="X1592" s="12">
        <v>0</v>
      </c>
      <c r="Y1592" s="12">
        <v>0</v>
      </c>
      <c r="Z1592" s="12">
        <v>1</v>
      </c>
      <c r="AA1592" s="12">
        <v>1</v>
      </c>
      <c r="AB1592" s="12">
        <v>0</v>
      </c>
      <c r="AC1592" s="12">
        <v>0</v>
      </c>
      <c r="AD1592" s="12">
        <f>VLOOKUP(C1592,'[1]Phillips 1970 - Baytown'!A$1:B$65536,2,FALSE)</f>
        <v>1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2">
        <v>0</v>
      </c>
      <c r="AK1592" s="12">
        <v>0</v>
      </c>
      <c r="AL1592" s="12">
        <v>0</v>
      </c>
      <c r="AM1592" s="12"/>
      <c r="AN1592" s="12">
        <v>0</v>
      </c>
      <c r="AO1592" s="12">
        <v>0</v>
      </c>
      <c r="AP1592" s="12">
        <v>0</v>
      </c>
      <c r="AQ1592" s="12">
        <v>0</v>
      </c>
      <c r="AR1592" s="12">
        <v>0</v>
      </c>
      <c r="AS1592" s="12">
        <v>0</v>
      </c>
      <c r="AT1592" s="12">
        <v>0</v>
      </c>
      <c r="AU1592" s="12">
        <v>0</v>
      </c>
      <c r="AV1592" s="12">
        <v>0</v>
      </c>
      <c r="AW1592" s="12">
        <v>0</v>
      </c>
      <c r="AX1592" s="12">
        <v>0</v>
      </c>
      <c r="AY1592" s="12">
        <v>0</v>
      </c>
      <c r="BB1592" s="12">
        <v>0</v>
      </c>
      <c r="BC1592" s="12">
        <v>0</v>
      </c>
      <c r="BD1592" s="12">
        <v>0</v>
      </c>
      <c r="BE1592" s="12">
        <v>0</v>
      </c>
      <c r="BF1592" s="12">
        <v>0</v>
      </c>
      <c r="BI1592" s="12">
        <v>0</v>
      </c>
      <c r="BJ1592" s="12">
        <v>0</v>
      </c>
    </row>
    <row r="1593" spans="1:62" x14ac:dyDescent="0.15">
      <c r="A1593" s="20" t="s">
        <v>5246</v>
      </c>
      <c r="B1593"/>
      <c r="C1593" s="20" t="s">
        <v>5247</v>
      </c>
      <c r="D1593" t="s">
        <v>4881</v>
      </c>
      <c r="E1593" s="12" t="s">
        <v>7963</v>
      </c>
      <c r="F1593" s="12"/>
      <c r="G1593" s="12"/>
      <c r="H1593" s="12"/>
      <c r="I1593" s="12"/>
      <c r="J1593" s="12"/>
      <c r="K1593" s="12"/>
      <c r="L1593" s="10">
        <v>4082232</v>
      </c>
      <c r="M1593" s="10">
        <v>303048</v>
      </c>
      <c r="N1593" s="12">
        <v>16</v>
      </c>
      <c r="O1593" s="12" t="s">
        <v>4871</v>
      </c>
      <c r="P1593" t="s">
        <v>3549</v>
      </c>
      <c r="Q1593"/>
      <c r="R1593"/>
      <c r="S1593" t="s">
        <v>5248</v>
      </c>
      <c r="T1593" s="12" t="s">
        <v>5214</v>
      </c>
      <c r="U1593" s="12" t="s">
        <v>4898</v>
      </c>
      <c r="V1593" s="12" t="s">
        <v>4897</v>
      </c>
      <c r="W1593" s="12">
        <v>0</v>
      </c>
      <c r="X1593" s="12">
        <v>0</v>
      </c>
      <c r="Y1593" s="12">
        <v>0</v>
      </c>
      <c r="Z1593" s="12">
        <v>1</v>
      </c>
      <c r="AA1593" s="12">
        <v>1</v>
      </c>
      <c r="AB1593" s="12">
        <v>0</v>
      </c>
      <c r="AC1593" s="12">
        <v>0</v>
      </c>
      <c r="AD1593" s="12">
        <v>0</v>
      </c>
      <c r="AE1593" s="12">
        <v>0</v>
      </c>
      <c r="AF1593" s="12">
        <v>0</v>
      </c>
      <c r="AG1593" s="12">
        <v>0</v>
      </c>
      <c r="AH1593" s="12">
        <v>0</v>
      </c>
      <c r="AI1593" s="12">
        <v>0</v>
      </c>
      <c r="AJ1593" s="12">
        <v>0</v>
      </c>
      <c r="AK1593" s="12">
        <v>0</v>
      </c>
      <c r="AL1593" s="12">
        <v>0</v>
      </c>
      <c r="AM1593" s="12"/>
      <c r="AN1593" s="12">
        <v>0</v>
      </c>
      <c r="AO1593" s="12">
        <v>0</v>
      </c>
      <c r="AP1593" s="12">
        <v>0</v>
      </c>
      <c r="AQ1593" s="12">
        <v>0</v>
      </c>
      <c r="AR1593" s="12">
        <v>0</v>
      </c>
      <c r="AS1593" s="12">
        <v>0</v>
      </c>
      <c r="AT1593" s="12">
        <v>0</v>
      </c>
      <c r="AU1593" s="12">
        <v>0</v>
      </c>
      <c r="AV1593" s="12">
        <v>0</v>
      </c>
      <c r="AW1593" s="12">
        <v>0</v>
      </c>
      <c r="AX1593" s="12">
        <v>0</v>
      </c>
      <c r="AY1593" s="12">
        <v>0</v>
      </c>
      <c r="BB1593" s="12">
        <v>0</v>
      </c>
      <c r="BC1593" s="12">
        <v>0</v>
      </c>
      <c r="BD1593" s="12">
        <v>0</v>
      </c>
      <c r="BE1593" s="12">
        <v>0</v>
      </c>
      <c r="BF1593" s="12">
        <v>0</v>
      </c>
      <c r="BI1593" s="12">
        <v>0</v>
      </c>
      <c r="BJ1593" s="12">
        <v>0</v>
      </c>
    </row>
    <row r="1594" spans="1:62" x14ac:dyDescent="0.15">
      <c r="A1594" s="20" t="s">
        <v>5249</v>
      </c>
      <c r="B1594"/>
      <c r="C1594" s="20" t="s">
        <v>5250</v>
      </c>
      <c r="D1594" t="s">
        <v>4881</v>
      </c>
      <c r="E1594" s="12" t="s">
        <v>7963</v>
      </c>
      <c r="F1594" s="12"/>
      <c r="G1594" s="12"/>
      <c r="H1594" s="12"/>
      <c r="I1594" s="12"/>
      <c r="J1594" s="12"/>
      <c r="K1594" s="12"/>
      <c r="L1594" s="10">
        <v>4082376</v>
      </c>
      <c r="M1594" s="10">
        <v>301772</v>
      </c>
      <c r="N1594" s="12">
        <v>16</v>
      </c>
      <c r="O1594" s="12" t="s">
        <v>4871</v>
      </c>
      <c r="P1594" t="s">
        <v>5251</v>
      </c>
      <c r="Q1594"/>
      <c r="R1594"/>
      <c r="S1594" t="s">
        <v>5244</v>
      </c>
      <c r="T1594" s="12" t="s">
        <v>8276</v>
      </c>
      <c r="U1594" s="12" t="s">
        <v>4898</v>
      </c>
      <c r="V1594" s="12" t="s">
        <v>5017</v>
      </c>
      <c r="W1594" s="12">
        <v>0</v>
      </c>
      <c r="X1594" s="12">
        <v>0</v>
      </c>
      <c r="Y1594" s="12">
        <v>0</v>
      </c>
      <c r="Z1594" s="12">
        <v>1</v>
      </c>
      <c r="AA1594" s="12">
        <v>1</v>
      </c>
      <c r="AB1594" s="12">
        <v>1</v>
      </c>
      <c r="AC1594" s="12">
        <v>1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2">
        <v>0</v>
      </c>
      <c r="AK1594" s="12">
        <v>0</v>
      </c>
      <c r="AL1594" s="12">
        <v>0</v>
      </c>
      <c r="AM1594" s="12"/>
      <c r="AN1594" s="12">
        <v>0</v>
      </c>
      <c r="AO1594" s="12">
        <v>0</v>
      </c>
      <c r="AP1594" s="12">
        <v>0</v>
      </c>
      <c r="AQ1594" s="12">
        <v>0</v>
      </c>
      <c r="AR1594" s="12">
        <v>0</v>
      </c>
      <c r="AS1594" s="12">
        <v>0</v>
      </c>
      <c r="AT1594" s="12">
        <v>0</v>
      </c>
      <c r="AU1594" s="12">
        <v>0</v>
      </c>
      <c r="AV1594" s="12">
        <v>0</v>
      </c>
      <c r="AW1594" s="12">
        <v>0</v>
      </c>
      <c r="AX1594" s="12">
        <v>0</v>
      </c>
      <c r="AY1594" s="12">
        <v>0</v>
      </c>
      <c r="BB1594" s="12">
        <v>0</v>
      </c>
      <c r="BC1594" s="12">
        <v>0</v>
      </c>
      <c r="BD1594" s="12">
        <v>0</v>
      </c>
      <c r="BE1594" s="12">
        <v>0</v>
      </c>
      <c r="BF1594" s="12">
        <v>0</v>
      </c>
      <c r="BI1594" s="12">
        <v>0</v>
      </c>
      <c r="BJ1594" s="12">
        <v>0</v>
      </c>
    </row>
    <row r="1595" spans="1:62" x14ac:dyDescent="0.15">
      <c r="A1595" s="12" t="s">
        <v>5252</v>
      </c>
      <c r="B1595"/>
      <c r="C1595" s="20" t="s">
        <v>5253</v>
      </c>
      <c r="D1595" t="s">
        <v>4881</v>
      </c>
      <c r="E1595" s="12" t="s">
        <v>7963</v>
      </c>
      <c r="F1595" s="12"/>
      <c r="G1595" s="12"/>
      <c r="H1595" s="12"/>
      <c r="I1595" s="12"/>
      <c r="J1595" s="12"/>
      <c r="K1595" s="12"/>
      <c r="L1595" s="10">
        <v>4035240</v>
      </c>
      <c r="M1595" s="10">
        <v>804688</v>
      </c>
      <c r="N1595" s="12">
        <v>15</v>
      </c>
      <c r="O1595" s="12" t="s">
        <v>6992</v>
      </c>
      <c r="P1595" t="s">
        <v>3434</v>
      </c>
      <c r="Q1595"/>
      <c r="R1595"/>
      <c r="S1595" t="s">
        <v>5244</v>
      </c>
      <c r="T1595" s="12" t="s">
        <v>5214</v>
      </c>
      <c r="U1595" s="12" t="s">
        <v>4898</v>
      </c>
      <c r="V1595" s="12" t="s">
        <v>4897</v>
      </c>
      <c r="W1595" s="12">
        <v>0</v>
      </c>
      <c r="X1595" s="12">
        <v>0</v>
      </c>
      <c r="Y1595" s="12">
        <v>0</v>
      </c>
      <c r="Z1595" s="12">
        <v>1</v>
      </c>
      <c r="AA1595" s="12">
        <v>1</v>
      </c>
      <c r="AB1595" s="12">
        <v>0</v>
      </c>
      <c r="AC1595" s="12">
        <v>0</v>
      </c>
      <c r="AD1595" s="12">
        <v>0</v>
      </c>
      <c r="AE1595" s="12">
        <f>VLOOKUP(C1595,'[1]Phillips 1970 - coles creek'!A$1:B$65536,2,FALSE)</f>
        <v>1</v>
      </c>
      <c r="AF1595" s="12">
        <v>0</v>
      </c>
      <c r="AG1595" s="12">
        <v>0</v>
      </c>
      <c r="AH1595" s="12">
        <v>0</v>
      </c>
      <c r="AI1595" s="12">
        <v>0</v>
      </c>
      <c r="AJ1595" s="12">
        <v>0</v>
      </c>
      <c r="AK1595" s="12">
        <v>0</v>
      </c>
      <c r="AL1595" s="12">
        <v>0</v>
      </c>
      <c r="AM1595" s="12"/>
      <c r="AN1595" s="12">
        <v>0</v>
      </c>
      <c r="AO1595" s="12">
        <v>0</v>
      </c>
      <c r="AP1595" s="12">
        <v>0</v>
      </c>
      <c r="AQ1595" s="12">
        <v>0</v>
      </c>
      <c r="AR1595" s="12">
        <v>0</v>
      </c>
      <c r="AS1595" s="12">
        <v>0</v>
      </c>
      <c r="AT1595" s="12">
        <v>0</v>
      </c>
      <c r="AU1595" s="12">
        <v>0</v>
      </c>
      <c r="AV1595" s="12">
        <v>0</v>
      </c>
      <c r="AW1595" s="12">
        <v>0</v>
      </c>
      <c r="AX1595" s="12">
        <v>0</v>
      </c>
      <c r="AY1595" s="12">
        <v>0</v>
      </c>
      <c r="BB1595" s="12">
        <v>0</v>
      </c>
      <c r="BC1595" s="12">
        <v>0</v>
      </c>
      <c r="BD1595" s="12">
        <v>0</v>
      </c>
      <c r="BE1595" s="12">
        <v>0</v>
      </c>
      <c r="BF1595" s="12">
        <v>0</v>
      </c>
      <c r="BI1595" s="12">
        <v>0</v>
      </c>
      <c r="BJ1595" s="12">
        <v>0</v>
      </c>
    </row>
    <row r="1596" spans="1:62" x14ac:dyDescent="0.15">
      <c r="A1596" s="20" t="s">
        <v>5254</v>
      </c>
      <c r="B1596"/>
      <c r="C1596" s="20" t="s">
        <v>5255</v>
      </c>
      <c r="D1596" t="s">
        <v>4881</v>
      </c>
      <c r="E1596" s="12" t="s">
        <v>7963</v>
      </c>
      <c r="F1596" s="12"/>
      <c r="G1596" s="12"/>
      <c r="H1596" s="12"/>
      <c r="I1596" s="12"/>
      <c r="J1596" s="12"/>
      <c r="K1596" s="12"/>
      <c r="L1596" s="10">
        <v>4074410</v>
      </c>
      <c r="M1596" s="10">
        <v>833560</v>
      </c>
      <c r="N1596" s="12">
        <v>15</v>
      </c>
      <c r="O1596" s="12" t="s">
        <v>6992</v>
      </c>
      <c r="P1596" t="s">
        <v>3434</v>
      </c>
      <c r="Q1596"/>
      <c r="R1596"/>
      <c r="S1596" t="s">
        <v>5244</v>
      </c>
      <c r="T1596" s="12" t="s">
        <v>8368</v>
      </c>
      <c r="U1596" s="12" t="s">
        <v>4898</v>
      </c>
      <c r="V1596" s="12" t="s">
        <v>5018</v>
      </c>
      <c r="W1596" s="12">
        <v>0</v>
      </c>
      <c r="X1596" s="12">
        <v>0</v>
      </c>
      <c r="Y1596" s="12">
        <v>0</v>
      </c>
      <c r="Z1596" s="12">
        <v>1</v>
      </c>
      <c r="AA1596" s="12">
        <v>1</v>
      </c>
      <c r="AB1596" s="12">
        <v>1</v>
      </c>
      <c r="AC1596" s="12">
        <v>1</v>
      </c>
      <c r="AD1596" s="12">
        <v>1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2">
        <v>0</v>
      </c>
      <c r="AK1596" s="12">
        <v>0</v>
      </c>
      <c r="AL1596" s="12">
        <v>0</v>
      </c>
      <c r="AM1596" s="12"/>
      <c r="AN1596" s="12">
        <v>0</v>
      </c>
      <c r="AO1596" s="12">
        <v>0</v>
      </c>
      <c r="AP1596" s="12">
        <v>0</v>
      </c>
      <c r="AQ1596" s="12">
        <v>0</v>
      </c>
      <c r="AR1596" s="12">
        <v>0</v>
      </c>
      <c r="AS1596" s="12">
        <v>0</v>
      </c>
      <c r="AT1596" s="12">
        <v>0</v>
      </c>
      <c r="AU1596" s="12">
        <v>0</v>
      </c>
      <c r="AV1596" s="12">
        <v>0</v>
      </c>
      <c r="AW1596" s="12">
        <v>0</v>
      </c>
      <c r="AX1596" s="12">
        <v>0</v>
      </c>
      <c r="AY1596" s="12">
        <v>0</v>
      </c>
      <c r="BB1596" s="12">
        <v>0</v>
      </c>
      <c r="BC1596" s="12">
        <v>0</v>
      </c>
      <c r="BD1596" s="12">
        <v>0</v>
      </c>
      <c r="BE1596" s="12">
        <v>0</v>
      </c>
      <c r="BF1596" s="12">
        <v>0</v>
      </c>
      <c r="BI1596" s="12">
        <v>0</v>
      </c>
      <c r="BJ1596" s="12">
        <v>0</v>
      </c>
    </row>
    <row r="1597" spans="1:62" x14ac:dyDescent="0.15">
      <c r="A1597" s="12" t="s">
        <v>5256</v>
      </c>
      <c r="B1597"/>
      <c r="C1597" s="20" t="s">
        <v>5257</v>
      </c>
      <c r="D1597" t="s">
        <v>4881</v>
      </c>
      <c r="E1597" s="12" t="s">
        <v>7963</v>
      </c>
      <c r="F1597" s="12"/>
      <c r="G1597" s="12"/>
      <c r="H1597" s="12"/>
      <c r="I1597" s="12"/>
      <c r="J1597" s="12"/>
      <c r="K1597" s="12"/>
      <c r="L1597" s="10">
        <v>4018185</v>
      </c>
      <c r="M1597" s="10">
        <v>785151</v>
      </c>
      <c r="N1597" s="12">
        <v>15</v>
      </c>
      <c r="O1597" s="12" t="s">
        <v>6992</v>
      </c>
      <c r="P1597" t="s">
        <v>3434</v>
      </c>
      <c r="Q1597"/>
      <c r="R1597"/>
      <c r="S1597" t="s">
        <v>5244</v>
      </c>
      <c r="T1597" s="12" t="s">
        <v>5214</v>
      </c>
      <c r="U1597" s="12" t="s">
        <v>4898</v>
      </c>
      <c r="V1597" s="12" t="s">
        <v>5017</v>
      </c>
      <c r="W1597" s="12">
        <v>0</v>
      </c>
      <c r="X1597" s="12">
        <v>0</v>
      </c>
      <c r="Y1597" s="12">
        <v>0</v>
      </c>
      <c r="Z1597" s="12">
        <v>1</v>
      </c>
      <c r="AA1597" s="12">
        <v>1</v>
      </c>
      <c r="AB1597" s="12">
        <v>1</v>
      </c>
      <c r="AC1597" s="12">
        <v>1</v>
      </c>
      <c r="AD1597" s="12">
        <f>VLOOKUP(C1597,'[1]Phillips 1970 - Baytown'!A$1:B$65536,2,FALSE)</f>
        <v>1</v>
      </c>
      <c r="AE1597" s="12">
        <v>0</v>
      </c>
      <c r="AF1597" s="12">
        <v>0</v>
      </c>
      <c r="AG1597" s="12">
        <v>0</v>
      </c>
      <c r="AH1597" s="12">
        <v>0</v>
      </c>
      <c r="AI1597" s="12">
        <v>0</v>
      </c>
      <c r="AJ1597" s="12">
        <v>0</v>
      </c>
      <c r="AK1597" s="12">
        <v>0</v>
      </c>
      <c r="AL1597" s="12">
        <v>0</v>
      </c>
      <c r="AM1597" s="12"/>
      <c r="AN1597" s="12">
        <v>0</v>
      </c>
      <c r="AO1597" s="12">
        <v>0</v>
      </c>
      <c r="AP1597" s="12">
        <v>0</v>
      </c>
      <c r="AQ1597" s="12">
        <v>0</v>
      </c>
      <c r="AR1597" s="12">
        <v>0</v>
      </c>
      <c r="AS1597" s="12">
        <v>0</v>
      </c>
      <c r="AT1597" s="12">
        <v>0</v>
      </c>
      <c r="AU1597" s="12">
        <v>0</v>
      </c>
      <c r="AV1597" s="12">
        <v>0</v>
      </c>
      <c r="AW1597" s="12">
        <v>0</v>
      </c>
      <c r="AX1597" s="12">
        <v>0</v>
      </c>
      <c r="AY1597" s="12">
        <v>0</v>
      </c>
      <c r="BB1597" s="12">
        <v>0</v>
      </c>
      <c r="BC1597" s="12">
        <v>0</v>
      </c>
      <c r="BD1597" s="12">
        <v>0</v>
      </c>
      <c r="BE1597" s="12">
        <v>0</v>
      </c>
      <c r="BF1597" s="12">
        <v>0</v>
      </c>
      <c r="BI1597" s="12">
        <v>0</v>
      </c>
      <c r="BJ1597" s="12">
        <v>0</v>
      </c>
    </row>
    <row r="1598" spans="1:62" x14ac:dyDescent="0.15">
      <c r="A1598" s="12" t="s">
        <v>5258</v>
      </c>
      <c r="B1598"/>
      <c r="C1598" s="20" t="s">
        <v>5259</v>
      </c>
      <c r="D1598" t="s">
        <v>4881</v>
      </c>
      <c r="E1598" s="12" t="s">
        <v>7963</v>
      </c>
      <c r="F1598" s="12"/>
      <c r="G1598" s="12"/>
      <c r="H1598" s="12"/>
      <c r="I1598" s="12"/>
      <c r="J1598" s="12"/>
      <c r="K1598" s="12"/>
      <c r="L1598" s="10">
        <v>4063020</v>
      </c>
      <c r="M1598" s="10">
        <v>824249</v>
      </c>
      <c r="N1598" s="12">
        <v>15</v>
      </c>
      <c r="O1598" s="12" t="s">
        <v>6992</v>
      </c>
      <c r="P1598" t="s">
        <v>5260</v>
      </c>
      <c r="Q1598"/>
      <c r="R1598"/>
      <c r="S1598" t="s">
        <v>5261</v>
      </c>
      <c r="T1598" s="12" t="s">
        <v>8276</v>
      </c>
      <c r="U1598" s="12" t="s">
        <v>4898</v>
      </c>
      <c r="V1598" s="12" t="s">
        <v>5017</v>
      </c>
      <c r="W1598" s="12">
        <v>0</v>
      </c>
      <c r="X1598" s="12">
        <v>0</v>
      </c>
      <c r="Y1598" s="12">
        <v>0</v>
      </c>
      <c r="Z1598" s="12">
        <v>1</v>
      </c>
      <c r="AA1598" s="12">
        <v>1</v>
      </c>
      <c r="AB1598" s="12">
        <v>1</v>
      </c>
      <c r="AC1598" s="12">
        <v>1</v>
      </c>
      <c r="AD1598" s="12">
        <f>VLOOKUP(C1598,'[1]Phillips 1970 - Baytown'!A$1:B$65536,2,FALSE)</f>
        <v>1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2">
        <v>0</v>
      </c>
      <c r="AK1598" s="12">
        <v>0</v>
      </c>
      <c r="AL1598" s="12">
        <v>0</v>
      </c>
      <c r="AM1598" s="12"/>
      <c r="AN1598" s="12">
        <v>0</v>
      </c>
      <c r="AO1598" s="12">
        <v>0</v>
      </c>
      <c r="AP1598" s="12">
        <v>0</v>
      </c>
      <c r="AQ1598" s="12">
        <v>0</v>
      </c>
      <c r="AR1598" s="12">
        <v>0</v>
      </c>
      <c r="AS1598" s="12">
        <v>0</v>
      </c>
      <c r="AT1598" s="12">
        <v>0</v>
      </c>
      <c r="AU1598" s="12">
        <v>0</v>
      </c>
      <c r="AV1598" s="12">
        <v>0</v>
      </c>
      <c r="AW1598" s="12">
        <v>0</v>
      </c>
      <c r="AX1598" s="12">
        <v>0</v>
      </c>
      <c r="AY1598" s="12">
        <v>0</v>
      </c>
      <c r="BB1598" s="12">
        <v>0</v>
      </c>
      <c r="BC1598" s="12">
        <v>0</v>
      </c>
      <c r="BD1598" s="12">
        <v>0</v>
      </c>
      <c r="BE1598" s="12">
        <v>0</v>
      </c>
      <c r="BF1598" s="12">
        <v>0</v>
      </c>
      <c r="BI1598" s="12">
        <v>0</v>
      </c>
      <c r="BJ1598" s="12">
        <v>0</v>
      </c>
    </row>
    <row r="1599" spans="1:62" x14ac:dyDescent="0.15">
      <c r="A1599" s="11" t="s">
        <v>5262</v>
      </c>
      <c r="B1599"/>
      <c r="C1599" s="20" t="s">
        <v>5263</v>
      </c>
      <c r="D1599" t="s">
        <v>4881</v>
      </c>
      <c r="E1599" s="12" t="s">
        <v>7963</v>
      </c>
      <c r="F1599" s="12"/>
      <c r="G1599" s="12"/>
      <c r="H1599" s="12"/>
      <c r="I1599" s="12"/>
      <c r="J1599" s="12"/>
      <c r="K1599" s="12"/>
      <c r="L1599" s="10">
        <v>4012050</v>
      </c>
      <c r="M1599" s="10">
        <v>791290</v>
      </c>
      <c r="N1599" s="12">
        <v>15</v>
      </c>
      <c r="O1599" s="12" t="s">
        <v>6992</v>
      </c>
      <c r="P1599" t="s">
        <v>3434</v>
      </c>
      <c r="Q1599"/>
      <c r="R1599"/>
      <c r="S1599" t="s">
        <v>5244</v>
      </c>
      <c r="T1599" s="12" t="s">
        <v>8276</v>
      </c>
      <c r="U1599" s="12" t="s">
        <v>4898</v>
      </c>
      <c r="V1599" s="12" t="s">
        <v>5017</v>
      </c>
      <c r="W1599" s="12">
        <v>0</v>
      </c>
      <c r="X1599" s="12">
        <v>0</v>
      </c>
      <c r="Y1599" s="12">
        <v>0</v>
      </c>
      <c r="Z1599" s="12">
        <v>1</v>
      </c>
      <c r="AA1599" s="12">
        <v>1</v>
      </c>
      <c r="AB1599" s="12">
        <v>1</v>
      </c>
      <c r="AC1599" s="12">
        <v>1</v>
      </c>
      <c r="AD1599" s="12">
        <v>0</v>
      </c>
      <c r="AE1599" s="12">
        <v>0</v>
      </c>
      <c r="AF1599" s="12">
        <v>0</v>
      </c>
      <c r="AG1599" s="12">
        <v>0</v>
      </c>
      <c r="AH1599" s="12">
        <v>0</v>
      </c>
      <c r="AI1599" s="12">
        <v>0</v>
      </c>
      <c r="AJ1599" s="12">
        <v>0</v>
      </c>
      <c r="AK1599" s="12">
        <v>0</v>
      </c>
      <c r="AL1599" s="12">
        <v>0</v>
      </c>
      <c r="AM1599" s="12"/>
      <c r="AN1599" s="12">
        <v>0</v>
      </c>
      <c r="AO1599" s="12">
        <v>0</v>
      </c>
      <c r="AP1599" s="12">
        <v>0</v>
      </c>
      <c r="AQ1599" s="12">
        <v>0</v>
      </c>
      <c r="AR1599" s="12">
        <v>0</v>
      </c>
      <c r="AS1599" s="12">
        <v>0</v>
      </c>
      <c r="AT1599" s="12">
        <v>0</v>
      </c>
      <c r="AU1599" s="12">
        <v>0</v>
      </c>
      <c r="AV1599" s="12">
        <v>0</v>
      </c>
      <c r="AW1599" s="12">
        <v>0</v>
      </c>
      <c r="AX1599" s="12">
        <v>0</v>
      </c>
      <c r="AY1599" s="12">
        <v>0</v>
      </c>
      <c r="BB1599" s="12">
        <v>0</v>
      </c>
      <c r="BC1599" s="12">
        <v>0</v>
      </c>
      <c r="BD1599" s="12">
        <v>0</v>
      </c>
      <c r="BE1599" s="12">
        <v>0</v>
      </c>
      <c r="BF1599" s="12">
        <v>0</v>
      </c>
      <c r="BI1599" s="12">
        <v>0</v>
      </c>
      <c r="BJ1599" s="12">
        <v>0</v>
      </c>
    </row>
    <row r="1600" spans="1:62" x14ac:dyDescent="0.15">
      <c r="A1600" s="12" t="s">
        <v>5264</v>
      </c>
      <c r="B1600"/>
      <c r="C1600" s="20" t="s">
        <v>5026</v>
      </c>
      <c r="D1600" t="s">
        <v>4881</v>
      </c>
      <c r="E1600" s="12" t="s">
        <v>7963</v>
      </c>
      <c r="F1600" s="12"/>
      <c r="G1600" s="12"/>
      <c r="H1600" s="12"/>
      <c r="I1600" s="12"/>
      <c r="J1600" s="12"/>
      <c r="K1600" s="12"/>
      <c r="L1600" s="10">
        <v>4001600</v>
      </c>
      <c r="M1600" s="10">
        <v>780205</v>
      </c>
      <c r="N1600" s="12">
        <v>15</v>
      </c>
      <c r="O1600" s="12" t="s">
        <v>6992</v>
      </c>
      <c r="P1600" t="s">
        <v>3434</v>
      </c>
      <c r="Q1600"/>
      <c r="R1600"/>
      <c r="S1600" t="s">
        <v>5244</v>
      </c>
      <c r="T1600" s="12" t="s">
        <v>8276</v>
      </c>
      <c r="U1600" s="12" t="s">
        <v>4898</v>
      </c>
      <c r="V1600" s="12" t="s">
        <v>5017</v>
      </c>
      <c r="W1600" s="12">
        <v>0</v>
      </c>
      <c r="X1600" s="12">
        <v>0</v>
      </c>
      <c r="Y1600" s="12">
        <v>0</v>
      </c>
      <c r="Z1600" s="12">
        <v>1</v>
      </c>
      <c r="AA1600" s="12">
        <v>1</v>
      </c>
      <c r="AB1600" s="12">
        <v>1</v>
      </c>
      <c r="AC1600" s="12">
        <v>1</v>
      </c>
      <c r="AD1600" s="12">
        <f>VLOOKUP(C1600,'[1]Phillips 1970 - Baytown'!A$1:B$65536,2,FALSE)</f>
        <v>1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2">
        <v>0</v>
      </c>
      <c r="AK1600" s="12">
        <v>0</v>
      </c>
      <c r="AL1600" s="12">
        <v>0</v>
      </c>
      <c r="AM1600" s="12"/>
      <c r="AN1600" s="12">
        <v>0</v>
      </c>
      <c r="AO1600" s="12">
        <v>0</v>
      </c>
      <c r="AP1600" s="12">
        <v>0</v>
      </c>
      <c r="AQ1600" s="12">
        <v>0</v>
      </c>
      <c r="AR1600" s="12">
        <v>0</v>
      </c>
      <c r="AS1600" s="12">
        <v>0</v>
      </c>
      <c r="AT1600" s="12">
        <v>0</v>
      </c>
      <c r="AU1600" s="12">
        <v>0</v>
      </c>
      <c r="AV1600" s="12">
        <v>0</v>
      </c>
      <c r="AW1600" s="12">
        <v>0</v>
      </c>
      <c r="AX1600" s="12">
        <v>0</v>
      </c>
      <c r="AY1600" s="12">
        <v>0</v>
      </c>
      <c r="BB1600" s="12">
        <v>0</v>
      </c>
      <c r="BC1600" s="12">
        <v>0</v>
      </c>
      <c r="BD1600" s="12">
        <v>0</v>
      </c>
      <c r="BE1600" s="12">
        <v>0</v>
      </c>
      <c r="BF1600" s="12">
        <v>0</v>
      </c>
      <c r="BI1600" s="12">
        <v>0</v>
      </c>
      <c r="BJ1600" s="12">
        <v>0</v>
      </c>
    </row>
    <row r="1601" spans="1:62" x14ac:dyDescent="0.15">
      <c r="A1601" s="12" t="s">
        <v>5027</v>
      </c>
      <c r="B1601"/>
      <c r="C1601" s="20" t="s">
        <v>5028</v>
      </c>
      <c r="D1601" t="s">
        <v>4881</v>
      </c>
      <c r="E1601" s="12" t="s">
        <v>6526</v>
      </c>
      <c r="F1601" s="12"/>
      <c r="G1601" s="12"/>
      <c r="H1601" s="12"/>
      <c r="I1601" s="12"/>
      <c r="J1601" s="12"/>
      <c r="K1601" s="12"/>
      <c r="L1601" s="10">
        <v>3807780</v>
      </c>
      <c r="M1601" s="10">
        <v>699888</v>
      </c>
      <c r="N1601" s="12">
        <v>15</v>
      </c>
      <c r="O1601" s="12" t="s">
        <v>6992</v>
      </c>
      <c r="P1601" t="s">
        <v>3549</v>
      </c>
      <c r="Q1601"/>
      <c r="R1601"/>
      <c r="S1601" t="s">
        <v>5029</v>
      </c>
      <c r="T1601" s="12" t="s">
        <v>5214</v>
      </c>
      <c r="U1601" s="12" t="s">
        <v>4898</v>
      </c>
      <c r="V1601" s="12" t="s">
        <v>4897</v>
      </c>
      <c r="W1601" s="12">
        <v>0</v>
      </c>
      <c r="X1601" s="12">
        <v>0</v>
      </c>
      <c r="Y1601" s="12">
        <v>0</v>
      </c>
      <c r="Z1601" s="12">
        <v>1</v>
      </c>
      <c r="AA1601" s="12">
        <v>1</v>
      </c>
      <c r="AB1601" s="12">
        <v>0</v>
      </c>
      <c r="AC1601" s="12">
        <v>0</v>
      </c>
      <c r="AD1601" s="12">
        <v>0</v>
      </c>
      <c r="AE1601" s="12">
        <v>0</v>
      </c>
      <c r="AF1601" s="12">
        <v>0</v>
      </c>
      <c r="AG1601" s="12">
        <v>0</v>
      </c>
      <c r="AH1601" s="12">
        <v>0</v>
      </c>
      <c r="AI1601" s="12">
        <v>0</v>
      </c>
      <c r="AJ1601" s="12">
        <v>0</v>
      </c>
      <c r="AK1601" s="12">
        <v>0</v>
      </c>
      <c r="AL1601" s="12">
        <v>0</v>
      </c>
      <c r="AM1601" s="12"/>
      <c r="AN1601" s="12">
        <v>0</v>
      </c>
      <c r="AO1601" s="12">
        <v>0</v>
      </c>
      <c r="AP1601" s="12">
        <v>0</v>
      </c>
      <c r="AQ1601" s="12">
        <v>0</v>
      </c>
      <c r="AR1601" s="12">
        <v>0</v>
      </c>
      <c r="AS1601" s="12">
        <v>0</v>
      </c>
      <c r="AT1601" s="12">
        <v>0</v>
      </c>
      <c r="AU1601" s="12">
        <v>0</v>
      </c>
      <c r="AV1601" s="12">
        <v>0</v>
      </c>
      <c r="AW1601" s="12">
        <v>0</v>
      </c>
      <c r="AX1601" s="12">
        <v>0</v>
      </c>
      <c r="AY1601" s="12">
        <v>0</v>
      </c>
      <c r="BB1601" s="12">
        <v>0</v>
      </c>
      <c r="BC1601" s="12">
        <v>0</v>
      </c>
      <c r="BD1601" s="12">
        <v>0</v>
      </c>
      <c r="BE1601" s="12">
        <v>0</v>
      </c>
      <c r="BF1601" s="12">
        <v>0</v>
      </c>
      <c r="BI1601" s="12">
        <v>0</v>
      </c>
      <c r="BJ1601" s="12">
        <v>0</v>
      </c>
    </row>
    <row r="1602" spans="1:62" x14ac:dyDescent="0.15">
      <c r="A1602" s="11" t="s">
        <v>5030</v>
      </c>
      <c r="B1602" t="s">
        <v>6898</v>
      </c>
      <c r="C1602" s="20" t="s">
        <v>5031</v>
      </c>
      <c r="D1602" t="s">
        <v>4881</v>
      </c>
      <c r="E1602" s="12" t="s">
        <v>7963</v>
      </c>
      <c r="F1602" s="12" t="s">
        <v>4609</v>
      </c>
      <c r="G1602" s="12" t="s">
        <v>6636</v>
      </c>
      <c r="H1602" s="12"/>
      <c r="I1602" s="12">
        <v>36</v>
      </c>
      <c r="J1602" s="12" t="s">
        <v>7117</v>
      </c>
      <c r="K1602" s="12" t="s">
        <v>6897</v>
      </c>
      <c r="L1602" s="10">
        <v>4103392</v>
      </c>
      <c r="M1602" s="10">
        <v>252204</v>
      </c>
      <c r="N1602" s="12">
        <v>16</v>
      </c>
      <c r="O1602" s="12" t="s">
        <v>4871</v>
      </c>
      <c r="P1602" t="s">
        <v>5032</v>
      </c>
      <c r="Q1602"/>
      <c r="R1602"/>
      <c r="S1602" t="s">
        <v>6899</v>
      </c>
      <c r="T1602" s="12" t="s">
        <v>5034</v>
      </c>
      <c r="U1602" s="12" t="s">
        <v>5016</v>
      </c>
      <c r="V1602" s="12" t="s">
        <v>5018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1</v>
      </c>
      <c r="AC1602" s="12">
        <v>0</v>
      </c>
      <c r="AD1602" s="12">
        <v>1</v>
      </c>
      <c r="AE1602" s="12">
        <v>0</v>
      </c>
      <c r="AF1602" s="12">
        <v>0</v>
      </c>
      <c r="AG1602" s="12">
        <v>0</v>
      </c>
      <c r="AH1602" s="12">
        <v>1</v>
      </c>
      <c r="AI1602" s="12">
        <v>1</v>
      </c>
      <c r="AJ1602" s="12">
        <v>1</v>
      </c>
      <c r="AK1602" s="12">
        <v>0</v>
      </c>
      <c r="AL1602" s="12">
        <v>0</v>
      </c>
      <c r="AM1602" s="12"/>
      <c r="AN1602" s="12">
        <v>0</v>
      </c>
      <c r="AO1602" s="12">
        <v>0</v>
      </c>
      <c r="AP1602" s="12">
        <v>0</v>
      </c>
      <c r="AQ1602" s="12">
        <v>0</v>
      </c>
      <c r="AR1602" s="12">
        <v>1</v>
      </c>
      <c r="AS1602" s="12">
        <v>0</v>
      </c>
      <c r="AT1602" s="12">
        <v>0</v>
      </c>
      <c r="AU1602" s="12">
        <v>0</v>
      </c>
      <c r="AV1602" s="12">
        <v>0</v>
      </c>
      <c r="AW1602" s="12">
        <v>0</v>
      </c>
      <c r="AX1602" s="12">
        <v>0</v>
      </c>
      <c r="AY1602" s="12">
        <v>0</v>
      </c>
      <c r="BB1602" s="12">
        <v>0</v>
      </c>
      <c r="BC1602" s="12">
        <v>0</v>
      </c>
      <c r="BD1602" s="12">
        <v>4</v>
      </c>
      <c r="BE1602" s="12">
        <v>0</v>
      </c>
      <c r="BF1602" s="12">
        <v>0</v>
      </c>
      <c r="BI1602" s="12">
        <v>0</v>
      </c>
      <c r="BJ1602" s="12">
        <v>0</v>
      </c>
    </row>
    <row r="1603" spans="1:62" x14ac:dyDescent="0.15">
      <c r="A1603" s="12" t="s">
        <v>5035</v>
      </c>
      <c r="B1603"/>
      <c r="C1603" s="20" t="s">
        <v>5036</v>
      </c>
      <c r="D1603" t="s">
        <v>4881</v>
      </c>
      <c r="E1603" s="12" t="s">
        <v>7963</v>
      </c>
      <c r="F1603" s="12"/>
      <c r="G1603" s="12"/>
      <c r="H1603" s="12"/>
      <c r="I1603" s="12"/>
      <c r="J1603" s="12"/>
      <c r="K1603" s="12"/>
      <c r="L1603" s="10">
        <v>4063610</v>
      </c>
      <c r="M1603" s="10">
        <v>806894</v>
      </c>
      <c r="N1603" s="12">
        <v>15</v>
      </c>
      <c r="O1603" s="12" t="s">
        <v>6992</v>
      </c>
      <c r="P1603" t="s">
        <v>5032</v>
      </c>
      <c r="Q1603"/>
      <c r="R1603"/>
      <c r="S1603" t="s">
        <v>5037</v>
      </c>
      <c r="T1603" s="12" t="s">
        <v>5016</v>
      </c>
      <c r="U1603" s="12" t="s">
        <v>5016</v>
      </c>
      <c r="V1603" s="12" t="s">
        <v>5016</v>
      </c>
      <c r="W1603" s="12">
        <v>0</v>
      </c>
      <c r="X1603" s="12">
        <v>0</v>
      </c>
      <c r="Y1603" s="12">
        <v>0</v>
      </c>
      <c r="Z1603" s="12">
        <v>0</v>
      </c>
      <c r="AA1603" s="12">
        <v>0</v>
      </c>
      <c r="AB1603" s="12">
        <v>1</v>
      </c>
      <c r="AC1603" s="12">
        <v>0</v>
      </c>
      <c r="AD1603" s="12">
        <v>0</v>
      </c>
      <c r="AE1603" s="12">
        <v>0</v>
      </c>
      <c r="AF1603" s="12">
        <v>0</v>
      </c>
      <c r="AG1603" s="12">
        <v>0</v>
      </c>
      <c r="AH1603" s="12">
        <v>0</v>
      </c>
      <c r="AI1603" s="12">
        <v>0</v>
      </c>
      <c r="AJ1603" s="12">
        <v>0</v>
      </c>
      <c r="AK1603" s="12">
        <v>0</v>
      </c>
      <c r="AL1603" s="12">
        <v>0</v>
      </c>
      <c r="AM1603" s="12"/>
      <c r="AN1603" s="12">
        <v>0</v>
      </c>
      <c r="AO1603" s="12">
        <v>0</v>
      </c>
      <c r="AP1603" s="12">
        <v>0</v>
      </c>
      <c r="AQ1603" s="12">
        <v>0</v>
      </c>
      <c r="AR1603" s="12">
        <v>0</v>
      </c>
      <c r="AS1603" s="12">
        <v>0</v>
      </c>
      <c r="AT1603" s="12">
        <v>0</v>
      </c>
      <c r="AU1603" s="12">
        <v>0</v>
      </c>
      <c r="AV1603" s="12">
        <v>0</v>
      </c>
      <c r="AW1603" s="12">
        <v>0</v>
      </c>
      <c r="AX1603" s="12">
        <v>0</v>
      </c>
      <c r="AY1603" s="12">
        <v>0</v>
      </c>
      <c r="BB1603" s="12">
        <v>0</v>
      </c>
      <c r="BC1603" s="12">
        <v>0</v>
      </c>
      <c r="BD1603" s="12">
        <v>0</v>
      </c>
      <c r="BE1603" s="12">
        <v>0</v>
      </c>
      <c r="BF1603" s="12">
        <v>0</v>
      </c>
      <c r="BI1603" s="12">
        <v>0</v>
      </c>
      <c r="BJ1603" s="12">
        <v>0</v>
      </c>
    </row>
    <row r="1604" spans="1:62" x14ac:dyDescent="0.15">
      <c r="A1604" s="12" t="s">
        <v>5038</v>
      </c>
      <c r="B1604"/>
      <c r="C1604" s="20" t="s">
        <v>5039</v>
      </c>
      <c r="D1604" t="s">
        <v>4881</v>
      </c>
      <c r="E1604" s="12" t="s">
        <v>7963</v>
      </c>
      <c r="F1604" s="12"/>
      <c r="G1604" s="12"/>
      <c r="H1604" s="12"/>
      <c r="I1604" s="12"/>
      <c r="J1604" s="12"/>
      <c r="K1604" s="12"/>
      <c r="L1604" s="10">
        <v>4004300</v>
      </c>
      <c r="M1604" s="10">
        <v>780158</v>
      </c>
      <c r="N1604" s="12">
        <v>15</v>
      </c>
      <c r="O1604" s="12" t="s">
        <v>6992</v>
      </c>
      <c r="P1604" t="s">
        <v>5032</v>
      </c>
      <c r="Q1604"/>
      <c r="R1604"/>
      <c r="S1604" t="s">
        <v>5033</v>
      </c>
      <c r="T1604" s="12" t="s">
        <v>5016</v>
      </c>
      <c r="U1604" s="12" t="s">
        <v>5016</v>
      </c>
      <c r="V1604" s="12" t="s">
        <v>5016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1</v>
      </c>
      <c r="AC1604" s="12">
        <v>0</v>
      </c>
      <c r="AD1604" s="12">
        <f>VLOOKUP(C1604,'[1]Phillips 1970 - Baytown'!A$1:B$65536,2,FALSE)</f>
        <v>1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2">
        <v>0</v>
      </c>
      <c r="AK1604" s="12">
        <v>0</v>
      </c>
      <c r="AL1604" s="12">
        <v>0</v>
      </c>
      <c r="AM1604" s="12"/>
      <c r="AN1604" s="12">
        <v>0</v>
      </c>
      <c r="AO1604" s="12">
        <v>0</v>
      </c>
      <c r="AP1604" s="12">
        <v>0</v>
      </c>
      <c r="AQ1604" s="12">
        <v>0</v>
      </c>
      <c r="AR1604" s="12">
        <v>0</v>
      </c>
      <c r="AS1604" s="12">
        <v>0</v>
      </c>
      <c r="AT1604" s="12">
        <v>0</v>
      </c>
      <c r="AU1604" s="12">
        <v>0</v>
      </c>
      <c r="AV1604" s="12">
        <v>0</v>
      </c>
      <c r="AW1604" s="12">
        <v>0</v>
      </c>
      <c r="AX1604" s="12">
        <v>0</v>
      </c>
      <c r="AY1604" s="12">
        <v>0</v>
      </c>
      <c r="BB1604" s="12">
        <v>0</v>
      </c>
      <c r="BC1604" s="12">
        <v>0</v>
      </c>
      <c r="BD1604" s="12">
        <v>0</v>
      </c>
      <c r="BE1604" s="12">
        <v>0</v>
      </c>
      <c r="BF1604" s="12">
        <v>0</v>
      </c>
      <c r="BI1604" s="12">
        <v>0</v>
      </c>
      <c r="BJ1604" s="12">
        <v>0</v>
      </c>
    </row>
    <row r="1605" spans="1:62" x14ac:dyDescent="0.15">
      <c r="A1605" s="12" t="s">
        <v>5040</v>
      </c>
      <c r="B1605"/>
      <c r="C1605" s="20" t="s">
        <v>5041</v>
      </c>
      <c r="D1605" t="s">
        <v>4881</v>
      </c>
      <c r="E1605" s="12" t="s">
        <v>7963</v>
      </c>
      <c r="F1605" s="12"/>
      <c r="G1605" s="12"/>
      <c r="H1605" s="12"/>
      <c r="I1605" s="12"/>
      <c r="J1605" s="12"/>
      <c r="K1605" s="12"/>
      <c r="L1605" s="10">
        <v>4049120</v>
      </c>
      <c r="M1605" s="10">
        <v>784945</v>
      </c>
      <c r="N1605" s="12">
        <v>15</v>
      </c>
      <c r="O1605" s="12" t="s">
        <v>6992</v>
      </c>
      <c r="P1605" t="s">
        <v>5032</v>
      </c>
      <c r="Q1605"/>
      <c r="R1605"/>
      <c r="S1605" t="s">
        <v>5033</v>
      </c>
      <c r="T1605" s="12" t="s">
        <v>5016</v>
      </c>
      <c r="U1605" s="12" t="s">
        <v>5016</v>
      </c>
      <c r="V1605" s="12" t="s">
        <v>5016</v>
      </c>
      <c r="W1605" s="12">
        <v>0</v>
      </c>
      <c r="X1605" s="12">
        <v>0</v>
      </c>
      <c r="Y1605" s="12">
        <v>0</v>
      </c>
      <c r="Z1605" s="12">
        <v>0</v>
      </c>
      <c r="AA1605" s="12">
        <v>0</v>
      </c>
      <c r="AB1605" s="12">
        <v>1</v>
      </c>
      <c r="AC1605" s="12">
        <v>0</v>
      </c>
      <c r="AD1605" s="12">
        <v>0</v>
      </c>
      <c r="AE1605" s="12">
        <v>0</v>
      </c>
      <c r="AF1605" s="12">
        <v>0</v>
      </c>
      <c r="AG1605" s="12">
        <v>0</v>
      </c>
      <c r="AH1605" s="12">
        <v>0</v>
      </c>
      <c r="AI1605" s="12">
        <v>0</v>
      </c>
      <c r="AJ1605" s="12">
        <v>0</v>
      </c>
      <c r="AK1605" s="12">
        <v>0</v>
      </c>
      <c r="AL1605" s="12">
        <v>0</v>
      </c>
      <c r="AM1605" s="12"/>
      <c r="AN1605" s="12">
        <v>0</v>
      </c>
      <c r="AO1605" s="12">
        <v>0</v>
      </c>
      <c r="AP1605" s="12">
        <v>0</v>
      </c>
      <c r="AQ1605" s="12">
        <v>0</v>
      </c>
      <c r="AR1605" s="12">
        <v>0</v>
      </c>
      <c r="AS1605" s="12">
        <v>0</v>
      </c>
      <c r="AT1605" s="12">
        <v>0</v>
      </c>
      <c r="AU1605" s="12">
        <v>0</v>
      </c>
      <c r="AV1605" s="12">
        <v>0</v>
      </c>
      <c r="AW1605" s="12">
        <v>0</v>
      </c>
      <c r="AX1605" s="12">
        <v>0</v>
      </c>
      <c r="AY1605" s="12">
        <v>0</v>
      </c>
      <c r="BB1605" s="12">
        <v>0</v>
      </c>
      <c r="BC1605" s="12">
        <v>0</v>
      </c>
      <c r="BD1605" s="12">
        <v>0</v>
      </c>
      <c r="BE1605" s="12">
        <v>0</v>
      </c>
      <c r="BF1605" s="12">
        <v>0</v>
      </c>
      <c r="BI1605" s="12">
        <v>0</v>
      </c>
      <c r="BJ1605" s="12">
        <v>0</v>
      </c>
    </row>
    <row r="1606" spans="1:62" x14ac:dyDescent="0.15">
      <c r="A1606" s="12" t="s">
        <v>5042</v>
      </c>
      <c r="B1606"/>
      <c r="C1606" s="20" t="s">
        <v>5043</v>
      </c>
      <c r="D1606" t="s">
        <v>4881</v>
      </c>
      <c r="E1606" s="12" t="s">
        <v>7963</v>
      </c>
      <c r="F1606" s="12"/>
      <c r="G1606" s="12"/>
      <c r="H1606" s="12"/>
      <c r="I1606" s="12"/>
      <c r="J1606" s="12"/>
      <c r="K1606" s="12"/>
      <c r="L1606" s="10">
        <v>4056700</v>
      </c>
      <c r="M1606" s="10">
        <v>782402</v>
      </c>
      <c r="N1606" s="12">
        <v>15</v>
      </c>
      <c r="O1606" s="12" t="s">
        <v>6992</v>
      </c>
      <c r="P1606" t="s">
        <v>5032</v>
      </c>
      <c r="Q1606"/>
      <c r="R1606"/>
      <c r="S1606" t="s">
        <v>5033</v>
      </c>
      <c r="T1606" s="12" t="s">
        <v>5016</v>
      </c>
      <c r="U1606" s="12" t="s">
        <v>5016</v>
      </c>
      <c r="V1606" s="12" t="s">
        <v>5016</v>
      </c>
      <c r="W1606" s="12">
        <v>0</v>
      </c>
      <c r="X1606" s="12">
        <v>0</v>
      </c>
      <c r="Y1606" s="12">
        <v>0</v>
      </c>
      <c r="Z1606" s="12">
        <v>0</v>
      </c>
      <c r="AA1606" s="12">
        <v>0</v>
      </c>
      <c r="AB1606" s="12">
        <v>1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2">
        <v>0</v>
      </c>
      <c r="AK1606" s="12">
        <v>0</v>
      </c>
      <c r="AL1606" s="12">
        <v>0</v>
      </c>
      <c r="AM1606" s="12"/>
      <c r="AN1606" s="12">
        <v>0</v>
      </c>
      <c r="AO1606" s="12">
        <v>0</v>
      </c>
      <c r="AP1606" s="12">
        <v>0</v>
      </c>
      <c r="AQ1606" s="12">
        <v>0</v>
      </c>
      <c r="AR1606" s="12">
        <v>0</v>
      </c>
      <c r="AS1606" s="12">
        <v>0</v>
      </c>
      <c r="AT1606" s="12">
        <v>0</v>
      </c>
      <c r="AU1606" s="12">
        <v>0</v>
      </c>
      <c r="AV1606" s="12">
        <v>0</v>
      </c>
      <c r="AW1606" s="12">
        <v>0</v>
      </c>
      <c r="AX1606" s="12">
        <v>0</v>
      </c>
      <c r="AY1606" s="12">
        <v>0</v>
      </c>
      <c r="BB1606" s="12">
        <v>0</v>
      </c>
      <c r="BC1606" s="12">
        <v>0</v>
      </c>
      <c r="BD1606" s="12">
        <v>0</v>
      </c>
      <c r="BE1606" s="12">
        <v>0</v>
      </c>
      <c r="BF1606" s="12">
        <v>0</v>
      </c>
      <c r="BI1606" s="12">
        <v>0</v>
      </c>
      <c r="BJ1606" s="12">
        <v>0</v>
      </c>
    </row>
    <row r="1607" spans="1:62" x14ac:dyDescent="0.15">
      <c r="A1607" s="12" t="s">
        <v>5044</v>
      </c>
      <c r="B1607" t="s">
        <v>6914</v>
      </c>
      <c r="C1607" s="20" t="s">
        <v>5045</v>
      </c>
      <c r="D1607" t="s">
        <v>4881</v>
      </c>
      <c r="E1607" s="12" t="s">
        <v>7963</v>
      </c>
      <c r="F1607" s="12" t="s">
        <v>4609</v>
      </c>
      <c r="G1607" s="12" t="s">
        <v>6915</v>
      </c>
      <c r="H1607" s="12"/>
      <c r="I1607" s="12">
        <v>1</v>
      </c>
      <c r="J1607" s="12" t="s">
        <v>6916</v>
      </c>
      <c r="K1607" s="12" t="s">
        <v>7101</v>
      </c>
      <c r="L1607" s="10">
        <v>4099413</v>
      </c>
      <c r="M1607" s="10">
        <v>268694</v>
      </c>
      <c r="N1607" s="12">
        <v>16</v>
      </c>
      <c r="O1607" s="12" t="s">
        <v>6992</v>
      </c>
      <c r="P1607" t="s">
        <v>6917</v>
      </c>
      <c r="Q1607"/>
      <c r="R1607"/>
      <c r="S1607" t="s">
        <v>5033</v>
      </c>
      <c r="T1607" s="12" t="s">
        <v>5016</v>
      </c>
      <c r="U1607" s="12" t="s">
        <v>5016</v>
      </c>
      <c r="V1607" s="12" t="s">
        <v>5016</v>
      </c>
      <c r="W1607" s="12">
        <v>0</v>
      </c>
      <c r="X1607" s="12">
        <v>0</v>
      </c>
      <c r="Y1607" s="12">
        <v>0</v>
      </c>
      <c r="Z1607" s="12">
        <v>0</v>
      </c>
      <c r="AA1607" s="12">
        <v>0</v>
      </c>
      <c r="AB1607" s="12">
        <v>1</v>
      </c>
      <c r="AC1607" s="12">
        <v>0</v>
      </c>
      <c r="AD1607" s="12">
        <f>VLOOKUP(C1607,'[1]Phillips 1970 - Baytown'!A$1:B$65536,2,FALSE)</f>
        <v>1</v>
      </c>
      <c r="AE1607" s="12">
        <v>0</v>
      </c>
      <c r="AF1607" s="12">
        <v>0</v>
      </c>
      <c r="AG1607" s="12">
        <v>0</v>
      </c>
      <c r="AH1607" s="12">
        <v>0</v>
      </c>
      <c r="AI1607" s="12">
        <v>0</v>
      </c>
      <c r="AJ1607" s="12">
        <v>0</v>
      </c>
      <c r="AK1607" s="12">
        <v>0</v>
      </c>
      <c r="AL1607" s="12">
        <v>0</v>
      </c>
      <c r="AM1607" s="12"/>
      <c r="AN1607" s="12">
        <v>0</v>
      </c>
      <c r="AO1607" s="12">
        <v>0</v>
      </c>
      <c r="AP1607" s="12">
        <v>0</v>
      </c>
      <c r="AQ1607" s="12">
        <v>0</v>
      </c>
      <c r="AR1607" s="12">
        <v>0</v>
      </c>
      <c r="AS1607" s="12">
        <v>0</v>
      </c>
      <c r="AT1607" s="12">
        <v>0</v>
      </c>
      <c r="AU1607" s="12">
        <v>0</v>
      </c>
      <c r="AV1607" s="12">
        <v>0</v>
      </c>
      <c r="AW1607" s="12">
        <v>0</v>
      </c>
      <c r="AX1607" s="12">
        <v>0</v>
      </c>
      <c r="AY1607" s="12">
        <v>0</v>
      </c>
      <c r="BB1607" s="12">
        <v>0</v>
      </c>
      <c r="BC1607" s="12">
        <v>0</v>
      </c>
      <c r="BD1607" s="12">
        <v>0</v>
      </c>
      <c r="BE1607" s="12">
        <v>0</v>
      </c>
      <c r="BF1607" s="12">
        <v>0</v>
      </c>
      <c r="BI1607" s="12">
        <v>0</v>
      </c>
      <c r="BJ1607" s="12">
        <v>0</v>
      </c>
    </row>
    <row r="1608" spans="1:62" x14ac:dyDescent="0.15">
      <c r="A1608" s="12" t="s">
        <v>5046</v>
      </c>
      <c r="B1608"/>
      <c r="C1608" s="20" t="s">
        <v>935</v>
      </c>
      <c r="D1608" t="s">
        <v>4881</v>
      </c>
      <c r="E1608" s="12" t="s">
        <v>7423</v>
      </c>
      <c r="F1608" s="12"/>
      <c r="G1608" s="12"/>
      <c r="H1608" s="12"/>
      <c r="I1608" s="12"/>
      <c r="J1608" s="12"/>
      <c r="K1608" s="12"/>
      <c r="L1608" s="10">
        <v>3346240</v>
      </c>
      <c r="M1608" s="10">
        <v>607584</v>
      </c>
      <c r="N1608" s="12">
        <v>15</v>
      </c>
      <c r="O1608" s="12" t="s">
        <v>6992</v>
      </c>
      <c r="P1608" t="s">
        <v>936</v>
      </c>
      <c r="Q1608"/>
      <c r="R1608"/>
      <c r="S1608" t="s">
        <v>937</v>
      </c>
      <c r="T1608" s="12" t="s">
        <v>5016</v>
      </c>
      <c r="U1608" s="12" t="s">
        <v>5016</v>
      </c>
      <c r="V1608" s="12" t="s">
        <v>5016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1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2">
        <v>0</v>
      </c>
      <c r="AK1608" s="12">
        <v>0</v>
      </c>
      <c r="AL1608" s="12">
        <v>0</v>
      </c>
      <c r="AM1608" s="12"/>
      <c r="AN1608" s="12">
        <v>0</v>
      </c>
      <c r="AO1608" s="12">
        <v>0</v>
      </c>
      <c r="AP1608" s="12">
        <v>0</v>
      </c>
      <c r="AQ1608" s="12">
        <v>0</v>
      </c>
      <c r="AR1608" s="12">
        <v>0</v>
      </c>
      <c r="AS1608" s="12">
        <v>0</v>
      </c>
      <c r="AT1608" s="12">
        <v>0</v>
      </c>
      <c r="AU1608" s="12">
        <v>0</v>
      </c>
      <c r="AV1608" s="12">
        <v>0</v>
      </c>
      <c r="AW1608" s="12">
        <v>0</v>
      </c>
      <c r="AX1608" s="12">
        <v>0</v>
      </c>
      <c r="AY1608" s="12">
        <v>0</v>
      </c>
      <c r="BB1608" s="12">
        <v>0</v>
      </c>
      <c r="BC1608" s="12">
        <v>0</v>
      </c>
      <c r="BD1608" s="12">
        <v>0</v>
      </c>
      <c r="BE1608" s="12">
        <v>0</v>
      </c>
      <c r="BF1608" s="12">
        <v>0</v>
      </c>
      <c r="BI1608" s="12">
        <v>0</v>
      </c>
      <c r="BJ1608" s="12">
        <v>0</v>
      </c>
    </row>
    <row r="1609" spans="1:62" x14ac:dyDescent="0.15">
      <c r="A1609" s="12" t="s">
        <v>938</v>
      </c>
      <c r="B1609"/>
      <c r="C1609" s="29" t="s">
        <v>939</v>
      </c>
      <c r="D1609" t="s">
        <v>4881</v>
      </c>
      <c r="E1609" s="12" t="s">
        <v>7423</v>
      </c>
      <c r="F1609" s="12"/>
      <c r="G1609" s="12"/>
      <c r="H1609" s="12"/>
      <c r="I1609" s="12"/>
      <c r="J1609" s="12"/>
      <c r="K1609" s="12"/>
      <c r="L1609" s="10">
        <v>3402912</v>
      </c>
      <c r="M1609" s="10">
        <v>611552</v>
      </c>
      <c r="N1609" s="12">
        <v>15</v>
      </c>
      <c r="O1609" s="12" t="s">
        <v>6992</v>
      </c>
      <c r="P1609" t="s">
        <v>5032</v>
      </c>
      <c r="Q1609"/>
      <c r="R1609"/>
      <c r="S1609" t="s">
        <v>940</v>
      </c>
      <c r="T1609" s="12" t="s">
        <v>5016</v>
      </c>
      <c r="U1609" s="12" t="s">
        <v>5016</v>
      </c>
      <c r="V1609" s="12" t="s">
        <v>5016</v>
      </c>
      <c r="W1609" s="12">
        <v>0</v>
      </c>
      <c r="X1609" s="12">
        <v>0</v>
      </c>
      <c r="Y1609" s="12">
        <v>0</v>
      </c>
      <c r="Z1609" s="12">
        <v>0</v>
      </c>
      <c r="AA1609" s="12">
        <v>0</v>
      </c>
      <c r="AB1609" s="12">
        <v>1</v>
      </c>
      <c r="AC1609" s="12">
        <v>0</v>
      </c>
      <c r="AD1609" s="12">
        <v>0</v>
      </c>
      <c r="AE1609" s="12">
        <v>0</v>
      </c>
      <c r="AF1609" s="12">
        <v>0</v>
      </c>
      <c r="AG1609" s="12">
        <v>0</v>
      </c>
      <c r="AH1609" s="12" t="s">
        <v>1131</v>
      </c>
      <c r="AI1609" s="12">
        <v>2</v>
      </c>
      <c r="AJ1609" s="12">
        <v>1</v>
      </c>
      <c r="AK1609" s="12">
        <v>1</v>
      </c>
      <c r="AL1609" s="12">
        <v>0</v>
      </c>
      <c r="AM1609" s="12"/>
      <c r="AN1609" s="12">
        <v>0</v>
      </c>
      <c r="AO1609" s="12">
        <v>0</v>
      </c>
      <c r="AP1609" s="12">
        <v>0</v>
      </c>
      <c r="AQ1609" s="12">
        <v>0</v>
      </c>
      <c r="AR1609" s="12">
        <v>0</v>
      </c>
      <c r="AS1609" s="12">
        <v>0</v>
      </c>
      <c r="AT1609" s="12">
        <v>1</v>
      </c>
      <c r="AU1609" s="12">
        <v>0</v>
      </c>
      <c r="AV1609" s="12">
        <v>0</v>
      </c>
      <c r="AW1609" s="12">
        <v>0</v>
      </c>
      <c r="AX1609" s="12">
        <v>0</v>
      </c>
      <c r="AY1609" s="12">
        <v>0</v>
      </c>
      <c r="BB1609" s="12">
        <v>0</v>
      </c>
      <c r="BC1609" s="12">
        <v>0</v>
      </c>
      <c r="BD1609" s="12">
        <v>0</v>
      </c>
      <c r="BE1609" s="12">
        <v>0</v>
      </c>
      <c r="BF1609" s="12">
        <v>0</v>
      </c>
      <c r="BI1609" s="12">
        <v>0</v>
      </c>
      <c r="BJ1609" s="12">
        <v>0</v>
      </c>
    </row>
    <row r="1610" spans="1:62" x14ac:dyDescent="0.15">
      <c r="A1610" s="12" t="s">
        <v>941</v>
      </c>
      <c r="B1610"/>
      <c r="C1610" s="20" t="s">
        <v>942</v>
      </c>
      <c r="D1610" t="s">
        <v>4881</v>
      </c>
      <c r="E1610" s="12" t="s">
        <v>7423</v>
      </c>
      <c r="F1610" s="12"/>
      <c r="G1610" s="12"/>
      <c r="H1610" s="12"/>
      <c r="I1610" s="12"/>
      <c r="J1610" s="12"/>
      <c r="K1610" s="12"/>
      <c r="L1610" s="10">
        <v>3359904</v>
      </c>
      <c r="M1610" s="10">
        <v>605120</v>
      </c>
      <c r="N1610" s="12">
        <v>15</v>
      </c>
      <c r="O1610" s="12" t="s">
        <v>6992</v>
      </c>
      <c r="P1610" t="s">
        <v>5032</v>
      </c>
      <c r="Q1610"/>
      <c r="R1610"/>
      <c r="S1610" t="s">
        <v>937</v>
      </c>
      <c r="T1610" s="12" t="s">
        <v>5016</v>
      </c>
      <c r="U1610" s="12" t="s">
        <v>5016</v>
      </c>
      <c r="V1610" s="12" t="s">
        <v>5016</v>
      </c>
      <c r="W1610" s="12">
        <v>0</v>
      </c>
      <c r="X1610" s="12">
        <v>0</v>
      </c>
      <c r="Y1610" s="12">
        <v>0</v>
      </c>
      <c r="Z1610" s="12">
        <v>0</v>
      </c>
      <c r="AA1610" s="12">
        <v>0</v>
      </c>
      <c r="AB1610" s="12">
        <v>1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2">
        <v>0</v>
      </c>
      <c r="AK1610" s="12">
        <v>0</v>
      </c>
      <c r="AL1610" s="12">
        <v>0</v>
      </c>
      <c r="AM1610" s="12"/>
      <c r="AN1610" s="12">
        <v>0</v>
      </c>
      <c r="AO1610" s="12">
        <v>0</v>
      </c>
      <c r="AP1610" s="12">
        <v>0</v>
      </c>
      <c r="AQ1610" s="12">
        <v>0</v>
      </c>
      <c r="AR1610" s="12">
        <v>0</v>
      </c>
      <c r="AS1610" s="12">
        <v>0</v>
      </c>
      <c r="AT1610" s="12">
        <v>0</v>
      </c>
      <c r="AU1610" s="12">
        <v>0</v>
      </c>
      <c r="AV1610" s="12">
        <v>0</v>
      </c>
      <c r="AW1610" s="12">
        <v>0</v>
      </c>
      <c r="AX1610" s="12">
        <v>0</v>
      </c>
      <c r="AY1610" s="12">
        <v>0</v>
      </c>
      <c r="BB1610" s="12">
        <v>0</v>
      </c>
      <c r="BC1610" s="12">
        <v>0</v>
      </c>
      <c r="BD1610" s="12">
        <v>0</v>
      </c>
      <c r="BE1610" s="12">
        <v>0</v>
      </c>
      <c r="BF1610" s="12">
        <v>0</v>
      </c>
      <c r="BI1610" s="12">
        <v>0</v>
      </c>
      <c r="BJ1610" s="12">
        <v>0</v>
      </c>
    </row>
    <row r="1611" spans="1:62" x14ac:dyDescent="0.15">
      <c r="A1611" s="12" t="s">
        <v>943</v>
      </c>
      <c r="B1611"/>
      <c r="C1611" s="20" t="s">
        <v>6057</v>
      </c>
      <c r="D1611" t="s">
        <v>4881</v>
      </c>
      <c r="E1611" s="12" t="s">
        <v>7963</v>
      </c>
      <c r="F1611" s="12"/>
      <c r="G1611" s="12"/>
      <c r="H1611" s="12"/>
      <c r="I1611" s="12"/>
      <c r="J1611" s="12"/>
      <c r="K1611" s="12"/>
      <c r="L1611" s="10">
        <v>4127120</v>
      </c>
      <c r="M1611" s="10">
        <v>798056</v>
      </c>
      <c r="N1611" s="12">
        <v>15</v>
      </c>
      <c r="O1611" s="12" t="s">
        <v>6992</v>
      </c>
      <c r="P1611" t="s">
        <v>7428</v>
      </c>
      <c r="Q1611"/>
      <c r="R1611"/>
      <c r="S1611" t="s">
        <v>6058</v>
      </c>
      <c r="T1611" s="12" t="s">
        <v>5017</v>
      </c>
      <c r="U1611" s="12" t="s">
        <v>5017</v>
      </c>
      <c r="V1611" s="12" t="s">
        <v>5017</v>
      </c>
      <c r="W1611" s="12">
        <v>0</v>
      </c>
      <c r="X1611" s="12">
        <v>0</v>
      </c>
      <c r="Y1611" s="12">
        <v>0</v>
      </c>
      <c r="Z1611" s="12">
        <v>0</v>
      </c>
      <c r="AA1611" s="12">
        <v>0</v>
      </c>
      <c r="AB1611" s="12">
        <v>0</v>
      </c>
      <c r="AC1611" s="12">
        <v>1</v>
      </c>
      <c r="AD1611" s="12">
        <v>0</v>
      </c>
      <c r="AE1611" s="12">
        <v>0</v>
      </c>
      <c r="AF1611" s="12">
        <v>0</v>
      </c>
      <c r="AG1611" s="12">
        <v>0</v>
      </c>
      <c r="AH1611" s="12">
        <v>0</v>
      </c>
      <c r="AI1611" s="12">
        <v>0</v>
      </c>
      <c r="AJ1611" s="12">
        <v>0</v>
      </c>
      <c r="AK1611" s="12">
        <v>0</v>
      </c>
      <c r="AL1611" s="12">
        <v>0</v>
      </c>
      <c r="AM1611" s="12"/>
      <c r="AN1611" s="12">
        <v>0</v>
      </c>
      <c r="AO1611" s="12">
        <v>0</v>
      </c>
      <c r="AP1611" s="12">
        <v>0</v>
      </c>
      <c r="AQ1611" s="12">
        <v>0</v>
      </c>
      <c r="AR1611" s="12">
        <v>0</v>
      </c>
      <c r="AS1611" s="12">
        <v>0</v>
      </c>
      <c r="AT1611" s="12">
        <v>0</v>
      </c>
      <c r="AU1611" s="12">
        <v>0</v>
      </c>
      <c r="AV1611" s="12">
        <v>0</v>
      </c>
      <c r="AW1611" s="12">
        <v>0</v>
      </c>
      <c r="AX1611" s="12">
        <v>0</v>
      </c>
      <c r="AY1611" s="12">
        <v>0</v>
      </c>
      <c r="BB1611" s="12">
        <v>0</v>
      </c>
      <c r="BC1611" s="12">
        <v>0</v>
      </c>
      <c r="BD1611" s="12">
        <v>0</v>
      </c>
      <c r="BE1611" s="12">
        <v>0</v>
      </c>
      <c r="BF1611" s="12">
        <v>0</v>
      </c>
      <c r="BI1611" s="12">
        <v>0</v>
      </c>
      <c r="BJ1611" s="12">
        <v>0</v>
      </c>
    </row>
    <row r="1612" spans="1:62" x14ac:dyDescent="0.15">
      <c r="A1612" s="12" t="s">
        <v>3228</v>
      </c>
      <c r="B1612"/>
      <c r="C1612" s="20" t="s">
        <v>6059</v>
      </c>
      <c r="D1612" t="s">
        <v>4881</v>
      </c>
      <c r="E1612" s="12" t="s">
        <v>6526</v>
      </c>
      <c r="F1612" s="12"/>
      <c r="G1612" s="12"/>
      <c r="H1612" s="12"/>
      <c r="I1612" s="12"/>
      <c r="J1612" s="12"/>
      <c r="K1612" s="12"/>
      <c r="L1612" s="10">
        <v>3710200</v>
      </c>
      <c r="M1612" s="10">
        <v>657161</v>
      </c>
      <c r="N1612" s="12">
        <v>15</v>
      </c>
      <c r="O1612" s="12" t="s">
        <v>6992</v>
      </c>
      <c r="P1612" t="s">
        <v>7428</v>
      </c>
      <c r="Q1612"/>
      <c r="R1612"/>
      <c r="S1612" t="s">
        <v>6060</v>
      </c>
      <c r="T1612" s="12" t="s">
        <v>5017</v>
      </c>
      <c r="U1612" s="12" t="s">
        <v>5017</v>
      </c>
      <c r="V1612" s="12" t="s">
        <v>5017</v>
      </c>
      <c r="W1612" s="12">
        <v>0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1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2">
        <v>0</v>
      </c>
      <c r="AK1612" s="12">
        <v>0</v>
      </c>
      <c r="AL1612" s="12">
        <v>0</v>
      </c>
      <c r="AM1612" s="12"/>
      <c r="AN1612" s="12">
        <v>0</v>
      </c>
      <c r="AO1612" s="12">
        <v>0</v>
      </c>
      <c r="AP1612" s="12">
        <v>0</v>
      </c>
      <c r="AQ1612" s="12">
        <v>0</v>
      </c>
      <c r="AR1612" s="12">
        <v>0</v>
      </c>
      <c r="AS1612" s="12">
        <v>0</v>
      </c>
      <c r="AT1612" s="12">
        <v>0</v>
      </c>
      <c r="AU1612" s="12">
        <v>0</v>
      </c>
      <c r="AV1612" s="12">
        <v>0</v>
      </c>
      <c r="AW1612" s="12">
        <v>0</v>
      </c>
      <c r="AX1612" s="12">
        <v>0</v>
      </c>
      <c r="AY1612" s="12">
        <v>0</v>
      </c>
      <c r="BB1612" s="12">
        <v>0</v>
      </c>
      <c r="BC1612" s="12">
        <v>0</v>
      </c>
      <c r="BD1612" s="12">
        <v>0</v>
      </c>
      <c r="BE1612" s="12">
        <v>0</v>
      </c>
      <c r="BF1612" s="12">
        <v>0</v>
      </c>
      <c r="BI1612" s="12">
        <v>0</v>
      </c>
      <c r="BJ1612" s="12">
        <v>0</v>
      </c>
    </row>
    <row r="1613" spans="1:62" x14ac:dyDescent="0.15">
      <c r="A1613" s="12" t="s">
        <v>6061</v>
      </c>
      <c r="B1613"/>
      <c r="C1613" s="20" t="s">
        <v>6725</v>
      </c>
      <c r="D1613" t="s">
        <v>4881</v>
      </c>
      <c r="E1613" s="12" t="s">
        <v>6062</v>
      </c>
      <c r="F1613" s="12"/>
      <c r="G1613" s="12"/>
      <c r="H1613" s="12"/>
      <c r="I1613" s="12"/>
      <c r="J1613" s="12"/>
      <c r="K1613" s="12"/>
      <c r="L1613" s="10">
        <f>VLOOKUP(A1613,'[1]Phillips Coords'!B$1:E$65536,4,FALSE)</f>
        <v>3508540</v>
      </c>
      <c r="M1613" s="10">
        <f>VLOOKUP(A1613,'[1]Phillips Coords'!B$1:E$65536,3,FALSE)</f>
        <v>655983</v>
      </c>
      <c r="N1613" s="12">
        <v>15</v>
      </c>
      <c r="O1613" s="12" t="s">
        <v>4871</v>
      </c>
      <c r="P1613" t="s">
        <v>7428</v>
      </c>
      <c r="Q1613"/>
      <c r="R1613"/>
      <c r="S1613" t="s">
        <v>6063</v>
      </c>
      <c r="T1613" s="12" t="s">
        <v>4784</v>
      </c>
      <c r="U1613" s="12" t="s">
        <v>5017</v>
      </c>
      <c r="V1613" s="12" t="s">
        <v>5021</v>
      </c>
      <c r="W1613" s="12">
        <v>0</v>
      </c>
      <c r="X1613" s="12">
        <v>0</v>
      </c>
      <c r="Y1613" s="12">
        <v>0</v>
      </c>
      <c r="Z1613" s="12">
        <v>0</v>
      </c>
      <c r="AA1613" s="12">
        <v>0</v>
      </c>
      <c r="AB1613" s="12">
        <v>0</v>
      </c>
      <c r="AC1613" s="12">
        <v>1</v>
      </c>
      <c r="AD1613" s="12">
        <v>0</v>
      </c>
      <c r="AE1613" s="12">
        <v>0</v>
      </c>
      <c r="AF1613" s="12">
        <v>1</v>
      </c>
      <c r="AG1613" s="12">
        <v>1</v>
      </c>
      <c r="AH1613" s="12" t="s">
        <v>6064</v>
      </c>
      <c r="AI1613" s="12">
        <v>5</v>
      </c>
      <c r="AJ1613" s="12">
        <v>1</v>
      </c>
      <c r="AK1613" s="12">
        <v>1</v>
      </c>
      <c r="AL1613" s="12">
        <v>1</v>
      </c>
      <c r="AM1613" s="12"/>
      <c r="AN1613" s="12">
        <v>1</v>
      </c>
      <c r="AO1613" s="12">
        <v>0</v>
      </c>
      <c r="AP1613" s="12">
        <v>0</v>
      </c>
      <c r="AQ1613" s="12">
        <v>1</v>
      </c>
      <c r="AR1613" s="12">
        <v>1</v>
      </c>
      <c r="AS1613" s="12">
        <v>0</v>
      </c>
      <c r="AT1613" s="12">
        <v>1</v>
      </c>
      <c r="AU1613" s="12">
        <v>0</v>
      </c>
      <c r="AV1613" s="12">
        <v>0</v>
      </c>
      <c r="AW1613" s="12">
        <v>1</v>
      </c>
      <c r="AX1613" s="12">
        <v>0</v>
      </c>
      <c r="AY1613" s="12">
        <v>0</v>
      </c>
      <c r="AZ1613" s="12" t="s">
        <v>4843</v>
      </c>
      <c r="BA1613" s="12" t="s">
        <v>4911</v>
      </c>
      <c r="BB1613" s="12">
        <v>1</v>
      </c>
      <c r="BC1613" s="12">
        <v>0</v>
      </c>
      <c r="BD1613" s="12">
        <v>0</v>
      </c>
      <c r="BE1613" s="12">
        <v>0</v>
      </c>
      <c r="BF1613" s="12">
        <v>0</v>
      </c>
      <c r="BI1613" s="12">
        <v>0</v>
      </c>
      <c r="BJ1613" s="12">
        <v>0</v>
      </c>
    </row>
    <row r="1614" spans="1:62" x14ac:dyDescent="0.15">
      <c r="A1614" s="12" t="s">
        <v>6065</v>
      </c>
      <c r="B1614"/>
      <c r="C1614" s="20" t="s">
        <v>6066</v>
      </c>
      <c r="D1614" t="s">
        <v>4881</v>
      </c>
      <c r="E1614" s="12" t="s">
        <v>7423</v>
      </c>
      <c r="F1614" s="12"/>
      <c r="G1614" s="12"/>
      <c r="H1614" s="12"/>
      <c r="I1614" s="12"/>
      <c r="J1614" s="12"/>
      <c r="K1614" s="12"/>
      <c r="L1614" s="10">
        <v>3534227</v>
      </c>
      <c r="M1614" s="10">
        <v>649215</v>
      </c>
      <c r="N1614" s="12">
        <v>15</v>
      </c>
      <c r="O1614" s="12" t="s">
        <v>6992</v>
      </c>
      <c r="P1614" t="s">
        <v>7428</v>
      </c>
      <c r="Q1614"/>
      <c r="R1614"/>
      <c r="S1614" t="s">
        <v>4881</v>
      </c>
      <c r="T1614" s="12" t="s">
        <v>8372</v>
      </c>
      <c r="U1614" s="12" t="s">
        <v>5017</v>
      </c>
      <c r="V1614" s="12" t="s">
        <v>5019</v>
      </c>
      <c r="W1614" s="12">
        <v>0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1</v>
      </c>
      <c r="AD1614" s="12">
        <v>0</v>
      </c>
      <c r="AE1614" s="12">
        <f>VLOOKUP(C1614,'[1]Phillips 1970 - coles creek'!A$1:B$65536,2,FALSE)</f>
        <v>1</v>
      </c>
      <c r="AF1614" s="12">
        <v>0</v>
      </c>
      <c r="AG1614" s="12">
        <v>0</v>
      </c>
      <c r="AH1614" s="12">
        <v>3</v>
      </c>
      <c r="AI1614" s="12">
        <v>1</v>
      </c>
      <c r="AJ1614" s="12">
        <v>1</v>
      </c>
      <c r="AK1614" s="12">
        <v>1</v>
      </c>
      <c r="AL1614" s="12">
        <v>1</v>
      </c>
      <c r="AM1614" s="12"/>
      <c r="AN1614" s="12">
        <v>0</v>
      </c>
      <c r="AO1614" s="12">
        <v>0</v>
      </c>
      <c r="AP1614" s="12">
        <v>0</v>
      </c>
      <c r="AQ1614" s="12">
        <v>0</v>
      </c>
      <c r="AR1614" s="12">
        <v>1</v>
      </c>
      <c r="AS1614" s="12">
        <v>0</v>
      </c>
      <c r="AT1614" s="12">
        <v>0</v>
      </c>
      <c r="AU1614" s="12">
        <v>0</v>
      </c>
      <c r="AV1614" s="12">
        <v>0</v>
      </c>
      <c r="AW1614" s="12">
        <v>0</v>
      </c>
      <c r="AX1614" s="12">
        <v>0</v>
      </c>
      <c r="AY1614" s="12">
        <v>0</v>
      </c>
      <c r="BB1614" s="12">
        <v>0</v>
      </c>
      <c r="BC1614" s="12">
        <v>0</v>
      </c>
      <c r="BD1614" s="12">
        <v>0</v>
      </c>
      <c r="BE1614" s="12">
        <v>0</v>
      </c>
      <c r="BF1614" s="12">
        <v>0</v>
      </c>
      <c r="BI1614" s="12">
        <v>0</v>
      </c>
      <c r="BJ1614" s="12">
        <v>0</v>
      </c>
    </row>
    <row r="1615" spans="1:62" x14ac:dyDescent="0.15">
      <c r="A1615" s="12" t="s">
        <v>6067</v>
      </c>
      <c r="B1615"/>
      <c r="C1615" s="20" t="s">
        <v>6068</v>
      </c>
      <c r="D1615" t="s">
        <v>4881</v>
      </c>
      <c r="E1615" s="12" t="s">
        <v>7423</v>
      </c>
      <c r="F1615" s="12"/>
      <c r="G1615" s="12"/>
      <c r="H1615" s="12"/>
      <c r="I1615" s="12"/>
      <c r="J1615" s="12"/>
      <c r="K1615" s="12"/>
      <c r="L1615" s="10">
        <v>3541996</v>
      </c>
      <c r="M1615" s="10">
        <v>646892</v>
      </c>
      <c r="N1615" s="12">
        <v>15</v>
      </c>
      <c r="O1615" s="12" t="s">
        <v>6992</v>
      </c>
      <c r="P1615" t="s">
        <v>7428</v>
      </c>
      <c r="Q1615"/>
      <c r="R1615"/>
      <c r="S1615" t="s">
        <v>4881</v>
      </c>
      <c r="T1615" s="12" t="s">
        <v>4891</v>
      </c>
      <c r="U1615" s="12" t="s">
        <v>5017</v>
      </c>
      <c r="V1615" s="12" t="s">
        <v>5018</v>
      </c>
      <c r="W1615" s="12">
        <v>0</v>
      </c>
      <c r="X1615" s="12">
        <v>0</v>
      </c>
      <c r="Y1615" s="12">
        <v>0</v>
      </c>
      <c r="Z1615" s="12">
        <v>0</v>
      </c>
      <c r="AA1615" s="12">
        <v>0</v>
      </c>
      <c r="AB1615" s="12">
        <v>0</v>
      </c>
      <c r="AC1615" s="12">
        <v>1</v>
      </c>
      <c r="AD1615" s="12">
        <f>VLOOKUP(C1615,'[1]Phillips 1970 - Baytown'!A$1:B$65536,2,FALSE)</f>
        <v>1</v>
      </c>
      <c r="AE1615" s="12">
        <v>0</v>
      </c>
      <c r="AF1615" s="12">
        <v>0</v>
      </c>
      <c r="AG1615" s="12">
        <v>0</v>
      </c>
      <c r="AH1615" s="12">
        <v>0</v>
      </c>
      <c r="AI1615" s="12">
        <v>0</v>
      </c>
      <c r="AJ1615" s="12">
        <v>0</v>
      </c>
      <c r="AK1615" s="12">
        <v>0</v>
      </c>
      <c r="AL1615" s="12">
        <v>0</v>
      </c>
      <c r="AM1615" s="12"/>
      <c r="AN1615" s="12">
        <v>0</v>
      </c>
      <c r="AO1615" s="12">
        <v>0</v>
      </c>
      <c r="AP1615" s="12">
        <v>0</v>
      </c>
      <c r="AQ1615" s="12">
        <v>0</v>
      </c>
      <c r="AR1615" s="12">
        <v>0</v>
      </c>
      <c r="AS1615" s="12">
        <v>0</v>
      </c>
      <c r="AT1615" s="12">
        <v>0</v>
      </c>
      <c r="AU1615" s="12">
        <v>0</v>
      </c>
      <c r="AV1615" s="12">
        <v>0</v>
      </c>
      <c r="AW1615" s="12">
        <v>0</v>
      </c>
      <c r="AX1615" s="12">
        <v>0</v>
      </c>
      <c r="AY1615" s="12">
        <v>0</v>
      </c>
      <c r="BB1615" s="12">
        <v>0</v>
      </c>
      <c r="BC1615" s="12">
        <v>0</v>
      </c>
      <c r="BD1615" s="12">
        <v>0</v>
      </c>
      <c r="BE1615" s="12">
        <v>0</v>
      </c>
      <c r="BF1615" s="12">
        <v>0</v>
      </c>
      <c r="BI1615" s="12">
        <v>0</v>
      </c>
      <c r="BJ1615" s="12">
        <v>0</v>
      </c>
    </row>
    <row r="1616" spans="1:62" x14ac:dyDescent="0.15">
      <c r="A1616" s="12" t="s">
        <v>6069</v>
      </c>
      <c r="B1616"/>
      <c r="C1616" s="20" t="s">
        <v>6070</v>
      </c>
      <c r="D1616" t="s">
        <v>4881</v>
      </c>
      <c r="E1616" s="12" t="s">
        <v>7423</v>
      </c>
      <c r="F1616" s="12"/>
      <c r="G1616" s="12"/>
      <c r="H1616" s="12"/>
      <c r="I1616" s="12"/>
      <c r="J1616" s="12"/>
      <c r="K1616" s="12"/>
      <c r="L1616" s="10">
        <v>3537139</v>
      </c>
      <c r="M1616" s="10">
        <v>636791</v>
      </c>
      <c r="N1616" s="12">
        <v>15</v>
      </c>
      <c r="O1616" s="12" t="s">
        <v>6992</v>
      </c>
      <c r="P1616" t="s">
        <v>7428</v>
      </c>
      <c r="Q1616"/>
      <c r="R1616"/>
      <c r="S1616" t="s">
        <v>4881</v>
      </c>
      <c r="T1616" s="12" t="s">
        <v>5017</v>
      </c>
      <c r="U1616" s="12" t="s">
        <v>5017</v>
      </c>
      <c r="V1616" s="12" t="s">
        <v>5017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1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2">
        <v>0</v>
      </c>
      <c r="AK1616" s="12">
        <v>0</v>
      </c>
      <c r="AL1616" s="12">
        <v>0</v>
      </c>
      <c r="AM1616" s="12"/>
      <c r="AN1616" s="12">
        <v>0</v>
      </c>
      <c r="AO1616" s="12">
        <v>0</v>
      </c>
      <c r="AP1616" s="12">
        <v>0</v>
      </c>
      <c r="AQ1616" s="12">
        <v>0</v>
      </c>
      <c r="AR1616" s="12">
        <v>0</v>
      </c>
      <c r="AS1616" s="12">
        <v>0</v>
      </c>
      <c r="AT1616" s="12">
        <v>0</v>
      </c>
      <c r="AU1616" s="12">
        <v>0</v>
      </c>
      <c r="AV1616" s="12">
        <v>0</v>
      </c>
      <c r="AW1616" s="12">
        <v>0</v>
      </c>
      <c r="AX1616" s="12">
        <v>0</v>
      </c>
      <c r="AY1616" s="12">
        <v>0</v>
      </c>
      <c r="BB1616" s="12">
        <v>0</v>
      </c>
      <c r="BC1616" s="12">
        <v>0</v>
      </c>
      <c r="BD1616" s="12">
        <v>0</v>
      </c>
      <c r="BE1616" s="12">
        <v>0</v>
      </c>
      <c r="BF1616" s="12">
        <v>0</v>
      </c>
      <c r="BI1616" s="12">
        <v>0</v>
      </c>
      <c r="BJ1616" s="12">
        <v>0</v>
      </c>
    </row>
    <row r="1617" spans="1:62" x14ac:dyDescent="0.15">
      <c r="A1617" s="12" t="s">
        <v>6071</v>
      </c>
      <c r="B1617"/>
      <c r="C1617" s="20" t="s">
        <v>6072</v>
      </c>
      <c r="D1617" t="s">
        <v>4881</v>
      </c>
      <c r="E1617" s="12" t="s">
        <v>7423</v>
      </c>
      <c r="F1617" s="12"/>
      <c r="G1617" s="12"/>
      <c r="H1617" s="12"/>
      <c r="I1617" s="12"/>
      <c r="J1617" s="12"/>
      <c r="K1617" s="12"/>
      <c r="L1617" s="10">
        <v>3566936</v>
      </c>
      <c r="M1617" s="10">
        <v>638560</v>
      </c>
      <c r="N1617" s="12">
        <v>15</v>
      </c>
      <c r="O1617" s="12" t="s">
        <v>6992</v>
      </c>
      <c r="P1617" t="s">
        <v>7428</v>
      </c>
      <c r="Q1617"/>
      <c r="R1617"/>
      <c r="S1617" t="s">
        <v>4881</v>
      </c>
      <c r="T1617" s="12" t="s">
        <v>4784</v>
      </c>
      <c r="U1617" s="12" t="s">
        <v>5017</v>
      </c>
      <c r="V1617" s="12" t="s">
        <v>5021</v>
      </c>
      <c r="W1617" s="12">
        <v>0</v>
      </c>
      <c r="X1617" s="12">
        <v>0</v>
      </c>
      <c r="Y1617" s="12">
        <v>0</v>
      </c>
      <c r="Z1617" s="12">
        <v>0</v>
      </c>
      <c r="AA1617" s="12">
        <v>0</v>
      </c>
      <c r="AB1617" s="12">
        <v>0</v>
      </c>
      <c r="AC1617" s="12">
        <v>1</v>
      </c>
      <c r="AD1617" s="12">
        <v>0</v>
      </c>
      <c r="AE1617" s="12">
        <v>0</v>
      </c>
      <c r="AF1617" s="12">
        <f>VLOOKUP(C1617,'[1]Phillips 1970 - Miss.'!A$1:B$65536,2,FALSE)</f>
        <v>1</v>
      </c>
      <c r="AG1617" s="12">
        <v>1</v>
      </c>
      <c r="AH1617" s="12">
        <v>0</v>
      </c>
      <c r="AI1617" s="12">
        <v>0</v>
      </c>
      <c r="AJ1617" s="12">
        <v>0</v>
      </c>
      <c r="AK1617" s="12">
        <v>0</v>
      </c>
      <c r="AL1617" s="12">
        <v>0</v>
      </c>
      <c r="AM1617" s="12"/>
      <c r="AN1617" s="12">
        <v>0</v>
      </c>
      <c r="AO1617" s="12">
        <v>0</v>
      </c>
      <c r="AP1617" s="12">
        <v>0</v>
      </c>
      <c r="AQ1617" s="12">
        <v>0</v>
      </c>
      <c r="AR1617" s="12">
        <v>0</v>
      </c>
      <c r="AS1617" s="12">
        <v>0</v>
      </c>
      <c r="AT1617" s="12">
        <v>0</v>
      </c>
      <c r="AU1617" s="12">
        <v>0</v>
      </c>
      <c r="AV1617" s="12">
        <v>0</v>
      </c>
      <c r="AW1617" s="12">
        <v>0</v>
      </c>
      <c r="AX1617" s="12">
        <v>0</v>
      </c>
      <c r="AY1617" s="12">
        <v>0</v>
      </c>
      <c r="BB1617" s="12">
        <v>0</v>
      </c>
      <c r="BC1617" s="12">
        <v>0</v>
      </c>
      <c r="BD1617" s="12">
        <v>0</v>
      </c>
      <c r="BE1617" s="12">
        <v>0</v>
      </c>
      <c r="BF1617" s="12">
        <v>0</v>
      </c>
      <c r="BI1617" s="12">
        <v>0</v>
      </c>
      <c r="BJ1617" s="12">
        <v>0</v>
      </c>
    </row>
    <row r="1618" spans="1:62" x14ac:dyDescent="0.15">
      <c r="A1618" s="12" t="s">
        <v>6073</v>
      </c>
      <c r="B1618"/>
      <c r="C1618" s="20" t="s">
        <v>6074</v>
      </c>
      <c r="D1618" t="s">
        <v>4881</v>
      </c>
      <c r="E1618" s="12" t="s">
        <v>7423</v>
      </c>
      <c r="F1618" s="12"/>
      <c r="G1618" s="12"/>
      <c r="H1618" s="12"/>
      <c r="I1618" s="12"/>
      <c r="J1618" s="12"/>
      <c r="K1618" s="12"/>
      <c r="L1618" s="10">
        <v>3550456</v>
      </c>
      <c r="M1618" s="10">
        <v>625400</v>
      </c>
      <c r="N1618" s="12">
        <v>15</v>
      </c>
      <c r="O1618" s="12" t="s">
        <v>6075</v>
      </c>
      <c r="P1618" t="s">
        <v>7428</v>
      </c>
      <c r="Q1618"/>
      <c r="R1618"/>
      <c r="S1618" t="s">
        <v>4881</v>
      </c>
      <c r="T1618" s="12" t="s">
        <v>4784</v>
      </c>
      <c r="U1618" s="12" t="s">
        <v>5017</v>
      </c>
      <c r="V1618" s="12" t="s">
        <v>5021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1</v>
      </c>
      <c r="AD1618" s="12">
        <v>0</v>
      </c>
      <c r="AE1618" s="12">
        <f>VLOOKUP(C1618,'[1]Phillips 1970 - coles creek'!A$1:B$65536,2,FALSE)</f>
        <v>1</v>
      </c>
      <c r="AF1618" s="12">
        <f>VLOOKUP(C1618,'[1]Phillips 1970 - Miss.'!A$1:B$65536,2,FALSE)</f>
        <v>1</v>
      </c>
      <c r="AG1618" s="12">
        <v>1</v>
      </c>
      <c r="AH1618" s="12">
        <v>0</v>
      </c>
      <c r="AI1618" s="12">
        <v>0</v>
      </c>
      <c r="AJ1618" s="12">
        <v>0</v>
      </c>
      <c r="AK1618" s="12">
        <v>0</v>
      </c>
      <c r="AL1618" s="12">
        <v>0</v>
      </c>
      <c r="AM1618" s="12"/>
      <c r="AN1618" s="12">
        <v>0</v>
      </c>
      <c r="AO1618" s="12">
        <v>0</v>
      </c>
      <c r="AP1618" s="12">
        <v>0</v>
      </c>
      <c r="AQ1618" s="12">
        <v>0</v>
      </c>
      <c r="AR1618" s="12">
        <v>0</v>
      </c>
      <c r="AS1618" s="12">
        <v>0</v>
      </c>
      <c r="AT1618" s="12">
        <v>0</v>
      </c>
      <c r="AU1618" s="12">
        <v>0</v>
      </c>
      <c r="AV1618" s="12">
        <v>0</v>
      </c>
      <c r="AW1618" s="12">
        <v>0</v>
      </c>
      <c r="AX1618" s="12">
        <v>0</v>
      </c>
      <c r="AY1618" s="12">
        <v>0</v>
      </c>
      <c r="BB1618" s="12">
        <v>0</v>
      </c>
      <c r="BC1618" s="12">
        <v>0</v>
      </c>
      <c r="BD1618" s="12">
        <v>0</v>
      </c>
      <c r="BE1618" s="12">
        <v>0</v>
      </c>
      <c r="BF1618" s="12">
        <v>0</v>
      </c>
      <c r="BI1618" s="12">
        <v>0</v>
      </c>
      <c r="BJ1618" s="12">
        <v>0</v>
      </c>
    </row>
    <row r="1619" spans="1:62" x14ac:dyDescent="0.15">
      <c r="A1619" s="12" t="s">
        <v>6076</v>
      </c>
      <c r="B1619"/>
      <c r="C1619" s="20" t="s">
        <v>6077</v>
      </c>
      <c r="D1619" t="s">
        <v>4881</v>
      </c>
      <c r="E1619" s="12" t="s">
        <v>7423</v>
      </c>
      <c r="F1619" s="12"/>
      <c r="G1619" s="12"/>
      <c r="H1619" s="12"/>
      <c r="I1619" s="12"/>
      <c r="J1619" s="12"/>
      <c r="K1619" s="12"/>
      <c r="L1619" s="10">
        <v>3563915</v>
      </c>
      <c r="M1619" s="10">
        <v>635518</v>
      </c>
      <c r="N1619" s="12">
        <v>15</v>
      </c>
      <c r="O1619" s="12" t="s">
        <v>6992</v>
      </c>
      <c r="P1619" t="s">
        <v>7428</v>
      </c>
      <c r="Q1619"/>
      <c r="R1619"/>
      <c r="S1619" t="s">
        <v>4881</v>
      </c>
      <c r="T1619" s="12" t="s">
        <v>4784</v>
      </c>
      <c r="U1619" s="12" t="s">
        <v>5017</v>
      </c>
      <c r="V1619" s="12" t="s">
        <v>5021</v>
      </c>
      <c r="W1619" s="12">
        <v>0</v>
      </c>
      <c r="X1619" s="12">
        <v>0</v>
      </c>
      <c r="Y1619" s="12">
        <v>0</v>
      </c>
      <c r="Z1619" s="12">
        <v>0</v>
      </c>
      <c r="AA1619" s="12">
        <v>0</v>
      </c>
      <c r="AB1619" s="12">
        <v>0</v>
      </c>
      <c r="AC1619" s="12">
        <v>1</v>
      </c>
      <c r="AD1619" s="12">
        <v>0</v>
      </c>
      <c r="AE1619" s="12">
        <v>0</v>
      </c>
      <c r="AF1619" s="12">
        <f>VLOOKUP(C1619,'[1]Phillips 1970 - Miss.'!A$1:B$65536,2,FALSE)</f>
        <v>1</v>
      </c>
      <c r="AG1619" s="12">
        <v>1</v>
      </c>
      <c r="AH1619" s="12">
        <v>0</v>
      </c>
      <c r="AI1619" s="12">
        <v>0</v>
      </c>
      <c r="AJ1619" s="12">
        <v>0</v>
      </c>
      <c r="AK1619" s="12">
        <v>0</v>
      </c>
      <c r="AL1619" s="12">
        <v>0</v>
      </c>
      <c r="AM1619" s="12"/>
      <c r="AN1619" s="12">
        <v>0</v>
      </c>
      <c r="AO1619" s="12">
        <v>0</v>
      </c>
      <c r="AP1619" s="12">
        <v>0</v>
      </c>
      <c r="AQ1619" s="12">
        <v>0</v>
      </c>
      <c r="AR1619" s="12">
        <v>0</v>
      </c>
      <c r="AS1619" s="12">
        <v>0</v>
      </c>
      <c r="AT1619" s="12">
        <v>0</v>
      </c>
      <c r="AU1619" s="12">
        <v>0</v>
      </c>
      <c r="AV1619" s="12">
        <v>0</v>
      </c>
      <c r="AW1619" s="12">
        <v>0</v>
      </c>
      <c r="AX1619" s="12">
        <v>0</v>
      </c>
      <c r="AY1619" s="12">
        <v>0</v>
      </c>
      <c r="BB1619" s="12">
        <v>0</v>
      </c>
      <c r="BC1619" s="12">
        <v>0</v>
      </c>
      <c r="BD1619" s="12">
        <v>0</v>
      </c>
      <c r="BE1619" s="12">
        <v>0</v>
      </c>
      <c r="BF1619" s="12">
        <v>0</v>
      </c>
      <c r="BI1619" s="12">
        <v>0</v>
      </c>
      <c r="BJ1619" s="12">
        <v>0</v>
      </c>
    </row>
    <row r="1620" spans="1:62" x14ac:dyDescent="0.15">
      <c r="A1620" s="12" t="s">
        <v>6078</v>
      </c>
      <c r="B1620"/>
      <c r="C1620" s="20" t="s">
        <v>6079</v>
      </c>
      <c r="D1620" t="s">
        <v>4881</v>
      </c>
      <c r="E1620" s="12" t="s">
        <v>7423</v>
      </c>
      <c r="F1620" s="12"/>
      <c r="G1620" s="12"/>
      <c r="H1620" s="12"/>
      <c r="I1620" s="12"/>
      <c r="J1620" s="12"/>
      <c r="K1620" s="12"/>
      <c r="L1620" s="10">
        <v>3577696</v>
      </c>
      <c r="M1620" s="10">
        <v>653088</v>
      </c>
      <c r="N1620" s="12">
        <v>15</v>
      </c>
      <c r="O1620" s="12" t="s">
        <v>6075</v>
      </c>
      <c r="P1620" t="s">
        <v>7428</v>
      </c>
      <c r="Q1620"/>
      <c r="R1620"/>
      <c r="S1620" t="s">
        <v>4881</v>
      </c>
      <c r="T1620" s="12" t="s">
        <v>4784</v>
      </c>
      <c r="U1620" s="12" t="s">
        <v>5017</v>
      </c>
      <c r="V1620" s="12" t="s">
        <v>5021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1</v>
      </c>
      <c r="AD1620" s="12">
        <f>VLOOKUP(C1620,'[1]Phillips 1970 - Baytown'!A$1:B$65536,2,FALSE)</f>
        <v>1</v>
      </c>
      <c r="AE1620" s="12">
        <f>VLOOKUP(C1620,'[1]Phillips 1970 - coles creek'!A$1:B$65536,2,FALSE)</f>
        <v>1</v>
      </c>
      <c r="AF1620" s="12">
        <f>VLOOKUP(C1620,'[1]Phillips 1970 - Miss.'!A$1:B$65536,2,FALSE)</f>
        <v>1</v>
      </c>
      <c r="AG1620" s="12">
        <v>1</v>
      </c>
      <c r="AH1620" s="12">
        <v>0</v>
      </c>
      <c r="AI1620" s="12">
        <v>0</v>
      </c>
      <c r="AJ1620" s="12">
        <v>0</v>
      </c>
      <c r="AK1620" s="12">
        <v>0</v>
      </c>
      <c r="AL1620" s="12">
        <v>0</v>
      </c>
      <c r="AM1620" s="12"/>
      <c r="AN1620" s="12">
        <v>0</v>
      </c>
      <c r="AO1620" s="12">
        <v>0</v>
      </c>
      <c r="AP1620" s="12">
        <v>0</v>
      </c>
      <c r="AQ1620" s="12">
        <v>0</v>
      </c>
      <c r="AR1620" s="12">
        <v>0</v>
      </c>
      <c r="AS1620" s="12">
        <v>0</v>
      </c>
      <c r="AT1620" s="12">
        <v>0</v>
      </c>
      <c r="AU1620" s="12">
        <v>0</v>
      </c>
      <c r="AV1620" s="12">
        <v>0</v>
      </c>
      <c r="AW1620" s="12">
        <v>0</v>
      </c>
      <c r="AX1620" s="12">
        <v>0</v>
      </c>
      <c r="AY1620" s="12">
        <v>0</v>
      </c>
      <c r="BB1620" s="12">
        <v>0</v>
      </c>
      <c r="BC1620" s="12">
        <v>0</v>
      </c>
      <c r="BD1620" s="12">
        <v>0</v>
      </c>
      <c r="BE1620" s="12">
        <v>0</v>
      </c>
      <c r="BF1620" s="12">
        <v>0</v>
      </c>
      <c r="BI1620" s="12">
        <v>0</v>
      </c>
      <c r="BJ1620" s="12">
        <v>0</v>
      </c>
    </row>
    <row r="1621" spans="1:62" x14ac:dyDescent="0.15">
      <c r="A1621" s="12" t="s">
        <v>6080</v>
      </c>
      <c r="B1621"/>
      <c r="C1621" s="20" t="s">
        <v>6081</v>
      </c>
      <c r="D1621" t="s">
        <v>4881</v>
      </c>
      <c r="E1621" s="12" t="s">
        <v>7423</v>
      </c>
      <c r="F1621" s="12"/>
      <c r="G1621" s="12"/>
      <c r="H1621" s="12"/>
      <c r="I1621" s="12"/>
      <c r="J1621" s="12"/>
      <c r="K1621" s="12"/>
      <c r="L1621" s="10">
        <v>3566124</v>
      </c>
      <c r="M1621" s="10">
        <v>640264</v>
      </c>
      <c r="N1621" s="12">
        <v>15</v>
      </c>
      <c r="O1621" s="12" t="s">
        <v>6992</v>
      </c>
      <c r="P1621" t="s">
        <v>7428</v>
      </c>
      <c r="Q1621"/>
      <c r="R1621"/>
      <c r="S1621" t="s">
        <v>4881</v>
      </c>
      <c r="T1621" s="12" t="s">
        <v>8372</v>
      </c>
      <c r="U1621" s="12" t="s">
        <v>5017</v>
      </c>
      <c r="V1621" s="12" t="s">
        <v>5019</v>
      </c>
      <c r="W1621" s="12">
        <v>0</v>
      </c>
      <c r="X1621" s="12">
        <v>0</v>
      </c>
      <c r="Y1621" s="12">
        <v>0</v>
      </c>
      <c r="Z1621" s="12">
        <v>0</v>
      </c>
      <c r="AA1621" s="12">
        <v>0</v>
      </c>
      <c r="AB1621" s="12">
        <v>0</v>
      </c>
      <c r="AC1621" s="12">
        <v>1</v>
      </c>
      <c r="AD1621" s="12">
        <v>0</v>
      </c>
      <c r="AE1621" s="12">
        <f>VLOOKUP(C1621,'[1]Phillips 1970 - coles creek'!A$1:B$65536,2,FALSE)</f>
        <v>1</v>
      </c>
      <c r="AF1621" s="12">
        <v>0</v>
      </c>
      <c r="AG1621" s="12">
        <v>0</v>
      </c>
      <c r="AH1621" s="12">
        <v>0</v>
      </c>
      <c r="AI1621" s="12">
        <v>0</v>
      </c>
      <c r="AJ1621" s="12">
        <v>0</v>
      </c>
      <c r="AK1621" s="12">
        <v>0</v>
      </c>
      <c r="AL1621" s="12">
        <v>0</v>
      </c>
      <c r="AM1621" s="12"/>
      <c r="AN1621" s="12">
        <v>0</v>
      </c>
      <c r="AO1621" s="12">
        <v>0</v>
      </c>
      <c r="AP1621" s="12">
        <v>0</v>
      </c>
      <c r="AQ1621" s="12">
        <v>0</v>
      </c>
      <c r="AR1621" s="12">
        <v>0</v>
      </c>
      <c r="AS1621" s="12">
        <v>0</v>
      </c>
      <c r="AT1621" s="12">
        <v>0</v>
      </c>
      <c r="AU1621" s="12">
        <v>0</v>
      </c>
      <c r="AV1621" s="12">
        <v>0</v>
      </c>
      <c r="AW1621" s="12">
        <v>0</v>
      </c>
      <c r="AX1621" s="12">
        <v>0</v>
      </c>
      <c r="AY1621" s="12">
        <v>0</v>
      </c>
      <c r="BB1621" s="12">
        <v>0</v>
      </c>
      <c r="BC1621" s="12">
        <v>0</v>
      </c>
      <c r="BD1621" s="12">
        <v>0</v>
      </c>
      <c r="BE1621" s="12">
        <v>0</v>
      </c>
      <c r="BF1621" s="12">
        <v>0</v>
      </c>
      <c r="BI1621" s="12">
        <v>0</v>
      </c>
      <c r="BJ1621" s="12">
        <v>0</v>
      </c>
    </row>
    <row r="1622" spans="1:62" x14ac:dyDescent="0.15">
      <c r="A1622" s="12" t="s">
        <v>6082</v>
      </c>
      <c r="B1622"/>
      <c r="C1622" s="20" t="s">
        <v>6083</v>
      </c>
      <c r="D1622" t="s">
        <v>4881</v>
      </c>
      <c r="E1622" s="12" t="s">
        <v>7423</v>
      </c>
      <c r="F1622" s="12"/>
      <c r="G1622" s="12"/>
      <c r="H1622" s="12"/>
      <c r="I1622" s="12"/>
      <c r="J1622" s="12"/>
      <c r="K1622" s="12"/>
      <c r="L1622" s="10">
        <v>3589600</v>
      </c>
      <c r="M1622" s="10">
        <v>645048</v>
      </c>
      <c r="N1622" s="12">
        <v>15</v>
      </c>
      <c r="O1622" s="12" t="s">
        <v>6075</v>
      </c>
      <c r="P1622" t="s">
        <v>7428</v>
      </c>
      <c r="Q1622"/>
      <c r="R1622"/>
      <c r="S1622" t="s">
        <v>4881</v>
      </c>
      <c r="T1622" s="12" t="s">
        <v>5017</v>
      </c>
      <c r="U1622" s="12" t="s">
        <v>5017</v>
      </c>
      <c r="V1622" s="12" t="s">
        <v>5017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1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2">
        <v>0</v>
      </c>
      <c r="AK1622" s="12">
        <v>0</v>
      </c>
      <c r="AL1622" s="12">
        <v>0</v>
      </c>
      <c r="AM1622" s="12"/>
      <c r="AN1622" s="12">
        <v>0</v>
      </c>
      <c r="AO1622" s="12">
        <v>0</v>
      </c>
      <c r="AP1622" s="12">
        <v>0</v>
      </c>
      <c r="AQ1622" s="12">
        <v>0</v>
      </c>
      <c r="AR1622" s="12">
        <v>0</v>
      </c>
      <c r="AS1622" s="12">
        <v>0</v>
      </c>
      <c r="AT1622" s="12">
        <v>0</v>
      </c>
      <c r="AU1622" s="12">
        <v>0</v>
      </c>
      <c r="AV1622" s="12">
        <v>0</v>
      </c>
      <c r="AW1622" s="12">
        <v>0</v>
      </c>
      <c r="AX1622" s="12">
        <v>0</v>
      </c>
      <c r="AY1622" s="12">
        <v>0</v>
      </c>
      <c r="BB1622" s="12">
        <v>0</v>
      </c>
      <c r="BC1622" s="12">
        <v>0</v>
      </c>
      <c r="BD1622" s="12">
        <v>0</v>
      </c>
      <c r="BE1622" s="12">
        <v>0</v>
      </c>
      <c r="BF1622" s="12">
        <v>0</v>
      </c>
      <c r="BI1622" s="12">
        <v>0</v>
      </c>
      <c r="BJ1622" s="12">
        <v>0</v>
      </c>
    </row>
    <row r="1623" spans="1:62" x14ac:dyDescent="0.15">
      <c r="A1623" s="12" t="s">
        <v>6084</v>
      </c>
      <c r="B1623"/>
      <c r="C1623" s="20" t="s">
        <v>6085</v>
      </c>
      <c r="D1623" t="s">
        <v>4881</v>
      </c>
      <c r="E1623" s="12" t="s">
        <v>7423</v>
      </c>
      <c r="F1623" s="12"/>
      <c r="G1623" s="12"/>
      <c r="H1623" s="12"/>
      <c r="I1623" s="12"/>
      <c r="J1623" s="12"/>
      <c r="K1623" s="12"/>
      <c r="L1623" s="10">
        <v>3601596</v>
      </c>
      <c r="M1623" s="10">
        <v>646488</v>
      </c>
      <c r="N1623" s="12">
        <v>15</v>
      </c>
      <c r="O1623" s="12" t="s">
        <v>6075</v>
      </c>
      <c r="P1623" t="s">
        <v>7428</v>
      </c>
      <c r="Q1623"/>
      <c r="R1623"/>
      <c r="S1623" t="s">
        <v>4881</v>
      </c>
      <c r="T1623" s="12" t="s">
        <v>5017</v>
      </c>
      <c r="U1623" s="12" t="s">
        <v>5017</v>
      </c>
      <c r="V1623" s="12" t="s">
        <v>5017</v>
      </c>
      <c r="W1623" s="12">
        <v>0</v>
      </c>
      <c r="X1623" s="12">
        <v>0</v>
      </c>
      <c r="Y1623" s="12">
        <v>0</v>
      </c>
      <c r="Z1623" s="12">
        <v>0</v>
      </c>
      <c r="AA1623" s="12">
        <v>0</v>
      </c>
      <c r="AB1623" s="12">
        <v>0</v>
      </c>
      <c r="AC1623" s="12">
        <v>1</v>
      </c>
      <c r="AD1623" s="12">
        <v>0</v>
      </c>
      <c r="AE1623" s="12">
        <v>0</v>
      </c>
      <c r="AF1623" s="12">
        <v>0</v>
      </c>
      <c r="AG1623" s="12">
        <v>0</v>
      </c>
      <c r="AH1623" s="12">
        <v>0</v>
      </c>
      <c r="AI1623" s="12">
        <v>0</v>
      </c>
      <c r="AJ1623" s="12">
        <v>0</v>
      </c>
      <c r="AK1623" s="12">
        <v>0</v>
      </c>
      <c r="AL1623" s="12">
        <v>0</v>
      </c>
      <c r="AM1623" s="12"/>
      <c r="AN1623" s="12">
        <v>0</v>
      </c>
      <c r="AO1623" s="12">
        <v>0</v>
      </c>
      <c r="AP1623" s="12">
        <v>0</v>
      </c>
      <c r="AQ1623" s="12">
        <v>0</v>
      </c>
      <c r="AR1623" s="12">
        <v>0</v>
      </c>
      <c r="AS1623" s="12">
        <v>0</v>
      </c>
      <c r="AT1623" s="12">
        <v>0</v>
      </c>
      <c r="AU1623" s="12">
        <v>0</v>
      </c>
      <c r="AV1623" s="12">
        <v>0</v>
      </c>
      <c r="AW1623" s="12">
        <v>0</v>
      </c>
      <c r="AX1623" s="12">
        <v>0</v>
      </c>
      <c r="AY1623" s="12">
        <v>0</v>
      </c>
      <c r="BB1623" s="12">
        <v>0</v>
      </c>
      <c r="BC1623" s="12">
        <v>0</v>
      </c>
      <c r="BD1623" s="12">
        <v>0</v>
      </c>
      <c r="BE1623" s="12">
        <v>0</v>
      </c>
      <c r="BF1623" s="12">
        <v>0</v>
      </c>
      <c r="BI1623" s="12">
        <v>0</v>
      </c>
      <c r="BJ1623" s="12">
        <v>0</v>
      </c>
    </row>
    <row r="1624" spans="1:62" x14ac:dyDescent="0.15">
      <c r="A1624" s="12" t="s">
        <v>6086</v>
      </c>
      <c r="B1624"/>
      <c r="C1624" s="20" t="s">
        <v>6087</v>
      </c>
      <c r="D1624" t="s">
        <v>4881</v>
      </c>
      <c r="E1624" s="12" t="s">
        <v>7423</v>
      </c>
      <c r="F1624" s="12"/>
      <c r="G1624" s="12"/>
      <c r="H1624" s="12"/>
      <c r="I1624" s="12"/>
      <c r="J1624" s="12"/>
      <c r="K1624" s="12"/>
      <c r="L1624" s="10">
        <v>3617676</v>
      </c>
      <c r="M1624" s="10">
        <v>668440</v>
      </c>
      <c r="N1624" s="12">
        <v>15</v>
      </c>
      <c r="O1624" s="12" t="s">
        <v>4871</v>
      </c>
      <c r="P1624" t="s">
        <v>7428</v>
      </c>
      <c r="Q1624"/>
      <c r="R1624"/>
      <c r="S1624" t="s">
        <v>4881</v>
      </c>
      <c r="T1624" s="12" t="s">
        <v>8372</v>
      </c>
      <c r="U1624" s="12" t="s">
        <v>5017</v>
      </c>
      <c r="V1624" s="12" t="s">
        <v>5019</v>
      </c>
      <c r="W1624" s="12">
        <v>0</v>
      </c>
      <c r="X1624" s="12">
        <v>0</v>
      </c>
      <c r="Y1624" s="12">
        <v>0</v>
      </c>
      <c r="Z1624" s="12">
        <v>0</v>
      </c>
      <c r="AA1624" s="12">
        <v>0</v>
      </c>
      <c r="AB1624" s="12">
        <v>0</v>
      </c>
      <c r="AC1624" s="12">
        <v>1</v>
      </c>
      <c r="AD1624" s="12">
        <v>0</v>
      </c>
      <c r="AE1624" s="12">
        <f>VLOOKUP(C1624,'[1]Phillips 1970 - coles creek'!A$1:B$65536,2,FALSE)</f>
        <v>1</v>
      </c>
      <c r="AF1624" s="12">
        <v>0</v>
      </c>
      <c r="AG1624" s="12">
        <v>0</v>
      </c>
      <c r="AH1624" s="12" t="s">
        <v>6088</v>
      </c>
      <c r="AI1624" s="12">
        <v>6</v>
      </c>
      <c r="AJ1624" s="12">
        <v>1</v>
      </c>
      <c r="AK1624" s="12">
        <v>1</v>
      </c>
      <c r="AL1624" s="12">
        <v>0</v>
      </c>
      <c r="AM1624" s="12"/>
      <c r="AN1624" s="12">
        <v>0</v>
      </c>
      <c r="AO1624" s="12">
        <v>0</v>
      </c>
      <c r="AP1624" s="12">
        <v>0</v>
      </c>
      <c r="AQ1624" s="12">
        <v>0</v>
      </c>
      <c r="AR1624" s="12">
        <v>0</v>
      </c>
      <c r="AS1624" s="12">
        <v>0</v>
      </c>
      <c r="AT1624" s="12">
        <v>1</v>
      </c>
      <c r="AU1624" s="12">
        <v>0</v>
      </c>
      <c r="AV1624" s="12">
        <v>0</v>
      </c>
      <c r="AW1624" s="12">
        <v>0</v>
      </c>
      <c r="AX1624" s="12">
        <v>0</v>
      </c>
      <c r="AY1624" s="12">
        <v>0</v>
      </c>
      <c r="BB1624" s="12">
        <v>0</v>
      </c>
      <c r="BC1624" s="12">
        <v>0</v>
      </c>
      <c r="BD1624" s="12">
        <v>0</v>
      </c>
      <c r="BE1624" s="12">
        <v>0</v>
      </c>
      <c r="BF1624" s="12">
        <v>0</v>
      </c>
      <c r="BI1624" s="12">
        <v>0</v>
      </c>
      <c r="BJ1624" s="12">
        <v>0</v>
      </c>
    </row>
    <row r="1625" spans="1:62" x14ac:dyDescent="0.15">
      <c r="A1625" s="12" t="s">
        <v>6089</v>
      </c>
      <c r="B1625"/>
      <c r="C1625" s="20" t="s">
        <v>6090</v>
      </c>
      <c r="D1625" t="s">
        <v>4881</v>
      </c>
      <c r="E1625" s="12" t="s">
        <v>7423</v>
      </c>
      <c r="F1625" s="12"/>
      <c r="G1625" s="12"/>
      <c r="H1625" s="12"/>
      <c r="I1625" s="12"/>
      <c r="J1625" s="12"/>
      <c r="K1625" s="12"/>
      <c r="L1625" s="10">
        <v>3613044</v>
      </c>
      <c r="M1625" s="10">
        <v>659152</v>
      </c>
      <c r="N1625" s="12">
        <v>15</v>
      </c>
      <c r="O1625" s="12" t="s">
        <v>6075</v>
      </c>
      <c r="P1625" t="s">
        <v>7428</v>
      </c>
      <c r="Q1625"/>
      <c r="R1625"/>
      <c r="S1625" t="s">
        <v>4881</v>
      </c>
      <c r="T1625" s="12" t="s">
        <v>8372</v>
      </c>
      <c r="U1625" s="12" t="s">
        <v>5017</v>
      </c>
      <c r="V1625" s="12" t="s">
        <v>5019</v>
      </c>
      <c r="W1625" s="12">
        <v>0</v>
      </c>
      <c r="X1625" s="12">
        <v>0</v>
      </c>
      <c r="Y1625" s="12">
        <v>0</v>
      </c>
      <c r="Z1625" s="12">
        <v>0</v>
      </c>
      <c r="AA1625" s="12">
        <v>0</v>
      </c>
      <c r="AB1625" s="12">
        <v>0</v>
      </c>
      <c r="AC1625" s="12">
        <v>1</v>
      </c>
      <c r="AD1625" s="12">
        <f>VLOOKUP(C1625,'[1]Phillips 1970 - Baytown'!A$1:B$65536,2,FALSE)</f>
        <v>1</v>
      </c>
      <c r="AE1625" s="12">
        <f>VLOOKUP(C1625,'[1]Phillips 1970 - coles creek'!A$1:B$65536,2,FALSE)</f>
        <v>1</v>
      </c>
      <c r="AF1625" s="12">
        <v>0</v>
      </c>
      <c r="AG1625" s="12">
        <v>0</v>
      </c>
      <c r="AH1625" s="12">
        <v>0</v>
      </c>
      <c r="AI1625" s="12">
        <v>0</v>
      </c>
      <c r="AJ1625" s="12">
        <v>0</v>
      </c>
      <c r="AK1625" s="12">
        <v>0</v>
      </c>
      <c r="AL1625" s="12">
        <v>0</v>
      </c>
      <c r="AM1625" s="12"/>
      <c r="AN1625" s="12">
        <v>0</v>
      </c>
      <c r="AO1625" s="12">
        <v>0</v>
      </c>
      <c r="AP1625" s="12">
        <v>0</v>
      </c>
      <c r="AQ1625" s="12">
        <v>0</v>
      </c>
      <c r="AR1625" s="12">
        <v>0</v>
      </c>
      <c r="AS1625" s="12">
        <v>0</v>
      </c>
      <c r="AT1625" s="12">
        <v>0</v>
      </c>
      <c r="AU1625" s="12">
        <v>0</v>
      </c>
      <c r="AV1625" s="12">
        <v>0</v>
      </c>
      <c r="AW1625" s="12">
        <v>0</v>
      </c>
      <c r="AX1625" s="12">
        <v>0</v>
      </c>
      <c r="AY1625" s="12">
        <v>0</v>
      </c>
      <c r="BB1625" s="12">
        <v>0</v>
      </c>
      <c r="BC1625" s="12">
        <v>0</v>
      </c>
      <c r="BD1625" s="12">
        <v>0</v>
      </c>
      <c r="BE1625" s="12">
        <v>0</v>
      </c>
      <c r="BF1625" s="12">
        <v>0</v>
      </c>
      <c r="BI1625" s="12">
        <v>0</v>
      </c>
      <c r="BJ1625" s="12">
        <v>0</v>
      </c>
    </row>
    <row r="1626" spans="1:62" x14ac:dyDescent="0.15">
      <c r="A1626" s="12" t="s">
        <v>6091</v>
      </c>
      <c r="B1626"/>
      <c r="C1626" s="20" t="s">
        <v>5378</v>
      </c>
      <c r="D1626" t="s">
        <v>4881</v>
      </c>
      <c r="E1626" s="12" t="s">
        <v>7423</v>
      </c>
      <c r="F1626" s="12"/>
      <c r="G1626" s="12"/>
      <c r="H1626" s="12"/>
      <c r="I1626" s="12"/>
      <c r="J1626" s="12"/>
      <c r="K1626" s="12"/>
      <c r="L1626" s="10">
        <v>3609944</v>
      </c>
      <c r="M1626" s="10">
        <v>653248</v>
      </c>
      <c r="N1626" s="12">
        <v>15</v>
      </c>
      <c r="O1626" s="12" t="s">
        <v>6075</v>
      </c>
      <c r="P1626" t="s">
        <v>7428</v>
      </c>
      <c r="Q1626"/>
      <c r="R1626"/>
      <c r="S1626" t="s">
        <v>4881</v>
      </c>
      <c r="T1626" s="12" t="s">
        <v>8372</v>
      </c>
      <c r="U1626" s="12" t="s">
        <v>5017</v>
      </c>
      <c r="V1626" s="12" t="s">
        <v>5019</v>
      </c>
      <c r="W1626" s="12">
        <v>0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1</v>
      </c>
      <c r="AD1626" s="12">
        <v>0</v>
      </c>
      <c r="AE1626" s="12">
        <f>VLOOKUP(C1626,'[1]Phillips 1970 - coles creek'!A$1:B$65536,2,FALSE)</f>
        <v>1</v>
      </c>
      <c r="AF1626" s="12">
        <v>0</v>
      </c>
      <c r="AG1626" s="12">
        <v>0</v>
      </c>
      <c r="AH1626" s="12">
        <v>0</v>
      </c>
      <c r="AI1626" s="12">
        <v>0</v>
      </c>
      <c r="AJ1626" s="12">
        <v>0</v>
      </c>
      <c r="AK1626" s="12">
        <v>0</v>
      </c>
      <c r="AL1626" s="12">
        <v>0</v>
      </c>
      <c r="AM1626" s="12"/>
      <c r="AN1626" s="12">
        <v>0</v>
      </c>
      <c r="AO1626" s="12">
        <v>0</v>
      </c>
      <c r="AP1626" s="12">
        <v>0</v>
      </c>
      <c r="AQ1626" s="12">
        <v>0</v>
      </c>
      <c r="AR1626" s="12">
        <v>0</v>
      </c>
      <c r="AS1626" s="12">
        <v>0</v>
      </c>
      <c r="AT1626" s="12">
        <v>0</v>
      </c>
      <c r="AU1626" s="12">
        <v>0</v>
      </c>
      <c r="AV1626" s="12">
        <v>0</v>
      </c>
      <c r="AW1626" s="12">
        <v>0</v>
      </c>
      <c r="AX1626" s="12">
        <v>0</v>
      </c>
      <c r="AY1626" s="12">
        <v>0</v>
      </c>
      <c r="BB1626" s="12">
        <v>0</v>
      </c>
      <c r="BC1626" s="12">
        <v>0</v>
      </c>
      <c r="BD1626" s="12">
        <v>0</v>
      </c>
      <c r="BE1626" s="12">
        <v>0</v>
      </c>
      <c r="BF1626" s="12">
        <v>0</v>
      </c>
      <c r="BI1626" s="12">
        <v>0</v>
      </c>
      <c r="BJ1626" s="12">
        <v>0</v>
      </c>
    </row>
    <row r="1627" spans="1:62" x14ac:dyDescent="0.15">
      <c r="A1627" s="12" t="s">
        <v>6092</v>
      </c>
      <c r="B1627"/>
      <c r="C1627" s="20" t="s">
        <v>6093</v>
      </c>
      <c r="D1627" t="s">
        <v>4881</v>
      </c>
      <c r="E1627" s="12" t="s">
        <v>7423</v>
      </c>
      <c r="F1627" s="12"/>
      <c r="G1627" s="12"/>
      <c r="H1627" s="12"/>
      <c r="I1627" s="12"/>
      <c r="J1627" s="12"/>
      <c r="K1627" s="12"/>
      <c r="L1627" s="10">
        <v>3643776</v>
      </c>
      <c r="M1627" s="10">
        <v>656832</v>
      </c>
      <c r="N1627" s="12">
        <v>15</v>
      </c>
      <c r="O1627" s="12" t="s">
        <v>6075</v>
      </c>
      <c r="P1627" t="s">
        <v>7428</v>
      </c>
      <c r="Q1627"/>
      <c r="R1627"/>
      <c r="S1627" t="s">
        <v>4881</v>
      </c>
      <c r="T1627" s="12" t="s">
        <v>5017</v>
      </c>
      <c r="U1627" s="12" t="s">
        <v>5017</v>
      </c>
      <c r="V1627" s="12" t="s">
        <v>5017</v>
      </c>
      <c r="W1627" s="12">
        <v>0</v>
      </c>
      <c r="X1627" s="12">
        <v>0</v>
      </c>
      <c r="Y1627" s="12">
        <v>0</v>
      </c>
      <c r="Z1627" s="12">
        <v>0</v>
      </c>
      <c r="AA1627" s="12">
        <v>0</v>
      </c>
      <c r="AB1627" s="12">
        <v>0</v>
      </c>
      <c r="AC1627" s="12">
        <v>1</v>
      </c>
      <c r="AD1627" s="12">
        <v>0</v>
      </c>
      <c r="AE1627" s="12">
        <v>0</v>
      </c>
      <c r="AF1627" s="12">
        <v>0</v>
      </c>
      <c r="AG1627" s="12">
        <v>0</v>
      </c>
      <c r="AH1627" s="12">
        <v>0</v>
      </c>
      <c r="AI1627" s="12">
        <v>0</v>
      </c>
      <c r="AJ1627" s="12">
        <v>0</v>
      </c>
      <c r="AK1627" s="12">
        <v>0</v>
      </c>
      <c r="AL1627" s="12">
        <v>0</v>
      </c>
      <c r="AM1627" s="12"/>
      <c r="AN1627" s="12">
        <v>0</v>
      </c>
      <c r="AO1627" s="12">
        <v>0</v>
      </c>
      <c r="AP1627" s="12">
        <v>0</v>
      </c>
      <c r="AQ1627" s="12">
        <v>0</v>
      </c>
      <c r="AR1627" s="12">
        <v>0</v>
      </c>
      <c r="AS1627" s="12">
        <v>0</v>
      </c>
      <c r="AT1627" s="12">
        <v>0</v>
      </c>
      <c r="AU1627" s="12">
        <v>0</v>
      </c>
      <c r="AV1627" s="12">
        <v>0</v>
      </c>
      <c r="AW1627" s="12">
        <v>0</v>
      </c>
      <c r="AX1627" s="12">
        <v>0</v>
      </c>
      <c r="AY1627" s="12">
        <v>0</v>
      </c>
      <c r="BB1627" s="12">
        <v>0</v>
      </c>
      <c r="BC1627" s="12">
        <v>0</v>
      </c>
      <c r="BD1627" s="12">
        <v>0</v>
      </c>
      <c r="BE1627" s="12">
        <v>0</v>
      </c>
      <c r="BF1627" s="12">
        <v>0</v>
      </c>
      <c r="BI1627" s="12">
        <v>0</v>
      </c>
      <c r="BJ1627" s="12">
        <v>0</v>
      </c>
    </row>
    <row r="1628" spans="1:62" x14ac:dyDescent="0.15">
      <c r="A1628" s="12" t="s">
        <v>6094</v>
      </c>
      <c r="B1628"/>
      <c r="C1628" s="20" t="s">
        <v>6095</v>
      </c>
      <c r="D1628" t="s">
        <v>4881</v>
      </c>
      <c r="E1628" s="12" t="s">
        <v>7423</v>
      </c>
      <c r="F1628" s="12"/>
      <c r="G1628" s="12"/>
      <c r="H1628" s="12"/>
      <c r="I1628" s="12"/>
      <c r="J1628" s="12"/>
      <c r="K1628" s="12"/>
      <c r="L1628" s="10">
        <v>3591120</v>
      </c>
      <c r="M1628" s="10">
        <v>649472</v>
      </c>
      <c r="N1628" s="12">
        <v>15</v>
      </c>
      <c r="O1628" s="12" t="s">
        <v>6075</v>
      </c>
      <c r="P1628" t="s">
        <v>7428</v>
      </c>
      <c r="Q1628"/>
      <c r="R1628"/>
      <c r="S1628" t="s">
        <v>4881</v>
      </c>
      <c r="T1628" s="12" t="s">
        <v>4891</v>
      </c>
      <c r="U1628" s="12" t="s">
        <v>5017</v>
      </c>
      <c r="V1628" s="12" t="s">
        <v>5018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1</v>
      </c>
      <c r="AD1628" s="12">
        <f>VLOOKUP(C1628,'[1]Phillips 1970 - Baytown'!A$1:B$65536,2,FALSE)</f>
        <v>1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2">
        <v>0</v>
      </c>
      <c r="AK1628" s="12">
        <v>0</v>
      </c>
      <c r="AL1628" s="12">
        <v>0</v>
      </c>
      <c r="AM1628" s="12"/>
      <c r="AN1628" s="12">
        <v>0</v>
      </c>
      <c r="AO1628" s="12">
        <v>0</v>
      </c>
      <c r="AP1628" s="12">
        <v>0</v>
      </c>
      <c r="AQ1628" s="12">
        <v>0</v>
      </c>
      <c r="AR1628" s="12">
        <v>0</v>
      </c>
      <c r="AS1628" s="12">
        <v>0</v>
      </c>
      <c r="AT1628" s="12">
        <v>0</v>
      </c>
      <c r="AU1628" s="12">
        <v>0</v>
      </c>
      <c r="AV1628" s="12">
        <v>0</v>
      </c>
      <c r="AW1628" s="12">
        <v>0</v>
      </c>
      <c r="AX1628" s="12">
        <v>0</v>
      </c>
      <c r="AY1628" s="12">
        <v>0</v>
      </c>
      <c r="BB1628" s="12">
        <v>0</v>
      </c>
      <c r="BC1628" s="12">
        <v>0</v>
      </c>
      <c r="BD1628" s="12">
        <v>0</v>
      </c>
      <c r="BE1628" s="12">
        <v>0</v>
      </c>
      <c r="BF1628" s="12">
        <v>0</v>
      </c>
      <c r="BI1628" s="12">
        <v>0</v>
      </c>
      <c r="BJ1628" s="12">
        <v>0</v>
      </c>
    </row>
    <row r="1629" spans="1:62" x14ac:dyDescent="0.15">
      <c r="A1629" s="12" t="s">
        <v>6096</v>
      </c>
      <c r="B1629"/>
      <c r="C1629" s="20" t="s">
        <v>7136</v>
      </c>
      <c r="D1629" t="s">
        <v>4881</v>
      </c>
      <c r="E1629" s="12" t="s">
        <v>7423</v>
      </c>
      <c r="F1629" s="12"/>
      <c r="G1629" s="12"/>
      <c r="H1629" s="12"/>
      <c r="I1629" s="12"/>
      <c r="J1629" s="12"/>
      <c r="K1629" s="12"/>
      <c r="L1629" s="10">
        <v>3579372</v>
      </c>
      <c r="M1629" s="10">
        <v>670152</v>
      </c>
      <c r="N1629" s="12">
        <v>15</v>
      </c>
      <c r="O1629" s="12" t="s">
        <v>4871</v>
      </c>
      <c r="P1629" t="s">
        <v>7428</v>
      </c>
      <c r="Q1629"/>
      <c r="R1629"/>
      <c r="S1629" t="s">
        <v>4881</v>
      </c>
      <c r="T1629" s="12" t="s">
        <v>8372</v>
      </c>
      <c r="U1629" s="12" t="s">
        <v>5017</v>
      </c>
      <c r="V1629" s="12" t="s">
        <v>5019</v>
      </c>
      <c r="W1629" s="12">
        <v>0</v>
      </c>
      <c r="X1629" s="12">
        <v>0</v>
      </c>
      <c r="Y1629" s="12">
        <v>0</v>
      </c>
      <c r="Z1629" s="12">
        <v>0</v>
      </c>
      <c r="AA1629" s="12">
        <v>0</v>
      </c>
      <c r="AB1629" s="12">
        <v>0</v>
      </c>
      <c r="AC1629" s="12">
        <v>1</v>
      </c>
      <c r="AD1629" s="12">
        <v>0</v>
      </c>
      <c r="AE1629" s="12">
        <f>VLOOKUP(C1629,'[1]Phillips 1970 - coles creek'!A$1:B$65536,2,FALSE)</f>
        <v>1</v>
      </c>
      <c r="AF1629" s="12">
        <v>0</v>
      </c>
      <c r="AG1629" s="12">
        <v>0</v>
      </c>
      <c r="AH1629" s="12" t="s">
        <v>8248</v>
      </c>
      <c r="AI1629" s="12">
        <v>1</v>
      </c>
      <c r="AJ1629" s="12">
        <v>1</v>
      </c>
      <c r="AK1629" s="12">
        <v>1</v>
      </c>
      <c r="AL1629" s="12">
        <v>0</v>
      </c>
      <c r="AM1629" s="12"/>
      <c r="AN1629" s="12">
        <v>0</v>
      </c>
      <c r="AO1629" s="12">
        <v>0</v>
      </c>
      <c r="AP1629" s="12">
        <v>0</v>
      </c>
      <c r="AQ1629" s="12">
        <v>0</v>
      </c>
      <c r="AR1629" s="12">
        <v>0</v>
      </c>
      <c r="AS1629" s="12">
        <v>0</v>
      </c>
      <c r="AT1629" s="12">
        <v>1</v>
      </c>
      <c r="AU1629" s="12">
        <v>0</v>
      </c>
      <c r="AV1629" s="12">
        <v>0</v>
      </c>
      <c r="AW1629" s="12">
        <v>0</v>
      </c>
      <c r="AX1629" s="12">
        <v>0</v>
      </c>
      <c r="AY1629" s="12">
        <v>0</v>
      </c>
      <c r="BB1629" s="12">
        <v>0</v>
      </c>
      <c r="BC1629" s="12">
        <v>0</v>
      </c>
      <c r="BD1629" s="12">
        <v>0</v>
      </c>
      <c r="BE1629" s="12">
        <v>0</v>
      </c>
      <c r="BF1629" s="12">
        <v>0</v>
      </c>
      <c r="BI1629" s="12">
        <v>0</v>
      </c>
      <c r="BJ1629" s="12">
        <v>0</v>
      </c>
    </row>
    <row r="1630" spans="1:62" x14ac:dyDescent="0.15">
      <c r="A1630" s="12" t="s">
        <v>6097</v>
      </c>
      <c r="B1630"/>
      <c r="C1630" s="20" t="s">
        <v>6098</v>
      </c>
      <c r="D1630" t="s">
        <v>4881</v>
      </c>
      <c r="E1630" s="12" t="s">
        <v>7423</v>
      </c>
      <c r="F1630" s="12"/>
      <c r="G1630" s="12"/>
      <c r="H1630" s="12"/>
      <c r="I1630" s="12"/>
      <c r="J1630" s="12"/>
      <c r="K1630" s="12"/>
      <c r="L1630" s="10">
        <v>3577476</v>
      </c>
      <c r="M1630" s="10">
        <v>680380</v>
      </c>
      <c r="N1630" s="12">
        <v>15</v>
      </c>
      <c r="O1630" s="12" t="s">
        <v>4871</v>
      </c>
      <c r="P1630" t="s">
        <v>7428</v>
      </c>
      <c r="Q1630"/>
      <c r="R1630"/>
      <c r="S1630" t="s">
        <v>4881</v>
      </c>
      <c r="T1630" s="12" t="s">
        <v>5017</v>
      </c>
      <c r="U1630" s="12" t="s">
        <v>5017</v>
      </c>
      <c r="V1630" s="12" t="s">
        <v>5017</v>
      </c>
      <c r="W1630" s="12">
        <v>0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1</v>
      </c>
      <c r="AD1630" s="12">
        <v>0</v>
      </c>
      <c r="AE1630" s="12">
        <v>0</v>
      </c>
      <c r="AF1630" s="12">
        <v>0</v>
      </c>
      <c r="AG1630" s="12">
        <v>0</v>
      </c>
      <c r="AH1630" s="12" t="s">
        <v>8248</v>
      </c>
      <c r="AI1630" s="12">
        <v>1</v>
      </c>
      <c r="AJ1630" s="12">
        <v>1</v>
      </c>
      <c r="AK1630" s="12">
        <v>1</v>
      </c>
      <c r="AL1630" s="12">
        <v>0</v>
      </c>
      <c r="AM1630" s="12"/>
      <c r="AN1630" s="12">
        <v>0</v>
      </c>
      <c r="AO1630" s="12">
        <v>0</v>
      </c>
      <c r="AP1630" s="12">
        <v>0</v>
      </c>
      <c r="AQ1630" s="12">
        <v>0</v>
      </c>
      <c r="AR1630" s="12">
        <v>0</v>
      </c>
      <c r="AS1630" s="12">
        <v>0</v>
      </c>
      <c r="AT1630" s="12">
        <v>1</v>
      </c>
      <c r="AU1630" s="12">
        <v>0</v>
      </c>
      <c r="AV1630" s="12">
        <v>0</v>
      </c>
      <c r="AW1630" s="12">
        <v>0</v>
      </c>
      <c r="AX1630" s="12">
        <v>0</v>
      </c>
      <c r="AY1630" s="12">
        <v>0</v>
      </c>
      <c r="BB1630" s="12">
        <v>0</v>
      </c>
      <c r="BC1630" s="12">
        <v>0</v>
      </c>
      <c r="BD1630" s="12">
        <v>0</v>
      </c>
      <c r="BE1630" s="12">
        <v>0</v>
      </c>
      <c r="BF1630" s="12">
        <v>0</v>
      </c>
      <c r="BI1630" s="12">
        <v>0</v>
      </c>
      <c r="BJ1630" s="12">
        <v>0</v>
      </c>
    </row>
    <row r="1631" spans="1:62" x14ac:dyDescent="0.15">
      <c r="A1631" s="12" t="s">
        <v>6099</v>
      </c>
      <c r="B1631"/>
      <c r="C1631" s="20" t="s">
        <v>6100</v>
      </c>
      <c r="D1631" t="s">
        <v>4881</v>
      </c>
      <c r="E1631" s="12" t="s">
        <v>7423</v>
      </c>
      <c r="F1631" s="12"/>
      <c r="G1631" s="12"/>
      <c r="H1631" s="12"/>
      <c r="I1631" s="12"/>
      <c r="J1631" s="12"/>
      <c r="K1631" s="12"/>
      <c r="L1631" s="10">
        <v>3573784</v>
      </c>
      <c r="M1631" s="10">
        <v>667704</v>
      </c>
      <c r="N1631" s="12">
        <v>15</v>
      </c>
      <c r="O1631" s="12" t="s">
        <v>6075</v>
      </c>
      <c r="P1631" t="s">
        <v>7428</v>
      </c>
      <c r="Q1631"/>
      <c r="R1631"/>
      <c r="S1631" t="s">
        <v>4881</v>
      </c>
      <c r="T1631" s="12" t="s">
        <v>5017</v>
      </c>
      <c r="U1631" s="12" t="s">
        <v>5017</v>
      </c>
      <c r="V1631" s="12" t="s">
        <v>5017</v>
      </c>
      <c r="W1631" s="12">
        <v>0</v>
      </c>
      <c r="X1631" s="12">
        <v>0</v>
      </c>
      <c r="Y1631" s="12">
        <v>0</v>
      </c>
      <c r="Z1631" s="12">
        <v>0</v>
      </c>
      <c r="AA1631" s="12">
        <v>0</v>
      </c>
      <c r="AB1631" s="12">
        <v>0</v>
      </c>
      <c r="AC1631" s="12">
        <v>1</v>
      </c>
      <c r="AD1631" s="12">
        <v>0</v>
      </c>
      <c r="AE1631" s="12">
        <v>0</v>
      </c>
      <c r="AF1631" s="12">
        <v>0</v>
      </c>
      <c r="AG1631" s="12">
        <v>0</v>
      </c>
      <c r="AH1631" s="12">
        <v>0</v>
      </c>
      <c r="AI1631" s="12">
        <v>0</v>
      </c>
      <c r="AJ1631" s="12">
        <v>0</v>
      </c>
      <c r="AK1631" s="12">
        <v>0</v>
      </c>
      <c r="AL1631" s="12">
        <v>0</v>
      </c>
      <c r="AM1631" s="12"/>
      <c r="AN1631" s="12">
        <v>0</v>
      </c>
      <c r="AO1631" s="12">
        <v>0</v>
      </c>
      <c r="AP1631" s="12">
        <v>0</v>
      </c>
      <c r="AQ1631" s="12">
        <v>0</v>
      </c>
      <c r="AR1631" s="12">
        <v>0</v>
      </c>
      <c r="AS1631" s="12">
        <v>0</v>
      </c>
      <c r="AT1631" s="12">
        <v>0</v>
      </c>
      <c r="AU1631" s="12">
        <v>0</v>
      </c>
      <c r="AV1631" s="12">
        <v>0</v>
      </c>
      <c r="AW1631" s="12">
        <v>0</v>
      </c>
      <c r="AX1631" s="12">
        <v>0</v>
      </c>
      <c r="AY1631" s="12">
        <v>0</v>
      </c>
      <c r="BB1631" s="12">
        <v>0</v>
      </c>
      <c r="BC1631" s="12">
        <v>0</v>
      </c>
      <c r="BD1631" s="12">
        <v>0</v>
      </c>
      <c r="BE1631" s="12">
        <v>0</v>
      </c>
      <c r="BF1631" s="12">
        <v>0</v>
      </c>
      <c r="BI1631" s="12">
        <v>0</v>
      </c>
      <c r="BJ1631" s="12">
        <v>0</v>
      </c>
    </row>
    <row r="1632" spans="1:62" x14ac:dyDescent="0.15">
      <c r="A1632" s="12" t="s">
        <v>6101</v>
      </c>
      <c r="B1632"/>
      <c r="C1632" s="20" t="s">
        <v>6102</v>
      </c>
      <c r="D1632" t="s">
        <v>4881</v>
      </c>
      <c r="E1632" s="12" t="s">
        <v>7423</v>
      </c>
      <c r="F1632" s="12"/>
      <c r="G1632" s="12"/>
      <c r="H1632" s="12"/>
      <c r="I1632" s="12"/>
      <c r="J1632" s="12"/>
      <c r="K1632" s="12"/>
      <c r="L1632" s="10">
        <v>3556384</v>
      </c>
      <c r="M1632" s="10">
        <v>665856</v>
      </c>
      <c r="N1632" s="12">
        <v>15</v>
      </c>
      <c r="O1632" s="12" t="s">
        <v>4871</v>
      </c>
      <c r="P1632" t="s">
        <v>7428</v>
      </c>
      <c r="Q1632"/>
      <c r="R1632"/>
      <c r="S1632" t="s">
        <v>6103</v>
      </c>
      <c r="T1632" s="12" t="s">
        <v>4784</v>
      </c>
      <c r="U1632" s="12" t="s">
        <v>5017</v>
      </c>
      <c r="V1632" s="12" t="s">
        <v>5021</v>
      </c>
      <c r="W1632" s="12">
        <v>0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1</v>
      </c>
      <c r="AD1632" s="12">
        <v>0</v>
      </c>
      <c r="AE1632" s="12">
        <f>VLOOKUP(C1632,'[1]Phillips 1970 - coles creek'!A$1:B$65536,2,FALSE)</f>
        <v>1</v>
      </c>
      <c r="AF1632" s="12">
        <f>VLOOKUP(C1632,'[1]Phillips 1970 - Miss.'!A$1:B$65536,2,FALSE)</f>
        <v>1</v>
      </c>
      <c r="AG1632" s="12">
        <v>1</v>
      </c>
      <c r="AH1632" s="12">
        <v>3</v>
      </c>
      <c r="AI1632" s="12">
        <v>3</v>
      </c>
      <c r="AJ1632" s="12">
        <v>1</v>
      </c>
      <c r="AK1632" s="12">
        <v>1</v>
      </c>
      <c r="AL1632" s="12">
        <v>1</v>
      </c>
      <c r="AM1632" s="12"/>
      <c r="AN1632" s="12">
        <v>0</v>
      </c>
      <c r="AO1632" s="12">
        <v>0</v>
      </c>
      <c r="AP1632" s="12">
        <v>0</v>
      </c>
      <c r="AQ1632" s="12">
        <v>1</v>
      </c>
      <c r="AR1632" s="12">
        <v>2</v>
      </c>
      <c r="AS1632" s="12">
        <v>0</v>
      </c>
      <c r="AT1632" s="12">
        <v>0</v>
      </c>
      <c r="AU1632" s="12">
        <v>0</v>
      </c>
      <c r="AV1632" s="12">
        <v>0</v>
      </c>
      <c r="AW1632" s="12">
        <v>0</v>
      </c>
      <c r="AX1632" s="12">
        <v>0</v>
      </c>
      <c r="AY1632" s="12">
        <v>0</v>
      </c>
      <c r="BB1632" s="12">
        <v>0</v>
      </c>
      <c r="BC1632" s="12">
        <v>0</v>
      </c>
      <c r="BD1632" s="12">
        <v>0</v>
      </c>
      <c r="BE1632" s="12">
        <v>0</v>
      </c>
      <c r="BF1632" s="12">
        <v>0</v>
      </c>
      <c r="BI1632" s="12">
        <v>0</v>
      </c>
      <c r="BJ1632" s="12">
        <v>0</v>
      </c>
    </row>
    <row r="1633" spans="1:62" x14ac:dyDescent="0.15">
      <c r="A1633" s="12" t="s">
        <v>6104</v>
      </c>
      <c r="B1633"/>
      <c r="C1633" s="20" t="s">
        <v>6105</v>
      </c>
      <c r="D1633" t="s">
        <v>4881</v>
      </c>
      <c r="E1633" s="12" t="s">
        <v>7423</v>
      </c>
      <c r="F1633" s="12"/>
      <c r="G1633" s="12"/>
      <c r="H1633" s="12"/>
      <c r="I1633" s="12"/>
      <c r="J1633" s="12"/>
      <c r="K1633" s="12"/>
      <c r="L1633" s="10">
        <v>3554376</v>
      </c>
      <c r="M1633" s="10">
        <v>692720</v>
      </c>
      <c r="N1633" s="12">
        <v>15</v>
      </c>
      <c r="O1633" s="12" t="s">
        <v>6992</v>
      </c>
      <c r="P1633" t="s">
        <v>6106</v>
      </c>
      <c r="Q1633"/>
      <c r="R1633"/>
      <c r="S1633" t="s">
        <v>6107</v>
      </c>
      <c r="T1633" s="12" t="s">
        <v>5017</v>
      </c>
      <c r="U1633" s="12" t="s">
        <v>5017</v>
      </c>
      <c r="V1633" s="12" t="s">
        <v>5021</v>
      </c>
      <c r="W1633" s="12">
        <v>0</v>
      </c>
      <c r="X1633" s="12">
        <v>0</v>
      </c>
      <c r="Y1633" s="12">
        <v>0</v>
      </c>
      <c r="Z1633" s="12">
        <v>0</v>
      </c>
      <c r="AA1633" s="12">
        <v>0</v>
      </c>
      <c r="AB1633" s="12">
        <v>0</v>
      </c>
      <c r="AC1633" s="12">
        <v>1</v>
      </c>
      <c r="AD1633" s="12">
        <v>1</v>
      </c>
      <c r="AE1633" s="12">
        <v>1</v>
      </c>
      <c r="AF1633" s="12">
        <v>1</v>
      </c>
      <c r="AG1633" s="12">
        <v>1</v>
      </c>
      <c r="AH1633" s="12">
        <v>0</v>
      </c>
      <c r="AI1633" s="12">
        <v>0</v>
      </c>
      <c r="AJ1633" s="12">
        <v>0</v>
      </c>
      <c r="AK1633" s="12">
        <v>0</v>
      </c>
      <c r="AL1633" s="12">
        <v>0</v>
      </c>
      <c r="AM1633" s="12"/>
      <c r="AN1633" s="12">
        <v>0</v>
      </c>
      <c r="AO1633" s="12">
        <v>0</v>
      </c>
      <c r="AP1633" s="12">
        <v>0</v>
      </c>
      <c r="AQ1633" s="12">
        <v>0</v>
      </c>
      <c r="AR1633" s="12">
        <v>0</v>
      </c>
      <c r="AS1633" s="12">
        <v>0</v>
      </c>
      <c r="AT1633" s="12">
        <v>0</v>
      </c>
      <c r="AU1633" s="12">
        <v>0</v>
      </c>
      <c r="AV1633" s="12">
        <v>0</v>
      </c>
      <c r="AW1633" s="12">
        <v>0</v>
      </c>
      <c r="AX1633" s="12">
        <v>0</v>
      </c>
      <c r="AY1633" s="12">
        <v>0</v>
      </c>
      <c r="BB1633" s="12">
        <v>0</v>
      </c>
      <c r="BC1633" s="12">
        <v>0</v>
      </c>
      <c r="BD1633" s="12">
        <v>0</v>
      </c>
      <c r="BE1633" s="12">
        <v>0</v>
      </c>
      <c r="BF1633" s="12">
        <v>0</v>
      </c>
      <c r="BI1633" s="12">
        <v>0</v>
      </c>
      <c r="BJ1633" s="12">
        <v>0</v>
      </c>
    </row>
    <row r="1634" spans="1:62" x14ac:dyDescent="0.15">
      <c r="A1634" s="12" t="s">
        <v>6108</v>
      </c>
      <c r="B1634"/>
      <c r="C1634" s="20" t="s">
        <v>6109</v>
      </c>
      <c r="D1634" t="s">
        <v>4881</v>
      </c>
      <c r="E1634" s="12" t="s">
        <v>7423</v>
      </c>
      <c r="F1634" s="12"/>
      <c r="G1634" s="12"/>
      <c r="H1634" s="12"/>
      <c r="I1634" s="12"/>
      <c r="J1634" s="12"/>
      <c r="K1634" s="12"/>
      <c r="L1634" s="10">
        <v>3484444</v>
      </c>
      <c r="M1634" s="10">
        <v>586512</v>
      </c>
      <c r="N1634" s="12">
        <v>15</v>
      </c>
      <c r="O1634" s="12" t="s">
        <v>6992</v>
      </c>
      <c r="P1634" t="s">
        <v>7428</v>
      </c>
      <c r="Q1634"/>
      <c r="R1634"/>
      <c r="S1634" t="s">
        <v>4881</v>
      </c>
      <c r="T1634" s="12" t="s">
        <v>4784</v>
      </c>
      <c r="U1634" s="12" t="s">
        <v>5017</v>
      </c>
      <c r="V1634" s="12" t="s">
        <v>5021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1</v>
      </c>
      <c r="AD1634" s="12">
        <v>0</v>
      </c>
      <c r="AE1634" s="12">
        <f>VLOOKUP(C1634,'[1]Phillips 1970 - coles creek'!A$1:B$65536,2,FALSE)</f>
        <v>1</v>
      </c>
      <c r="AF1634" s="12">
        <f>VLOOKUP(C1634,'[1]Phillips 1970 - Miss.'!A$1:B$65536,2,FALSE)</f>
        <v>1</v>
      </c>
      <c r="AG1634" s="12">
        <v>1</v>
      </c>
      <c r="AH1634" s="12">
        <v>0</v>
      </c>
      <c r="AI1634" s="12">
        <v>0</v>
      </c>
      <c r="AJ1634" s="12">
        <v>0</v>
      </c>
      <c r="AK1634" s="12">
        <v>0</v>
      </c>
      <c r="AL1634" s="12">
        <v>0</v>
      </c>
      <c r="AM1634" s="12"/>
      <c r="AN1634" s="12">
        <v>0</v>
      </c>
      <c r="AO1634" s="12">
        <v>0</v>
      </c>
      <c r="AP1634" s="12">
        <v>0</v>
      </c>
      <c r="AQ1634" s="12">
        <v>0</v>
      </c>
      <c r="AR1634" s="12">
        <v>0</v>
      </c>
      <c r="AS1634" s="12">
        <v>0</v>
      </c>
      <c r="AT1634" s="12">
        <v>0</v>
      </c>
      <c r="AU1634" s="12">
        <v>0</v>
      </c>
      <c r="AV1634" s="12">
        <v>0</v>
      </c>
      <c r="AW1634" s="12">
        <v>0</v>
      </c>
      <c r="AX1634" s="12">
        <v>0</v>
      </c>
      <c r="AY1634" s="12">
        <v>0</v>
      </c>
      <c r="BB1634" s="12">
        <v>0</v>
      </c>
      <c r="BC1634" s="12">
        <v>0</v>
      </c>
      <c r="BD1634" s="12">
        <v>0</v>
      </c>
      <c r="BE1634" s="12">
        <v>0</v>
      </c>
      <c r="BF1634" s="12">
        <v>0</v>
      </c>
      <c r="BI1634" s="12">
        <v>0</v>
      </c>
      <c r="BJ1634" s="12">
        <v>0</v>
      </c>
    </row>
    <row r="1635" spans="1:62" x14ac:dyDescent="0.15">
      <c r="A1635" s="12" t="s">
        <v>6110</v>
      </c>
      <c r="B1635"/>
      <c r="C1635" s="20" t="s">
        <v>6111</v>
      </c>
      <c r="D1635" t="s">
        <v>4881</v>
      </c>
      <c r="E1635" s="12" t="s">
        <v>7423</v>
      </c>
      <c r="F1635" s="12"/>
      <c r="G1635" s="12"/>
      <c r="H1635" s="12"/>
      <c r="I1635" s="12"/>
      <c r="J1635" s="12"/>
      <c r="K1635" s="12"/>
      <c r="L1635" s="10">
        <v>3450288</v>
      </c>
      <c r="M1635" s="10">
        <v>588752</v>
      </c>
      <c r="N1635" s="12">
        <v>15</v>
      </c>
      <c r="O1635" s="12" t="s">
        <v>6075</v>
      </c>
      <c r="P1635" t="s">
        <v>7428</v>
      </c>
      <c r="Q1635"/>
      <c r="R1635"/>
      <c r="S1635" t="s">
        <v>4881</v>
      </c>
      <c r="T1635" s="12" t="s">
        <v>4784</v>
      </c>
      <c r="U1635" s="12" t="s">
        <v>5017</v>
      </c>
      <c r="V1635" s="12" t="s">
        <v>5021</v>
      </c>
      <c r="W1635" s="12">
        <v>0</v>
      </c>
      <c r="X1635" s="12">
        <v>0</v>
      </c>
      <c r="Y1635" s="12">
        <v>0</v>
      </c>
      <c r="Z1635" s="12">
        <v>0</v>
      </c>
      <c r="AA1635" s="12">
        <v>0</v>
      </c>
      <c r="AB1635" s="12">
        <v>0</v>
      </c>
      <c r="AC1635" s="12">
        <v>1</v>
      </c>
      <c r="AD1635" s="12">
        <v>0</v>
      </c>
      <c r="AE1635" s="12">
        <f>VLOOKUP(C1635,'[1]Phillips 1970 - coles creek'!A$1:B$65536,2,FALSE)</f>
        <v>1</v>
      </c>
      <c r="AF1635" s="12">
        <f>VLOOKUP(C1635,'[1]Phillips 1970 - Miss.'!A$1:B$65536,2,FALSE)</f>
        <v>1</v>
      </c>
      <c r="AG1635" s="12">
        <v>1</v>
      </c>
      <c r="AH1635" s="12">
        <v>0</v>
      </c>
      <c r="AI1635" s="12">
        <v>0</v>
      </c>
      <c r="AJ1635" s="12">
        <v>0</v>
      </c>
      <c r="AK1635" s="12">
        <v>0</v>
      </c>
      <c r="AL1635" s="12">
        <v>0</v>
      </c>
      <c r="AM1635" s="12"/>
      <c r="AN1635" s="12">
        <v>0</v>
      </c>
      <c r="AO1635" s="12">
        <v>0</v>
      </c>
      <c r="AP1635" s="12">
        <v>0</v>
      </c>
      <c r="AQ1635" s="12">
        <v>0</v>
      </c>
      <c r="AR1635" s="12">
        <v>0</v>
      </c>
      <c r="AS1635" s="12">
        <v>0</v>
      </c>
      <c r="AT1635" s="12">
        <v>0</v>
      </c>
      <c r="AU1635" s="12">
        <v>0</v>
      </c>
      <c r="AV1635" s="12">
        <v>0</v>
      </c>
      <c r="AW1635" s="12">
        <v>0</v>
      </c>
      <c r="AX1635" s="12">
        <v>0</v>
      </c>
      <c r="AY1635" s="12">
        <v>0</v>
      </c>
      <c r="BB1635" s="12">
        <v>0</v>
      </c>
      <c r="BC1635" s="12">
        <v>0</v>
      </c>
      <c r="BD1635" s="12">
        <v>0</v>
      </c>
      <c r="BE1635" s="12">
        <v>0</v>
      </c>
      <c r="BF1635" s="12">
        <v>0</v>
      </c>
      <c r="BI1635" s="12">
        <v>0</v>
      </c>
      <c r="BJ1635" s="12">
        <v>0</v>
      </c>
    </row>
    <row r="1636" spans="1:62" x14ac:dyDescent="0.15">
      <c r="A1636" s="12" t="s">
        <v>5841</v>
      </c>
      <c r="B1636"/>
      <c r="C1636" s="20" t="s">
        <v>5842</v>
      </c>
      <c r="D1636" t="s">
        <v>4881</v>
      </c>
      <c r="E1636" s="12" t="s">
        <v>7423</v>
      </c>
      <c r="F1636" s="12"/>
      <c r="G1636" s="12"/>
      <c r="H1636" s="12"/>
      <c r="I1636" s="12"/>
      <c r="J1636" s="12"/>
      <c r="K1636" s="12"/>
      <c r="L1636" s="10">
        <v>3444116</v>
      </c>
      <c r="M1636" s="10">
        <v>578912</v>
      </c>
      <c r="N1636" s="12">
        <v>15</v>
      </c>
      <c r="O1636" s="12" t="s">
        <v>6075</v>
      </c>
      <c r="P1636" t="s">
        <v>7428</v>
      </c>
      <c r="Q1636"/>
      <c r="R1636"/>
      <c r="S1636" t="s">
        <v>5843</v>
      </c>
      <c r="T1636" s="12" t="s">
        <v>4784</v>
      </c>
      <c r="U1636" s="12" t="s">
        <v>5017</v>
      </c>
      <c r="V1636" s="12" t="s">
        <v>5021</v>
      </c>
      <c r="W1636" s="12">
        <v>0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2">
        <v>1</v>
      </c>
      <c r="AD1636" s="12">
        <f>VLOOKUP(C1636,'[1]Phillips 1970 - Baytown'!A$1:B$65536,2,FALSE)</f>
        <v>1</v>
      </c>
      <c r="AE1636" s="12">
        <f>VLOOKUP(C1636,'[1]Phillips 1970 - coles creek'!A$1:B$65536,2,FALSE)</f>
        <v>1</v>
      </c>
      <c r="AF1636" s="12">
        <f>VLOOKUP(C1636,'[1]Phillips 1970 - Miss.'!A$1:B$65536,2,FALSE)</f>
        <v>1</v>
      </c>
      <c r="AG1636" s="12">
        <v>1</v>
      </c>
      <c r="AH1636" s="12">
        <v>0</v>
      </c>
      <c r="AI1636" s="12">
        <v>0</v>
      </c>
      <c r="AJ1636" s="12">
        <v>0</v>
      </c>
      <c r="AK1636" s="12">
        <v>0</v>
      </c>
      <c r="AL1636" s="12">
        <v>0</v>
      </c>
      <c r="AM1636" s="12"/>
      <c r="AN1636" s="12">
        <v>0</v>
      </c>
      <c r="AO1636" s="12">
        <v>0</v>
      </c>
      <c r="AP1636" s="12">
        <v>0</v>
      </c>
      <c r="AQ1636" s="12">
        <v>0</v>
      </c>
      <c r="AR1636" s="12">
        <v>0</v>
      </c>
      <c r="AS1636" s="12">
        <v>0</v>
      </c>
      <c r="AT1636" s="12">
        <v>0</v>
      </c>
      <c r="AU1636" s="12">
        <v>0</v>
      </c>
      <c r="AV1636" s="12">
        <v>0</v>
      </c>
      <c r="AW1636" s="12">
        <v>0</v>
      </c>
      <c r="AX1636" s="12">
        <v>0</v>
      </c>
      <c r="AY1636" s="12">
        <v>0</v>
      </c>
      <c r="BB1636" s="12">
        <v>0</v>
      </c>
      <c r="BC1636" s="12">
        <v>0</v>
      </c>
      <c r="BD1636" s="12">
        <v>0</v>
      </c>
      <c r="BE1636" s="12">
        <v>0</v>
      </c>
      <c r="BF1636" s="12">
        <v>0</v>
      </c>
      <c r="BI1636" s="12">
        <v>0</v>
      </c>
      <c r="BJ1636" s="12">
        <v>0</v>
      </c>
    </row>
    <row r="1637" spans="1:62" x14ac:dyDescent="0.15">
      <c r="A1637" s="12" t="s">
        <v>5844</v>
      </c>
      <c r="B1637" t="s">
        <v>5845</v>
      </c>
      <c r="C1637" s="20" t="s">
        <v>5846</v>
      </c>
      <c r="D1637" t="s">
        <v>4881</v>
      </c>
      <c r="E1637" s="12" t="s">
        <v>7423</v>
      </c>
      <c r="F1637" s="12"/>
      <c r="G1637" s="12"/>
      <c r="H1637" s="12"/>
      <c r="I1637" s="12"/>
      <c r="J1637" s="12"/>
      <c r="K1637" s="12"/>
      <c r="L1637" s="10">
        <v>3440842</v>
      </c>
      <c r="M1637" s="10">
        <v>591708</v>
      </c>
      <c r="N1637" s="12">
        <v>15</v>
      </c>
      <c r="O1637" s="12" t="s">
        <v>6992</v>
      </c>
      <c r="P1637" t="s">
        <v>7428</v>
      </c>
      <c r="Q1637"/>
      <c r="R1637"/>
      <c r="S1637" t="s">
        <v>5847</v>
      </c>
      <c r="T1637" s="12" t="s">
        <v>4784</v>
      </c>
      <c r="U1637" s="12" t="s">
        <v>5017</v>
      </c>
      <c r="V1637" s="12" t="s">
        <v>5021</v>
      </c>
      <c r="W1637" s="12">
        <v>0</v>
      </c>
      <c r="X1637" s="12">
        <v>0</v>
      </c>
      <c r="Y1637" s="12">
        <v>0</v>
      </c>
      <c r="Z1637" s="12">
        <v>0</v>
      </c>
      <c r="AA1637" s="12">
        <v>0</v>
      </c>
      <c r="AB1637" s="12">
        <v>0</v>
      </c>
      <c r="AC1637" s="12">
        <v>1</v>
      </c>
      <c r="AD1637" s="12">
        <v>0</v>
      </c>
      <c r="AE1637" s="12">
        <f>VLOOKUP(C1637,'[1]Phillips 1970 - coles creek'!A$1:B$65536,2,FALSE)</f>
        <v>1</v>
      </c>
      <c r="AF1637" s="12">
        <f>VLOOKUP(C1637,'[1]Phillips 1970 - Miss.'!A$1:B$65536,2,FALSE)</f>
        <v>1</v>
      </c>
      <c r="AG1637" s="12">
        <v>1</v>
      </c>
      <c r="AH1637" s="12">
        <v>0</v>
      </c>
      <c r="AI1637" s="12">
        <v>0</v>
      </c>
      <c r="AJ1637" s="12">
        <v>0</v>
      </c>
      <c r="AK1637" s="12">
        <v>0</v>
      </c>
      <c r="AL1637" s="12">
        <v>0</v>
      </c>
      <c r="AM1637" s="12"/>
      <c r="AN1637" s="12">
        <v>0</v>
      </c>
      <c r="AO1637" s="12">
        <v>0</v>
      </c>
      <c r="AP1637" s="12">
        <v>0</v>
      </c>
      <c r="AQ1637" s="12">
        <v>0</v>
      </c>
      <c r="AR1637" s="12">
        <v>0</v>
      </c>
      <c r="AS1637" s="12">
        <v>0</v>
      </c>
      <c r="AT1637" s="12">
        <v>0</v>
      </c>
      <c r="AU1637" s="12">
        <v>0</v>
      </c>
      <c r="AV1637" s="12">
        <v>0</v>
      </c>
      <c r="AW1637" s="12">
        <v>0</v>
      </c>
      <c r="AX1637" s="12">
        <v>0</v>
      </c>
      <c r="AY1637" s="12">
        <v>0</v>
      </c>
      <c r="BB1637" s="12">
        <v>0</v>
      </c>
      <c r="BC1637" s="12">
        <v>0</v>
      </c>
      <c r="BD1637" s="12">
        <v>0</v>
      </c>
      <c r="BE1637" s="12">
        <v>0</v>
      </c>
      <c r="BF1637" s="12">
        <v>0</v>
      </c>
      <c r="BI1637" s="12">
        <v>0</v>
      </c>
      <c r="BJ1637" s="12">
        <v>0</v>
      </c>
    </row>
    <row r="1638" spans="1:62" x14ac:dyDescent="0.15">
      <c r="A1638" s="12" t="s">
        <v>5848</v>
      </c>
      <c r="B1638"/>
      <c r="C1638" s="20" t="s">
        <v>5849</v>
      </c>
      <c r="D1638" t="s">
        <v>4881</v>
      </c>
      <c r="E1638" s="12" t="s">
        <v>5850</v>
      </c>
      <c r="F1638" s="12"/>
      <c r="G1638" s="12"/>
      <c r="H1638" s="12"/>
      <c r="I1638" s="12"/>
      <c r="J1638" s="12"/>
      <c r="K1638" s="12"/>
      <c r="L1638" s="10">
        <v>3501412</v>
      </c>
      <c r="M1638" s="10">
        <v>666220</v>
      </c>
      <c r="N1638" s="12">
        <v>15</v>
      </c>
      <c r="O1638" s="12" t="s">
        <v>4871</v>
      </c>
      <c r="P1638" t="s">
        <v>8887</v>
      </c>
      <c r="Q1638"/>
      <c r="R1638"/>
      <c r="S1638" t="s">
        <v>8649</v>
      </c>
      <c r="T1638" s="12" t="s">
        <v>4875</v>
      </c>
      <c r="U1638" s="12" t="s">
        <v>5020</v>
      </c>
      <c r="V1638" s="12" t="s">
        <v>5021</v>
      </c>
      <c r="W1638" s="12">
        <v>0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1</v>
      </c>
      <c r="AG1638" s="12">
        <v>1</v>
      </c>
      <c r="AH1638" s="12">
        <v>8</v>
      </c>
      <c r="AI1638" s="12">
        <v>4</v>
      </c>
      <c r="AJ1638" s="12">
        <v>1</v>
      </c>
      <c r="AK1638" s="12">
        <v>1</v>
      </c>
      <c r="AL1638" s="12">
        <v>1</v>
      </c>
      <c r="AM1638" s="12"/>
      <c r="AN1638" s="12">
        <v>1</v>
      </c>
      <c r="AO1638" s="12">
        <v>0</v>
      </c>
      <c r="AP1638" s="12">
        <v>0</v>
      </c>
      <c r="AQ1638" s="12">
        <v>1</v>
      </c>
      <c r="AR1638" s="12">
        <v>1</v>
      </c>
      <c r="AS1638" s="12">
        <v>0</v>
      </c>
      <c r="AT1638" s="12">
        <v>1</v>
      </c>
      <c r="AU1638" s="12">
        <v>0</v>
      </c>
      <c r="AV1638" s="12">
        <v>0</v>
      </c>
      <c r="AW1638" s="12">
        <v>1</v>
      </c>
      <c r="AX1638" s="12">
        <v>0</v>
      </c>
      <c r="AY1638" s="12">
        <v>0</v>
      </c>
      <c r="AZ1638" s="12" t="s">
        <v>4843</v>
      </c>
      <c r="BA1638" s="12" t="s">
        <v>4911</v>
      </c>
      <c r="BB1638" s="12">
        <v>0</v>
      </c>
      <c r="BC1638" s="12">
        <v>0</v>
      </c>
      <c r="BD1638" s="12">
        <v>0</v>
      </c>
      <c r="BE1638" s="12">
        <v>0</v>
      </c>
      <c r="BF1638" s="12">
        <v>0</v>
      </c>
      <c r="BI1638" s="12">
        <v>0</v>
      </c>
      <c r="BJ1638" s="12">
        <v>0</v>
      </c>
    </row>
    <row r="1639" spans="1:62" x14ac:dyDescent="0.15">
      <c r="A1639" s="12" t="s">
        <v>8650</v>
      </c>
      <c r="B1639"/>
      <c r="C1639" s="20" t="s">
        <v>8651</v>
      </c>
      <c r="D1639" t="s">
        <v>4881</v>
      </c>
      <c r="E1639" s="12" t="s">
        <v>5850</v>
      </c>
      <c r="F1639" s="12"/>
      <c r="G1639" s="12"/>
      <c r="H1639" s="12"/>
      <c r="I1639" s="12"/>
      <c r="J1639" s="12"/>
      <c r="K1639" s="12"/>
      <c r="L1639" s="10">
        <v>3496984</v>
      </c>
      <c r="M1639" s="10">
        <v>658504</v>
      </c>
      <c r="N1639" s="12">
        <v>15</v>
      </c>
      <c r="O1639" s="12" t="s">
        <v>4871</v>
      </c>
      <c r="P1639" t="s">
        <v>8652</v>
      </c>
      <c r="Q1639"/>
      <c r="R1639"/>
      <c r="S1639" t="s">
        <v>8653</v>
      </c>
      <c r="T1639" s="12" t="s">
        <v>4875</v>
      </c>
      <c r="U1639" s="12" t="s">
        <v>5020</v>
      </c>
      <c r="V1639" s="12" t="s">
        <v>5021</v>
      </c>
      <c r="W1639" s="12">
        <v>0</v>
      </c>
      <c r="X1639" s="12">
        <v>0</v>
      </c>
      <c r="Y1639" s="12">
        <v>0</v>
      </c>
      <c r="Z1639" s="12">
        <v>0</v>
      </c>
      <c r="AA1639" s="12">
        <v>0</v>
      </c>
      <c r="AB1639" s="12">
        <v>0</v>
      </c>
      <c r="AC1639" s="12">
        <v>0</v>
      </c>
      <c r="AD1639" s="12">
        <v>0</v>
      </c>
      <c r="AE1639" s="12">
        <v>0</v>
      </c>
      <c r="AF1639" s="12">
        <v>1</v>
      </c>
      <c r="AG1639" s="12">
        <v>1</v>
      </c>
      <c r="AH1639" s="12">
        <v>2</v>
      </c>
      <c r="AI1639" s="12">
        <v>2</v>
      </c>
      <c r="AJ1639" s="12">
        <v>1</v>
      </c>
      <c r="AK1639" s="12">
        <v>1</v>
      </c>
      <c r="AL1639" s="12">
        <v>1</v>
      </c>
      <c r="AM1639" s="12"/>
      <c r="AN1639" s="12">
        <v>1</v>
      </c>
      <c r="AO1639" s="12">
        <v>0</v>
      </c>
      <c r="AP1639" s="12">
        <v>0</v>
      </c>
      <c r="AQ1639" s="12">
        <v>1</v>
      </c>
      <c r="AR1639" s="12">
        <v>0</v>
      </c>
      <c r="AS1639" s="12">
        <v>0</v>
      </c>
      <c r="AT1639" s="12">
        <v>0</v>
      </c>
      <c r="AU1639" s="12">
        <v>0</v>
      </c>
      <c r="AV1639" s="12">
        <v>0</v>
      </c>
      <c r="AW1639" s="12">
        <v>0</v>
      </c>
      <c r="AX1639" s="12">
        <v>0</v>
      </c>
      <c r="AY1639" s="12">
        <v>0</v>
      </c>
      <c r="BB1639" s="12">
        <v>0</v>
      </c>
      <c r="BC1639" s="12">
        <v>0</v>
      </c>
      <c r="BD1639" s="12">
        <v>0</v>
      </c>
      <c r="BE1639" s="12">
        <v>0</v>
      </c>
      <c r="BF1639" s="12">
        <v>0</v>
      </c>
      <c r="BI1639" s="12">
        <v>0</v>
      </c>
      <c r="BJ1639" s="12">
        <v>0</v>
      </c>
    </row>
    <row r="1640" spans="1:62" x14ac:dyDescent="0.15">
      <c r="A1640" s="12" t="s">
        <v>8654</v>
      </c>
      <c r="B1640"/>
      <c r="C1640" s="20" t="s">
        <v>8655</v>
      </c>
      <c r="D1640" t="s">
        <v>8653</v>
      </c>
      <c r="E1640" s="12" t="s">
        <v>5850</v>
      </c>
      <c r="F1640" s="12"/>
      <c r="G1640" s="12"/>
      <c r="H1640" s="12"/>
      <c r="I1640" s="12"/>
      <c r="J1640" s="12"/>
      <c r="K1640" s="12"/>
      <c r="L1640" s="10">
        <v>3535968</v>
      </c>
      <c r="M1640" s="10">
        <v>677024</v>
      </c>
      <c r="N1640" s="12">
        <v>15</v>
      </c>
      <c r="O1640" s="12" t="s">
        <v>4871</v>
      </c>
      <c r="P1640" t="s">
        <v>8656</v>
      </c>
      <c r="Q1640"/>
      <c r="R1640"/>
      <c r="S1640" t="s">
        <v>8657</v>
      </c>
      <c r="T1640" s="12" t="s">
        <v>4875</v>
      </c>
      <c r="U1640" s="12" t="s">
        <v>5020</v>
      </c>
      <c r="V1640" s="12" t="s">
        <v>5021</v>
      </c>
      <c r="W1640" s="12">
        <v>0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1</v>
      </c>
      <c r="AG1640" s="12">
        <v>1</v>
      </c>
      <c r="AH1640" s="12">
        <v>4</v>
      </c>
      <c r="AI1640" s="12">
        <v>4</v>
      </c>
      <c r="AJ1640" s="12">
        <v>1</v>
      </c>
      <c r="AK1640" s="12">
        <v>1</v>
      </c>
      <c r="AL1640" s="12">
        <v>1</v>
      </c>
      <c r="AM1640" s="12"/>
      <c r="AN1640" s="12">
        <v>1</v>
      </c>
      <c r="AO1640" s="12">
        <v>0</v>
      </c>
      <c r="AP1640" s="12">
        <v>0</v>
      </c>
      <c r="AQ1640" s="12">
        <v>1</v>
      </c>
      <c r="AR1640" s="12">
        <v>1</v>
      </c>
      <c r="AS1640" s="12">
        <v>0</v>
      </c>
      <c r="AT1640" s="12">
        <v>0</v>
      </c>
      <c r="AU1640" s="12">
        <v>0</v>
      </c>
      <c r="AV1640" s="12">
        <v>0</v>
      </c>
      <c r="AW1640" s="12">
        <v>0</v>
      </c>
      <c r="AX1640" s="12">
        <v>0</v>
      </c>
      <c r="AY1640" s="12">
        <v>0</v>
      </c>
      <c r="BB1640" s="12">
        <v>1</v>
      </c>
      <c r="BC1640" s="12">
        <v>0</v>
      </c>
      <c r="BD1640" s="12">
        <v>0</v>
      </c>
      <c r="BE1640" s="12">
        <v>0</v>
      </c>
      <c r="BF1640" s="12">
        <v>0</v>
      </c>
      <c r="BI1640" s="12">
        <v>0</v>
      </c>
      <c r="BJ1640" s="12">
        <v>0</v>
      </c>
    </row>
    <row r="1641" spans="1:62" x14ac:dyDescent="0.15">
      <c r="A1641" s="12" t="s">
        <v>8658</v>
      </c>
      <c r="B1641"/>
      <c r="C1641" s="20" t="s">
        <v>8659</v>
      </c>
      <c r="D1641" t="s">
        <v>8653</v>
      </c>
      <c r="E1641" s="12" t="s">
        <v>5850</v>
      </c>
      <c r="F1641" s="12"/>
      <c r="G1641" s="12"/>
      <c r="H1641" s="12"/>
      <c r="I1641" s="12"/>
      <c r="J1641" s="12"/>
      <c r="K1641" s="12"/>
      <c r="L1641" s="10">
        <v>3524608</v>
      </c>
      <c r="M1641" s="10">
        <v>670592</v>
      </c>
      <c r="N1641" s="12">
        <v>15</v>
      </c>
      <c r="O1641" s="12" t="s">
        <v>6992</v>
      </c>
      <c r="P1641" t="s">
        <v>8660</v>
      </c>
      <c r="Q1641"/>
      <c r="R1641"/>
      <c r="S1641" t="s">
        <v>8661</v>
      </c>
      <c r="T1641" s="12" t="s">
        <v>4875</v>
      </c>
      <c r="U1641" s="12" t="s">
        <v>5020</v>
      </c>
      <c r="V1641" s="12" t="s">
        <v>5021</v>
      </c>
      <c r="W1641" s="12">
        <v>0</v>
      </c>
      <c r="X1641" s="12">
        <v>0</v>
      </c>
      <c r="Y1641" s="12">
        <v>0</v>
      </c>
      <c r="Z1641" s="12">
        <v>0</v>
      </c>
      <c r="AA1641" s="12">
        <v>0</v>
      </c>
      <c r="AB1641" s="12">
        <v>0</v>
      </c>
      <c r="AC1641" s="12">
        <v>0</v>
      </c>
      <c r="AD1641" s="12">
        <v>0</v>
      </c>
      <c r="AE1641" s="12">
        <v>0</v>
      </c>
      <c r="AF1641" s="12">
        <v>1</v>
      </c>
      <c r="AG1641" s="12">
        <v>1</v>
      </c>
      <c r="AH1641" s="12">
        <v>4</v>
      </c>
      <c r="AI1641" s="12">
        <v>4</v>
      </c>
      <c r="AJ1641" s="12">
        <v>1</v>
      </c>
      <c r="AK1641" s="12">
        <v>1</v>
      </c>
      <c r="AL1641" s="12">
        <v>1</v>
      </c>
      <c r="AM1641" s="12"/>
      <c r="AN1641" s="12">
        <v>1</v>
      </c>
      <c r="AO1641" s="12">
        <v>0</v>
      </c>
      <c r="AP1641" s="12">
        <v>0</v>
      </c>
      <c r="AQ1641" s="12">
        <v>1</v>
      </c>
      <c r="AR1641" s="12">
        <v>1</v>
      </c>
      <c r="AS1641" s="12">
        <v>0</v>
      </c>
      <c r="AT1641" s="12">
        <v>0</v>
      </c>
      <c r="AU1641" s="12">
        <v>0</v>
      </c>
      <c r="AV1641" s="12">
        <v>0</v>
      </c>
      <c r="AW1641" s="12">
        <v>0</v>
      </c>
      <c r="AX1641" s="12">
        <v>0</v>
      </c>
      <c r="AY1641" s="12">
        <v>0</v>
      </c>
      <c r="BB1641" s="12">
        <v>1</v>
      </c>
      <c r="BC1641" s="12">
        <v>0</v>
      </c>
      <c r="BD1641" s="12">
        <v>0</v>
      </c>
      <c r="BE1641" s="12">
        <v>0</v>
      </c>
      <c r="BF1641" s="12">
        <v>0</v>
      </c>
      <c r="BI1641" s="12">
        <v>0</v>
      </c>
      <c r="BJ1641" s="12">
        <v>0</v>
      </c>
    </row>
    <row r="1642" spans="1:62" x14ac:dyDescent="0.15">
      <c r="A1642" s="12" t="s">
        <v>8662</v>
      </c>
      <c r="B1642"/>
      <c r="C1642" s="20" t="s">
        <v>8663</v>
      </c>
      <c r="D1642" t="s">
        <v>8653</v>
      </c>
      <c r="E1642" s="12" t="s">
        <v>5850</v>
      </c>
      <c r="F1642" s="12"/>
      <c r="G1642" s="12"/>
      <c r="H1642" s="12"/>
      <c r="I1642" s="12"/>
      <c r="J1642" s="12"/>
      <c r="K1642" s="12"/>
      <c r="L1642" s="10">
        <v>3566484</v>
      </c>
      <c r="M1642" s="10">
        <v>694416</v>
      </c>
      <c r="N1642" s="12">
        <v>15</v>
      </c>
      <c r="O1642" s="12" t="s">
        <v>6992</v>
      </c>
      <c r="P1642" t="s">
        <v>8664</v>
      </c>
      <c r="Q1642"/>
      <c r="R1642"/>
      <c r="S1642" t="s">
        <v>8661</v>
      </c>
      <c r="T1642" s="12" t="s">
        <v>4875</v>
      </c>
      <c r="U1642" s="12" t="s">
        <v>5020</v>
      </c>
      <c r="V1642" s="12" t="s">
        <v>5021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1</v>
      </c>
      <c r="AG1642" s="12">
        <v>1</v>
      </c>
      <c r="AH1642" s="12">
        <v>4</v>
      </c>
      <c r="AI1642" s="12">
        <v>4</v>
      </c>
      <c r="AJ1642" s="12">
        <v>1</v>
      </c>
      <c r="AK1642" s="12">
        <v>1</v>
      </c>
      <c r="AL1642" s="12">
        <v>1</v>
      </c>
      <c r="AM1642" s="12"/>
      <c r="AN1642" s="12">
        <v>1</v>
      </c>
      <c r="AO1642" s="12">
        <v>0</v>
      </c>
      <c r="AP1642" s="12">
        <v>0</v>
      </c>
      <c r="AQ1642" s="12">
        <v>1</v>
      </c>
      <c r="AR1642" s="12">
        <v>1</v>
      </c>
      <c r="AS1642" s="12">
        <v>0</v>
      </c>
      <c r="AT1642" s="12">
        <v>0</v>
      </c>
      <c r="AU1642" s="12">
        <v>0</v>
      </c>
      <c r="AV1642" s="12">
        <v>0</v>
      </c>
      <c r="AW1642" s="12">
        <v>0</v>
      </c>
      <c r="AX1642" s="12">
        <v>0</v>
      </c>
      <c r="AY1642" s="12">
        <v>0</v>
      </c>
      <c r="BB1642" s="12">
        <v>1</v>
      </c>
      <c r="BC1642" s="12">
        <v>0</v>
      </c>
      <c r="BD1642" s="12">
        <v>0</v>
      </c>
      <c r="BE1642" s="12">
        <v>0</v>
      </c>
      <c r="BF1642" s="12">
        <v>0</v>
      </c>
      <c r="BI1642" s="12">
        <v>0</v>
      </c>
      <c r="BJ1642" s="12">
        <v>0</v>
      </c>
    </row>
    <row r="1643" spans="1:62" x14ac:dyDescent="0.15">
      <c r="A1643" s="12"/>
      <c r="B1643" t="s">
        <v>8665</v>
      </c>
      <c r="C1643" t="s">
        <v>8666</v>
      </c>
      <c r="D1643" t="s">
        <v>8667</v>
      </c>
      <c r="E1643" s="12" t="s">
        <v>5293</v>
      </c>
      <c r="F1643" s="12"/>
      <c r="G1643" s="12"/>
      <c r="H1643" s="12"/>
      <c r="I1643" s="12"/>
      <c r="J1643" s="12"/>
      <c r="K1643" s="12"/>
      <c r="L1643" s="10">
        <v>3842176</v>
      </c>
      <c r="M1643" s="10">
        <v>713616</v>
      </c>
      <c r="N1643" s="12">
        <v>15</v>
      </c>
      <c r="O1643" s="12" t="s">
        <v>6992</v>
      </c>
      <c r="P1643" t="s">
        <v>8668</v>
      </c>
      <c r="Q1643"/>
      <c r="R1643"/>
      <c r="S1643" t="s">
        <v>8667</v>
      </c>
      <c r="T1643" s="12" t="s">
        <v>4875</v>
      </c>
      <c r="U1643" s="12" t="s">
        <v>5020</v>
      </c>
      <c r="V1643" s="12" t="s">
        <v>5021</v>
      </c>
      <c r="W1643" s="12">
        <v>0</v>
      </c>
      <c r="X1643" s="12">
        <v>0</v>
      </c>
      <c r="Y1643" s="12">
        <v>0</v>
      </c>
      <c r="Z1643" s="12">
        <v>0</v>
      </c>
      <c r="AA1643" s="12">
        <v>0</v>
      </c>
      <c r="AB1643" s="12">
        <v>0</v>
      </c>
      <c r="AC1643" s="12">
        <v>0</v>
      </c>
      <c r="AD1643" s="12">
        <v>0</v>
      </c>
      <c r="AE1643" s="12">
        <v>0</v>
      </c>
      <c r="AF1643" s="12">
        <v>1</v>
      </c>
      <c r="AG1643" s="12">
        <v>1</v>
      </c>
      <c r="AH1643" s="12">
        <v>0</v>
      </c>
      <c r="AI1643" s="12">
        <v>0</v>
      </c>
      <c r="AJ1643" s="12">
        <v>0</v>
      </c>
      <c r="AK1643" s="12">
        <v>0</v>
      </c>
      <c r="AL1643" s="12">
        <v>0</v>
      </c>
      <c r="AM1643" s="12"/>
      <c r="AN1643" s="12">
        <v>0</v>
      </c>
      <c r="AO1643" s="12">
        <v>0</v>
      </c>
      <c r="AP1643" s="12">
        <v>0</v>
      </c>
      <c r="AQ1643" s="12">
        <v>0</v>
      </c>
      <c r="AR1643" s="12">
        <v>0</v>
      </c>
      <c r="AS1643" s="12">
        <v>0</v>
      </c>
      <c r="AT1643" s="12">
        <v>0</v>
      </c>
      <c r="AU1643" s="12">
        <v>0</v>
      </c>
      <c r="AV1643" s="12">
        <v>0</v>
      </c>
      <c r="AW1643" s="12">
        <v>0</v>
      </c>
      <c r="AX1643" s="12">
        <v>0</v>
      </c>
      <c r="AY1643" s="12">
        <v>0</v>
      </c>
      <c r="BB1643" s="12">
        <v>0</v>
      </c>
      <c r="BC1643" s="12">
        <v>0</v>
      </c>
      <c r="BD1643" s="12">
        <v>0</v>
      </c>
      <c r="BE1643" s="12">
        <v>0</v>
      </c>
      <c r="BF1643" s="12">
        <v>0</v>
      </c>
      <c r="BI1643" s="12">
        <v>0</v>
      </c>
      <c r="BJ1643" s="12">
        <v>0</v>
      </c>
    </row>
    <row r="1644" spans="1:62" x14ac:dyDescent="0.15">
      <c r="A1644" s="12"/>
      <c r="B1644" t="s">
        <v>8669</v>
      </c>
      <c r="C1644" t="s">
        <v>8670</v>
      </c>
      <c r="D1644" t="s">
        <v>8667</v>
      </c>
      <c r="E1644" s="12" t="s">
        <v>5293</v>
      </c>
      <c r="F1644" s="12"/>
      <c r="G1644" s="12"/>
      <c r="H1644" s="12"/>
      <c r="I1644" s="12"/>
      <c r="J1644" s="12"/>
      <c r="K1644" s="12"/>
      <c r="L1644" s="10">
        <v>3849268</v>
      </c>
      <c r="M1644" s="10">
        <v>718780</v>
      </c>
      <c r="N1644" s="12">
        <v>15</v>
      </c>
      <c r="O1644" s="12" t="s">
        <v>6992</v>
      </c>
      <c r="P1644" t="s">
        <v>8671</v>
      </c>
      <c r="Q1644"/>
      <c r="R1644"/>
      <c r="S1644" t="s">
        <v>8667</v>
      </c>
      <c r="T1644" s="12" t="s">
        <v>4875</v>
      </c>
      <c r="U1644" s="12" t="s">
        <v>5020</v>
      </c>
      <c r="V1644" s="12" t="s">
        <v>5021</v>
      </c>
      <c r="W1644" s="12">
        <v>0</v>
      </c>
      <c r="X1644" s="12">
        <v>0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1</v>
      </c>
      <c r="AG1644" s="12">
        <v>1</v>
      </c>
      <c r="AH1644" s="12">
        <v>0</v>
      </c>
      <c r="AI1644" s="12">
        <v>0</v>
      </c>
      <c r="AJ1644" s="12">
        <v>0</v>
      </c>
      <c r="AK1644" s="12">
        <v>0</v>
      </c>
      <c r="AL1644" s="12">
        <v>0</v>
      </c>
      <c r="AM1644" s="12"/>
      <c r="AN1644" s="12">
        <v>0</v>
      </c>
      <c r="AO1644" s="12">
        <v>0</v>
      </c>
      <c r="AP1644" s="12">
        <v>0</v>
      </c>
      <c r="AQ1644" s="12">
        <v>0</v>
      </c>
      <c r="AR1644" s="12">
        <v>0</v>
      </c>
      <c r="AS1644" s="12">
        <v>0</v>
      </c>
      <c r="AT1644" s="12">
        <v>0</v>
      </c>
      <c r="AU1644" s="12">
        <v>0</v>
      </c>
      <c r="AV1644" s="12">
        <v>0</v>
      </c>
      <c r="AW1644" s="12">
        <v>0</v>
      </c>
      <c r="AX1644" s="12">
        <v>0</v>
      </c>
      <c r="AY1644" s="12">
        <v>0</v>
      </c>
      <c r="BB1644" s="12">
        <v>0</v>
      </c>
      <c r="BC1644" s="12">
        <v>0</v>
      </c>
      <c r="BD1644" s="12">
        <v>0</v>
      </c>
      <c r="BE1644" s="12">
        <v>0</v>
      </c>
      <c r="BF1644" s="12">
        <v>0</v>
      </c>
      <c r="BI1644" s="12">
        <v>0</v>
      </c>
      <c r="BJ1644" s="12">
        <v>0</v>
      </c>
    </row>
    <row r="1645" spans="1:62" x14ac:dyDescent="0.15">
      <c r="A1645" s="12"/>
      <c r="B1645" t="s">
        <v>8672</v>
      </c>
      <c r="C1645" t="s">
        <v>8673</v>
      </c>
      <c r="D1645" t="s">
        <v>8667</v>
      </c>
      <c r="E1645" s="12" t="s">
        <v>5293</v>
      </c>
      <c r="F1645" s="12"/>
      <c r="G1645" s="12"/>
      <c r="H1645" s="12"/>
      <c r="I1645" s="12"/>
      <c r="J1645" s="12"/>
      <c r="K1645" s="12"/>
      <c r="L1645" s="10">
        <v>3857872</v>
      </c>
      <c r="M1645" s="10">
        <v>711696</v>
      </c>
      <c r="N1645" s="12">
        <v>15</v>
      </c>
      <c r="O1645" s="12" t="s">
        <v>6992</v>
      </c>
      <c r="P1645" t="s">
        <v>8674</v>
      </c>
      <c r="Q1645"/>
      <c r="R1645"/>
      <c r="S1645" t="s">
        <v>8667</v>
      </c>
      <c r="T1645" s="12" t="s">
        <v>4875</v>
      </c>
      <c r="U1645" s="12" t="s">
        <v>5020</v>
      </c>
      <c r="V1645" s="12" t="s">
        <v>5021</v>
      </c>
      <c r="W1645" s="12">
        <v>0</v>
      </c>
      <c r="X1645" s="12">
        <v>0</v>
      </c>
      <c r="Y1645" s="12">
        <v>0</v>
      </c>
      <c r="Z1645" s="12">
        <v>0</v>
      </c>
      <c r="AA1645" s="12">
        <v>0</v>
      </c>
      <c r="AB1645" s="12">
        <v>0</v>
      </c>
      <c r="AC1645" s="12">
        <v>0</v>
      </c>
      <c r="AD1645" s="12">
        <v>0</v>
      </c>
      <c r="AE1645" s="12">
        <v>0</v>
      </c>
      <c r="AF1645" s="12">
        <v>1</v>
      </c>
      <c r="AG1645" s="12">
        <v>1</v>
      </c>
      <c r="AH1645" s="12">
        <v>0</v>
      </c>
      <c r="AI1645" s="12">
        <v>0</v>
      </c>
      <c r="AJ1645" s="12">
        <v>0</v>
      </c>
      <c r="AK1645" s="12">
        <v>0</v>
      </c>
      <c r="AL1645" s="12">
        <v>0</v>
      </c>
      <c r="AM1645" s="12"/>
      <c r="AN1645" s="12">
        <v>0</v>
      </c>
      <c r="AO1645" s="12">
        <v>0</v>
      </c>
      <c r="AP1645" s="12">
        <v>0</v>
      </c>
      <c r="AQ1645" s="12">
        <v>0</v>
      </c>
      <c r="AR1645" s="12">
        <v>0</v>
      </c>
      <c r="AS1645" s="12">
        <v>0</v>
      </c>
      <c r="AT1645" s="12">
        <v>0</v>
      </c>
      <c r="AU1645" s="12">
        <v>0</v>
      </c>
      <c r="AV1645" s="12">
        <v>0</v>
      </c>
      <c r="AW1645" s="12">
        <v>0</v>
      </c>
      <c r="AX1645" s="12">
        <v>0</v>
      </c>
      <c r="AY1645" s="12">
        <v>0</v>
      </c>
      <c r="BB1645" s="12">
        <v>0</v>
      </c>
      <c r="BC1645" s="12">
        <v>0</v>
      </c>
      <c r="BD1645" s="12">
        <v>0</v>
      </c>
      <c r="BE1645" s="12">
        <v>0</v>
      </c>
      <c r="BF1645" s="12">
        <v>0</v>
      </c>
      <c r="BI1645" s="12">
        <v>0</v>
      </c>
      <c r="BJ1645" s="12">
        <v>0</v>
      </c>
    </row>
    <row r="1646" spans="1:62" x14ac:dyDescent="0.15">
      <c r="A1646" s="12"/>
      <c r="B1646" t="s">
        <v>8675</v>
      </c>
      <c r="C1646" t="s">
        <v>8676</v>
      </c>
      <c r="D1646" t="s">
        <v>8667</v>
      </c>
      <c r="E1646" s="12" t="s">
        <v>5293</v>
      </c>
      <c r="F1646" s="12"/>
      <c r="G1646" s="12"/>
      <c r="H1646" s="12"/>
      <c r="I1646" s="12"/>
      <c r="J1646" s="12"/>
      <c r="K1646" s="12"/>
      <c r="L1646" s="10">
        <v>3856016</v>
      </c>
      <c r="M1646" s="10">
        <v>730426</v>
      </c>
      <c r="N1646" s="12">
        <v>15</v>
      </c>
      <c r="O1646" s="12" t="s">
        <v>6992</v>
      </c>
      <c r="P1646" t="s">
        <v>8677</v>
      </c>
      <c r="Q1646"/>
      <c r="R1646"/>
      <c r="S1646" t="s">
        <v>8667</v>
      </c>
      <c r="T1646" s="12" t="s">
        <v>4875</v>
      </c>
      <c r="U1646" s="12" t="s">
        <v>5020</v>
      </c>
      <c r="V1646" s="12" t="s">
        <v>5021</v>
      </c>
      <c r="W1646" s="12">
        <v>0</v>
      </c>
      <c r="X1646" s="12">
        <v>0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1</v>
      </c>
      <c r="AG1646" s="12">
        <v>1</v>
      </c>
      <c r="AH1646" s="12">
        <v>0</v>
      </c>
      <c r="AI1646" s="12">
        <v>0</v>
      </c>
      <c r="AJ1646" s="12">
        <v>0</v>
      </c>
      <c r="AK1646" s="12">
        <v>0</v>
      </c>
      <c r="AL1646" s="12">
        <v>0</v>
      </c>
      <c r="AM1646" s="12"/>
      <c r="AN1646" s="12">
        <v>0</v>
      </c>
      <c r="AO1646" s="12">
        <v>0</v>
      </c>
      <c r="AP1646" s="12">
        <v>0</v>
      </c>
      <c r="AQ1646" s="12">
        <v>0</v>
      </c>
      <c r="AR1646" s="12">
        <v>0</v>
      </c>
      <c r="AS1646" s="12">
        <v>0</v>
      </c>
      <c r="AT1646" s="12">
        <v>0</v>
      </c>
      <c r="AU1646" s="12">
        <v>0</v>
      </c>
      <c r="AV1646" s="12">
        <v>0</v>
      </c>
      <c r="AW1646" s="12">
        <v>0</v>
      </c>
      <c r="AX1646" s="12">
        <v>0</v>
      </c>
      <c r="AY1646" s="12">
        <v>0</v>
      </c>
      <c r="BB1646" s="12">
        <v>0</v>
      </c>
      <c r="BC1646" s="12">
        <v>0</v>
      </c>
      <c r="BD1646" s="12">
        <v>0</v>
      </c>
      <c r="BE1646" s="12">
        <v>0</v>
      </c>
      <c r="BF1646" s="12">
        <v>0</v>
      </c>
      <c r="BI1646" s="12">
        <v>0</v>
      </c>
      <c r="BJ1646" s="12">
        <v>0</v>
      </c>
    </row>
    <row r="1647" spans="1:62" x14ac:dyDescent="0.15">
      <c r="A1647" s="12"/>
      <c r="B1647" t="s">
        <v>8678</v>
      </c>
      <c r="C1647" t="s">
        <v>8679</v>
      </c>
      <c r="D1647" t="s">
        <v>8667</v>
      </c>
      <c r="E1647" s="12" t="s">
        <v>5293</v>
      </c>
      <c r="F1647" s="12"/>
      <c r="G1647" s="12"/>
      <c r="H1647" s="12"/>
      <c r="I1647" s="12"/>
      <c r="J1647" s="12"/>
      <c r="K1647" s="12"/>
      <c r="L1647" s="10">
        <v>3857096</v>
      </c>
      <c r="M1647" s="10">
        <v>730738</v>
      </c>
      <c r="N1647" s="12">
        <v>15</v>
      </c>
      <c r="O1647" s="12" t="s">
        <v>6992</v>
      </c>
      <c r="P1647" t="s">
        <v>8680</v>
      </c>
      <c r="Q1647"/>
      <c r="R1647"/>
      <c r="S1647" t="s">
        <v>8667</v>
      </c>
      <c r="T1647" s="12" t="s">
        <v>4875</v>
      </c>
      <c r="U1647" s="12" t="s">
        <v>5020</v>
      </c>
      <c r="V1647" s="12" t="s">
        <v>5021</v>
      </c>
      <c r="W1647" s="12">
        <v>0</v>
      </c>
      <c r="X1647" s="12">
        <v>0</v>
      </c>
      <c r="Y1647" s="12">
        <v>0</v>
      </c>
      <c r="Z1647" s="12">
        <v>0</v>
      </c>
      <c r="AA1647" s="12">
        <v>0</v>
      </c>
      <c r="AB1647" s="12">
        <v>0</v>
      </c>
      <c r="AC1647" s="12">
        <v>0</v>
      </c>
      <c r="AD1647" s="12">
        <v>0</v>
      </c>
      <c r="AE1647" s="12">
        <v>0</v>
      </c>
      <c r="AF1647" s="12">
        <v>1</v>
      </c>
      <c r="AG1647" s="12">
        <v>1</v>
      </c>
      <c r="AH1647" s="12">
        <v>0</v>
      </c>
      <c r="AI1647" s="12">
        <v>0</v>
      </c>
      <c r="AJ1647" s="12">
        <v>0</v>
      </c>
      <c r="AK1647" s="12">
        <v>0</v>
      </c>
      <c r="AL1647" s="12">
        <v>0</v>
      </c>
      <c r="AM1647" s="12"/>
      <c r="AN1647" s="12">
        <v>0</v>
      </c>
      <c r="AO1647" s="12">
        <v>0</v>
      </c>
      <c r="AP1647" s="12">
        <v>0</v>
      </c>
      <c r="AQ1647" s="12">
        <v>0</v>
      </c>
      <c r="AR1647" s="12">
        <v>0</v>
      </c>
      <c r="AS1647" s="12">
        <v>0</v>
      </c>
      <c r="AT1647" s="12">
        <v>0</v>
      </c>
      <c r="AU1647" s="12">
        <v>0</v>
      </c>
      <c r="AV1647" s="12">
        <v>0</v>
      </c>
      <c r="AW1647" s="12">
        <v>0</v>
      </c>
      <c r="AX1647" s="12">
        <v>0</v>
      </c>
      <c r="AY1647" s="12">
        <v>0</v>
      </c>
      <c r="BB1647" s="12">
        <v>0</v>
      </c>
      <c r="BC1647" s="12">
        <v>0</v>
      </c>
      <c r="BD1647" s="12">
        <v>0</v>
      </c>
      <c r="BE1647" s="12">
        <v>0</v>
      </c>
      <c r="BF1647" s="12">
        <v>0</v>
      </c>
      <c r="BI1647" s="12">
        <v>0</v>
      </c>
      <c r="BJ1647" s="12">
        <v>0</v>
      </c>
    </row>
    <row r="1648" spans="1:62" x14ac:dyDescent="0.15">
      <c r="A1648" s="12" t="s">
        <v>8681</v>
      </c>
      <c r="B1648" t="s">
        <v>8682</v>
      </c>
      <c r="C1648" t="s">
        <v>8683</v>
      </c>
      <c r="D1648" t="s">
        <v>8667</v>
      </c>
      <c r="E1648" s="12" t="s">
        <v>5293</v>
      </c>
      <c r="F1648" s="12"/>
      <c r="G1648" s="12"/>
      <c r="H1648" s="12"/>
      <c r="I1648" s="12"/>
      <c r="J1648" s="12"/>
      <c r="K1648" s="12"/>
      <c r="L1648" s="10">
        <v>3856032</v>
      </c>
      <c r="M1648" s="10">
        <v>713408</v>
      </c>
      <c r="N1648" s="12">
        <v>15</v>
      </c>
      <c r="O1648" s="12" t="s">
        <v>4871</v>
      </c>
      <c r="P1648" t="s">
        <v>8684</v>
      </c>
      <c r="Q1648" t="s">
        <v>5295</v>
      </c>
      <c r="R1648" t="s">
        <v>5295</v>
      </c>
      <c r="S1648" t="s">
        <v>8667</v>
      </c>
      <c r="T1648" s="12" t="s">
        <v>4875</v>
      </c>
      <c r="U1648" s="12" t="s">
        <v>5020</v>
      </c>
      <c r="V1648" s="12" t="s">
        <v>5021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1</v>
      </c>
      <c r="AG1648" s="12">
        <v>1</v>
      </c>
      <c r="AH1648" s="12">
        <v>2</v>
      </c>
      <c r="AI1648" s="12">
        <v>2</v>
      </c>
      <c r="AJ1648" s="12">
        <v>1</v>
      </c>
      <c r="AK1648" s="12">
        <v>1</v>
      </c>
      <c r="AL1648" s="12">
        <v>0</v>
      </c>
      <c r="AM1648" s="12"/>
      <c r="AN1648" s="12">
        <v>0</v>
      </c>
      <c r="AO1648" s="12">
        <v>0</v>
      </c>
      <c r="AP1648" s="12">
        <v>0</v>
      </c>
      <c r="AQ1648" s="12">
        <v>0</v>
      </c>
      <c r="AR1648" s="12">
        <v>0</v>
      </c>
      <c r="AS1648" s="12">
        <v>0</v>
      </c>
      <c r="AT1648" s="12">
        <v>1</v>
      </c>
      <c r="AU1648" s="12">
        <v>0</v>
      </c>
      <c r="AV1648" s="12">
        <v>0</v>
      </c>
      <c r="AW1648" s="12">
        <v>1</v>
      </c>
      <c r="AX1648" s="12">
        <v>0</v>
      </c>
      <c r="AY1648" s="12">
        <v>0</v>
      </c>
      <c r="BB1648" s="12">
        <v>1</v>
      </c>
      <c r="BC1648" s="12">
        <v>0</v>
      </c>
      <c r="BD1648" s="12">
        <v>0</v>
      </c>
      <c r="BE1648" s="12">
        <v>0</v>
      </c>
      <c r="BF1648" s="12">
        <v>0</v>
      </c>
      <c r="BI1648" s="12">
        <v>0</v>
      </c>
      <c r="BJ1648" s="12">
        <v>0</v>
      </c>
    </row>
    <row r="1649" spans="1:62" x14ac:dyDescent="0.15">
      <c r="A1649" s="12"/>
      <c r="B1649" t="s">
        <v>8685</v>
      </c>
      <c r="C1649" s="20" t="s">
        <v>8686</v>
      </c>
      <c r="D1649" t="s">
        <v>8687</v>
      </c>
      <c r="E1649" s="12" t="s">
        <v>5295</v>
      </c>
      <c r="F1649" s="12"/>
      <c r="G1649" s="12"/>
      <c r="H1649" s="12"/>
      <c r="I1649" s="12"/>
      <c r="J1649" s="12"/>
      <c r="K1649" s="12"/>
      <c r="L1649" s="10">
        <v>3905180</v>
      </c>
      <c r="M1649" s="10">
        <v>725571</v>
      </c>
      <c r="N1649" s="12">
        <v>15</v>
      </c>
      <c r="O1649" s="12" t="s">
        <v>4871</v>
      </c>
      <c r="P1649" t="s">
        <v>8688</v>
      </c>
      <c r="Q1649"/>
      <c r="R1649"/>
      <c r="S1649" t="s">
        <v>8687</v>
      </c>
      <c r="T1649" s="12" t="s">
        <v>4875</v>
      </c>
      <c r="U1649" s="12" t="s">
        <v>5020</v>
      </c>
      <c r="V1649" s="12" t="s">
        <v>5021</v>
      </c>
      <c r="W1649" s="12">
        <v>0</v>
      </c>
      <c r="X1649" s="12">
        <v>0</v>
      </c>
      <c r="Y1649" s="12">
        <v>0</v>
      </c>
      <c r="Z1649" s="12">
        <v>0</v>
      </c>
      <c r="AA1649" s="12">
        <v>0</v>
      </c>
      <c r="AB1649" s="12">
        <v>0</v>
      </c>
      <c r="AC1649" s="12">
        <v>0</v>
      </c>
      <c r="AD1649" s="12">
        <v>0</v>
      </c>
      <c r="AE1649" s="12">
        <v>0</v>
      </c>
      <c r="AF1649" s="12">
        <v>1</v>
      </c>
      <c r="AG1649" s="12">
        <v>1</v>
      </c>
      <c r="AH1649" s="12">
        <v>1</v>
      </c>
      <c r="AI1649" s="12">
        <v>1</v>
      </c>
      <c r="AJ1649" s="12">
        <v>0</v>
      </c>
      <c r="AK1649" s="12">
        <v>0</v>
      </c>
      <c r="AL1649" s="12">
        <v>0</v>
      </c>
      <c r="AM1649" s="12"/>
      <c r="AN1649" s="12">
        <v>0</v>
      </c>
      <c r="AO1649" s="12">
        <v>0</v>
      </c>
      <c r="AP1649" s="12">
        <v>0</v>
      </c>
      <c r="AQ1649" s="12">
        <v>0</v>
      </c>
      <c r="AR1649" s="12">
        <v>0</v>
      </c>
      <c r="AS1649" s="12">
        <v>0</v>
      </c>
      <c r="AT1649" s="12">
        <v>1</v>
      </c>
      <c r="AU1649" s="12">
        <v>0</v>
      </c>
      <c r="AV1649" s="12">
        <v>0</v>
      </c>
      <c r="AW1649" s="12">
        <v>0</v>
      </c>
      <c r="AX1649" s="12">
        <v>0</v>
      </c>
      <c r="AY1649" s="12">
        <v>0</v>
      </c>
      <c r="BB1649" s="12">
        <v>0</v>
      </c>
      <c r="BC1649" s="12">
        <v>0</v>
      </c>
      <c r="BD1649" s="12">
        <v>8</v>
      </c>
      <c r="BE1649" s="12">
        <v>0</v>
      </c>
      <c r="BF1649" s="12">
        <v>0</v>
      </c>
      <c r="BI1649" s="12">
        <v>0</v>
      </c>
      <c r="BJ1649" s="12">
        <v>0</v>
      </c>
    </row>
    <row r="1650" spans="1:62" x14ac:dyDescent="0.15">
      <c r="A1650" s="12"/>
      <c r="B1650" t="s">
        <v>8689</v>
      </c>
      <c r="C1650" s="20" t="s">
        <v>8690</v>
      </c>
      <c r="D1650" t="s">
        <v>8687</v>
      </c>
      <c r="E1650" s="12" t="s">
        <v>5295</v>
      </c>
      <c r="F1650" s="12"/>
      <c r="G1650" s="12"/>
      <c r="H1650" s="12"/>
      <c r="I1650" s="12"/>
      <c r="J1650" s="12"/>
      <c r="K1650" s="12"/>
      <c r="L1650" s="10">
        <v>3905888</v>
      </c>
      <c r="M1650" s="10">
        <v>727894</v>
      </c>
      <c r="N1650" s="12">
        <v>15</v>
      </c>
      <c r="O1650" s="12" t="s">
        <v>4871</v>
      </c>
      <c r="P1650" t="s">
        <v>8691</v>
      </c>
      <c r="Q1650"/>
      <c r="R1650"/>
      <c r="S1650" t="s">
        <v>8687</v>
      </c>
      <c r="T1650" s="12" t="s">
        <v>4875</v>
      </c>
      <c r="U1650" s="12" t="s">
        <v>5020</v>
      </c>
      <c r="V1650" s="12" t="s">
        <v>5021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1</v>
      </c>
      <c r="AG1650" s="12">
        <v>1</v>
      </c>
      <c r="AH1650" s="12">
        <v>0</v>
      </c>
      <c r="AI1650" s="12">
        <v>0</v>
      </c>
      <c r="AJ1650" s="12">
        <v>0</v>
      </c>
      <c r="AK1650" s="12">
        <v>0</v>
      </c>
      <c r="AL1650" s="12">
        <v>0</v>
      </c>
      <c r="AM1650" s="12"/>
      <c r="AN1650" s="12">
        <v>0</v>
      </c>
      <c r="AO1650" s="12">
        <v>0</v>
      </c>
      <c r="AP1650" s="12">
        <v>0</v>
      </c>
      <c r="AQ1650" s="12">
        <v>0</v>
      </c>
      <c r="AR1650" s="12">
        <v>0</v>
      </c>
      <c r="AS1650" s="12">
        <v>0</v>
      </c>
      <c r="AT1650" s="12">
        <v>0</v>
      </c>
      <c r="AU1650" s="12">
        <v>0</v>
      </c>
      <c r="AV1650" s="12">
        <v>0</v>
      </c>
      <c r="AW1650" s="12">
        <v>1</v>
      </c>
      <c r="AX1650" s="12">
        <v>0</v>
      </c>
      <c r="AY1650" s="12">
        <v>0</v>
      </c>
      <c r="BB1650" s="12">
        <v>0</v>
      </c>
      <c r="BC1650" s="12">
        <v>0</v>
      </c>
      <c r="BD1650" s="12">
        <v>0</v>
      </c>
      <c r="BE1650" s="12">
        <v>0</v>
      </c>
      <c r="BF1650" s="12">
        <v>0</v>
      </c>
      <c r="BI1650" s="12">
        <v>0</v>
      </c>
      <c r="BJ1650" s="12">
        <v>0</v>
      </c>
    </row>
    <row r="1651" spans="1:62" x14ac:dyDescent="0.15">
      <c r="A1651" s="12"/>
      <c r="B1651" t="s">
        <v>8692</v>
      </c>
      <c r="C1651" s="20" t="s">
        <v>4951</v>
      </c>
      <c r="D1651" t="s">
        <v>8687</v>
      </c>
      <c r="E1651" s="12" t="s">
        <v>5295</v>
      </c>
      <c r="F1651" s="12"/>
      <c r="G1651" s="12"/>
      <c r="H1651" s="12"/>
      <c r="I1651" s="12"/>
      <c r="J1651" s="12"/>
      <c r="K1651" s="12"/>
      <c r="L1651" s="10">
        <v>3908069</v>
      </c>
      <c r="M1651" s="10">
        <v>729701</v>
      </c>
      <c r="N1651" s="12">
        <v>15</v>
      </c>
      <c r="O1651" s="12" t="s">
        <v>4871</v>
      </c>
      <c r="P1651" t="s">
        <v>4952</v>
      </c>
      <c r="Q1651"/>
      <c r="R1651"/>
      <c r="S1651" t="s">
        <v>8687</v>
      </c>
      <c r="T1651" s="12" t="s">
        <v>4875</v>
      </c>
      <c r="U1651" s="12" t="s">
        <v>5020</v>
      </c>
      <c r="V1651" s="12" t="s">
        <v>5021</v>
      </c>
      <c r="W1651" s="12">
        <v>0</v>
      </c>
      <c r="X1651" s="12">
        <v>0</v>
      </c>
      <c r="Y1651" s="12">
        <v>0</v>
      </c>
      <c r="Z1651" s="12">
        <v>0</v>
      </c>
      <c r="AA1651" s="12">
        <v>0</v>
      </c>
      <c r="AB1651" s="12">
        <v>0</v>
      </c>
      <c r="AC1651" s="12">
        <v>0</v>
      </c>
      <c r="AD1651" s="12">
        <v>0</v>
      </c>
      <c r="AE1651" s="12">
        <v>0</v>
      </c>
      <c r="AF1651" s="12">
        <v>1</v>
      </c>
      <c r="AG1651" s="12">
        <v>1</v>
      </c>
      <c r="AH1651" s="12">
        <v>0</v>
      </c>
      <c r="AI1651" s="12">
        <v>0</v>
      </c>
      <c r="AJ1651" s="12">
        <v>0</v>
      </c>
      <c r="AK1651" s="12">
        <v>0</v>
      </c>
      <c r="AL1651" s="12">
        <v>0</v>
      </c>
      <c r="AM1651" s="12"/>
      <c r="AN1651" s="12">
        <v>0</v>
      </c>
      <c r="AO1651" s="12">
        <v>0</v>
      </c>
      <c r="AP1651" s="12">
        <v>0</v>
      </c>
      <c r="AQ1651" s="12">
        <v>0</v>
      </c>
      <c r="AR1651" s="12">
        <v>0</v>
      </c>
      <c r="AS1651" s="12">
        <v>0</v>
      </c>
      <c r="AT1651" s="12">
        <v>0</v>
      </c>
      <c r="AU1651" s="12">
        <v>0</v>
      </c>
      <c r="AV1651" s="12">
        <v>0</v>
      </c>
      <c r="AW1651" s="12">
        <v>1</v>
      </c>
      <c r="AX1651" s="12">
        <v>0</v>
      </c>
      <c r="AY1651" s="12">
        <v>0</v>
      </c>
      <c r="BB1651" s="12">
        <v>0</v>
      </c>
      <c r="BC1651" s="12">
        <v>0</v>
      </c>
      <c r="BD1651" s="12">
        <v>0</v>
      </c>
      <c r="BE1651" s="12">
        <v>0</v>
      </c>
      <c r="BF1651" s="12">
        <v>0</v>
      </c>
      <c r="BI1651" s="12">
        <v>0</v>
      </c>
      <c r="BJ1651" s="12">
        <v>0</v>
      </c>
    </row>
    <row r="1652" spans="1:62" x14ac:dyDescent="0.15">
      <c r="A1652" s="12"/>
      <c r="B1652" t="s">
        <v>4953</v>
      </c>
      <c r="C1652" s="20" t="s">
        <v>4954</v>
      </c>
      <c r="D1652" t="s">
        <v>8687</v>
      </c>
      <c r="E1652" s="12" t="s">
        <v>5295</v>
      </c>
      <c r="F1652" s="12"/>
      <c r="G1652" s="12"/>
      <c r="H1652" s="12"/>
      <c r="I1652" s="12"/>
      <c r="J1652" s="12"/>
      <c r="K1652" s="12"/>
      <c r="L1652" s="10">
        <v>3908948</v>
      </c>
      <c r="M1652" s="10">
        <v>730330</v>
      </c>
      <c r="N1652" s="12">
        <v>15</v>
      </c>
      <c r="O1652" s="12" t="s">
        <v>4871</v>
      </c>
      <c r="P1652" t="s">
        <v>8691</v>
      </c>
      <c r="Q1652"/>
      <c r="R1652"/>
      <c r="S1652" t="s">
        <v>8687</v>
      </c>
      <c r="T1652" s="12" t="s">
        <v>4875</v>
      </c>
      <c r="U1652" s="12" t="s">
        <v>5020</v>
      </c>
      <c r="V1652" s="12" t="s">
        <v>5021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1</v>
      </c>
      <c r="AG1652" s="12">
        <v>1</v>
      </c>
      <c r="AH1652" s="12">
        <v>0</v>
      </c>
      <c r="AI1652" s="12">
        <v>0</v>
      </c>
      <c r="AJ1652" s="12">
        <v>0</v>
      </c>
      <c r="AK1652" s="12">
        <v>0</v>
      </c>
      <c r="AL1652" s="12">
        <v>0</v>
      </c>
      <c r="AM1652" s="12"/>
      <c r="AN1652" s="12">
        <v>0</v>
      </c>
      <c r="AO1652" s="12">
        <v>0</v>
      </c>
      <c r="AP1652" s="12">
        <v>0</v>
      </c>
      <c r="AQ1652" s="12">
        <v>0</v>
      </c>
      <c r="AR1652" s="12">
        <v>0</v>
      </c>
      <c r="AS1652" s="12">
        <v>0</v>
      </c>
      <c r="AT1652" s="12">
        <v>0</v>
      </c>
      <c r="AU1652" s="12">
        <v>0</v>
      </c>
      <c r="AV1652" s="12">
        <v>0</v>
      </c>
      <c r="AW1652" s="12">
        <v>1</v>
      </c>
      <c r="AX1652" s="12">
        <v>0</v>
      </c>
      <c r="AY1652" s="12">
        <v>0</v>
      </c>
      <c r="BB1652" s="12">
        <v>0</v>
      </c>
      <c r="BC1652" s="12">
        <v>0</v>
      </c>
      <c r="BD1652" s="12">
        <v>0</v>
      </c>
      <c r="BE1652" s="12">
        <v>0</v>
      </c>
      <c r="BF1652" s="12">
        <v>0</v>
      </c>
      <c r="BI1652" s="12">
        <v>0</v>
      </c>
      <c r="BJ1652" s="12">
        <v>0</v>
      </c>
    </row>
    <row r="1653" spans="1:62" x14ac:dyDescent="0.15">
      <c r="A1653" s="12"/>
      <c r="B1653" t="s">
        <v>4955</v>
      </c>
      <c r="C1653" s="20" t="s">
        <v>4956</v>
      </c>
      <c r="D1653" t="s">
        <v>8687</v>
      </c>
      <c r="E1653" s="12" t="s">
        <v>5295</v>
      </c>
      <c r="F1653" s="12"/>
      <c r="G1653" s="12"/>
      <c r="H1653" s="12"/>
      <c r="I1653" s="12"/>
      <c r="J1653" s="12"/>
      <c r="K1653" s="12"/>
      <c r="L1653" s="10">
        <v>3914513</v>
      </c>
      <c r="M1653" s="10">
        <v>721062</v>
      </c>
      <c r="N1653" s="12">
        <v>15</v>
      </c>
      <c r="O1653" s="12" t="s">
        <v>4871</v>
      </c>
      <c r="P1653" t="s">
        <v>4957</v>
      </c>
      <c r="Q1653"/>
      <c r="R1653"/>
      <c r="S1653" t="s">
        <v>4958</v>
      </c>
      <c r="T1653" s="12" t="s">
        <v>4875</v>
      </c>
      <c r="U1653" s="12" t="s">
        <v>5020</v>
      </c>
      <c r="V1653" s="12" t="s">
        <v>5021</v>
      </c>
      <c r="W1653" s="12">
        <v>0</v>
      </c>
      <c r="X1653" s="12">
        <v>0</v>
      </c>
      <c r="Y1653" s="12">
        <v>0</v>
      </c>
      <c r="Z1653" s="12">
        <v>0</v>
      </c>
      <c r="AA1653" s="12">
        <v>0</v>
      </c>
      <c r="AB1653" s="12">
        <v>0</v>
      </c>
      <c r="AC1653" s="12">
        <v>0</v>
      </c>
      <c r="AD1653" s="12">
        <v>0</v>
      </c>
      <c r="AE1653" s="12">
        <v>0</v>
      </c>
      <c r="AF1653" s="12">
        <v>1</v>
      </c>
      <c r="AG1653" s="12">
        <v>1</v>
      </c>
      <c r="AH1653" s="12">
        <v>0</v>
      </c>
      <c r="AI1653" s="12">
        <v>0</v>
      </c>
      <c r="AJ1653" s="12">
        <v>0</v>
      </c>
      <c r="AK1653" s="12">
        <v>0</v>
      </c>
      <c r="AL1653" s="12">
        <v>0</v>
      </c>
      <c r="AM1653" s="12"/>
      <c r="AN1653" s="12">
        <v>0</v>
      </c>
      <c r="AO1653" s="12">
        <v>0</v>
      </c>
      <c r="AP1653" s="12">
        <v>0</v>
      </c>
      <c r="AQ1653" s="12">
        <v>0</v>
      </c>
      <c r="AR1653" s="12">
        <v>0</v>
      </c>
      <c r="AS1653" s="12">
        <v>0</v>
      </c>
      <c r="AT1653" s="12">
        <v>0</v>
      </c>
      <c r="AU1653" s="12">
        <v>0</v>
      </c>
      <c r="AV1653" s="12">
        <v>0</v>
      </c>
      <c r="AW1653" s="12">
        <v>1</v>
      </c>
      <c r="AX1653" s="12">
        <v>0</v>
      </c>
      <c r="AY1653" s="12">
        <v>0</v>
      </c>
      <c r="BA1653" s="12" t="s">
        <v>4911</v>
      </c>
      <c r="BB1653" s="12">
        <v>0</v>
      </c>
      <c r="BC1653" s="12">
        <v>0</v>
      </c>
      <c r="BD1653" s="12">
        <v>0</v>
      </c>
      <c r="BE1653" s="12">
        <v>0</v>
      </c>
      <c r="BF1653" s="12">
        <v>0</v>
      </c>
      <c r="BI1653" s="12">
        <v>0</v>
      </c>
      <c r="BJ1653" s="12">
        <v>0</v>
      </c>
    </row>
    <row r="1654" spans="1:62" x14ac:dyDescent="0.15">
      <c r="A1654" s="12"/>
      <c r="B1654" t="s">
        <v>4586</v>
      </c>
      <c r="C1654" s="20" t="s">
        <v>4587</v>
      </c>
      <c r="D1654" t="s">
        <v>8687</v>
      </c>
      <c r="E1654" s="12" t="s">
        <v>5295</v>
      </c>
      <c r="F1654" s="12"/>
      <c r="G1654" s="12"/>
      <c r="H1654" s="12"/>
      <c r="I1654" s="12"/>
      <c r="J1654" s="12"/>
      <c r="K1654" s="12"/>
      <c r="L1654" s="10">
        <v>3932768</v>
      </c>
      <c r="M1654" s="10">
        <v>731596</v>
      </c>
      <c r="N1654" s="12">
        <v>15</v>
      </c>
      <c r="O1654" s="12" t="s">
        <v>4871</v>
      </c>
      <c r="P1654" t="s">
        <v>4588</v>
      </c>
      <c r="Q1654"/>
      <c r="R1654"/>
      <c r="S1654" t="s">
        <v>4589</v>
      </c>
      <c r="T1654" s="12" t="s">
        <v>4875</v>
      </c>
      <c r="U1654" s="12" t="s">
        <v>5020</v>
      </c>
      <c r="V1654" s="12" t="s">
        <v>5021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1</v>
      </c>
      <c r="AG1654" s="12">
        <v>1</v>
      </c>
      <c r="AH1654" s="12">
        <v>11</v>
      </c>
      <c r="AI1654" s="12">
        <v>11</v>
      </c>
      <c r="AJ1654" s="12">
        <v>1</v>
      </c>
      <c r="AK1654" s="12">
        <v>1</v>
      </c>
      <c r="AL1654" s="12">
        <v>0</v>
      </c>
      <c r="AM1654" s="12"/>
      <c r="AN1654" s="12">
        <v>0</v>
      </c>
      <c r="AO1654" s="12">
        <v>0</v>
      </c>
      <c r="AP1654" s="12">
        <v>0</v>
      </c>
      <c r="AQ1654" s="12">
        <v>0</v>
      </c>
      <c r="AR1654" s="12">
        <v>0</v>
      </c>
      <c r="AS1654" s="12">
        <v>0</v>
      </c>
      <c r="AT1654" s="12">
        <v>1</v>
      </c>
      <c r="AU1654" s="12">
        <v>0</v>
      </c>
      <c r="AV1654" s="12">
        <v>1</v>
      </c>
      <c r="AW1654" s="12">
        <v>1</v>
      </c>
      <c r="AX1654" s="12">
        <v>0</v>
      </c>
      <c r="AY1654" s="12">
        <v>0</v>
      </c>
      <c r="AZ1654" s="12" t="s">
        <v>4843</v>
      </c>
      <c r="BA1654" s="12" t="s">
        <v>4911</v>
      </c>
      <c r="BB1654" s="12">
        <v>0</v>
      </c>
      <c r="BC1654" s="12">
        <v>0</v>
      </c>
      <c r="BD1654" s="12">
        <v>0</v>
      </c>
      <c r="BE1654" s="12">
        <v>0</v>
      </c>
      <c r="BF1654" s="12">
        <v>0</v>
      </c>
      <c r="BI1654" s="12">
        <v>0</v>
      </c>
      <c r="BJ1654" s="12">
        <v>0</v>
      </c>
    </row>
    <row r="1655" spans="1:62" x14ac:dyDescent="0.15">
      <c r="A1655" s="12"/>
      <c r="B1655" t="s">
        <v>4590</v>
      </c>
      <c r="C1655" s="20" t="s">
        <v>4591</v>
      </c>
      <c r="D1655" t="s">
        <v>8687</v>
      </c>
      <c r="E1655" s="12" t="s">
        <v>5295</v>
      </c>
      <c r="F1655" s="12"/>
      <c r="G1655" s="12"/>
      <c r="H1655" s="12"/>
      <c r="I1655" s="12"/>
      <c r="J1655" s="12"/>
      <c r="K1655" s="12"/>
      <c r="L1655" s="10">
        <v>3934530</v>
      </c>
      <c r="M1655" s="10">
        <v>733435</v>
      </c>
      <c r="N1655" s="12">
        <v>15</v>
      </c>
      <c r="O1655" s="12" t="s">
        <v>4871</v>
      </c>
      <c r="P1655" t="s">
        <v>4592</v>
      </c>
      <c r="Q1655"/>
      <c r="R1655"/>
      <c r="S1655" t="s">
        <v>4593</v>
      </c>
      <c r="T1655" s="12" t="s">
        <v>4875</v>
      </c>
      <c r="U1655" s="12" t="s">
        <v>5020</v>
      </c>
      <c r="V1655" s="12" t="s">
        <v>5021</v>
      </c>
      <c r="W1655" s="12">
        <v>0</v>
      </c>
      <c r="X1655" s="12">
        <v>0</v>
      </c>
      <c r="Y1655" s="12">
        <v>0</v>
      </c>
      <c r="Z1655" s="12">
        <v>0</v>
      </c>
      <c r="AA1655" s="12">
        <v>0</v>
      </c>
      <c r="AB1655" s="12">
        <v>0</v>
      </c>
      <c r="AC1655" s="12">
        <v>0</v>
      </c>
      <c r="AD1655" s="12">
        <v>0</v>
      </c>
      <c r="AE1655" s="12">
        <v>0</v>
      </c>
      <c r="AF1655" s="12">
        <v>1</v>
      </c>
      <c r="AG1655" s="12">
        <v>1</v>
      </c>
      <c r="AH1655" s="12">
        <v>0</v>
      </c>
      <c r="AI1655" s="12">
        <v>0</v>
      </c>
      <c r="AJ1655" s="12">
        <v>0</v>
      </c>
      <c r="AK1655" s="12">
        <v>0</v>
      </c>
      <c r="AL1655" s="12">
        <v>0</v>
      </c>
      <c r="AM1655" s="12"/>
      <c r="AN1655" s="12">
        <v>0</v>
      </c>
      <c r="AO1655" s="12">
        <v>0</v>
      </c>
      <c r="AP1655" s="12">
        <v>0</v>
      </c>
      <c r="AQ1655" s="12">
        <v>0</v>
      </c>
      <c r="AR1655" s="12">
        <v>0</v>
      </c>
      <c r="AS1655" s="12">
        <v>0</v>
      </c>
      <c r="AT1655" s="12">
        <v>0</v>
      </c>
      <c r="AU1655" s="12">
        <v>0</v>
      </c>
      <c r="AV1655" s="12">
        <v>0</v>
      </c>
      <c r="AW1655" s="12">
        <v>1</v>
      </c>
      <c r="AX1655" s="12">
        <v>0</v>
      </c>
      <c r="AY1655" s="12">
        <v>0</v>
      </c>
      <c r="AZ1655" s="12" t="s">
        <v>4843</v>
      </c>
      <c r="BA1655" s="12" t="s">
        <v>4911</v>
      </c>
      <c r="BB1655" s="12">
        <v>0</v>
      </c>
      <c r="BC1655" s="12">
        <v>0</v>
      </c>
      <c r="BD1655" s="12">
        <v>0</v>
      </c>
      <c r="BE1655" s="12">
        <v>0</v>
      </c>
      <c r="BF1655" s="12">
        <v>0</v>
      </c>
      <c r="BI1655" s="12">
        <v>0</v>
      </c>
      <c r="BJ1655" s="12">
        <v>0</v>
      </c>
    </row>
    <row r="1656" spans="1:62" x14ac:dyDescent="0.15">
      <c r="A1656" s="12"/>
      <c r="B1656" t="s">
        <v>4594</v>
      </c>
      <c r="C1656" s="20" t="s">
        <v>4595</v>
      </c>
      <c r="D1656" t="s">
        <v>8687</v>
      </c>
      <c r="E1656" s="12" t="s">
        <v>5295</v>
      </c>
      <c r="F1656" s="12"/>
      <c r="G1656" s="12"/>
      <c r="H1656" s="12"/>
      <c r="I1656" s="12"/>
      <c r="J1656" s="12"/>
      <c r="K1656" s="12"/>
      <c r="L1656" s="10">
        <v>3935892</v>
      </c>
      <c r="M1656" s="10">
        <v>731381</v>
      </c>
      <c r="N1656" s="12">
        <v>15</v>
      </c>
      <c r="O1656" s="12" t="s">
        <v>4871</v>
      </c>
      <c r="P1656" t="s">
        <v>4596</v>
      </c>
      <c r="Q1656"/>
      <c r="R1656"/>
      <c r="S1656" t="s">
        <v>4597</v>
      </c>
      <c r="T1656" s="12" t="s">
        <v>4875</v>
      </c>
      <c r="U1656" s="12" t="s">
        <v>5020</v>
      </c>
      <c r="V1656" s="12" t="s">
        <v>5021</v>
      </c>
      <c r="W1656" s="12">
        <v>0</v>
      </c>
      <c r="X1656" s="12">
        <v>0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1</v>
      </c>
      <c r="AG1656" s="12">
        <v>1</v>
      </c>
      <c r="AH1656" s="12">
        <v>17</v>
      </c>
      <c r="AI1656" s="12">
        <v>17</v>
      </c>
      <c r="AJ1656" s="12">
        <v>1</v>
      </c>
      <c r="AK1656" s="12">
        <v>1</v>
      </c>
      <c r="AL1656" s="12">
        <v>1</v>
      </c>
      <c r="AM1656" s="12"/>
      <c r="AN1656" s="12">
        <v>0</v>
      </c>
      <c r="AO1656" s="12">
        <v>0</v>
      </c>
      <c r="AP1656" s="12">
        <v>0</v>
      </c>
      <c r="AQ1656" s="12">
        <v>1</v>
      </c>
      <c r="AR1656" s="12">
        <v>1</v>
      </c>
      <c r="AS1656" s="12">
        <v>0</v>
      </c>
      <c r="AT1656" s="12">
        <v>0</v>
      </c>
      <c r="AU1656" s="12">
        <v>0</v>
      </c>
      <c r="AV1656" s="12">
        <v>0</v>
      </c>
      <c r="AW1656" s="12">
        <v>1</v>
      </c>
      <c r="AX1656" s="12">
        <v>0</v>
      </c>
      <c r="AY1656" s="12">
        <v>1</v>
      </c>
      <c r="AZ1656" s="12" t="s">
        <v>4843</v>
      </c>
      <c r="BA1656" s="12" t="s">
        <v>4911</v>
      </c>
      <c r="BB1656" s="12">
        <v>1</v>
      </c>
      <c r="BC1656" s="12">
        <v>0</v>
      </c>
      <c r="BD1656" s="12">
        <v>6</v>
      </c>
      <c r="BE1656" s="12">
        <v>0</v>
      </c>
      <c r="BF1656">
        <f>150*112</f>
        <v>16800</v>
      </c>
      <c r="BI1656">
        <f>BD1656/BF1656</f>
        <v>3.5714285714285714E-4</v>
      </c>
      <c r="BJ1656">
        <f>BI1656*10000</f>
        <v>3.5714285714285716</v>
      </c>
    </row>
    <row r="1657" spans="1:62" x14ac:dyDescent="0.15">
      <c r="A1657" s="12"/>
      <c r="B1657" t="s">
        <v>4594</v>
      </c>
      <c r="C1657" s="20" t="s">
        <v>4598</v>
      </c>
      <c r="D1657" t="s">
        <v>8687</v>
      </c>
      <c r="E1657" s="12" t="s">
        <v>5295</v>
      </c>
      <c r="F1657" s="12"/>
      <c r="G1657" s="12"/>
      <c r="H1657" s="12"/>
      <c r="I1657" s="12"/>
      <c r="J1657" s="12"/>
      <c r="K1657" s="12"/>
      <c r="L1657" s="10">
        <v>3936800</v>
      </c>
      <c r="M1657" s="10">
        <v>735609</v>
      </c>
      <c r="N1657" s="12">
        <v>15</v>
      </c>
      <c r="O1657" s="12" t="s">
        <v>4871</v>
      </c>
      <c r="P1657" t="s">
        <v>4599</v>
      </c>
      <c r="Q1657"/>
      <c r="R1657"/>
      <c r="S1657" t="s">
        <v>4600</v>
      </c>
      <c r="T1657" s="12" t="s">
        <v>4875</v>
      </c>
      <c r="U1657" s="12" t="s">
        <v>5020</v>
      </c>
      <c r="V1657" s="12" t="s">
        <v>5021</v>
      </c>
      <c r="W1657" s="12">
        <v>0</v>
      </c>
      <c r="X1657" s="12">
        <v>0</v>
      </c>
      <c r="Y1657" s="12">
        <v>0</v>
      </c>
      <c r="Z1657" s="12">
        <v>0</v>
      </c>
      <c r="AA1657" s="12">
        <v>0</v>
      </c>
      <c r="AB1657" s="12">
        <v>0</v>
      </c>
      <c r="AC1657" s="12">
        <v>0</v>
      </c>
      <c r="AD1657" s="12">
        <v>0</v>
      </c>
      <c r="AE1657" s="12">
        <v>0</v>
      </c>
      <c r="AF1657" s="12">
        <v>1</v>
      </c>
      <c r="AG1657" s="12">
        <v>1</v>
      </c>
      <c r="AH1657" s="12">
        <v>1</v>
      </c>
      <c r="AI1657" s="12">
        <v>1</v>
      </c>
      <c r="AJ1657" s="12">
        <v>1</v>
      </c>
      <c r="AK1657" s="12">
        <v>0</v>
      </c>
      <c r="AL1657" s="12">
        <v>0</v>
      </c>
      <c r="AM1657" s="12"/>
      <c r="AN1657" s="12">
        <v>0</v>
      </c>
      <c r="AO1657" s="12">
        <v>0</v>
      </c>
      <c r="AP1657" s="12">
        <v>0</v>
      </c>
      <c r="AQ1657" s="12">
        <v>0</v>
      </c>
      <c r="AR1657" s="12">
        <v>0</v>
      </c>
      <c r="AS1657" s="12">
        <v>0</v>
      </c>
      <c r="AT1657" s="12">
        <v>1</v>
      </c>
      <c r="AU1657" s="12">
        <v>0</v>
      </c>
      <c r="AV1657" s="12">
        <v>0</v>
      </c>
      <c r="AW1657" s="12">
        <v>0</v>
      </c>
      <c r="AX1657" s="12">
        <v>0</v>
      </c>
      <c r="AY1657" s="12">
        <v>1</v>
      </c>
      <c r="BB1657" s="12">
        <v>0</v>
      </c>
      <c r="BC1657" s="12">
        <v>0</v>
      </c>
      <c r="BD1657" s="12">
        <v>0</v>
      </c>
      <c r="BE1657" s="12">
        <v>0</v>
      </c>
      <c r="BF1657" s="12">
        <v>0</v>
      </c>
      <c r="BI1657" s="12">
        <v>0</v>
      </c>
      <c r="BJ1657" s="12">
        <v>0</v>
      </c>
    </row>
    <row r="1658" spans="1:62" x14ac:dyDescent="0.15">
      <c r="A1658" s="12"/>
      <c r="B1658" t="s">
        <v>4601</v>
      </c>
      <c r="C1658" s="20" t="s">
        <v>4602</v>
      </c>
      <c r="D1658" t="s">
        <v>4603</v>
      </c>
      <c r="E1658" s="12" t="s">
        <v>5293</v>
      </c>
      <c r="F1658" s="12"/>
      <c r="G1658" s="12"/>
      <c r="H1658" s="12"/>
      <c r="I1658" s="12"/>
      <c r="J1658" s="12"/>
      <c r="K1658" s="12"/>
      <c r="L1658" s="10">
        <v>3902965</v>
      </c>
      <c r="M1658" s="10">
        <v>734391</v>
      </c>
      <c r="N1658" s="12">
        <v>15</v>
      </c>
      <c r="O1658" s="12" t="s">
        <v>4871</v>
      </c>
      <c r="P1658" t="s">
        <v>4979</v>
      </c>
      <c r="Q1658"/>
      <c r="R1658"/>
      <c r="S1658" t="s">
        <v>4603</v>
      </c>
      <c r="T1658" s="12" t="s">
        <v>8484</v>
      </c>
      <c r="U1658" s="12" t="s">
        <v>5019</v>
      </c>
      <c r="V1658" s="12" t="s">
        <v>5020</v>
      </c>
      <c r="W1658" s="12">
        <v>0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1</v>
      </c>
      <c r="AF1658" s="12">
        <v>1</v>
      </c>
      <c r="AG1658" s="12">
        <v>0</v>
      </c>
      <c r="AH1658" s="12">
        <v>1</v>
      </c>
      <c r="AI1658" s="12">
        <v>1</v>
      </c>
      <c r="AJ1658" s="12">
        <v>1</v>
      </c>
      <c r="AK1658" s="12">
        <v>0</v>
      </c>
      <c r="AL1658" s="12">
        <v>0</v>
      </c>
      <c r="AM1658" s="12"/>
      <c r="AN1658" s="12">
        <v>0</v>
      </c>
      <c r="AO1658" s="12">
        <v>0</v>
      </c>
      <c r="AP1658" s="12">
        <v>0</v>
      </c>
      <c r="AQ1658" s="12">
        <v>0</v>
      </c>
      <c r="AR1658" s="12">
        <v>0</v>
      </c>
      <c r="AS1658" s="12">
        <v>0</v>
      </c>
      <c r="AT1658" s="12">
        <v>1</v>
      </c>
      <c r="AU1658" s="12">
        <v>0</v>
      </c>
      <c r="AV1658" s="12">
        <v>0</v>
      </c>
      <c r="AW1658" s="12">
        <v>0</v>
      </c>
      <c r="AX1658" s="12">
        <v>0</v>
      </c>
      <c r="AY1658" s="12">
        <v>0</v>
      </c>
      <c r="AZ1658" s="12" t="s">
        <v>4843</v>
      </c>
      <c r="BA1658" s="12" t="s">
        <v>4911</v>
      </c>
      <c r="BB1658" s="12">
        <v>0</v>
      </c>
      <c r="BC1658" s="12">
        <v>0</v>
      </c>
      <c r="BD1658" s="12">
        <v>0</v>
      </c>
      <c r="BE1658" s="12">
        <v>0</v>
      </c>
      <c r="BF1658" s="12">
        <v>0</v>
      </c>
      <c r="BI1658" s="12">
        <v>0</v>
      </c>
      <c r="BJ1658" s="12">
        <v>0</v>
      </c>
    </row>
    <row r="1659" spans="1:62" x14ac:dyDescent="0.15">
      <c r="A1659" s="12"/>
      <c r="B1659" t="s">
        <v>4980</v>
      </c>
      <c r="C1659" s="29" t="s">
        <v>4981</v>
      </c>
      <c r="D1659" t="s">
        <v>6596</v>
      </c>
      <c r="E1659" s="12" t="s">
        <v>4982</v>
      </c>
      <c r="F1659" s="12"/>
      <c r="G1659" s="12"/>
      <c r="H1659" s="12"/>
      <c r="I1659" s="12"/>
      <c r="J1659" s="12"/>
      <c r="K1659" s="12"/>
      <c r="L1659" s="10">
        <v>3887423</v>
      </c>
      <c r="M1659" s="10">
        <v>745372</v>
      </c>
      <c r="N1659" s="12">
        <v>15</v>
      </c>
      <c r="O1659" s="12" t="s">
        <v>4871</v>
      </c>
      <c r="P1659" t="s">
        <v>4983</v>
      </c>
      <c r="Q1659"/>
      <c r="R1659"/>
      <c r="S1659" t="s">
        <v>6596</v>
      </c>
      <c r="T1659" s="12" t="s">
        <v>5361</v>
      </c>
      <c r="U1659" s="12" t="s">
        <v>5018</v>
      </c>
      <c r="V1659" s="12" t="s">
        <v>5020</v>
      </c>
      <c r="W1659" s="12">
        <v>0</v>
      </c>
      <c r="X1659" s="12">
        <v>0</v>
      </c>
      <c r="Y1659" s="12">
        <v>0</v>
      </c>
      <c r="Z1659" s="12">
        <v>0</v>
      </c>
      <c r="AA1659" s="12">
        <v>0</v>
      </c>
      <c r="AB1659" s="12">
        <v>0</v>
      </c>
      <c r="AC1659" s="12">
        <v>0</v>
      </c>
      <c r="AD1659" s="12">
        <v>1</v>
      </c>
      <c r="AE1659" s="12">
        <v>1</v>
      </c>
      <c r="AF1659" s="12">
        <v>1</v>
      </c>
      <c r="AG1659" s="12">
        <v>0</v>
      </c>
      <c r="AH1659" s="12">
        <v>2</v>
      </c>
      <c r="AI1659" s="12">
        <v>2</v>
      </c>
      <c r="AJ1659" s="12">
        <v>2</v>
      </c>
      <c r="AK1659" s="12">
        <v>1</v>
      </c>
      <c r="AL1659" s="12">
        <v>0</v>
      </c>
      <c r="AM1659" s="12"/>
      <c r="AN1659" s="12">
        <v>0</v>
      </c>
      <c r="AO1659" s="12">
        <v>0</v>
      </c>
      <c r="AP1659" s="12">
        <v>0</v>
      </c>
      <c r="AQ1659" s="12">
        <v>0</v>
      </c>
      <c r="AR1659" s="12">
        <v>0</v>
      </c>
      <c r="AS1659" s="12">
        <v>0</v>
      </c>
      <c r="AT1659" s="12">
        <v>1</v>
      </c>
      <c r="AU1659" s="12">
        <v>0</v>
      </c>
      <c r="AV1659" s="12">
        <v>0</v>
      </c>
      <c r="AW1659" s="12">
        <v>0</v>
      </c>
      <c r="AX1659" s="12">
        <v>0</v>
      </c>
      <c r="AY1659" s="12">
        <v>0</v>
      </c>
      <c r="BB1659" s="12">
        <v>0</v>
      </c>
      <c r="BC1659" s="12">
        <v>0</v>
      </c>
      <c r="BD1659" s="12">
        <v>0</v>
      </c>
      <c r="BE1659" s="12">
        <v>0</v>
      </c>
      <c r="BF1659" s="12">
        <v>0</v>
      </c>
      <c r="BI1659" s="12">
        <v>0</v>
      </c>
      <c r="BJ1659" s="12">
        <v>0</v>
      </c>
    </row>
    <row r="1660" spans="1:62" x14ac:dyDescent="0.15">
      <c r="A1660" s="12"/>
      <c r="B1660" t="s">
        <v>4984</v>
      </c>
      <c r="C1660" s="20" t="s">
        <v>4984</v>
      </c>
      <c r="D1660" t="s">
        <v>6596</v>
      </c>
      <c r="E1660" s="12" t="s">
        <v>5293</v>
      </c>
      <c r="F1660" s="12"/>
      <c r="G1660" s="12"/>
      <c r="H1660" s="12"/>
      <c r="I1660" s="12"/>
      <c r="J1660" s="12"/>
      <c r="K1660" s="12"/>
      <c r="L1660" s="10">
        <v>3916855</v>
      </c>
      <c r="M1660" s="10">
        <v>736793</v>
      </c>
      <c r="N1660" s="12">
        <v>15</v>
      </c>
      <c r="O1660" s="12" t="s">
        <v>4871</v>
      </c>
      <c r="P1660" t="s">
        <v>4985</v>
      </c>
      <c r="Q1660"/>
      <c r="R1660"/>
      <c r="S1660" t="s">
        <v>6596</v>
      </c>
      <c r="T1660" s="12" t="s">
        <v>8484</v>
      </c>
      <c r="U1660" s="12" t="s">
        <v>5019</v>
      </c>
      <c r="V1660" s="12" t="s">
        <v>5020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1</v>
      </c>
      <c r="AF1660" s="12">
        <v>1</v>
      </c>
      <c r="AG1660" s="12">
        <v>0</v>
      </c>
      <c r="AH1660" s="12">
        <v>1</v>
      </c>
      <c r="AI1660" s="12">
        <v>1</v>
      </c>
      <c r="AJ1660" s="12">
        <v>0</v>
      </c>
      <c r="AK1660" s="12">
        <v>0</v>
      </c>
      <c r="AL1660" s="12">
        <v>1</v>
      </c>
      <c r="AM1660" s="12"/>
      <c r="AN1660" s="12">
        <v>0</v>
      </c>
      <c r="AO1660" s="12">
        <v>0</v>
      </c>
      <c r="AP1660" s="12">
        <v>0</v>
      </c>
      <c r="AQ1660" s="12">
        <v>1</v>
      </c>
      <c r="AR1660" s="12">
        <v>0</v>
      </c>
      <c r="AS1660" s="12">
        <v>0</v>
      </c>
      <c r="AT1660" s="12">
        <v>0</v>
      </c>
      <c r="AU1660" s="12">
        <v>0</v>
      </c>
      <c r="AV1660" s="12">
        <v>0</v>
      </c>
      <c r="AW1660" s="12">
        <v>0</v>
      </c>
      <c r="AX1660" s="12">
        <v>0</v>
      </c>
      <c r="AY1660" s="12">
        <v>0</v>
      </c>
      <c r="BB1660" s="12">
        <v>0</v>
      </c>
      <c r="BC1660" s="12">
        <v>0</v>
      </c>
      <c r="BD1660" s="12">
        <v>0</v>
      </c>
      <c r="BE1660" s="12">
        <v>0</v>
      </c>
      <c r="BF1660" s="12">
        <v>0</v>
      </c>
      <c r="BI1660" s="12">
        <v>0</v>
      </c>
      <c r="BJ1660" s="12">
        <v>0</v>
      </c>
    </row>
    <row r="1661" spans="1:62" x14ac:dyDescent="0.15">
      <c r="B1661" s="7" t="s">
        <v>4986</v>
      </c>
      <c r="C1661" s="7" t="s">
        <v>4987</v>
      </c>
      <c r="D1661" s="8" t="s">
        <v>4988</v>
      </c>
      <c r="E1661" s="9" t="s">
        <v>7423</v>
      </c>
      <c r="L1661" s="10">
        <v>3611634</v>
      </c>
      <c r="M1661" s="10">
        <v>589898</v>
      </c>
      <c r="N1661" s="11">
        <v>15</v>
      </c>
      <c r="O1661" s="11" t="s">
        <v>4871</v>
      </c>
      <c r="P1661" s="7" t="s">
        <v>4989</v>
      </c>
      <c r="S1661" s="9" t="s">
        <v>4988</v>
      </c>
      <c r="T1661" s="9" t="s">
        <v>4990</v>
      </c>
      <c r="U1661" s="12" t="s">
        <v>7435</v>
      </c>
      <c r="V1661" s="12" t="s">
        <v>4897</v>
      </c>
      <c r="W1661" s="12">
        <v>0</v>
      </c>
      <c r="X1661" s="12">
        <v>0</v>
      </c>
      <c r="Y1661" s="12">
        <v>1</v>
      </c>
      <c r="Z1661" s="11">
        <v>1</v>
      </c>
      <c r="AA1661" s="11">
        <v>0</v>
      </c>
      <c r="AB1661" s="11">
        <v>0</v>
      </c>
      <c r="AC1661" s="11">
        <v>0</v>
      </c>
      <c r="AD1661" s="11">
        <v>0</v>
      </c>
      <c r="AE1661" s="11">
        <v>0</v>
      </c>
      <c r="AF1661" s="11">
        <v>0</v>
      </c>
      <c r="AG1661" s="11">
        <v>0</v>
      </c>
      <c r="AH1661" s="9" t="s">
        <v>7536</v>
      </c>
      <c r="AI1661" s="11">
        <v>5</v>
      </c>
      <c r="AJ1661" s="11">
        <v>1</v>
      </c>
      <c r="AK1661" s="11">
        <v>1</v>
      </c>
      <c r="AL1661" s="11">
        <v>0</v>
      </c>
      <c r="AN1661" s="11">
        <v>0</v>
      </c>
      <c r="AO1661" s="11">
        <v>0</v>
      </c>
      <c r="AP1661" s="11">
        <v>0</v>
      </c>
      <c r="AQ1661" s="11">
        <v>0</v>
      </c>
      <c r="AR1661" s="11">
        <v>1</v>
      </c>
      <c r="AS1661" s="11">
        <v>0</v>
      </c>
      <c r="AT1661" s="11">
        <v>0</v>
      </c>
      <c r="AU1661" s="11">
        <v>0</v>
      </c>
      <c r="AV1661" s="11">
        <v>0</v>
      </c>
      <c r="AW1661" s="11">
        <v>0</v>
      </c>
      <c r="AX1661" s="11">
        <v>0</v>
      </c>
      <c r="AY1661" s="11">
        <v>0</v>
      </c>
      <c r="BB1661" s="12">
        <v>0</v>
      </c>
      <c r="BC1661" s="12">
        <v>0</v>
      </c>
      <c r="BD1661" s="12">
        <v>15</v>
      </c>
      <c r="BE1661" s="12">
        <v>0</v>
      </c>
      <c r="BF1661" s="12">
        <f>PI()*(35*100/2.54/12/2)^2</f>
        <v>10356.095453516635</v>
      </c>
      <c r="BG1661" t="s">
        <v>4991</v>
      </c>
      <c r="BI1661">
        <f t="shared" ref="BI1661:BI1667" si="2">BD1661/BF1661</f>
        <v>1.4484223390299506E-3</v>
      </c>
      <c r="BJ1661">
        <f t="shared" ref="BJ1661:BJ1667" si="3">BI1661*10000</f>
        <v>14.484223390299507</v>
      </c>
    </row>
    <row r="1662" spans="1:62" x14ac:dyDescent="0.15">
      <c r="B1662" s="7" t="s">
        <v>4992</v>
      </c>
      <c r="C1662" s="7" t="s">
        <v>4993</v>
      </c>
      <c r="D1662" s="8" t="s">
        <v>4988</v>
      </c>
      <c r="E1662" s="9" t="s">
        <v>7423</v>
      </c>
      <c r="L1662" s="10">
        <v>3594276</v>
      </c>
      <c r="M1662" s="10">
        <v>657036</v>
      </c>
      <c r="N1662" s="11">
        <v>15</v>
      </c>
      <c r="O1662" s="11" t="s">
        <v>4871</v>
      </c>
      <c r="P1662" s="7" t="s">
        <v>4994</v>
      </c>
      <c r="S1662" s="9" t="s">
        <v>4988</v>
      </c>
      <c r="T1662" s="9" t="s">
        <v>4990</v>
      </c>
      <c r="U1662" s="12" t="s">
        <v>7435</v>
      </c>
      <c r="V1662" s="12" t="s">
        <v>4897</v>
      </c>
      <c r="W1662" s="12">
        <v>0</v>
      </c>
      <c r="X1662" s="12">
        <v>0</v>
      </c>
      <c r="Y1662" s="12">
        <v>1</v>
      </c>
      <c r="Z1662" s="11">
        <v>1</v>
      </c>
      <c r="AA1662" s="11">
        <v>0</v>
      </c>
      <c r="AB1662" s="11">
        <v>0</v>
      </c>
      <c r="AC1662" s="11">
        <v>0</v>
      </c>
      <c r="AD1662" s="11">
        <v>0</v>
      </c>
      <c r="AE1662" s="11">
        <v>0</v>
      </c>
      <c r="AF1662" s="11">
        <v>0</v>
      </c>
      <c r="AG1662" s="11">
        <v>0</v>
      </c>
      <c r="AH1662" s="9" t="s">
        <v>7536</v>
      </c>
      <c r="AI1662" s="11">
        <v>1</v>
      </c>
      <c r="AJ1662" s="11">
        <v>1</v>
      </c>
      <c r="AK1662" s="11">
        <v>1</v>
      </c>
      <c r="AL1662" s="11">
        <v>0</v>
      </c>
      <c r="AN1662" s="11">
        <v>0</v>
      </c>
      <c r="AO1662" s="11">
        <v>0</v>
      </c>
      <c r="AP1662" s="11">
        <v>0</v>
      </c>
      <c r="AQ1662" s="11">
        <v>0</v>
      </c>
      <c r="AR1662" s="11">
        <v>1</v>
      </c>
      <c r="AS1662" s="11">
        <v>0</v>
      </c>
      <c r="AT1662" s="11">
        <v>0</v>
      </c>
      <c r="AU1662" s="11">
        <v>0</v>
      </c>
      <c r="AV1662" s="11">
        <v>0</v>
      </c>
      <c r="AW1662" s="11">
        <v>0</v>
      </c>
      <c r="AX1662" s="11">
        <v>0</v>
      </c>
      <c r="AY1662" s="11">
        <v>0</v>
      </c>
      <c r="BB1662" s="12">
        <v>0</v>
      </c>
      <c r="BC1662" s="12">
        <v>0</v>
      </c>
      <c r="BD1662" s="12">
        <v>20</v>
      </c>
      <c r="BE1662" s="12">
        <v>0</v>
      </c>
      <c r="BF1662" s="12">
        <f>PI()*((45/2)*100/2.54/12)^2</f>
        <v>17119.259831323419</v>
      </c>
      <c r="BG1662" t="s">
        <v>7787</v>
      </c>
      <c r="BI1662">
        <f t="shared" si="2"/>
        <v>1.1682748084356801E-3</v>
      </c>
      <c r="BJ1662">
        <f t="shared" si="3"/>
        <v>11.682748084356801</v>
      </c>
    </row>
    <row r="1663" spans="1:62" x14ac:dyDescent="0.15">
      <c r="B1663" s="7" t="s">
        <v>7788</v>
      </c>
      <c r="C1663" s="7" t="s">
        <v>7789</v>
      </c>
      <c r="D1663" s="8" t="s">
        <v>7790</v>
      </c>
      <c r="E1663" s="9" t="s">
        <v>6526</v>
      </c>
      <c r="L1663" s="10">
        <v>3660360</v>
      </c>
      <c r="M1663" s="10">
        <v>630040</v>
      </c>
      <c r="N1663" s="11">
        <v>15</v>
      </c>
      <c r="O1663" s="11" t="s">
        <v>4871</v>
      </c>
      <c r="P1663" s="7" t="s">
        <v>7791</v>
      </c>
      <c r="S1663" s="9" t="s">
        <v>7790</v>
      </c>
      <c r="T1663" s="9" t="s">
        <v>4896</v>
      </c>
      <c r="U1663" s="12" t="s">
        <v>4897</v>
      </c>
      <c r="V1663" s="12" t="s">
        <v>4898</v>
      </c>
      <c r="W1663" s="12">
        <v>0</v>
      </c>
      <c r="X1663" s="12">
        <v>0</v>
      </c>
      <c r="Y1663" s="12">
        <v>0</v>
      </c>
      <c r="Z1663" s="11">
        <v>1</v>
      </c>
      <c r="AA1663" s="11">
        <v>1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9" t="s">
        <v>4909</v>
      </c>
      <c r="AI1663" s="11">
        <v>1</v>
      </c>
      <c r="AJ1663" s="11">
        <v>1</v>
      </c>
      <c r="AK1663" s="11">
        <v>0</v>
      </c>
      <c r="AL1663" s="11">
        <v>0</v>
      </c>
      <c r="AN1663" s="11">
        <v>0</v>
      </c>
      <c r="AO1663" s="11">
        <v>0</v>
      </c>
      <c r="AP1663" s="11">
        <v>0</v>
      </c>
      <c r="AQ1663" s="11">
        <v>0</v>
      </c>
      <c r="AR1663" s="11">
        <v>0</v>
      </c>
      <c r="AS1663" s="11">
        <v>0</v>
      </c>
      <c r="AT1663" s="11">
        <v>1</v>
      </c>
      <c r="AU1663" s="11">
        <v>0</v>
      </c>
      <c r="AV1663" s="11">
        <v>0</v>
      </c>
      <c r="AW1663" s="11">
        <v>0</v>
      </c>
      <c r="AX1663" s="11">
        <v>0</v>
      </c>
      <c r="AY1663" s="11">
        <v>0</v>
      </c>
      <c r="BB1663" s="12">
        <v>0</v>
      </c>
      <c r="BC1663" s="12">
        <v>0</v>
      </c>
      <c r="BD1663" s="12">
        <v>0</v>
      </c>
      <c r="BE1663" s="12">
        <v>0</v>
      </c>
      <c r="BF1663" s="12">
        <v>0</v>
      </c>
      <c r="BI1663" t="e">
        <f t="shared" si="2"/>
        <v>#DIV/0!</v>
      </c>
      <c r="BJ1663" t="e">
        <f t="shared" si="3"/>
        <v>#DIV/0!</v>
      </c>
    </row>
    <row r="1664" spans="1:62" x14ac:dyDescent="0.15">
      <c r="C1664" s="7" t="s">
        <v>6851</v>
      </c>
      <c r="D1664" s="8" t="s">
        <v>6852</v>
      </c>
      <c r="E1664" s="9" t="s">
        <v>4882</v>
      </c>
      <c r="L1664" s="10">
        <v>3646620</v>
      </c>
      <c r="M1664" s="10">
        <v>733456</v>
      </c>
      <c r="N1664" s="11">
        <v>15</v>
      </c>
      <c r="O1664" s="11" t="s">
        <v>4871</v>
      </c>
      <c r="P1664" s="7" t="s">
        <v>6853</v>
      </c>
      <c r="S1664" s="9" t="s">
        <v>6852</v>
      </c>
      <c r="T1664" s="9" t="s">
        <v>5017</v>
      </c>
      <c r="U1664" s="12" t="s">
        <v>5017</v>
      </c>
      <c r="V1664" s="12" t="s">
        <v>5017</v>
      </c>
      <c r="W1664" s="12">
        <v>0</v>
      </c>
      <c r="X1664" s="12">
        <v>0</v>
      </c>
      <c r="Y1664" s="12">
        <v>0</v>
      </c>
      <c r="Z1664" s="11">
        <v>0</v>
      </c>
      <c r="AA1664" s="11">
        <v>0</v>
      </c>
      <c r="AB1664" s="11">
        <v>0</v>
      </c>
      <c r="AC1664" s="11">
        <v>1</v>
      </c>
      <c r="AD1664" s="11">
        <v>0</v>
      </c>
      <c r="AE1664" s="11">
        <v>0</v>
      </c>
      <c r="AF1664" s="11">
        <v>0</v>
      </c>
      <c r="AG1664" s="11">
        <v>0</v>
      </c>
      <c r="AH1664" s="9" t="s">
        <v>8248</v>
      </c>
      <c r="AI1664" s="11">
        <v>1</v>
      </c>
      <c r="AJ1664" s="11">
        <v>1</v>
      </c>
      <c r="AK1664" s="11">
        <v>0</v>
      </c>
      <c r="AL1664" s="11">
        <v>0</v>
      </c>
      <c r="AN1664" s="11">
        <v>0</v>
      </c>
      <c r="AO1664" s="11">
        <v>0</v>
      </c>
      <c r="AP1664" s="11">
        <v>0</v>
      </c>
      <c r="AQ1664" s="11">
        <v>0</v>
      </c>
      <c r="AR1664" s="11">
        <v>0</v>
      </c>
      <c r="AS1664" s="11">
        <v>0</v>
      </c>
      <c r="AT1664" s="11">
        <v>1</v>
      </c>
      <c r="AU1664" s="11">
        <v>0</v>
      </c>
      <c r="AV1664" s="11">
        <v>1</v>
      </c>
      <c r="AW1664" s="11">
        <v>0</v>
      </c>
      <c r="AX1664" s="11">
        <v>0</v>
      </c>
      <c r="AY1664" s="11">
        <v>0</v>
      </c>
      <c r="AZ1664" s="12" t="s">
        <v>4910</v>
      </c>
      <c r="BA1664" s="12" t="s">
        <v>4911</v>
      </c>
      <c r="BB1664" s="12">
        <v>0</v>
      </c>
      <c r="BC1664" s="12">
        <v>0</v>
      </c>
      <c r="BD1664" s="12">
        <v>0</v>
      </c>
      <c r="BE1664" s="12">
        <v>0</v>
      </c>
      <c r="BF1664" s="12">
        <v>0</v>
      </c>
      <c r="BI1664" t="e">
        <f t="shared" si="2"/>
        <v>#DIV/0!</v>
      </c>
      <c r="BJ1664" t="e">
        <f t="shared" si="3"/>
        <v>#DIV/0!</v>
      </c>
    </row>
    <row r="1665" spans="1:62" x14ac:dyDescent="0.15">
      <c r="C1665" s="7" t="s">
        <v>6854</v>
      </c>
      <c r="D1665" s="8" t="s">
        <v>6852</v>
      </c>
      <c r="E1665" s="9" t="s">
        <v>4882</v>
      </c>
      <c r="L1665" s="10">
        <v>3622580</v>
      </c>
      <c r="M1665" s="10">
        <v>690572</v>
      </c>
      <c r="N1665" s="11">
        <v>15</v>
      </c>
      <c r="O1665" s="11" t="s">
        <v>4871</v>
      </c>
      <c r="P1665" s="7" t="s">
        <v>6855</v>
      </c>
      <c r="S1665" s="9" t="s">
        <v>6852</v>
      </c>
      <c r="T1665" s="9" t="s">
        <v>5017</v>
      </c>
      <c r="U1665" s="12" t="s">
        <v>5017</v>
      </c>
      <c r="V1665" s="12" t="s">
        <v>5017</v>
      </c>
      <c r="W1665" s="12">
        <v>0</v>
      </c>
      <c r="X1665" s="12">
        <v>0</v>
      </c>
      <c r="Y1665" s="12">
        <v>0</v>
      </c>
      <c r="Z1665" s="11">
        <v>0</v>
      </c>
      <c r="AA1665" s="11">
        <v>0</v>
      </c>
      <c r="AB1665" s="11">
        <v>0</v>
      </c>
      <c r="AC1665" s="11">
        <v>1</v>
      </c>
      <c r="AD1665" s="11">
        <v>0</v>
      </c>
      <c r="AE1665" s="11">
        <v>0</v>
      </c>
      <c r="AF1665" s="11">
        <v>0</v>
      </c>
      <c r="AG1665" s="11">
        <v>0</v>
      </c>
      <c r="AH1665" s="9" t="s">
        <v>4878</v>
      </c>
      <c r="AI1665" s="11">
        <v>0</v>
      </c>
      <c r="AJ1665" s="11">
        <v>0</v>
      </c>
      <c r="AK1665" s="11">
        <v>0</v>
      </c>
      <c r="AL1665" s="11">
        <v>0</v>
      </c>
      <c r="AN1665" s="11">
        <v>0</v>
      </c>
      <c r="AO1665" s="11">
        <v>0</v>
      </c>
      <c r="AP1665" s="11">
        <v>0</v>
      </c>
      <c r="AQ1665" s="11">
        <v>0</v>
      </c>
      <c r="AR1665" s="11">
        <v>0</v>
      </c>
      <c r="AS1665" s="11">
        <v>0</v>
      </c>
      <c r="AT1665" s="11">
        <v>0</v>
      </c>
      <c r="AU1665" s="11">
        <v>1</v>
      </c>
      <c r="AV1665" s="11">
        <v>1</v>
      </c>
      <c r="AW1665" s="11">
        <v>0</v>
      </c>
      <c r="AX1665" s="11">
        <v>0</v>
      </c>
      <c r="AY1665" s="11">
        <v>0</v>
      </c>
      <c r="AZ1665" s="12" t="s">
        <v>4910</v>
      </c>
      <c r="BA1665" s="12" t="s">
        <v>4911</v>
      </c>
      <c r="BB1665" s="12">
        <v>0</v>
      </c>
      <c r="BC1665" s="12">
        <v>0</v>
      </c>
      <c r="BD1665" s="12">
        <v>0</v>
      </c>
      <c r="BE1665" s="12">
        <v>0</v>
      </c>
      <c r="BF1665" s="12">
        <v>0</v>
      </c>
      <c r="BI1665" t="e">
        <f t="shared" si="2"/>
        <v>#DIV/0!</v>
      </c>
      <c r="BJ1665" t="e">
        <f t="shared" si="3"/>
        <v>#DIV/0!</v>
      </c>
    </row>
    <row r="1666" spans="1:62" x14ac:dyDescent="0.15">
      <c r="A1666" s="7" t="s">
        <v>4604</v>
      </c>
      <c r="C1666" s="7" t="s">
        <v>4605</v>
      </c>
      <c r="D1666" s="8" t="s">
        <v>7095</v>
      </c>
      <c r="E1666" s="9" t="s">
        <v>7963</v>
      </c>
      <c r="F1666" s="9" t="s">
        <v>4609</v>
      </c>
      <c r="G1666" s="9" t="s">
        <v>4610</v>
      </c>
      <c r="H1666" s="9" t="s">
        <v>4611</v>
      </c>
      <c r="J1666" s="9" t="s">
        <v>4614</v>
      </c>
      <c r="K1666" s="9" t="s">
        <v>4615</v>
      </c>
      <c r="L1666" s="10">
        <v>4204756</v>
      </c>
      <c r="M1666" s="10">
        <v>762394</v>
      </c>
      <c r="N1666" s="11">
        <v>15</v>
      </c>
      <c r="O1666" s="11" t="s">
        <v>4871</v>
      </c>
      <c r="P1666" s="7" t="s">
        <v>4369</v>
      </c>
      <c r="Q1666" s="9" t="s">
        <v>5322</v>
      </c>
      <c r="S1666" s="9" t="s">
        <v>4370</v>
      </c>
      <c r="T1666" s="9" t="s">
        <v>4902</v>
      </c>
      <c r="U1666" s="12" t="s">
        <v>4902</v>
      </c>
      <c r="V1666" s="12" t="s">
        <v>4902</v>
      </c>
      <c r="W1666" s="12" t="s">
        <v>4902</v>
      </c>
      <c r="X1666" s="12" t="s">
        <v>4902</v>
      </c>
      <c r="Y1666" s="12" t="s">
        <v>4902</v>
      </c>
      <c r="Z1666" s="11" t="s">
        <v>4902</v>
      </c>
      <c r="AA1666" s="11" t="s">
        <v>4902</v>
      </c>
      <c r="AB1666" s="11" t="s">
        <v>4902</v>
      </c>
      <c r="AC1666" s="11" t="s">
        <v>4902</v>
      </c>
      <c r="AD1666" s="11" t="s">
        <v>4902</v>
      </c>
      <c r="AE1666" s="11" t="s">
        <v>4902</v>
      </c>
      <c r="AF1666" s="11" t="s">
        <v>4902</v>
      </c>
      <c r="AG1666" s="11" t="s">
        <v>4902</v>
      </c>
      <c r="AH1666" s="9" t="s">
        <v>4371</v>
      </c>
      <c r="AI1666" s="11">
        <v>8</v>
      </c>
      <c r="AJ1666" s="11">
        <v>1</v>
      </c>
      <c r="AK1666" s="11">
        <v>1</v>
      </c>
      <c r="AL1666" s="11">
        <v>0</v>
      </c>
      <c r="AN1666" s="11">
        <v>0</v>
      </c>
      <c r="AO1666" s="11">
        <v>0</v>
      </c>
      <c r="AP1666" s="11">
        <v>0</v>
      </c>
      <c r="AQ1666" s="11">
        <v>0</v>
      </c>
      <c r="AR1666" s="11">
        <v>1</v>
      </c>
      <c r="AS1666" s="11">
        <v>0</v>
      </c>
      <c r="AT1666" s="11">
        <v>0</v>
      </c>
      <c r="AU1666" s="11">
        <v>0</v>
      </c>
      <c r="AV1666" s="11">
        <v>0</v>
      </c>
      <c r="AW1666" s="11">
        <v>0</v>
      </c>
      <c r="AX1666" s="11">
        <v>0</v>
      </c>
      <c r="AY1666" s="11">
        <v>0</v>
      </c>
      <c r="AZ1666" s="12" t="s">
        <v>4372</v>
      </c>
      <c r="BA1666" s="12" t="s">
        <v>4372</v>
      </c>
      <c r="BB1666" s="12">
        <v>0</v>
      </c>
      <c r="BC1666" s="12">
        <v>0</v>
      </c>
      <c r="BD1666" s="12">
        <v>15</v>
      </c>
      <c r="BE1666" s="12">
        <v>0</v>
      </c>
      <c r="BF1666" s="12">
        <v>0</v>
      </c>
      <c r="BI1666" t="e">
        <f t="shared" si="2"/>
        <v>#DIV/0!</v>
      </c>
      <c r="BJ1666" t="e">
        <f t="shared" si="3"/>
        <v>#DIV/0!</v>
      </c>
    </row>
    <row r="1667" spans="1:62" x14ac:dyDescent="0.15">
      <c r="A1667" s="7" t="s">
        <v>4373</v>
      </c>
      <c r="C1667" s="7" t="s">
        <v>4374</v>
      </c>
      <c r="D1667" s="8" t="s">
        <v>7095</v>
      </c>
      <c r="E1667" s="9" t="s">
        <v>7963</v>
      </c>
      <c r="F1667" s="9" t="s">
        <v>4609</v>
      </c>
      <c r="G1667" s="9" t="s">
        <v>8374</v>
      </c>
      <c r="J1667" s="9" t="s">
        <v>7083</v>
      </c>
      <c r="K1667" s="9" t="s">
        <v>7084</v>
      </c>
      <c r="L1667" s="10">
        <v>4194773</v>
      </c>
      <c r="M1667" s="10">
        <v>246874</v>
      </c>
      <c r="N1667" s="11">
        <v>16</v>
      </c>
      <c r="O1667" s="11" t="s">
        <v>4871</v>
      </c>
      <c r="P1667" s="7" t="s">
        <v>7086</v>
      </c>
      <c r="Q1667" s="9" t="s">
        <v>5322</v>
      </c>
      <c r="S1667" s="9" t="s">
        <v>7085</v>
      </c>
      <c r="T1667" s="9" t="s">
        <v>4902</v>
      </c>
      <c r="U1667" s="12" t="s">
        <v>4902</v>
      </c>
      <c r="V1667" s="12" t="s">
        <v>4902</v>
      </c>
      <c r="W1667" s="12" t="s">
        <v>4902</v>
      </c>
      <c r="X1667" s="12" t="s">
        <v>4902</v>
      </c>
      <c r="Y1667" s="12" t="s">
        <v>4902</v>
      </c>
      <c r="Z1667" s="11" t="s">
        <v>4902</v>
      </c>
      <c r="AA1667" s="11" t="s">
        <v>4902</v>
      </c>
      <c r="AB1667" s="11" t="s">
        <v>4902</v>
      </c>
      <c r="AC1667" s="11" t="s">
        <v>4902</v>
      </c>
      <c r="AD1667" s="11" t="s">
        <v>4902</v>
      </c>
      <c r="AE1667" s="11" t="s">
        <v>4902</v>
      </c>
      <c r="AF1667" s="11" t="s">
        <v>4902</v>
      </c>
      <c r="AG1667" s="11" t="s">
        <v>4902</v>
      </c>
      <c r="AH1667" s="9" t="s">
        <v>4909</v>
      </c>
      <c r="AI1667" s="11">
        <v>1</v>
      </c>
      <c r="AJ1667" s="11">
        <v>1</v>
      </c>
      <c r="AK1667" s="11">
        <v>0</v>
      </c>
      <c r="AL1667" s="11">
        <v>0</v>
      </c>
      <c r="AN1667" s="11">
        <v>0</v>
      </c>
      <c r="AO1667" s="11">
        <v>0</v>
      </c>
      <c r="AP1667" s="11">
        <v>0</v>
      </c>
      <c r="AQ1667" s="11">
        <v>0</v>
      </c>
      <c r="AR1667" s="11">
        <v>1</v>
      </c>
      <c r="AS1667" s="11">
        <v>0</v>
      </c>
      <c r="AT1667" s="11">
        <v>0</v>
      </c>
      <c r="AU1667" s="11">
        <v>0</v>
      </c>
      <c r="AV1667" s="11">
        <v>0</v>
      </c>
      <c r="AW1667" s="11">
        <v>0</v>
      </c>
      <c r="AX1667" s="11">
        <v>0</v>
      </c>
      <c r="AY1667" s="11">
        <v>1</v>
      </c>
      <c r="BB1667" s="12">
        <v>0</v>
      </c>
      <c r="BC1667" s="12">
        <v>0</v>
      </c>
      <c r="BD1667" s="12">
        <v>8</v>
      </c>
      <c r="BE1667" s="12">
        <v>0</v>
      </c>
      <c r="BF1667" s="12">
        <f>(50^2)*PI()</f>
        <v>7853.981633974483</v>
      </c>
      <c r="BI1667">
        <f t="shared" si="2"/>
        <v>1.0185916357881302E-3</v>
      </c>
      <c r="BJ1667">
        <f t="shared" si="3"/>
        <v>10.185916357881302</v>
      </c>
    </row>
    <row r="1668" spans="1:62" x14ac:dyDescent="0.15">
      <c r="A1668" s="7" t="s">
        <v>7077</v>
      </c>
      <c r="C1668" s="7" t="s">
        <v>7078</v>
      </c>
      <c r="D1668" s="8" t="s">
        <v>7095</v>
      </c>
      <c r="E1668" s="9" t="s">
        <v>7963</v>
      </c>
      <c r="F1668" s="9" t="s">
        <v>4609</v>
      </c>
      <c r="G1668" s="9" t="s">
        <v>8374</v>
      </c>
      <c r="L1668" s="10">
        <v>4198591</v>
      </c>
      <c r="M1668" s="10">
        <v>238084</v>
      </c>
      <c r="N1668" s="11">
        <v>16</v>
      </c>
      <c r="O1668" s="11" t="s">
        <v>4871</v>
      </c>
      <c r="P1668" s="7" t="s">
        <v>7088</v>
      </c>
      <c r="S1668" s="9" t="s">
        <v>7087</v>
      </c>
      <c r="T1668" s="9" t="s">
        <v>4902</v>
      </c>
      <c r="U1668" s="12" t="s">
        <v>4902</v>
      </c>
      <c r="V1668" s="12" t="s">
        <v>4902</v>
      </c>
      <c r="W1668" s="12" t="s">
        <v>4902</v>
      </c>
      <c r="X1668" s="12" t="s">
        <v>4902</v>
      </c>
      <c r="Y1668" s="12" t="s">
        <v>4902</v>
      </c>
      <c r="Z1668" s="11" t="s">
        <v>4902</v>
      </c>
      <c r="AA1668" s="11" t="s">
        <v>4902</v>
      </c>
      <c r="AB1668" s="11" t="s">
        <v>4902</v>
      </c>
      <c r="AC1668" s="11" t="s">
        <v>4902</v>
      </c>
      <c r="AD1668" s="11" t="s">
        <v>4902</v>
      </c>
      <c r="AE1668" s="11" t="s">
        <v>4902</v>
      </c>
      <c r="AF1668" s="11" t="s">
        <v>4902</v>
      </c>
      <c r="AG1668" s="11" t="s">
        <v>4902</v>
      </c>
      <c r="AH1668" s="9" t="s">
        <v>4878</v>
      </c>
      <c r="AI1668" s="11">
        <v>0</v>
      </c>
      <c r="AJ1668" s="11">
        <v>0</v>
      </c>
      <c r="AK1668" s="11">
        <v>0</v>
      </c>
      <c r="AL1668" s="11">
        <v>0</v>
      </c>
      <c r="AN1668" s="11">
        <v>0</v>
      </c>
      <c r="AO1668" s="11">
        <v>0</v>
      </c>
      <c r="AP1668" s="11">
        <v>0</v>
      </c>
      <c r="AQ1668" s="11">
        <v>0</v>
      </c>
      <c r="AR1668" s="11">
        <v>0</v>
      </c>
      <c r="AS1668" s="11">
        <v>0</v>
      </c>
      <c r="AT1668" s="11">
        <v>0</v>
      </c>
      <c r="AU1668" s="11">
        <v>0</v>
      </c>
      <c r="AV1668" s="11">
        <v>0</v>
      </c>
      <c r="AW1668" s="11">
        <v>0</v>
      </c>
      <c r="AX1668" s="11">
        <v>0</v>
      </c>
      <c r="AY1668" s="11">
        <v>0</v>
      </c>
      <c r="BB1668" s="12">
        <v>0</v>
      </c>
      <c r="BC1668" s="12">
        <v>0</v>
      </c>
      <c r="BD1668" s="12">
        <v>0</v>
      </c>
      <c r="BE1668" s="12">
        <v>0</v>
      </c>
      <c r="BF1668" s="12">
        <v>0</v>
      </c>
      <c r="BG1668" s="12"/>
      <c r="BI1668" s="12">
        <v>0</v>
      </c>
      <c r="BJ1668" s="12">
        <v>0</v>
      </c>
    </row>
    <row r="1669" spans="1:62" x14ac:dyDescent="0.15">
      <c r="A1669" s="7" t="s">
        <v>7079</v>
      </c>
      <c r="C1669" s="7" t="s">
        <v>7080</v>
      </c>
      <c r="D1669" s="8" t="s">
        <v>7095</v>
      </c>
      <c r="E1669" s="9" t="s">
        <v>7963</v>
      </c>
      <c r="F1669" s="9" t="s">
        <v>4609</v>
      </c>
      <c r="G1669" s="9" t="s">
        <v>8374</v>
      </c>
      <c r="L1669" s="10">
        <v>4201176</v>
      </c>
      <c r="M1669" s="10">
        <v>236508</v>
      </c>
      <c r="N1669" s="11">
        <v>16</v>
      </c>
      <c r="O1669" s="11" t="s">
        <v>6992</v>
      </c>
      <c r="P1669" s="7" t="s">
        <v>7089</v>
      </c>
      <c r="S1669" s="9" t="s">
        <v>7090</v>
      </c>
      <c r="T1669" s="9" t="s">
        <v>4902</v>
      </c>
      <c r="U1669" s="12" t="s">
        <v>4902</v>
      </c>
      <c r="V1669" s="12" t="s">
        <v>4902</v>
      </c>
      <c r="W1669" s="12" t="s">
        <v>4902</v>
      </c>
      <c r="X1669" s="12" t="s">
        <v>4902</v>
      </c>
      <c r="Y1669" s="12" t="s">
        <v>4902</v>
      </c>
      <c r="Z1669" s="11" t="s">
        <v>4902</v>
      </c>
      <c r="AA1669" s="11" t="s">
        <v>4902</v>
      </c>
      <c r="AB1669" s="11" t="s">
        <v>4902</v>
      </c>
      <c r="AC1669" s="11" t="s">
        <v>4902</v>
      </c>
      <c r="AD1669" s="11" t="s">
        <v>4902</v>
      </c>
      <c r="AE1669" s="11" t="s">
        <v>4902</v>
      </c>
      <c r="AF1669" s="11" t="s">
        <v>4902</v>
      </c>
      <c r="AG1669" s="11" t="s">
        <v>4902</v>
      </c>
      <c r="AH1669" s="9" t="s">
        <v>8248</v>
      </c>
      <c r="AI1669" s="11">
        <v>1</v>
      </c>
      <c r="AJ1669" s="11">
        <v>1</v>
      </c>
      <c r="AK1669" s="11">
        <v>1</v>
      </c>
      <c r="AL1669" s="11">
        <v>0</v>
      </c>
      <c r="AN1669" s="11">
        <v>0</v>
      </c>
      <c r="AO1669" s="11">
        <v>0</v>
      </c>
      <c r="AP1669" s="11">
        <v>0</v>
      </c>
      <c r="AQ1669" s="11">
        <v>0</v>
      </c>
      <c r="AR1669" s="11">
        <v>1</v>
      </c>
      <c r="AS1669" s="11">
        <v>0</v>
      </c>
      <c r="AT1669" s="11">
        <v>1</v>
      </c>
      <c r="AU1669" s="11">
        <v>0</v>
      </c>
      <c r="AV1669" s="11">
        <v>0</v>
      </c>
      <c r="AW1669" s="11">
        <v>0</v>
      </c>
      <c r="AX1669" s="11">
        <v>0</v>
      </c>
      <c r="AY1669" s="11">
        <v>1</v>
      </c>
      <c r="BB1669" s="12">
        <v>0</v>
      </c>
      <c r="BC1669" s="12">
        <v>0</v>
      </c>
      <c r="BD1669" s="12">
        <v>0</v>
      </c>
      <c r="BE1669" s="12">
        <v>0</v>
      </c>
      <c r="BF1669" s="12">
        <v>0</v>
      </c>
      <c r="BI1669" s="12">
        <v>0</v>
      </c>
      <c r="BJ1669" s="12">
        <v>0</v>
      </c>
    </row>
    <row r="1670" spans="1:62" x14ac:dyDescent="0.15">
      <c r="A1670" s="7" t="s">
        <v>7081</v>
      </c>
      <c r="C1670" s="7" t="s">
        <v>7082</v>
      </c>
      <c r="D1670" s="8" t="s">
        <v>7095</v>
      </c>
      <c r="E1670" s="9" t="s">
        <v>7963</v>
      </c>
      <c r="F1670" s="9" t="s">
        <v>4609</v>
      </c>
      <c r="G1670" s="9" t="s">
        <v>8374</v>
      </c>
      <c r="L1670" s="10">
        <v>4195720</v>
      </c>
      <c r="M1670" s="10">
        <v>241580</v>
      </c>
      <c r="N1670" s="11">
        <v>16</v>
      </c>
      <c r="O1670" s="11" t="s">
        <v>6992</v>
      </c>
      <c r="P1670" s="7" t="s">
        <v>7089</v>
      </c>
      <c r="S1670" s="9" t="s">
        <v>7090</v>
      </c>
      <c r="T1670" s="9" t="s">
        <v>4902</v>
      </c>
      <c r="U1670" s="12" t="s">
        <v>4902</v>
      </c>
      <c r="V1670" s="12" t="s">
        <v>4902</v>
      </c>
      <c r="W1670" s="12" t="s">
        <v>4902</v>
      </c>
      <c r="X1670" s="12" t="s">
        <v>4902</v>
      </c>
      <c r="Y1670" s="12" t="s">
        <v>4902</v>
      </c>
      <c r="Z1670" s="11" t="s">
        <v>4902</v>
      </c>
      <c r="AA1670" s="11" t="s">
        <v>4902</v>
      </c>
      <c r="AB1670" s="11" t="s">
        <v>4902</v>
      </c>
      <c r="AC1670" s="11" t="s">
        <v>4902</v>
      </c>
      <c r="AD1670" s="11" t="s">
        <v>4902</v>
      </c>
      <c r="AE1670" s="11" t="s">
        <v>4902</v>
      </c>
      <c r="AF1670" s="11" t="s">
        <v>4902</v>
      </c>
      <c r="AG1670" s="11" t="s">
        <v>4902</v>
      </c>
      <c r="AH1670" s="9" t="s">
        <v>8248</v>
      </c>
      <c r="AI1670" s="11">
        <v>1</v>
      </c>
      <c r="AJ1670" s="11">
        <v>1</v>
      </c>
      <c r="AK1670" s="11">
        <v>1</v>
      </c>
      <c r="AL1670" s="11">
        <v>0</v>
      </c>
      <c r="AN1670" s="11">
        <v>0</v>
      </c>
      <c r="AO1670" s="11">
        <v>0</v>
      </c>
      <c r="AP1670" s="11">
        <v>0</v>
      </c>
      <c r="AQ1670" s="11">
        <v>0</v>
      </c>
      <c r="AR1670" s="11">
        <v>1</v>
      </c>
      <c r="AS1670" s="11">
        <v>0</v>
      </c>
      <c r="AT1670" s="11">
        <v>1</v>
      </c>
      <c r="AU1670" s="11">
        <v>0</v>
      </c>
      <c r="AV1670" s="11">
        <v>0</v>
      </c>
      <c r="AW1670" s="11">
        <v>0</v>
      </c>
      <c r="AX1670" s="11">
        <v>0</v>
      </c>
      <c r="AY1670" s="11">
        <v>1</v>
      </c>
      <c r="BB1670" s="12">
        <v>0</v>
      </c>
      <c r="BC1670" s="12">
        <v>0</v>
      </c>
      <c r="BD1670" s="12">
        <v>0</v>
      </c>
      <c r="BE1670" s="12">
        <v>0</v>
      </c>
      <c r="BF1670" s="12">
        <v>0</v>
      </c>
      <c r="BI1670" s="12">
        <v>0</v>
      </c>
      <c r="BJ1670" s="12">
        <v>0</v>
      </c>
    </row>
    <row r="1671" spans="1:62" x14ac:dyDescent="0.15">
      <c r="A1671" s="7" t="s">
        <v>7091</v>
      </c>
      <c r="C1671" s="7" t="s">
        <v>7093</v>
      </c>
      <c r="D1671" s="8" t="s">
        <v>7095</v>
      </c>
      <c r="E1671" s="9" t="s">
        <v>7963</v>
      </c>
      <c r="F1671" s="9" t="s">
        <v>4609</v>
      </c>
      <c r="G1671" s="9" t="s">
        <v>7096</v>
      </c>
      <c r="I1671" s="9" t="s">
        <v>7098</v>
      </c>
      <c r="J1671" s="9" t="s">
        <v>7100</v>
      </c>
      <c r="K1671" s="9" t="s">
        <v>7101</v>
      </c>
      <c r="L1671" s="10">
        <v>4126819</v>
      </c>
      <c r="M1671" s="10">
        <v>266159</v>
      </c>
      <c r="N1671" s="11">
        <v>16</v>
      </c>
      <c r="O1671" s="11" t="s">
        <v>6992</v>
      </c>
      <c r="P1671" s="7" t="s">
        <v>7102</v>
      </c>
      <c r="S1671" s="9" t="s">
        <v>7095</v>
      </c>
      <c r="T1671" s="9" t="s">
        <v>4902</v>
      </c>
      <c r="U1671" s="12" t="s">
        <v>4902</v>
      </c>
      <c r="V1671" s="12" t="s">
        <v>4902</v>
      </c>
      <c r="W1671" s="12" t="s">
        <v>4902</v>
      </c>
      <c r="X1671" s="12" t="s">
        <v>4902</v>
      </c>
      <c r="Y1671" s="12" t="s">
        <v>4902</v>
      </c>
      <c r="Z1671" s="11" t="s">
        <v>4902</v>
      </c>
      <c r="AA1671" s="11" t="s">
        <v>4902</v>
      </c>
      <c r="AB1671" s="11" t="s">
        <v>4902</v>
      </c>
      <c r="AC1671" s="11" t="s">
        <v>4902</v>
      </c>
      <c r="AD1671" s="11" t="s">
        <v>4902</v>
      </c>
      <c r="AE1671" s="11" t="s">
        <v>4902</v>
      </c>
      <c r="AF1671" s="11" t="s">
        <v>4902</v>
      </c>
      <c r="AG1671" s="11" t="s">
        <v>4902</v>
      </c>
      <c r="AH1671" s="9" t="s">
        <v>4878</v>
      </c>
      <c r="AI1671" s="11">
        <v>0</v>
      </c>
      <c r="AJ1671" s="11">
        <v>0</v>
      </c>
      <c r="AK1671" s="11">
        <v>0</v>
      </c>
      <c r="AL1671" s="11">
        <v>0</v>
      </c>
      <c r="AN1671" s="11">
        <v>0</v>
      </c>
      <c r="AO1671" s="11">
        <v>0</v>
      </c>
      <c r="AP1671" s="11">
        <v>0</v>
      </c>
      <c r="AQ1671" s="11">
        <v>0</v>
      </c>
      <c r="AR1671" s="11">
        <v>0</v>
      </c>
      <c r="AS1671" s="11">
        <v>0</v>
      </c>
      <c r="AT1671" s="11">
        <v>0</v>
      </c>
      <c r="AU1671" s="11">
        <v>0</v>
      </c>
      <c r="AV1671" s="11">
        <v>0</v>
      </c>
      <c r="AW1671" s="11">
        <v>0</v>
      </c>
      <c r="AX1671" s="11">
        <v>0</v>
      </c>
      <c r="AY1671" s="11">
        <v>0</v>
      </c>
      <c r="BB1671" s="12">
        <v>0</v>
      </c>
      <c r="BC1671" s="12">
        <v>0</v>
      </c>
      <c r="BD1671" s="12">
        <v>0</v>
      </c>
      <c r="BE1671" s="12">
        <v>0</v>
      </c>
      <c r="BF1671" s="12">
        <v>0</v>
      </c>
      <c r="BI1671" s="12">
        <v>0</v>
      </c>
      <c r="BJ1671" s="12">
        <v>0</v>
      </c>
    </row>
    <row r="1672" spans="1:62" x14ac:dyDescent="0.15">
      <c r="A1672" s="7" t="s">
        <v>7092</v>
      </c>
      <c r="C1672" s="7" t="s">
        <v>7094</v>
      </c>
      <c r="D1672" s="8" t="s">
        <v>7095</v>
      </c>
      <c r="E1672" s="9" t="s">
        <v>7963</v>
      </c>
      <c r="F1672" s="9" t="s">
        <v>4609</v>
      </c>
      <c r="G1672" s="9" t="s">
        <v>7096</v>
      </c>
      <c r="I1672" s="9" t="s">
        <v>7103</v>
      </c>
      <c r="J1672" s="9" t="s">
        <v>7100</v>
      </c>
      <c r="K1672" s="9" t="s">
        <v>7101</v>
      </c>
      <c r="L1672" s="10">
        <v>4126217</v>
      </c>
      <c r="M1672" s="10">
        <v>264915</v>
      </c>
      <c r="N1672" s="11">
        <v>16</v>
      </c>
      <c r="O1672" s="11" t="s">
        <v>6992</v>
      </c>
      <c r="P1672" s="7" t="s">
        <v>7104</v>
      </c>
      <c r="S1672" s="9" t="s">
        <v>7095</v>
      </c>
      <c r="T1672" s="9" t="s">
        <v>4902</v>
      </c>
      <c r="U1672" s="12" t="s">
        <v>4902</v>
      </c>
      <c r="V1672" s="12" t="s">
        <v>4902</v>
      </c>
      <c r="W1672" s="12" t="s">
        <v>4902</v>
      </c>
      <c r="X1672" s="12" t="s">
        <v>4902</v>
      </c>
      <c r="Y1672" s="12" t="s">
        <v>4902</v>
      </c>
      <c r="Z1672" s="11" t="s">
        <v>4902</v>
      </c>
      <c r="AA1672" s="11" t="s">
        <v>4902</v>
      </c>
      <c r="AB1672" s="11" t="s">
        <v>4902</v>
      </c>
      <c r="AC1672" s="11" t="s">
        <v>4902</v>
      </c>
      <c r="AD1672" s="11" t="s">
        <v>4902</v>
      </c>
      <c r="AE1672" s="11" t="s">
        <v>4902</v>
      </c>
      <c r="AF1672" s="11" t="s">
        <v>4902</v>
      </c>
      <c r="AG1672" s="11" t="s">
        <v>4902</v>
      </c>
      <c r="AH1672" s="9" t="s">
        <v>4878</v>
      </c>
      <c r="AI1672" s="11">
        <v>0</v>
      </c>
      <c r="AJ1672" s="11">
        <v>0</v>
      </c>
      <c r="AK1672" s="11">
        <v>0</v>
      </c>
      <c r="AL1672" s="11">
        <v>0</v>
      </c>
      <c r="AN1672" s="11">
        <v>0</v>
      </c>
      <c r="AO1672" s="11">
        <v>0</v>
      </c>
      <c r="AP1672" s="11">
        <v>0</v>
      </c>
      <c r="AQ1672" s="11">
        <v>0</v>
      </c>
      <c r="AR1672" s="11">
        <v>0</v>
      </c>
      <c r="AS1672" s="11">
        <v>0</v>
      </c>
      <c r="AT1672" s="11">
        <v>0</v>
      </c>
      <c r="AU1672" s="11">
        <v>0</v>
      </c>
      <c r="AV1672" s="11">
        <v>0</v>
      </c>
      <c r="AW1672" s="11">
        <v>0</v>
      </c>
      <c r="AX1672" s="11">
        <v>0</v>
      </c>
      <c r="AY1672" s="11">
        <v>0</v>
      </c>
      <c r="BB1672" s="12">
        <v>0</v>
      </c>
      <c r="BC1672" s="12">
        <v>0</v>
      </c>
      <c r="BD1672" s="12">
        <v>0</v>
      </c>
      <c r="BE1672" s="12">
        <v>0</v>
      </c>
      <c r="BF1672" s="12">
        <v>0</v>
      </c>
      <c r="BI1672" s="12">
        <v>0</v>
      </c>
      <c r="BJ1672" s="12">
        <v>0</v>
      </c>
    </row>
    <row r="1673" spans="1:62" x14ac:dyDescent="0.15">
      <c r="A1673" s="7" t="s">
        <v>7105</v>
      </c>
      <c r="C1673" s="7" t="s">
        <v>7106</v>
      </c>
      <c r="D1673" s="8" t="s">
        <v>7095</v>
      </c>
      <c r="E1673" s="9" t="s">
        <v>7963</v>
      </c>
      <c r="F1673" s="9" t="s">
        <v>4609</v>
      </c>
      <c r="G1673" s="9" t="s">
        <v>7096</v>
      </c>
      <c r="L1673" s="10">
        <v>4129060</v>
      </c>
      <c r="M1673" s="10">
        <v>275208</v>
      </c>
      <c r="N1673" s="11">
        <v>16</v>
      </c>
      <c r="O1673" s="11" t="s">
        <v>6992</v>
      </c>
      <c r="P1673" s="7" t="s">
        <v>7107</v>
      </c>
      <c r="S1673" s="9" t="s">
        <v>7095</v>
      </c>
      <c r="T1673" s="9" t="s">
        <v>4902</v>
      </c>
      <c r="U1673" s="12" t="s">
        <v>4902</v>
      </c>
      <c r="V1673" s="12" t="s">
        <v>4902</v>
      </c>
      <c r="W1673" s="12" t="s">
        <v>4902</v>
      </c>
      <c r="X1673" s="12" t="s">
        <v>4902</v>
      </c>
      <c r="Y1673" s="12" t="s">
        <v>4902</v>
      </c>
      <c r="Z1673" s="11" t="s">
        <v>4902</v>
      </c>
      <c r="AA1673" s="11" t="s">
        <v>4902</v>
      </c>
      <c r="AB1673" s="11" t="s">
        <v>4902</v>
      </c>
      <c r="AC1673" s="11" t="s">
        <v>4902</v>
      </c>
      <c r="AD1673" s="11" t="s">
        <v>4902</v>
      </c>
      <c r="AE1673" s="11" t="s">
        <v>4902</v>
      </c>
      <c r="AF1673" s="11" t="s">
        <v>4902</v>
      </c>
      <c r="AG1673" s="11" t="s">
        <v>4902</v>
      </c>
      <c r="AH1673" s="9" t="s">
        <v>4878</v>
      </c>
      <c r="AI1673" s="11">
        <v>0</v>
      </c>
      <c r="AJ1673" s="11">
        <v>0</v>
      </c>
      <c r="AK1673" s="11">
        <v>0</v>
      </c>
      <c r="AL1673" s="11">
        <v>0</v>
      </c>
      <c r="AN1673" s="11">
        <v>0</v>
      </c>
      <c r="AO1673" s="11">
        <v>0</v>
      </c>
      <c r="AP1673" s="11">
        <v>0</v>
      </c>
      <c r="AQ1673" s="11">
        <v>0</v>
      </c>
      <c r="AR1673" s="11">
        <v>0</v>
      </c>
      <c r="AS1673" s="11">
        <v>0</v>
      </c>
      <c r="AT1673" s="11">
        <v>0</v>
      </c>
      <c r="AU1673" s="11">
        <v>0</v>
      </c>
      <c r="AV1673" s="11">
        <v>0</v>
      </c>
      <c r="AW1673" s="11">
        <v>0</v>
      </c>
      <c r="AX1673" s="11">
        <v>0</v>
      </c>
      <c r="AY1673" s="11">
        <v>0</v>
      </c>
      <c r="BB1673" s="12">
        <v>0</v>
      </c>
      <c r="BC1673" s="12">
        <v>0</v>
      </c>
      <c r="BD1673" s="12">
        <v>0</v>
      </c>
      <c r="BE1673" s="12">
        <v>0</v>
      </c>
      <c r="BF1673" s="12">
        <v>0</v>
      </c>
      <c r="BI1673" s="12">
        <v>0</v>
      </c>
      <c r="BJ1673" s="12">
        <v>0</v>
      </c>
    </row>
    <row r="1674" spans="1:62" x14ac:dyDescent="0.15">
      <c r="A1674" s="7" t="s">
        <v>7108</v>
      </c>
      <c r="C1674" s="7" t="s">
        <v>7109</v>
      </c>
      <c r="D1674" s="8" t="s">
        <v>7095</v>
      </c>
      <c r="E1674" s="9" t="s">
        <v>7963</v>
      </c>
      <c r="F1674" s="9" t="s">
        <v>4609</v>
      </c>
      <c r="G1674" s="9" t="s">
        <v>7110</v>
      </c>
      <c r="I1674" s="9" t="s">
        <v>7111</v>
      </c>
      <c r="J1674" s="9" t="s">
        <v>7112</v>
      </c>
      <c r="K1674" s="9" t="s">
        <v>4615</v>
      </c>
      <c r="L1674" s="10">
        <v>4105155</v>
      </c>
      <c r="M1674" s="10">
        <v>765852</v>
      </c>
      <c r="N1674" s="11">
        <v>15</v>
      </c>
      <c r="O1674" s="11" t="s">
        <v>6992</v>
      </c>
      <c r="P1674" s="7" t="s">
        <v>7113</v>
      </c>
      <c r="S1674" s="9" t="s">
        <v>7095</v>
      </c>
      <c r="T1674" s="9" t="s">
        <v>4902</v>
      </c>
      <c r="U1674" s="9" t="s">
        <v>4902</v>
      </c>
      <c r="V1674" s="9" t="s">
        <v>4902</v>
      </c>
      <c r="W1674" s="9" t="s">
        <v>4902</v>
      </c>
      <c r="X1674" s="9" t="s">
        <v>4902</v>
      </c>
      <c r="Y1674" s="9" t="s">
        <v>4902</v>
      </c>
      <c r="Z1674" s="9" t="s">
        <v>4902</v>
      </c>
      <c r="AA1674" s="9" t="s">
        <v>4902</v>
      </c>
      <c r="AB1674" s="9" t="s">
        <v>4902</v>
      </c>
      <c r="AC1674" s="9" t="s">
        <v>4902</v>
      </c>
      <c r="AD1674" s="9" t="s">
        <v>4902</v>
      </c>
      <c r="AE1674" s="9" t="s">
        <v>4902</v>
      </c>
      <c r="AF1674" s="9" t="s">
        <v>4902</v>
      </c>
      <c r="AG1674" s="9" t="s">
        <v>4902</v>
      </c>
      <c r="AH1674" s="9" t="s">
        <v>7114</v>
      </c>
      <c r="AI1674" s="11">
        <v>8</v>
      </c>
      <c r="AJ1674" s="11">
        <v>1</v>
      </c>
      <c r="AK1674" s="11">
        <v>1</v>
      </c>
      <c r="AL1674" s="11">
        <v>0</v>
      </c>
      <c r="AN1674" s="11">
        <v>0</v>
      </c>
      <c r="AO1674" s="11">
        <v>0</v>
      </c>
      <c r="AP1674" s="11">
        <v>0</v>
      </c>
      <c r="AQ1674" s="11">
        <v>0</v>
      </c>
      <c r="AR1674" s="11">
        <v>0</v>
      </c>
      <c r="AS1674" s="11">
        <v>0</v>
      </c>
      <c r="AT1674" s="11">
        <v>1</v>
      </c>
      <c r="AU1674" s="11">
        <v>0</v>
      </c>
      <c r="AV1674" s="11">
        <v>0</v>
      </c>
      <c r="AW1674" s="11">
        <v>0</v>
      </c>
      <c r="AX1674" s="11">
        <v>0</v>
      </c>
      <c r="AY1674" s="11">
        <v>0</v>
      </c>
      <c r="BB1674" s="12">
        <v>0</v>
      </c>
      <c r="BC1674" s="12">
        <v>0</v>
      </c>
      <c r="BD1674" s="12">
        <v>30</v>
      </c>
      <c r="BE1674" s="12">
        <v>0</v>
      </c>
      <c r="BF1674" s="12">
        <v>0</v>
      </c>
      <c r="BI1674" s="12">
        <v>0</v>
      </c>
      <c r="BJ1674" s="12">
        <v>0</v>
      </c>
    </row>
    <row r="1675" spans="1:62" x14ac:dyDescent="0.15">
      <c r="A1675" s="7" t="s">
        <v>943</v>
      </c>
      <c r="C1675" s="7" t="s">
        <v>6908</v>
      </c>
      <c r="D1675" s="8" t="s">
        <v>7095</v>
      </c>
      <c r="E1675" s="9" t="s">
        <v>7963</v>
      </c>
      <c r="F1675" s="9" t="s">
        <v>4609</v>
      </c>
      <c r="G1675" s="9" t="s">
        <v>7096</v>
      </c>
      <c r="I1675" s="9" t="s">
        <v>7103</v>
      </c>
      <c r="J1675" s="9" t="s">
        <v>7100</v>
      </c>
      <c r="K1675" s="9" t="s">
        <v>7101</v>
      </c>
      <c r="L1675" s="10">
        <v>4125436</v>
      </c>
      <c r="M1675" s="10">
        <v>264744</v>
      </c>
      <c r="N1675" s="11">
        <v>16</v>
      </c>
      <c r="O1675" s="11" t="s">
        <v>6992</v>
      </c>
      <c r="P1675" s="7" t="s">
        <v>6909</v>
      </c>
      <c r="S1675" s="9" t="s">
        <v>7095</v>
      </c>
      <c r="T1675" s="9" t="s">
        <v>4902</v>
      </c>
      <c r="U1675" s="9" t="s">
        <v>4902</v>
      </c>
      <c r="V1675" s="9" t="s">
        <v>4902</v>
      </c>
      <c r="W1675" s="9" t="s">
        <v>4902</v>
      </c>
      <c r="X1675" s="9" t="s">
        <v>4902</v>
      </c>
      <c r="Y1675" s="9" t="s">
        <v>4902</v>
      </c>
      <c r="Z1675" s="9" t="s">
        <v>4902</v>
      </c>
      <c r="AA1675" s="9" t="s">
        <v>4902</v>
      </c>
      <c r="AB1675" s="9" t="s">
        <v>4902</v>
      </c>
      <c r="AC1675" s="9" t="s">
        <v>4902</v>
      </c>
      <c r="AD1675" s="9" t="s">
        <v>4902</v>
      </c>
      <c r="AE1675" s="9" t="s">
        <v>4902</v>
      </c>
      <c r="AF1675" s="9" t="s">
        <v>4902</v>
      </c>
      <c r="AG1675" s="9" t="s">
        <v>4902</v>
      </c>
      <c r="AH1675" s="9" t="s">
        <v>8248</v>
      </c>
      <c r="AI1675" s="11">
        <v>2</v>
      </c>
      <c r="AJ1675" s="11">
        <v>1</v>
      </c>
      <c r="AK1675" s="11">
        <v>1</v>
      </c>
      <c r="AL1675" s="11">
        <v>0</v>
      </c>
      <c r="AN1675" s="11">
        <v>0</v>
      </c>
      <c r="AO1675" s="11">
        <v>0</v>
      </c>
      <c r="AP1675" s="11">
        <v>0</v>
      </c>
      <c r="AQ1675" s="11">
        <v>0</v>
      </c>
      <c r="AR1675" s="11">
        <v>0</v>
      </c>
      <c r="AS1675" s="11">
        <v>0</v>
      </c>
      <c r="AT1675" s="11">
        <v>1</v>
      </c>
      <c r="AU1675" s="11">
        <v>0</v>
      </c>
      <c r="AV1675" s="11">
        <v>0</v>
      </c>
      <c r="AW1675" s="11">
        <v>0</v>
      </c>
      <c r="AX1675" s="11">
        <v>0</v>
      </c>
      <c r="AY1675" s="11">
        <v>0</v>
      </c>
      <c r="BB1675" s="12">
        <v>0</v>
      </c>
      <c r="BC1675" s="12">
        <v>0</v>
      </c>
      <c r="BD1675" s="12">
        <v>0</v>
      </c>
      <c r="BE1675" s="12">
        <v>0</v>
      </c>
      <c r="BF1675" s="12">
        <v>0</v>
      </c>
      <c r="BI1675" s="12">
        <v>0</v>
      </c>
      <c r="BJ1675" s="12">
        <v>0</v>
      </c>
    </row>
    <row r="1676" spans="1:62" x14ac:dyDescent="0.15">
      <c r="A1676" s="7" t="s">
        <v>6907</v>
      </c>
      <c r="B1676" s="7" t="s">
        <v>6910</v>
      </c>
      <c r="C1676" s="7" t="s">
        <v>6907</v>
      </c>
      <c r="D1676" s="8" t="s">
        <v>7095</v>
      </c>
      <c r="E1676" s="9" t="s">
        <v>7963</v>
      </c>
      <c r="F1676" s="9" t="s">
        <v>4609</v>
      </c>
      <c r="G1676" s="9" t="s">
        <v>7096</v>
      </c>
      <c r="I1676" s="9" t="s">
        <v>6911</v>
      </c>
      <c r="J1676" s="9" t="s">
        <v>6912</v>
      </c>
      <c r="K1676" s="9" t="s">
        <v>6913</v>
      </c>
      <c r="L1676" s="10">
        <v>4117192</v>
      </c>
      <c r="M1676" s="10">
        <v>278048</v>
      </c>
      <c r="N1676" s="11">
        <v>16</v>
      </c>
      <c r="O1676" s="11" t="s">
        <v>6992</v>
      </c>
      <c r="P1676" s="7" t="s">
        <v>7089</v>
      </c>
      <c r="S1676" s="9" t="s">
        <v>7095</v>
      </c>
      <c r="T1676" s="9" t="s">
        <v>4902</v>
      </c>
      <c r="U1676" s="9" t="s">
        <v>4902</v>
      </c>
      <c r="V1676" s="9" t="s">
        <v>4902</v>
      </c>
      <c r="W1676" s="9" t="s">
        <v>4902</v>
      </c>
      <c r="X1676" s="9" t="s">
        <v>4902</v>
      </c>
      <c r="Y1676" s="9" t="s">
        <v>4902</v>
      </c>
      <c r="Z1676" s="9" t="s">
        <v>4902</v>
      </c>
      <c r="AA1676" s="9" t="s">
        <v>4902</v>
      </c>
      <c r="AB1676" s="9" t="s">
        <v>4902</v>
      </c>
      <c r="AC1676" s="9" t="s">
        <v>4902</v>
      </c>
      <c r="AD1676" s="9" t="s">
        <v>4902</v>
      </c>
      <c r="AE1676" s="9" t="s">
        <v>4902</v>
      </c>
      <c r="AF1676" s="9" t="s">
        <v>4902</v>
      </c>
      <c r="AG1676" s="9" t="s">
        <v>4902</v>
      </c>
      <c r="AH1676" s="9" t="s">
        <v>8248</v>
      </c>
      <c r="AI1676" s="11">
        <v>2</v>
      </c>
      <c r="AJ1676" s="11">
        <v>1</v>
      </c>
      <c r="AK1676" s="11">
        <v>1</v>
      </c>
      <c r="AL1676" s="11">
        <v>0</v>
      </c>
      <c r="AN1676" s="11">
        <v>0</v>
      </c>
      <c r="AO1676" s="11">
        <v>0</v>
      </c>
      <c r="AP1676" s="11">
        <v>0</v>
      </c>
      <c r="AQ1676" s="11">
        <v>0</v>
      </c>
      <c r="AR1676" s="11">
        <v>0</v>
      </c>
      <c r="AS1676" s="11">
        <v>0</v>
      </c>
      <c r="AT1676" s="11">
        <v>1</v>
      </c>
      <c r="AU1676" s="11">
        <v>0</v>
      </c>
      <c r="AV1676" s="11">
        <v>0</v>
      </c>
      <c r="AW1676" s="11">
        <v>0</v>
      </c>
      <c r="AX1676" s="11">
        <v>0</v>
      </c>
      <c r="AY1676" s="11">
        <v>0</v>
      </c>
      <c r="BB1676" s="12">
        <v>0</v>
      </c>
      <c r="BC1676" s="12">
        <v>0</v>
      </c>
      <c r="BD1676" s="12">
        <v>0</v>
      </c>
      <c r="BE1676" s="12">
        <v>0</v>
      </c>
      <c r="BF1676" s="12">
        <v>0</v>
      </c>
      <c r="BI1676" s="12">
        <v>0</v>
      </c>
      <c r="BJ1676" s="12">
        <v>0</v>
      </c>
    </row>
    <row r="1677" spans="1:62" x14ac:dyDescent="0.15">
      <c r="A1677" s="7" t="s">
        <v>6918</v>
      </c>
      <c r="B1677" s="7" t="s">
        <v>6920</v>
      </c>
      <c r="C1677" s="7" t="s">
        <v>6919</v>
      </c>
      <c r="D1677" s="8" t="s">
        <v>7095</v>
      </c>
      <c r="E1677" s="9" t="s">
        <v>7963</v>
      </c>
      <c r="F1677" s="9" t="s">
        <v>4609</v>
      </c>
      <c r="G1677" s="9" t="s">
        <v>6915</v>
      </c>
      <c r="I1677" s="9" t="s">
        <v>6921</v>
      </c>
      <c r="J1677" s="9" t="s">
        <v>6922</v>
      </c>
      <c r="K1677" s="9" t="s">
        <v>6923</v>
      </c>
      <c r="L1677" s="10">
        <v>4103445</v>
      </c>
      <c r="M1677" s="10">
        <v>286391</v>
      </c>
      <c r="N1677" s="11">
        <v>16</v>
      </c>
      <c r="O1677" s="11" t="s">
        <v>6992</v>
      </c>
      <c r="P1677" s="7" t="s">
        <v>6924</v>
      </c>
      <c r="S1677" s="9" t="s">
        <v>7095</v>
      </c>
      <c r="T1677" s="9" t="s">
        <v>5361</v>
      </c>
      <c r="U1677" s="9" t="s">
        <v>5018</v>
      </c>
      <c r="V1677" s="9" t="s">
        <v>5020</v>
      </c>
      <c r="W1677" s="9" t="s">
        <v>4878</v>
      </c>
      <c r="X1677" s="9" t="s">
        <v>4878</v>
      </c>
      <c r="Y1677" s="9" t="s">
        <v>4878</v>
      </c>
      <c r="Z1677" s="9" t="s">
        <v>4878</v>
      </c>
      <c r="AA1677" s="9" t="s">
        <v>4878</v>
      </c>
      <c r="AB1677" s="9" t="s">
        <v>4878</v>
      </c>
      <c r="AC1677" s="9" t="s">
        <v>4878</v>
      </c>
      <c r="AD1677" s="9" t="s">
        <v>4909</v>
      </c>
      <c r="AE1677" s="9" t="s">
        <v>4909</v>
      </c>
      <c r="AF1677" s="9" t="s">
        <v>4909</v>
      </c>
      <c r="AG1677" s="9" t="s">
        <v>4878</v>
      </c>
      <c r="AH1677" s="9" t="s">
        <v>4878</v>
      </c>
      <c r="AI1677" s="11">
        <v>0</v>
      </c>
      <c r="AJ1677" s="11">
        <v>0</v>
      </c>
      <c r="AK1677" s="11">
        <v>0</v>
      </c>
      <c r="AL1677" s="11">
        <v>0</v>
      </c>
      <c r="AN1677" s="11">
        <v>0</v>
      </c>
      <c r="AO1677" s="11">
        <v>0</v>
      </c>
      <c r="AP1677" s="11">
        <v>0</v>
      </c>
      <c r="AQ1677" s="11">
        <v>0</v>
      </c>
      <c r="AR1677" s="11">
        <v>0</v>
      </c>
      <c r="AS1677" s="11">
        <v>0</v>
      </c>
      <c r="AT1677" s="11">
        <v>0</v>
      </c>
      <c r="AU1677" s="11">
        <v>0</v>
      </c>
      <c r="AV1677" s="11">
        <v>0</v>
      </c>
      <c r="AW1677" s="11">
        <v>0</v>
      </c>
      <c r="AX1677" s="11">
        <v>0</v>
      </c>
      <c r="AY1677" s="11">
        <v>0</v>
      </c>
      <c r="BB1677" s="12">
        <v>0</v>
      </c>
      <c r="BC1677" s="12">
        <v>0</v>
      </c>
      <c r="BD1677" s="12">
        <v>0</v>
      </c>
      <c r="BE1677" s="12">
        <v>0</v>
      </c>
      <c r="BF1677" s="12">
        <v>0</v>
      </c>
      <c r="BI1677" s="12">
        <v>0</v>
      </c>
      <c r="BJ1677" s="12">
        <v>0</v>
      </c>
    </row>
    <row r="1678" spans="1:62" x14ac:dyDescent="0.15">
      <c r="A1678" s="7" t="s">
        <v>6925</v>
      </c>
      <c r="C1678" s="7" t="s">
        <v>6926</v>
      </c>
      <c r="D1678" s="8" t="s">
        <v>7095</v>
      </c>
      <c r="E1678" s="9" t="s">
        <v>7963</v>
      </c>
      <c r="F1678" s="9" t="s">
        <v>4609</v>
      </c>
      <c r="G1678" s="9" t="s">
        <v>6927</v>
      </c>
      <c r="I1678" s="9" t="s">
        <v>6515</v>
      </c>
      <c r="L1678" s="10">
        <v>4104506</v>
      </c>
      <c r="M1678" s="10">
        <v>292424</v>
      </c>
      <c r="N1678" s="11">
        <v>16</v>
      </c>
      <c r="O1678" s="11" t="s">
        <v>4871</v>
      </c>
      <c r="P1678" s="7" t="s">
        <v>6928</v>
      </c>
      <c r="S1678" s="9" t="s">
        <v>7095</v>
      </c>
      <c r="T1678" s="9" t="s">
        <v>4902</v>
      </c>
      <c r="U1678" s="12" t="s">
        <v>4902</v>
      </c>
      <c r="V1678" s="12" t="s">
        <v>4902</v>
      </c>
      <c r="W1678" s="12" t="s">
        <v>4902</v>
      </c>
      <c r="X1678" s="12" t="s">
        <v>4902</v>
      </c>
      <c r="Y1678" s="12" t="s">
        <v>4902</v>
      </c>
      <c r="Z1678" s="11" t="s">
        <v>4902</v>
      </c>
      <c r="AA1678" s="11" t="s">
        <v>4902</v>
      </c>
      <c r="AB1678" s="11" t="s">
        <v>4902</v>
      </c>
      <c r="AC1678" s="11" t="s">
        <v>4902</v>
      </c>
      <c r="AD1678" s="11" t="s">
        <v>4902</v>
      </c>
      <c r="AE1678" s="11" t="s">
        <v>4902</v>
      </c>
      <c r="AF1678" s="11" t="s">
        <v>4902</v>
      </c>
      <c r="AG1678" s="11" t="s">
        <v>4902</v>
      </c>
      <c r="AH1678" s="9" t="s">
        <v>4909</v>
      </c>
      <c r="AI1678" s="11">
        <v>1</v>
      </c>
      <c r="AJ1678" s="11">
        <v>1</v>
      </c>
      <c r="AK1678" s="11">
        <v>0</v>
      </c>
      <c r="AL1678" s="11">
        <v>0</v>
      </c>
      <c r="AN1678" s="11">
        <v>0</v>
      </c>
      <c r="AO1678" s="11">
        <v>0</v>
      </c>
      <c r="AP1678" s="11">
        <v>0</v>
      </c>
      <c r="AQ1678" s="11">
        <v>0</v>
      </c>
      <c r="AR1678" s="11">
        <v>0</v>
      </c>
      <c r="AS1678" s="11">
        <v>0</v>
      </c>
      <c r="AT1678" s="11">
        <v>1</v>
      </c>
      <c r="AU1678" s="11">
        <v>0</v>
      </c>
      <c r="AV1678" s="11">
        <v>0</v>
      </c>
      <c r="AW1678" s="11">
        <v>0</v>
      </c>
      <c r="AX1678" s="11">
        <v>0</v>
      </c>
      <c r="AY1678" s="11">
        <v>0</v>
      </c>
      <c r="BB1678" s="12">
        <v>0</v>
      </c>
      <c r="BC1678" s="12">
        <v>0</v>
      </c>
      <c r="BD1678" s="12">
        <v>0</v>
      </c>
      <c r="BE1678" s="12">
        <v>0</v>
      </c>
      <c r="BF1678" s="12">
        <v>0</v>
      </c>
      <c r="BI1678" s="12">
        <v>0</v>
      </c>
      <c r="BJ1678" s="12">
        <v>0</v>
      </c>
    </row>
    <row r="1679" spans="1:62" x14ac:dyDescent="0.15">
      <c r="A1679" s="7" t="s">
        <v>6929</v>
      </c>
      <c r="C1679" s="7" t="s">
        <v>6930</v>
      </c>
      <c r="D1679" s="8" t="s">
        <v>7095</v>
      </c>
      <c r="E1679" s="9" t="s">
        <v>7963</v>
      </c>
      <c r="F1679" s="9" t="s">
        <v>6931</v>
      </c>
      <c r="G1679" s="9" t="s">
        <v>6932</v>
      </c>
      <c r="L1679" s="10">
        <v>4104513</v>
      </c>
      <c r="M1679" s="10">
        <v>309372</v>
      </c>
      <c r="N1679" s="11">
        <v>16</v>
      </c>
      <c r="O1679" s="11" t="s">
        <v>4871</v>
      </c>
      <c r="P1679" s="7" t="s">
        <v>6933</v>
      </c>
      <c r="S1679" s="9" t="s">
        <v>7095</v>
      </c>
      <c r="T1679" s="9" t="s">
        <v>4902</v>
      </c>
      <c r="U1679" s="12" t="s">
        <v>4902</v>
      </c>
      <c r="V1679" s="12" t="s">
        <v>4902</v>
      </c>
      <c r="W1679" s="12" t="s">
        <v>4902</v>
      </c>
      <c r="X1679" s="12" t="s">
        <v>4902</v>
      </c>
      <c r="Y1679" s="12" t="s">
        <v>4902</v>
      </c>
      <c r="Z1679" s="11" t="s">
        <v>4902</v>
      </c>
      <c r="AA1679" s="11" t="s">
        <v>4902</v>
      </c>
      <c r="AB1679" s="11" t="s">
        <v>4902</v>
      </c>
      <c r="AC1679" s="11" t="s">
        <v>4902</v>
      </c>
      <c r="AD1679" s="11" t="s">
        <v>4902</v>
      </c>
      <c r="AE1679" s="11" t="s">
        <v>4902</v>
      </c>
      <c r="AF1679" s="11" t="s">
        <v>4902</v>
      </c>
      <c r="AG1679" s="11" t="s">
        <v>4902</v>
      </c>
      <c r="AH1679" s="9" t="s">
        <v>1083</v>
      </c>
      <c r="AI1679" s="11">
        <v>2</v>
      </c>
      <c r="AJ1679" s="11">
        <v>1</v>
      </c>
      <c r="AK1679" s="11">
        <v>1</v>
      </c>
      <c r="AL1679" s="11">
        <v>1</v>
      </c>
      <c r="AN1679" s="11">
        <v>1</v>
      </c>
      <c r="AO1679" s="11">
        <v>1</v>
      </c>
      <c r="AP1679" s="11">
        <v>0</v>
      </c>
      <c r="AQ1679" s="11">
        <v>1</v>
      </c>
      <c r="AR1679" s="11">
        <v>0</v>
      </c>
      <c r="AS1679" s="11">
        <v>0</v>
      </c>
      <c r="AT1679" s="11">
        <v>0</v>
      </c>
      <c r="AU1679" s="11">
        <v>0</v>
      </c>
      <c r="AV1679" s="11">
        <v>0</v>
      </c>
      <c r="AW1679" s="11">
        <v>0</v>
      </c>
      <c r="AX1679" s="11">
        <v>0</v>
      </c>
      <c r="AY1679" s="11">
        <v>0</v>
      </c>
      <c r="BB1679" s="12">
        <v>0</v>
      </c>
      <c r="BC1679" s="12">
        <v>0</v>
      </c>
      <c r="BD1679" s="12">
        <v>24.5</v>
      </c>
      <c r="BE1679" s="12">
        <v>0</v>
      </c>
      <c r="BF1679" s="12">
        <f>((173/2)^2)*PI()</f>
        <v>23506.18163232223</v>
      </c>
      <c r="BI1679">
        <f>BD1679/BF1679</f>
        <v>1.042279021885512E-3</v>
      </c>
      <c r="BJ1679">
        <f>BI1679*10000</f>
        <v>10.42279021885512</v>
      </c>
    </row>
    <row r="1680" spans="1:62" x14ac:dyDescent="0.15">
      <c r="A1680" s="7" t="s">
        <v>6934</v>
      </c>
      <c r="C1680" s="7" t="s">
        <v>6938</v>
      </c>
      <c r="D1680" s="8" t="s">
        <v>7095</v>
      </c>
      <c r="E1680" s="9" t="s">
        <v>7963</v>
      </c>
      <c r="F1680" s="9" t="s">
        <v>4609</v>
      </c>
      <c r="G1680" s="9" t="s">
        <v>3108</v>
      </c>
      <c r="L1680" s="10">
        <v>4073728</v>
      </c>
      <c r="M1680" s="10">
        <v>735617</v>
      </c>
      <c r="N1680" s="11">
        <v>15</v>
      </c>
      <c r="O1680" s="11" t="s">
        <v>6992</v>
      </c>
      <c r="P1680" s="7" t="s">
        <v>3109</v>
      </c>
      <c r="S1680" s="9" t="s">
        <v>7095</v>
      </c>
      <c r="T1680" s="9" t="s">
        <v>4902</v>
      </c>
      <c r="U1680" s="12" t="s">
        <v>4902</v>
      </c>
      <c r="V1680" s="12" t="s">
        <v>4902</v>
      </c>
      <c r="W1680" s="12" t="s">
        <v>4902</v>
      </c>
      <c r="X1680" s="12" t="s">
        <v>4902</v>
      </c>
      <c r="Y1680" s="12" t="s">
        <v>4902</v>
      </c>
      <c r="Z1680" s="11" t="s">
        <v>4902</v>
      </c>
      <c r="AA1680" s="11" t="s">
        <v>4902</v>
      </c>
      <c r="AB1680" s="11" t="s">
        <v>4902</v>
      </c>
      <c r="AC1680" s="11" t="s">
        <v>4902</v>
      </c>
      <c r="AD1680" s="11" t="s">
        <v>4902</v>
      </c>
      <c r="AE1680" s="11" t="s">
        <v>4902</v>
      </c>
      <c r="AF1680" s="11" t="s">
        <v>4902</v>
      </c>
      <c r="AG1680" s="11" t="s">
        <v>4902</v>
      </c>
      <c r="AH1680" s="9" t="s">
        <v>8248</v>
      </c>
      <c r="AI1680" s="11">
        <v>1</v>
      </c>
      <c r="AJ1680" s="11">
        <v>1</v>
      </c>
      <c r="AK1680" s="11">
        <v>1</v>
      </c>
      <c r="AL1680" s="11">
        <v>0</v>
      </c>
      <c r="AN1680" s="11">
        <v>0</v>
      </c>
      <c r="AO1680" s="11">
        <v>0</v>
      </c>
      <c r="AP1680" s="11">
        <v>0</v>
      </c>
      <c r="AQ1680" s="11">
        <v>0</v>
      </c>
      <c r="AR1680" s="11">
        <v>1</v>
      </c>
      <c r="AS1680" s="11">
        <v>0</v>
      </c>
      <c r="AT1680" s="11">
        <v>0</v>
      </c>
      <c r="AU1680" s="11">
        <v>0</v>
      </c>
      <c r="AV1680" s="11">
        <v>0</v>
      </c>
      <c r="AW1680" s="11">
        <v>0</v>
      </c>
      <c r="AX1680" s="11">
        <v>0</v>
      </c>
      <c r="AY1680" s="11">
        <v>0</v>
      </c>
      <c r="BB1680" s="12">
        <v>0</v>
      </c>
      <c r="BC1680" s="12">
        <v>0</v>
      </c>
      <c r="BD1680" s="12">
        <v>4</v>
      </c>
      <c r="BE1680" s="12">
        <v>0</v>
      </c>
      <c r="BF1680" s="12">
        <v>0</v>
      </c>
      <c r="BI1680" s="12">
        <v>0</v>
      </c>
      <c r="BJ1680" s="12">
        <v>0</v>
      </c>
    </row>
    <row r="1681" spans="1:62" x14ac:dyDescent="0.15">
      <c r="A1681" s="7" t="s">
        <v>6935</v>
      </c>
      <c r="C1681" s="7" t="s">
        <v>6939</v>
      </c>
      <c r="D1681" s="8" t="s">
        <v>7095</v>
      </c>
      <c r="E1681" s="9" t="s">
        <v>7963</v>
      </c>
      <c r="F1681" s="9" t="s">
        <v>4609</v>
      </c>
      <c r="G1681" s="9" t="s">
        <v>3108</v>
      </c>
      <c r="L1681" s="10">
        <v>4093240</v>
      </c>
      <c r="M1681" s="10">
        <v>738936</v>
      </c>
      <c r="N1681" s="11">
        <v>15</v>
      </c>
      <c r="O1681" s="11" t="s">
        <v>6992</v>
      </c>
      <c r="P1681" s="7" t="s">
        <v>3111</v>
      </c>
      <c r="S1681" s="9" t="s">
        <v>7095</v>
      </c>
      <c r="T1681" s="9" t="s">
        <v>4902</v>
      </c>
      <c r="U1681" s="12" t="s">
        <v>4902</v>
      </c>
      <c r="V1681" s="12" t="s">
        <v>4902</v>
      </c>
      <c r="W1681" s="12" t="s">
        <v>4902</v>
      </c>
      <c r="X1681" s="12" t="s">
        <v>4902</v>
      </c>
      <c r="Y1681" s="12" t="s">
        <v>4902</v>
      </c>
      <c r="Z1681" s="11" t="s">
        <v>4902</v>
      </c>
      <c r="AA1681" s="11" t="s">
        <v>4902</v>
      </c>
      <c r="AB1681" s="11" t="s">
        <v>4902</v>
      </c>
      <c r="AC1681" s="11" t="s">
        <v>4902</v>
      </c>
      <c r="AD1681" s="11" t="s">
        <v>4902</v>
      </c>
      <c r="AE1681" s="11" t="s">
        <v>4902</v>
      </c>
      <c r="AF1681" s="11" t="s">
        <v>4902</v>
      </c>
      <c r="AG1681" s="11" t="s">
        <v>4902</v>
      </c>
      <c r="AH1681" s="9" t="s">
        <v>4878</v>
      </c>
      <c r="AI1681" s="11">
        <v>0</v>
      </c>
      <c r="AJ1681" s="11">
        <v>0</v>
      </c>
      <c r="AK1681" s="11">
        <v>0</v>
      </c>
      <c r="AL1681" s="11">
        <v>0</v>
      </c>
      <c r="AN1681" s="11">
        <v>0</v>
      </c>
      <c r="AO1681" s="11">
        <v>0</v>
      </c>
      <c r="AP1681" s="11">
        <v>0</v>
      </c>
      <c r="AQ1681" s="11">
        <v>0</v>
      </c>
      <c r="AR1681" s="11">
        <v>0</v>
      </c>
      <c r="AS1681" s="11">
        <v>0</v>
      </c>
      <c r="AT1681" s="11">
        <v>0</v>
      </c>
      <c r="AU1681" s="11">
        <v>0</v>
      </c>
      <c r="AV1681" s="11">
        <v>0</v>
      </c>
      <c r="AW1681" s="11">
        <v>0</v>
      </c>
      <c r="AX1681" s="11">
        <v>0</v>
      </c>
      <c r="AY1681" s="11">
        <v>0</v>
      </c>
      <c r="BB1681" s="12">
        <v>0</v>
      </c>
      <c r="BC1681" s="12">
        <v>0</v>
      </c>
      <c r="BD1681" s="12">
        <v>0</v>
      </c>
      <c r="BE1681" s="12">
        <v>0</v>
      </c>
      <c r="BF1681" s="12">
        <v>0</v>
      </c>
      <c r="BI1681" s="12">
        <v>0</v>
      </c>
      <c r="BJ1681" s="12">
        <v>0</v>
      </c>
    </row>
    <row r="1682" spans="1:62" x14ac:dyDescent="0.15">
      <c r="A1682" s="7" t="s">
        <v>6936</v>
      </c>
      <c r="C1682" s="7" t="s">
        <v>6940</v>
      </c>
      <c r="D1682" s="8" t="s">
        <v>7095</v>
      </c>
      <c r="E1682" s="9" t="s">
        <v>7963</v>
      </c>
      <c r="F1682" s="9" t="s">
        <v>4609</v>
      </c>
      <c r="G1682" s="9" t="s">
        <v>3108</v>
      </c>
      <c r="L1682" s="10">
        <v>4095084</v>
      </c>
      <c r="M1682" s="10">
        <v>737884</v>
      </c>
      <c r="N1682" s="11">
        <v>15</v>
      </c>
      <c r="O1682" s="11" t="s">
        <v>6992</v>
      </c>
      <c r="P1682" s="7" t="s">
        <v>3111</v>
      </c>
      <c r="S1682" s="9" t="s">
        <v>7095</v>
      </c>
      <c r="T1682" s="9" t="s">
        <v>4902</v>
      </c>
      <c r="U1682" s="12" t="s">
        <v>4902</v>
      </c>
      <c r="V1682" s="12" t="s">
        <v>4902</v>
      </c>
      <c r="W1682" s="12" t="s">
        <v>4902</v>
      </c>
      <c r="X1682" s="12" t="s">
        <v>4902</v>
      </c>
      <c r="Y1682" s="12" t="s">
        <v>4902</v>
      </c>
      <c r="Z1682" s="11" t="s">
        <v>4902</v>
      </c>
      <c r="AA1682" s="11" t="s">
        <v>4902</v>
      </c>
      <c r="AB1682" s="11" t="s">
        <v>4902</v>
      </c>
      <c r="AC1682" s="11" t="s">
        <v>4902</v>
      </c>
      <c r="AD1682" s="11" t="s">
        <v>4902</v>
      </c>
      <c r="AE1682" s="11" t="s">
        <v>4902</v>
      </c>
      <c r="AF1682" s="11" t="s">
        <v>4902</v>
      </c>
      <c r="AG1682" s="11" t="s">
        <v>4902</v>
      </c>
      <c r="AH1682" s="9" t="s">
        <v>4878</v>
      </c>
      <c r="AI1682" s="11">
        <v>0</v>
      </c>
      <c r="AJ1682" s="11">
        <v>0</v>
      </c>
      <c r="AK1682" s="11">
        <v>0</v>
      </c>
      <c r="AL1682" s="11">
        <v>0</v>
      </c>
      <c r="AN1682" s="11">
        <v>0</v>
      </c>
      <c r="AO1682" s="11">
        <v>0</v>
      </c>
      <c r="AP1682" s="11">
        <v>0</v>
      </c>
      <c r="AQ1682" s="11">
        <v>0</v>
      </c>
      <c r="AR1682" s="11">
        <v>0</v>
      </c>
      <c r="AS1682" s="11">
        <v>0</v>
      </c>
      <c r="AT1682" s="11">
        <v>0</v>
      </c>
      <c r="AU1682" s="11">
        <v>0</v>
      </c>
      <c r="AV1682" s="11">
        <v>0</v>
      </c>
      <c r="AW1682" s="11">
        <v>0</v>
      </c>
      <c r="AX1682" s="11">
        <v>0</v>
      </c>
      <c r="AY1682" s="11">
        <v>0</v>
      </c>
      <c r="BB1682" s="12">
        <v>0</v>
      </c>
      <c r="BC1682" s="12">
        <v>0</v>
      </c>
      <c r="BD1682" s="12">
        <v>0</v>
      </c>
      <c r="BE1682" s="12">
        <v>0</v>
      </c>
      <c r="BF1682" s="12">
        <v>0</v>
      </c>
      <c r="BI1682" s="12">
        <v>0</v>
      </c>
      <c r="BJ1682" s="12">
        <v>0</v>
      </c>
    </row>
    <row r="1683" spans="1:62" x14ac:dyDescent="0.15">
      <c r="A1683" s="7" t="s">
        <v>6937</v>
      </c>
      <c r="C1683" s="7" t="s">
        <v>3107</v>
      </c>
      <c r="D1683" s="8" t="s">
        <v>7095</v>
      </c>
      <c r="E1683" s="9" t="s">
        <v>7963</v>
      </c>
      <c r="F1683" s="9" t="s">
        <v>4609</v>
      </c>
      <c r="G1683" s="9" t="s">
        <v>3108</v>
      </c>
      <c r="L1683" s="10">
        <v>4090665</v>
      </c>
      <c r="M1683" s="10">
        <v>741320</v>
      </c>
      <c r="N1683" s="11">
        <v>15</v>
      </c>
      <c r="O1683" s="11" t="s">
        <v>6992</v>
      </c>
      <c r="P1683" s="7" t="s">
        <v>3111</v>
      </c>
      <c r="S1683" s="9" t="s">
        <v>7095</v>
      </c>
      <c r="T1683" s="9" t="s">
        <v>4902</v>
      </c>
      <c r="U1683" s="12" t="s">
        <v>4902</v>
      </c>
      <c r="V1683" s="12" t="s">
        <v>4902</v>
      </c>
      <c r="W1683" s="12" t="s">
        <v>4902</v>
      </c>
      <c r="X1683" s="12" t="s">
        <v>4902</v>
      </c>
      <c r="Y1683" s="12" t="s">
        <v>4902</v>
      </c>
      <c r="Z1683" s="11" t="s">
        <v>4902</v>
      </c>
      <c r="AA1683" s="11" t="s">
        <v>4902</v>
      </c>
      <c r="AB1683" s="11" t="s">
        <v>4902</v>
      </c>
      <c r="AC1683" s="11" t="s">
        <v>4902</v>
      </c>
      <c r="AD1683" s="11" t="s">
        <v>4902</v>
      </c>
      <c r="AE1683" s="11" t="s">
        <v>4902</v>
      </c>
      <c r="AF1683" s="11" t="s">
        <v>4902</v>
      </c>
      <c r="AG1683" s="11" t="s">
        <v>4902</v>
      </c>
      <c r="AH1683" s="9" t="s">
        <v>4878</v>
      </c>
      <c r="AI1683" s="11">
        <v>0</v>
      </c>
      <c r="AJ1683" s="11">
        <v>0</v>
      </c>
      <c r="AK1683" s="11">
        <v>0</v>
      </c>
      <c r="AL1683" s="11">
        <v>0</v>
      </c>
      <c r="AN1683" s="11">
        <v>0</v>
      </c>
      <c r="AO1683" s="11">
        <v>0</v>
      </c>
      <c r="AP1683" s="11">
        <v>0</v>
      </c>
      <c r="AQ1683" s="11">
        <v>0</v>
      </c>
      <c r="AR1683" s="11">
        <v>0</v>
      </c>
      <c r="AS1683" s="11">
        <v>0</v>
      </c>
      <c r="AT1683" s="11">
        <v>0</v>
      </c>
      <c r="AU1683" s="11">
        <v>0</v>
      </c>
      <c r="AV1683" s="11">
        <v>0</v>
      </c>
      <c r="AW1683" s="11">
        <v>0</v>
      </c>
      <c r="AX1683" s="11">
        <v>0</v>
      </c>
      <c r="AY1683" s="11">
        <v>0</v>
      </c>
      <c r="BB1683" s="12">
        <v>0</v>
      </c>
      <c r="BC1683" s="12">
        <v>0</v>
      </c>
      <c r="BD1683" s="12">
        <v>0</v>
      </c>
      <c r="BE1683" s="12">
        <v>0</v>
      </c>
      <c r="BF1683" s="12">
        <v>0</v>
      </c>
      <c r="BI1683" s="12">
        <v>0</v>
      </c>
      <c r="BJ1683" s="12">
        <v>0</v>
      </c>
    </row>
    <row r="1684" spans="1:62" x14ac:dyDescent="0.15">
      <c r="A1684" s="7" t="s">
        <v>3110</v>
      </c>
      <c r="C1684" s="7" t="s">
        <v>3112</v>
      </c>
      <c r="D1684" s="8" t="s">
        <v>7095</v>
      </c>
      <c r="E1684" s="9" t="s">
        <v>7963</v>
      </c>
      <c r="F1684" s="9" t="s">
        <v>4609</v>
      </c>
      <c r="G1684" s="9" t="s">
        <v>3108</v>
      </c>
      <c r="L1684" s="10">
        <v>4076314</v>
      </c>
      <c r="M1684" s="10">
        <v>734257</v>
      </c>
      <c r="N1684" s="11">
        <v>15</v>
      </c>
      <c r="O1684" s="11" t="s">
        <v>6992</v>
      </c>
      <c r="P1684" s="7" t="s">
        <v>5023</v>
      </c>
      <c r="S1684" s="9" t="s">
        <v>7095</v>
      </c>
      <c r="T1684" s="9" t="s">
        <v>4902</v>
      </c>
      <c r="U1684" s="12" t="s">
        <v>4902</v>
      </c>
      <c r="V1684" s="12" t="s">
        <v>4902</v>
      </c>
      <c r="W1684" s="12" t="s">
        <v>4902</v>
      </c>
      <c r="X1684" s="12" t="s">
        <v>4902</v>
      </c>
      <c r="Y1684" s="12" t="s">
        <v>4902</v>
      </c>
      <c r="Z1684" s="11" t="s">
        <v>4902</v>
      </c>
      <c r="AA1684" s="11" t="s">
        <v>4902</v>
      </c>
      <c r="AB1684" s="11" t="s">
        <v>4902</v>
      </c>
      <c r="AC1684" s="11" t="s">
        <v>4902</v>
      </c>
      <c r="AD1684" s="11" t="s">
        <v>4902</v>
      </c>
      <c r="AE1684" s="11" t="s">
        <v>4902</v>
      </c>
      <c r="AF1684" s="11" t="s">
        <v>4902</v>
      </c>
      <c r="AG1684" s="11" t="s">
        <v>4902</v>
      </c>
      <c r="AH1684" s="9" t="s">
        <v>8248</v>
      </c>
      <c r="AI1684" s="11">
        <v>1</v>
      </c>
      <c r="AJ1684" s="11">
        <v>1</v>
      </c>
      <c r="AK1684" s="11">
        <v>1</v>
      </c>
      <c r="AL1684" s="11">
        <v>0</v>
      </c>
      <c r="AN1684" s="11">
        <v>0</v>
      </c>
      <c r="AO1684" s="11">
        <v>0</v>
      </c>
      <c r="AP1684" s="11">
        <v>0</v>
      </c>
      <c r="AQ1684" s="11">
        <v>0</v>
      </c>
      <c r="AR1684" s="11">
        <v>0</v>
      </c>
      <c r="AS1684" s="11">
        <v>0</v>
      </c>
      <c r="AT1684" s="11">
        <v>1</v>
      </c>
      <c r="AU1684" s="11">
        <v>0</v>
      </c>
      <c r="AV1684" s="11">
        <v>0</v>
      </c>
      <c r="AW1684" s="11">
        <v>0</v>
      </c>
      <c r="AX1684" s="11">
        <v>0</v>
      </c>
      <c r="AY1684" s="11">
        <v>0</v>
      </c>
      <c r="BB1684" s="12">
        <v>0</v>
      </c>
      <c r="BC1684" s="12">
        <v>0</v>
      </c>
      <c r="BD1684" s="12">
        <v>0</v>
      </c>
      <c r="BE1684" s="12">
        <v>0</v>
      </c>
      <c r="BF1684" s="12">
        <v>0</v>
      </c>
      <c r="BI1684" s="12">
        <v>0</v>
      </c>
      <c r="BJ1684" s="12">
        <v>0</v>
      </c>
    </row>
    <row r="1685" spans="1:62" x14ac:dyDescent="0.15">
      <c r="A1685" s="7" t="s">
        <v>3113</v>
      </c>
      <c r="C1685" s="7" t="s">
        <v>5406</v>
      </c>
      <c r="D1685" s="8" t="s">
        <v>7095</v>
      </c>
      <c r="E1685" s="9" t="s">
        <v>7963</v>
      </c>
      <c r="F1685" s="9" t="s">
        <v>4609</v>
      </c>
      <c r="G1685" s="9" t="s">
        <v>6636</v>
      </c>
      <c r="I1685" s="9" t="s">
        <v>4371</v>
      </c>
      <c r="J1685" s="9" t="s">
        <v>3130</v>
      </c>
      <c r="K1685" s="9" t="s">
        <v>7084</v>
      </c>
      <c r="L1685" s="10">
        <v>4078868</v>
      </c>
      <c r="M1685" s="10">
        <v>767528</v>
      </c>
      <c r="N1685" s="11">
        <v>15</v>
      </c>
      <c r="O1685" s="11" t="s">
        <v>6992</v>
      </c>
      <c r="P1685" s="7" t="s">
        <v>3111</v>
      </c>
      <c r="S1685" s="9" t="s">
        <v>7095</v>
      </c>
      <c r="T1685" s="9" t="s">
        <v>4902</v>
      </c>
      <c r="U1685" s="12" t="s">
        <v>4902</v>
      </c>
      <c r="V1685" s="12" t="s">
        <v>4902</v>
      </c>
      <c r="W1685" s="12" t="s">
        <v>4902</v>
      </c>
      <c r="X1685" s="12" t="s">
        <v>4902</v>
      </c>
      <c r="Y1685" s="12" t="s">
        <v>4902</v>
      </c>
      <c r="Z1685" s="11" t="s">
        <v>4902</v>
      </c>
      <c r="AA1685" s="11" t="s">
        <v>4902</v>
      </c>
      <c r="AB1685" s="11" t="s">
        <v>4902</v>
      </c>
      <c r="AC1685" s="11" t="s">
        <v>4902</v>
      </c>
      <c r="AD1685" s="11" t="s">
        <v>4902</v>
      </c>
      <c r="AE1685" s="11" t="s">
        <v>4902</v>
      </c>
      <c r="AF1685" s="11" t="s">
        <v>4902</v>
      </c>
      <c r="AG1685" s="11" t="s">
        <v>4902</v>
      </c>
      <c r="AH1685" s="9" t="s">
        <v>4878</v>
      </c>
      <c r="AI1685" s="11">
        <v>0</v>
      </c>
      <c r="AJ1685" s="11">
        <v>0</v>
      </c>
      <c r="AK1685" s="11">
        <v>0</v>
      </c>
      <c r="AL1685" s="11">
        <v>0</v>
      </c>
      <c r="AN1685" s="11">
        <v>0</v>
      </c>
      <c r="AO1685" s="11">
        <v>0</v>
      </c>
      <c r="AP1685" s="11">
        <v>0</v>
      </c>
      <c r="AQ1685" s="11">
        <v>0</v>
      </c>
      <c r="AR1685" s="11">
        <v>0</v>
      </c>
      <c r="AS1685" s="11">
        <v>0</v>
      </c>
      <c r="AT1685" s="11">
        <v>0</v>
      </c>
      <c r="AU1685" s="11">
        <v>0</v>
      </c>
      <c r="AV1685" s="11">
        <v>0</v>
      </c>
      <c r="AW1685" s="11">
        <v>0</v>
      </c>
      <c r="AX1685" s="11">
        <v>0</v>
      </c>
      <c r="AY1685" s="11">
        <v>0</v>
      </c>
      <c r="BB1685" s="12">
        <v>0</v>
      </c>
      <c r="BC1685" s="12">
        <v>0</v>
      </c>
      <c r="BD1685" s="12">
        <v>0</v>
      </c>
      <c r="BE1685" s="12">
        <v>0</v>
      </c>
      <c r="BF1685" s="12">
        <v>0</v>
      </c>
      <c r="BI1685" s="12">
        <v>0</v>
      </c>
      <c r="BJ1685" s="12">
        <v>0</v>
      </c>
    </row>
    <row r="1686" spans="1:62" x14ac:dyDescent="0.15">
      <c r="A1686" s="7" t="s">
        <v>3114</v>
      </c>
      <c r="C1686" s="7" t="s">
        <v>3115</v>
      </c>
      <c r="D1686" s="8" t="s">
        <v>7095</v>
      </c>
      <c r="E1686" s="9" t="s">
        <v>7963</v>
      </c>
      <c r="F1686" s="9" t="s">
        <v>4609</v>
      </c>
      <c r="G1686" s="9" t="s">
        <v>6636</v>
      </c>
      <c r="I1686" s="9" t="s">
        <v>3128</v>
      </c>
      <c r="J1686" s="9" t="s">
        <v>3130</v>
      </c>
      <c r="K1686" s="9" t="s">
        <v>7084</v>
      </c>
      <c r="L1686" s="10">
        <v>4078232</v>
      </c>
      <c r="M1686" s="10">
        <v>766704</v>
      </c>
      <c r="N1686" s="11">
        <v>15</v>
      </c>
      <c r="O1686" s="11" t="s">
        <v>6992</v>
      </c>
      <c r="P1686" s="7" t="s">
        <v>3111</v>
      </c>
      <c r="S1686" s="9" t="s">
        <v>7095</v>
      </c>
      <c r="T1686" s="9" t="s">
        <v>4902</v>
      </c>
      <c r="U1686" s="12" t="s">
        <v>4902</v>
      </c>
      <c r="V1686" s="12" t="s">
        <v>4902</v>
      </c>
      <c r="W1686" s="12" t="s">
        <v>4902</v>
      </c>
      <c r="X1686" s="12" t="s">
        <v>4902</v>
      </c>
      <c r="Y1686" s="12" t="s">
        <v>4902</v>
      </c>
      <c r="Z1686" s="11" t="s">
        <v>4902</v>
      </c>
      <c r="AA1686" s="11" t="s">
        <v>4902</v>
      </c>
      <c r="AB1686" s="11" t="s">
        <v>4902</v>
      </c>
      <c r="AC1686" s="11" t="s">
        <v>4902</v>
      </c>
      <c r="AD1686" s="11" t="s">
        <v>4902</v>
      </c>
      <c r="AE1686" s="11" t="s">
        <v>4902</v>
      </c>
      <c r="AF1686" s="11" t="s">
        <v>4902</v>
      </c>
      <c r="AG1686" s="11" t="s">
        <v>4902</v>
      </c>
      <c r="AH1686" s="9" t="s">
        <v>4878</v>
      </c>
      <c r="AI1686" s="11">
        <v>0</v>
      </c>
      <c r="AJ1686" s="11">
        <v>0</v>
      </c>
      <c r="AK1686" s="11">
        <v>0</v>
      </c>
      <c r="AL1686" s="11">
        <v>0</v>
      </c>
      <c r="AN1686" s="11">
        <v>0</v>
      </c>
      <c r="AO1686" s="11">
        <v>0</v>
      </c>
      <c r="AP1686" s="11">
        <v>0</v>
      </c>
      <c r="AQ1686" s="11">
        <v>0</v>
      </c>
      <c r="AR1686" s="11">
        <v>0</v>
      </c>
      <c r="AS1686" s="11">
        <v>0</v>
      </c>
      <c r="AT1686" s="11">
        <v>0</v>
      </c>
      <c r="AU1686" s="11">
        <v>0</v>
      </c>
      <c r="AV1686" s="11">
        <v>0</v>
      </c>
      <c r="AW1686" s="11">
        <v>0</v>
      </c>
      <c r="AX1686" s="11">
        <v>0</v>
      </c>
      <c r="AY1686" s="11">
        <v>0</v>
      </c>
      <c r="BB1686" s="12">
        <v>0</v>
      </c>
      <c r="BC1686" s="12">
        <v>0</v>
      </c>
      <c r="BD1686" s="12">
        <v>0</v>
      </c>
      <c r="BE1686" s="12">
        <v>0</v>
      </c>
      <c r="BF1686" s="12">
        <v>0</v>
      </c>
      <c r="BI1686" s="12">
        <v>0</v>
      </c>
      <c r="BJ1686" s="12">
        <v>0</v>
      </c>
    </row>
    <row r="1687" spans="1:62" x14ac:dyDescent="0.15">
      <c r="A1687" s="7" t="s">
        <v>3122</v>
      </c>
      <c r="C1687" s="7" t="s">
        <v>3116</v>
      </c>
      <c r="D1687" s="8" t="s">
        <v>7095</v>
      </c>
      <c r="E1687" s="9" t="s">
        <v>7963</v>
      </c>
      <c r="F1687" s="9" t="s">
        <v>4609</v>
      </c>
      <c r="G1687" s="9" t="s">
        <v>6636</v>
      </c>
      <c r="I1687" s="9" t="s">
        <v>3128</v>
      </c>
      <c r="J1687" s="9" t="s">
        <v>3130</v>
      </c>
      <c r="K1687" s="9" t="s">
        <v>7084</v>
      </c>
      <c r="L1687" s="10">
        <v>4077552</v>
      </c>
      <c r="M1687" s="10">
        <v>766448</v>
      </c>
      <c r="N1687" s="11">
        <v>15</v>
      </c>
      <c r="O1687" s="11" t="s">
        <v>6992</v>
      </c>
      <c r="P1687" s="7" t="s">
        <v>3111</v>
      </c>
      <c r="S1687" s="9" t="s">
        <v>7095</v>
      </c>
      <c r="T1687" s="9" t="s">
        <v>4902</v>
      </c>
      <c r="U1687" s="12" t="s">
        <v>4902</v>
      </c>
      <c r="V1687" s="12" t="s">
        <v>4902</v>
      </c>
      <c r="W1687" s="12" t="s">
        <v>4902</v>
      </c>
      <c r="X1687" s="12" t="s">
        <v>4902</v>
      </c>
      <c r="Y1687" s="12" t="s">
        <v>4902</v>
      </c>
      <c r="Z1687" s="11" t="s">
        <v>4902</v>
      </c>
      <c r="AA1687" s="11" t="s">
        <v>4902</v>
      </c>
      <c r="AB1687" s="11" t="s">
        <v>4902</v>
      </c>
      <c r="AC1687" s="11" t="s">
        <v>4902</v>
      </c>
      <c r="AD1687" s="11" t="s">
        <v>4902</v>
      </c>
      <c r="AE1687" s="11" t="s">
        <v>4902</v>
      </c>
      <c r="AF1687" s="11" t="s">
        <v>4902</v>
      </c>
      <c r="AG1687" s="11" t="s">
        <v>4902</v>
      </c>
      <c r="AH1687" s="9" t="s">
        <v>4878</v>
      </c>
      <c r="AI1687" s="11">
        <v>0</v>
      </c>
      <c r="AJ1687" s="11">
        <v>0</v>
      </c>
      <c r="AK1687" s="11">
        <v>0</v>
      </c>
      <c r="AL1687" s="11">
        <v>0</v>
      </c>
      <c r="AN1687" s="11">
        <v>0</v>
      </c>
      <c r="AO1687" s="11">
        <v>0</v>
      </c>
      <c r="AP1687" s="11">
        <v>0</v>
      </c>
      <c r="AQ1687" s="11">
        <v>0</v>
      </c>
      <c r="AR1687" s="11">
        <v>0</v>
      </c>
      <c r="AS1687" s="11">
        <v>0</v>
      </c>
      <c r="AT1687" s="11">
        <v>0</v>
      </c>
      <c r="AU1687" s="11">
        <v>0</v>
      </c>
      <c r="AV1687" s="11">
        <v>0</v>
      </c>
      <c r="AW1687" s="11">
        <v>0</v>
      </c>
      <c r="AX1687" s="11">
        <v>0</v>
      </c>
      <c r="AY1687" s="11">
        <v>0</v>
      </c>
      <c r="BB1687" s="12">
        <v>0</v>
      </c>
      <c r="BC1687" s="12">
        <v>0</v>
      </c>
      <c r="BD1687" s="12">
        <v>0</v>
      </c>
      <c r="BE1687" s="12">
        <v>0</v>
      </c>
      <c r="BF1687" s="12">
        <v>0</v>
      </c>
      <c r="BI1687" s="12">
        <v>0</v>
      </c>
      <c r="BJ1687" s="12">
        <v>0</v>
      </c>
    </row>
    <row r="1688" spans="1:62" x14ac:dyDescent="0.15">
      <c r="A1688" s="7" t="s">
        <v>3123</v>
      </c>
      <c r="C1688" s="7" t="s">
        <v>3117</v>
      </c>
      <c r="D1688" s="8" t="s">
        <v>7095</v>
      </c>
      <c r="E1688" s="9" t="s">
        <v>7963</v>
      </c>
      <c r="F1688" s="9" t="s">
        <v>4609</v>
      </c>
      <c r="G1688" s="9" t="s">
        <v>6636</v>
      </c>
      <c r="I1688" s="9" t="s">
        <v>7103</v>
      </c>
      <c r="J1688" s="9" t="s">
        <v>3130</v>
      </c>
      <c r="K1688" s="9" t="s">
        <v>7084</v>
      </c>
      <c r="L1688" s="10">
        <v>4077260</v>
      </c>
      <c r="M1688" s="10">
        <v>765864</v>
      </c>
      <c r="N1688" s="11">
        <v>15</v>
      </c>
      <c r="O1688" s="11" t="s">
        <v>6992</v>
      </c>
      <c r="P1688" s="7" t="s">
        <v>3111</v>
      </c>
      <c r="S1688" s="9" t="s">
        <v>7095</v>
      </c>
      <c r="T1688" s="9" t="s">
        <v>4902</v>
      </c>
      <c r="U1688" s="12" t="s">
        <v>4902</v>
      </c>
      <c r="V1688" s="12" t="s">
        <v>4902</v>
      </c>
      <c r="W1688" s="12" t="s">
        <v>4902</v>
      </c>
      <c r="X1688" s="12" t="s">
        <v>4902</v>
      </c>
      <c r="Y1688" s="12" t="s">
        <v>4902</v>
      </c>
      <c r="Z1688" s="11" t="s">
        <v>4902</v>
      </c>
      <c r="AA1688" s="11" t="s">
        <v>4902</v>
      </c>
      <c r="AB1688" s="11" t="s">
        <v>4902</v>
      </c>
      <c r="AC1688" s="11" t="s">
        <v>4902</v>
      </c>
      <c r="AD1688" s="11" t="s">
        <v>4902</v>
      </c>
      <c r="AE1688" s="11" t="s">
        <v>4902</v>
      </c>
      <c r="AF1688" s="11" t="s">
        <v>4902</v>
      </c>
      <c r="AG1688" s="11" t="s">
        <v>4902</v>
      </c>
      <c r="AH1688" s="9" t="s">
        <v>4878</v>
      </c>
      <c r="AI1688" s="11">
        <v>0</v>
      </c>
      <c r="AJ1688" s="11">
        <v>0</v>
      </c>
      <c r="AK1688" s="11">
        <v>0</v>
      </c>
      <c r="AL1688" s="11">
        <v>0</v>
      </c>
      <c r="AN1688" s="11">
        <v>0</v>
      </c>
      <c r="AO1688" s="11">
        <v>0</v>
      </c>
      <c r="AP1688" s="11">
        <v>0</v>
      </c>
      <c r="AQ1688" s="11">
        <v>0</v>
      </c>
      <c r="AR1688" s="11">
        <v>0</v>
      </c>
      <c r="AS1688" s="11">
        <v>0</v>
      </c>
      <c r="AT1688" s="11">
        <v>0</v>
      </c>
      <c r="AU1688" s="11">
        <v>0</v>
      </c>
      <c r="AV1688" s="11">
        <v>0</v>
      </c>
      <c r="AW1688" s="11">
        <v>0</v>
      </c>
      <c r="AX1688" s="11">
        <v>0</v>
      </c>
      <c r="AY1688" s="11">
        <v>0</v>
      </c>
      <c r="BB1688" s="12">
        <v>0</v>
      </c>
      <c r="BC1688" s="12">
        <v>0</v>
      </c>
      <c r="BD1688" s="12">
        <v>0</v>
      </c>
      <c r="BE1688" s="12">
        <v>0</v>
      </c>
      <c r="BF1688" s="12">
        <v>0</v>
      </c>
      <c r="BI1688" s="12">
        <v>0</v>
      </c>
      <c r="BJ1688" s="12">
        <v>0</v>
      </c>
    </row>
    <row r="1689" spans="1:62" x14ac:dyDescent="0.15">
      <c r="A1689" s="7" t="s">
        <v>3124</v>
      </c>
      <c r="C1689" s="7" t="s">
        <v>3118</v>
      </c>
      <c r="D1689" s="8" t="s">
        <v>7095</v>
      </c>
      <c r="E1689" s="9" t="s">
        <v>7963</v>
      </c>
      <c r="F1689" s="9" t="s">
        <v>4609</v>
      </c>
      <c r="G1689" s="9" t="s">
        <v>6636</v>
      </c>
      <c r="I1689" s="9" t="s">
        <v>3129</v>
      </c>
      <c r="J1689" s="9" t="s">
        <v>3130</v>
      </c>
      <c r="K1689" s="9" t="s">
        <v>4615</v>
      </c>
      <c r="L1689" s="10">
        <v>4074516</v>
      </c>
      <c r="M1689" s="10">
        <v>764956</v>
      </c>
      <c r="N1689" s="11">
        <v>15</v>
      </c>
      <c r="O1689" s="11" t="s">
        <v>6992</v>
      </c>
      <c r="P1689" s="7" t="s">
        <v>3111</v>
      </c>
      <c r="S1689" s="9" t="s">
        <v>7095</v>
      </c>
      <c r="T1689" s="9" t="s">
        <v>4902</v>
      </c>
      <c r="U1689" s="12" t="s">
        <v>4902</v>
      </c>
      <c r="V1689" s="12" t="s">
        <v>4902</v>
      </c>
      <c r="W1689" s="12" t="s">
        <v>4902</v>
      </c>
      <c r="X1689" s="12" t="s">
        <v>4902</v>
      </c>
      <c r="Y1689" s="12" t="s">
        <v>4902</v>
      </c>
      <c r="Z1689" s="11" t="s">
        <v>4902</v>
      </c>
      <c r="AA1689" s="11" t="s">
        <v>4902</v>
      </c>
      <c r="AB1689" s="11" t="s">
        <v>4902</v>
      </c>
      <c r="AC1689" s="11" t="s">
        <v>4902</v>
      </c>
      <c r="AD1689" s="11" t="s">
        <v>4902</v>
      </c>
      <c r="AE1689" s="11" t="s">
        <v>4902</v>
      </c>
      <c r="AF1689" s="11" t="s">
        <v>4902</v>
      </c>
      <c r="AG1689" s="11" t="s">
        <v>4902</v>
      </c>
      <c r="AH1689" s="9" t="s">
        <v>4878</v>
      </c>
      <c r="AI1689" s="11">
        <v>0</v>
      </c>
      <c r="AJ1689" s="11">
        <v>0</v>
      </c>
      <c r="AK1689" s="11">
        <v>0</v>
      </c>
      <c r="AL1689" s="11">
        <v>0</v>
      </c>
      <c r="AN1689" s="11">
        <v>0</v>
      </c>
      <c r="AO1689" s="11">
        <v>0</v>
      </c>
      <c r="AP1689" s="11">
        <v>0</v>
      </c>
      <c r="AQ1689" s="11">
        <v>0</v>
      </c>
      <c r="AR1689" s="11">
        <v>0</v>
      </c>
      <c r="AS1689" s="11">
        <v>0</v>
      </c>
      <c r="AT1689" s="11">
        <v>0</v>
      </c>
      <c r="AU1689" s="11">
        <v>0</v>
      </c>
      <c r="AV1689" s="11">
        <v>0</v>
      </c>
      <c r="AW1689" s="11">
        <v>0</v>
      </c>
      <c r="AX1689" s="11">
        <v>0</v>
      </c>
      <c r="AY1689" s="11">
        <v>0</v>
      </c>
      <c r="BB1689" s="12">
        <v>0</v>
      </c>
      <c r="BC1689" s="12">
        <v>0</v>
      </c>
      <c r="BD1689" s="12">
        <v>0</v>
      </c>
      <c r="BE1689" s="12">
        <v>0</v>
      </c>
      <c r="BF1689" s="12">
        <v>0</v>
      </c>
      <c r="BI1689" s="12">
        <v>0</v>
      </c>
      <c r="BJ1689" s="12">
        <v>0</v>
      </c>
    </row>
    <row r="1690" spans="1:62" x14ac:dyDescent="0.15">
      <c r="A1690" s="7" t="s">
        <v>3125</v>
      </c>
      <c r="C1690" s="7" t="s">
        <v>3119</v>
      </c>
      <c r="D1690" s="8" t="s">
        <v>7095</v>
      </c>
      <c r="E1690" s="9" t="s">
        <v>7963</v>
      </c>
      <c r="F1690" s="9" t="s">
        <v>4609</v>
      </c>
      <c r="G1690" s="9" t="s">
        <v>6636</v>
      </c>
      <c r="I1690" s="9" t="s">
        <v>7098</v>
      </c>
      <c r="J1690" s="9" t="s">
        <v>3130</v>
      </c>
      <c r="K1690" s="9" t="s">
        <v>4615</v>
      </c>
      <c r="L1690" s="10">
        <v>4077032</v>
      </c>
      <c r="M1690" s="10">
        <v>758312</v>
      </c>
      <c r="N1690" s="11">
        <v>15</v>
      </c>
      <c r="O1690" s="11" t="s">
        <v>6992</v>
      </c>
      <c r="P1690" s="7" t="s">
        <v>3111</v>
      </c>
      <c r="S1690" s="9" t="s">
        <v>7095</v>
      </c>
      <c r="T1690" s="9" t="s">
        <v>4902</v>
      </c>
      <c r="U1690" s="12" t="s">
        <v>4902</v>
      </c>
      <c r="V1690" s="12" t="s">
        <v>4902</v>
      </c>
      <c r="W1690" s="12" t="s">
        <v>4902</v>
      </c>
      <c r="X1690" s="12" t="s">
        <v>4902</v>
      </c>
      <c r="Y1690" s="12" t="s">
        <v>4902</v>
      </c>
      <c r="Z1690" s="11" t="s">
        <v>4902</v>
      </c>
      <c r="AA1690" s="11" t="s">
        <v>4902</v>
      </c>
      <c r="AB1690" s="11" t="s">
        <v>4902</v>
      </c>
      <c r="AC1690" s="11" t="s">
        <v>4902</v>
      </c>
      <c r="AD1690" s="11" t="s">
        <v>4902</v>
      </c>
      <c r="AE1690" s="11" t="s">
        <v>4902</v>
      </c>
      <c r="AF1690" s="11" t="s">
        <v>4902</v>
      </c>
      <c r="AG1690" s="11" t="s">
        <v>4902</v>
      </c>
      <c r="AH1690" s="9" t="s">
        <v>4878</v>
      </c>
      <c r="AI1690" s="11">
        <v>0</v>
      </c>
      <c r="AJ1690" s="11">
        <v>0</v>
      </c>
      <c r="AK1690" s="11">
        <v>0</v>
      </c>
      <c r="AL1690" s="11">
        <v>0</v>
      </c>
      <c r="AN1690" s="11">
        <v>0</v>
      </c>
      <c r="AO1690" s="11">
        <v>0</v>
      </c>
      <c r="AP1690" s="11">
        <v>0</v>
      </c>
      <c r="AQ1690" s="11">
        <v>0</v>
      </c>
      <c r="AR1690" s="11">
        <v>0</v>
      </c>
      <c r="AS1690" s="11">
        <v>0</v>
      </c>
      <c r="AT1690" s="11">
        <v>0</v>
      </c>
      <c r="AU1690" s="11">
        <v>0</v>
      </c>
      <c r="AV1690" s="11">
        <v>0</v>
      </c>
      <c r="AW1690" s="11">
        <v>0</v>
      </c>
      <c r="AX1690" s="11">
        <v>0</v>
      </c>
      <c r="AY1690" s="11">
        <v>0</v>
      </c>
      <c r="BB1690" s="12">
        <v>0</v>
      </c>
      <c r="BC1690" s="12">
        <v>0</v>
      </c>
      <c r="BD1690" s="12">
        <v>0</v>
      </c>
      <c r="BE1690" s="12">
        <v>0</v>
      </c>
      <c r="BF1690" s="12">
        <v>0</v>
      </c>
      <c r="BI1690" s="12">
        <v>0</v>
      </c>
      <c r="BJ1690" s="12">
        <v>0</v>
      </c>
    </row>
    <row r="1691" spans="1:62" x14ac:dyDescent="0.15">
      <c r="A1691" s="7" t="s">
        <v>3126</v>
      </c>
      <c r="C1691" s="7" t="s">
        <v>3120</v>
      </c>
      <c r="D1691" s="8" t="s">
        <v>7095</v>
      </c>
      <c r="E1691" s="9" t="s">
        <v>7963</v>
      </c>
      <c r="F1691" s="9" t="s">
        <v>4609</v>
      </c>
      <c r="G1691" s="9" t="s">
        <v>6636</v>
      </c>
      <c r="I1691" s="9" t="s">
        <v>4371</v>
      </c>
      <c r="J1691" s="9" t="s">
        <v>3130</v>
      </c>
      <c r="K1691" s="9" t="s">
        <v>7084</v>
      </c>
      <c r="L1691" s="10">
        <v>4080488</v>
      </c>
      <c r="M1691" s="10">
        <v>767272</v>
      </c>
      <c r="N1691" s="11">
        <v>15</v>
      </c>
      <c r="O1691" s="11" t="s">
        <v>6992</v>
      </c>
      <c r="P1691" s="7" t="s">
        <v>3111</v>
      </c>
      <c r="S1691" s="9" t="s">
        <v>7095</v>
      </c>
      <c r="T1691" s="9" t="s">
        <v>4902</v>
      </c>
      <c r="U1691" s="12" t="s">
        <v>4902</v>
      </c>
      <c r="V1691" s="12" t="s">
        <v>4902</v>
      </c>
      <c r="W1691" s="12" t="s">
        <v>4902</v>
      </c>
      <c r="X1691" s="12" t="s">
        <v>4902</v>
      </c>
      <c r="Y1691" s="12" t="s">
        <v>4902</v>
      </c>
      <c r="Z1691" s="11" t="s">
        <v>4902</v>
      </c>
      <c r="AA1691" s="11" t="s">
        <v>4902</v>
      </c>
      <c r="AB1691" s="11" t="s">
        <v>4902</v>
      </c>
      <c r="AC1691" s="11" t="s">
        <v>4902</v>
      </c>
      <c r="AD1691" s="11" t="s">
        <v>4902</v>
      </c>
      <c r="AE1691" s="11" t="s">
        <v>4902</v>
      </c>
      <c r="AF1691" s="11" t="s">
        <v>4902</v>
      </c>
      <c r="AG1691" s="11" t="s">
        <v>4902</v>
      </c>
      <c r="AH1691" s="9" t="s">
        <v>4878</v>
      </c>
      <c r="AI1691" s="11">
        <v>0</v>
      </c>
      <c r="AJ1691" s="11">
        <v>0</v>
      </c>
      <c r="AK1691" s="11">
        <v>0</v>
      </c>
      <c r="AL1691" s="11">
        <v>0</v>
      </c>
      <c r="AN1691" s="11">
        <v>0</v>
      </c>
      <c r="AO1691" s="11">
        <v>0</v>
      </c>
      <c r="AP1691" s="11">
        <v>0</v>
      </c>
      <c r="AQ1691" s="11">
        <v>0</v>
      </c>
      <c r="AR1691" s="11">
        <v>0</v>
      </c>
      <c r="AS1691" s="11">
        <v>0</v>
      </c>
      <c r="AT1691" s="11">
        <v>0</v>
      </c>
      <c r="AU1691" s="11">
        <v>0</v>
      </c>
      <c r="AV1691" s="11">
        <v>0</v>
      </c>
      <c r="AW1691" s="11">
        <v>0</v>
      </c>
      <c r="AX1691" s="11">
        <v>0</v>
      </c>
      <c r="AY1691" s="11">
        <v>0</v>
      </c>
      <c r="BB1691" s="12">
        <v>0</v>
      </c>
      <c r="BC1691" s="12">
        <v>0</v>
      </c>
      <c r="BD1691" s="12">
        <v>0</v>
      </c>
      <c r="BE1691" s="12">
        <v>0</v>
      </c>
      <c r="BF1691" s="12">
        <v>0</v>
      </c>
      <c r="BI1691" s="12">
        <v>0</v>
      </c>
      <c r="BJ1691" s="12">
        <v>0</v>
      </c>
    </row>
    <row r="1692" spans="1:62" x14ac:dyDescent="0.15">
      <c r="A1692" s="7" t="s">
        <v>3127</v>
      </c>
      <c r="C1692" s="7" t="s">
        <v>3121</v>
      </c>
      <c r="D1692" s="8" t="s">
        <v>7095</v>
      </c>
      <c r="E1692" s="9" t="s">
        <v>7963</v>
      </c>
      <c r="F1692" s="9" t="s">
        <v>4609</v>
      </c>
      <c r="G1692" s="9" t="s">
        <v>6636</v>
      </c>
      <c r="I1692" s="9" t="s">
        <v>4909</v>
      </c>
      <c r="J1692" s="9" t="s">
        <v>3130</v>
      </c>
      <c r="K1692" s="9" t="s">
        <v>7084</v>
      </c>
      <c r="L1692" s="10">
        <v>4081016</v>
      </c>
      <c r="M1692" s="10">
        <v>764624</v>
      </c>
      <c r="N1692" s="11">
        <v>15</v>
      </c>
      <c r="O1692" s="11" t="s">
        <v>6992</v>
      </c>
      <c r="P1692" s="7" t="s">
        <v>3111</v>
      </c>
      <c r="S1692" s="9" t="s">
        <v>7095</v>
      </c>
      <c r="T1692" s="9" t="s">
        <v>4902</v>
      </c>
      <c r="U1692" s="12" t="s">
        <v>4902</v>
      </c>
      <c r="V1692" s="12" t="s">
        <v>4902</v>
      </c>
      <c r="W1692" s="12" t="s">
        <v>4902</v>
      </c>
      <c r="X1692" s="12" t="s">
        <v>4902</v>
      </c>
      <c r="Y1692" s="12" t="s">
        <v>4902</v>
      </c>
      <c r="Z1692" s="11" t="s">
        <v>4902</v>
      </c>
      <c r="AA1692" s="11" t="s">
        <v>4902</v>
      </c>
      <c r="AB1692" s="11" t="s">
        <v>4902</v>
      </c>
      <c r="AC1692" s="11" t="s">
        <v>4902</v>
      </c>
      <c r="AD1692" s="11" t="s">
        <v>4902</v>
      </c>
      <c r="AE1692" s="11" t="s">
        <v>4902</v>
      </c>
      <c r="AF1692" s="11" t="s">
        <v>4902</v>
      </c>
      <c r="AG1692" s="11" t="s">
        <v>4902</v>
      </c>
      <c r="AH1692" s="9" t="s">
        <v>4878</v>
      </c>
      <c r="AI1692" s="11">
        <v>0</v>
      </c>
      <c r="AJ1692" s="11">
        <v>0</v>
      </c>
      <c r="AK1692" s="11">
        <v>0</v>
      </c>
      <c r="AL1692" s="11">
        <v>0</v>
      </c>
      <c r="AN1692" s="11">
        <v>0</v>
      </c>
      <c r="AO1692" s="11">
        <v>0</v>
      </c>
      <c r="AP1692" s="11">
        <v>0</v>
      </c>
      <c r="AQ1692" s="11">
        <v>0</v>
      </c>
      <c r="AR1692" s="11">
        <v>0</v>
      </c>
      <c r="AS1692" s="11">
        <v>0</v>
      </c>
      <c r="AT1692" s="11">
        <v>0</v>
      </c>
      <c r="AU1692" s="11">
        <v>0</v>
      </c>
      <c r="AV1692" s="11">
        <v>0</v>
      </c>
      <c r="AW1692" s="11">
        <v>0</v>
      </c>
      <c r="AX1692" s="11">
        <v>0</v>
      </c>
      <c r="AY1692" s="11">
        <v>0</v>
      </c>
      <c r="BB1692" s="12">
        <v>0</v>
      </c>
      <c r="BC1692" s="12">
        <v>0</v>
      </c>
      <c r="BD1692" s="12">
        <v>0</v>
      </c>
      <c r="BE1692" s="12">
        <v>0</v>
      </c>
      <c r="BF1692" s="12">
        <v>0</v>
      </c>
      <c r="BI1692" s="12">
        <v>0</v>
      </c>
      <c r="BJ1692" s="12">
        <v>0</v>
      </c>
    </row>
    <row r="1693" spans="1:62" x14ac:dyDescent="0.15">
      <c r="A1693" s="7" t="s">
        <v>3131</v>
      </c>
      <c r="C1693" s="7" t="s">
        <v>3133</v>
      </c>
      <c r="D1693" s="8" t="s">
        <v>7095</v>
      </c>
      <c r="E1693" s="9" t="s">
        <v>7963</v>
      </c>
      <c r="F1693" s="9" t="s">
        <v>4609</v>
      </c>
      <c r="G1693" s="9" t="s">
        <v>6636</v>
      </c>
      <c r="I1693" s="9" t="s">
        <v>3138</v>
      </c>
      <c r="J1693" s="9" t="s">
        <v>3130</v>
      </c>
      <c r="K1693" s="9" t="s">
        <v>7084</v>
      </c>
      <c r="L1693" s="10">
        <v>4080296</v>
      </c>
      <c r="M1693" s="10">
        <v>232536</v>
      </c>
      <c r="N1693" s="11">
        <v>16</v>
      </c>
      <c r="O1693" s="11" t="s">
        <v>6992</v>
      </c>
      <c r="P1693" s="7" t="s">
        <v>3111</v>
      </c>
      <c r="S1693" s="9" t="s">
        <v>7095</v>
      </c>
      <c r="T1693" s="9" t="s">
        <v>4902</v>
      </c>
      <c r="U1693" s="12" t="s">
        <v>4902</v>
      </c>
      <c r="V1693" s="12" t="s">
        <v>4902</v>
      </c>
      <c r="W1693" s="12" t="s">
        <v>4902</v>
      </c>
      <c r="X1693" s="12" t="s">
        <v>4902</v>
      </c>
      <c r="Y1693" s="12" t="s">
        <v>4902</v>
      </c>
      <c r="Z1693" s="11" t="s">
        <v>4902</v>
      </c>
      <c r="AA1693" s="11" t="s">
        <v>4902</v>
      </c>
      <c r="AB1693" s="11" t="s">
        <v>4902</v>
      </c>
      <c r="AC1693" s="11" t="s">
        <v>4902</v>
      </c>
      <c r="AD1693" s="11" t="s">
        <v>4902</v>
      </c>
      <c r="AE1693" s="11" t="s">
        <v>4902</v>
      </c>
      <c r="AF1693" s="11" t="s">
        <v>4902</v>
      </c>
      <c r="AG1693" s="11" t="s">
        <v>4902</v>
      </c>
      <c r="AH1693" s="9" t="s">
        <v>4878</v>
      </c>
      <c r="AI1693" s="11">
        <v>0</v>
      </c>
      <c r="AJ1693" s="11">
        <v>0</v>
      </c>
      <c r="AK1693" s="11">
        <v>0</v>
      </c>
      <c r="AL1693" s="11">
        <v>0</v>
      </c>
      <c r="AN1693" s="11">
        <v>0</v>
      </c>
      <c r="AO1693" s="11">
        <v>0</v>
      </c>
      <c r="AP1693" s="11">
        <v>0</v>
      </c>
      <c r="AQ1693" s="11">
        <v>0</v>
      </c>
      <c r="AR1693" s="11">
        <v>0</v>
      </c>
      <c r="AS1693" s="11">
        <v>0</v>
      </c>
      <c r="AT1693" s="11">
        <v>0</v>
      </c>
      <c r="AU1693" s="11">
        <v>0</v>
      </c>
      <c r="AV1693" s="11">
        <v>0</v>
      </c>
      <c r="AW1693" s="11">
        <v>0</v>
      </c>
      <c r="AX1693" s="11">
        <v>0</v>
      </c>
      <c r="AY1693" s="11">
        <v>0</v>
      </c>
      <c r="BB1693" s="12">
        <v>0</v>
      </c>
      <c r="BC1693" s="12">
        <v>0</v>
      </c>
      <c r="BD1693" s="12">
        <v>0</v>
      </c>
      <c r="BE1693" s="12">
        <v>0</v>
      </c>
      <c r="BF1693" s="12">
        <v>0</v>
      </c>
      <c r="BI1693" s="12">
        <v>0</v>
      </c>
      <c r="BJ1693" s="12">
        <v>0</v>
      </c>
    </row>
    <row r="1694" spans="1:62" x14ac:dyDescent="0.15">
      <c r="A1694" s="7" t="s">
        <v>3132</v>
      </c>
      <c r="C1694" s="7" t="s">
        <v>3134</v>
      </c>
      <c r="D1694" s="8" t="s">
        <v>7095</v>
      </c>
      <c r="E1694" s="9" t="s">
        <v>7963</v>
      </c>
      <c r="F1694" s="9" t="s">
        <v>4609</v>
      </c>
      <c r="G1694" s="9" t="s">
        <v>6636</v>
      </c>
      <c r="I1694" s="9" t="s">
        <v>3136</v>
      </c>
      <c r="J1694" s="9" t="s">
        <v>6916</v>
      </c>
      <c r="K1694" s="9" t="s">
        <v>6904</v>
      </c>
      <c r="L1694" s="10">
        <v>4076944</v>
      </c>
      <c r="M1694" s="10">
        <v>238984</v>
      </c>
      <c r="N1694" s="11">
        <v>16</v>
      </c>
      <c r="O1694" s="11" t="s">
        <v>6992</v>
      </c>
      <c r="P1694" s="7" t="s">
        <v>3111</v>
      </c>
      <c r="S1694" s="9" t="s">
        <v>7095</v>
      </c>
      <c r="T1694" s="9" t="s">
        <v>4902</v>
      </c>
      <c r="U1694" s="12" t="s">
        <v>4902</v>
      </c>
      <c r="V1694" s="12" t="s">
        <v>4902</v>
      </c>
      <c r="W1694" s="12" t="s">
        <v>4902</v>
      </c>
      <c r="X1694" s="12" t="s">
        <v>4902</v>
      </c>
      <c r="Y1694" s="12" t="s">
        <v>4902</v>
      </c>
      <c r="Z1694" s="11" t="s">
        <v>4902</v>
      </c>
      <c r="AA1694" s="11" t="s">
        <v>4902</v>
      </c>
      <c r="AB1694" s="11" t="s">
        <v>4902</v>
      </c>
      <c r="AC1694" s="11" t="s">
        <v>4902</v>
      </c>
      <c r="AD1694" s="11" t="s">
        <v>4902</v>
      </c>
      <c r="AE1694" s="11" t="s">
        <v>4902</v>
      </c>
      <c r="AF1694" s="11" t="s">
        <v>4902</v>
      </c>
      <c r="AG1694" s="11" t="s">
        <v>4902</v>
      </c>
      <c r="AH1694" s="9" t="s">
        <v>4878</v>
      </c>
      <c r="AI1694" s="11">
        <v>0</v>
      </c>
      <c r="AJ1694" s="11">
        <v>0</v>
      </c>
      <c r="AK1694" s="11">
        <v>0</v>
      </c>
      <c r="AL1694" s="11">
        <v>0</v>
      </c>
      <c r="AN1694" s="11">
        <v>0</v>
      </c>
      <c r="AO1694" s="11">
        <v>0</v>
      </c>
      <c r="AP1694" s="11">
        <v>0</v>
      </c>
      <c r="AQ1694" s="11">
        <v>0</v>
      </c>
      <c r="AR1694" s="11">
        <v>0</v>
      </c>
      <c r="AS1694" s="11">
        <v>0</v>
      </c>
      <c r="AT1694" s="11">
        <v>0</v>
      </c>
      <c r="AU1694" s="11">
        <v>0</v>
      </c>
      <c r="AV1694" s="11">
        <v>0</v>
      </c>
      <c r="AW1694" s="11">
        <v>0</v>
      </c>
      <c r="AX1694" s="11">
        <v>0</v>
      </c>
      <c r="AY1694" s="11">
        <v>0</v>
      </c>
      <c r="BB1694" s="12">
        <v>0</v>
      </c>
      <c r="BC1694" s="12">
        <v>0</v>
      </c>
      <c r="BD1694" s="12">
        <v>0</v>
      </c>
      <c r="BE1694" s="12">
        <v>0</v>
      </c>
      <c r="BF1694" s="12">
        <v>0</v>
      </c>
      <c r="BI1694" s="12">
        <v>0</v>
      </c>
      <c r="BJ1694" s="12">
        <v>0</v>
      </c>
    </row>
    <row r="1695" spans="1:62" x14ac:dyDescent="0.15">
      <c r="A1695" s="7" t="s">
        <v>3140</v>
      </c>
      <c r="C1695" s="7" t="s">
        <v>3155</v>
      </c>
      <c r="D1695" s="8" t="s">
        <v>7095</v>
      </c>
      <c r="E1695" s="9" t="s">
        <v>7963</v>
      </c>
      <c r="F1695" s="9" t="s">
        <v>4609</v>
      </c>
      <c r="G1695" s="9" t="s">
        <v>3158</v>
      </c>
      <c r="I1695" s="9" t="s">
        <v>3161</v>
      </c>
      <c r="J1695" s="9" t="s">
        <v>3164</v>
      </c>
      <c r="K1695" s="9" t="s">
        <v>6913</v>
      </c>
      <c r="L1695" s="10">
        <v>4081268</v>
      </c>
      <c r="M1695" s="10">
        <v>274440</v>
      </c>
      <c r="N1695" s="11">
        <v>16</v>
      </c>
      <c r="O1695" s="11" t="s">
        <v>6992</v>
      </c>
      <c r="P1695" s="7" t="s">
        <v>2091</v>
      </c>
      <c r="S1695" s="9" t="s">
        <v>2092</v>
      </c>
      <c r="T1695" s="9" t="s">
        <v>4902</v>
      </c>
      <c r="U1695" s="9" t="s">
        <v>4902</v>
      </c>
      <c r="V1695" s="9" t="s">
        <v>4902</v>
      </c>
      <c r="W1695" s="9" t="s">
        <v>4902</v>
      </c>
      <c r="X1695" s="9" t="s">
        <v>4902</v>
      </c>
      <c r="Y1695" s="9" t="s">
        <v>4902</v>
      </c>
      <c r="Z1695" s="9" t="s">
        <v>4902</v>
      </c>
      <c r="AA1695" s="9" t="s">
        <v>4902</v>
      </c>
      <c r="AB1695" s="9" t="s">
        <v>4902</v>
      </c>
      <c r="AC1695" s="9" t="s">
        <v>4902</v>
      </c>
      <c r="AD1695" s="9" t="s">
        <v>4902</v>
      </c>
      <c r="AE1695" s="9" t="s">
        <v>4902</v>
      </c>
      <c r="AF1695" s="9" t="s">
        <v>4902</v>
      </c>
      <c r="AG1695" s="9" t="s">
        <v>4902</v>
      </c>
      <c r="AH1695" s="9" t="s">
        <v>8248</v>
      </c>
      <c r="AI1695" s="11">
        <v>1</v>
      </c>
      <c r="AJ1695" s="11">
        <v>1</v>
      </c>
      <c r="AK1695" s="11">
        <v>1</v>
      </c>
      <c r="AL1695" s="11">
        <v>0</v>
      </c>
      <c r="AN1695" s="11">
        <v>0</v>
      </c>
      <c r="AO1695" s="11">
        <v>0</v>
      </c>
      <c r="AP1695" s="11">
        <v>0</v>
      </c>
      <c r="AQ1695" s="11">
        <v>0</v>
      </c>
      <c r="AR1695" s="11">
        <v>0</v>
      </c>
      <c r="AS1695" s="11">
        <v>0</v>
      </c>
      <c r="AT1695" s="11">
        <v>1</v>
      </c>
      <c r="AU1695" s="11">
        <v>0</v>
      </c>
      <c r="AV1695" s="11">
        <v>0</v>
      </c>
      <c r="AW1695" s="11">
        <v>0</v>
      </c>
      <c r="AX1695" s="11">
        <v>0</v>
      </c>
      <c r="AY1695" s="11">
        <v>1</v>
      </c>
      <c r="BB1695" s="12">
        <v>0</v>
      </c>
      <c r="BC1695" s="12">
        <v>0</v>
      </c>
      <c r="BD1695" s="12">
        <v>0</v>
      </c>
      <c r="BE1695" s="12">
        <v>0</v>
      </c>
      <c r="BF1695" s="12">
        <v>0</v>
      </c>
      <c r="BI1695" s="12">
        <v>0</v>
      </c>
      <c r="BJ1695" s="12">
        <v>0</v>
      </c>
    </row>
    <row r="1696" spans="1:62" x14ac:dyDescent="0.15">
      <c r="A1696" s="7" t="s">
        <v>3141</v>
      </c>
      <c r="B1696" s="7" t="s">
        <v>2093</v>
      </c>
      <c r="D1696" s="8" t="s">
        <v>7095</v>
      </c>
      <c r="E1696" s="9" t="s">
        <v>7963</v>
      </c>
      <c r="F1696" s="9" t="s">
        <v>4609</v>
      </c>
      <c r="G1696" s="9" t="s">
        <v>3158</v>
      </c>
      <c r="I1696" s="9" t="s">
        <v>7242</v>
      </c>
      <c r="J1696" s="9" t="s">
        <v>3165</v>
      </c>
      <c r="K1696" s="9" t="s">
        <v>6913</v>
      </c>
      <c r="L1696" s="10">
        <v>4070732</v>
      </c>
      <c r="M1696" s="10">
        <v>269272</v>
      </c>
      <c r="N1696" s="11">
        <v>16</v>
      </c>
      <c r="O1696" s="11" t="s">
        <v>6992</v>
      </c>
      <c r="P1696" s="7" t="s">
        <v>4902</v>
      </c>
      <c r="S1696" s="9" t="s">
        <v>2094</v>
      </c>
      <c r="T1696" s="9" t="s">
        <v>4902</v>
      </c>
      <c r="U1696" s="9" t="s">
        <v>4902</v>
      </c>
      <c r="V1696" s="9" t="s">
        <v>4902</v>
      </c>
      <c r="W1696" s="9" t="s">
        <v>4902</v>
      </c>
      <c r="X1696" s="9" t="s">
        <v>4902</v>
      </c>
      <c r="Y1696" s="9" t="s">
        <v>4902</v>
      </c>
      <c r="Z1696" s="9" t="s">
        <v>4902</v>
      </c>
      <c r="AA1696" s="9" t="s">
        <v>4902</v>
      </c>
      <c r="AB1696" s="9" t="s">
        <v>4902</v>
      </c>
      <c r="AC1696" s="9" t="s">
        <v>4902</v>
      </c>
      <c r="AD1696" s="9" t="s">
        <v>4902</v>
      </c>
      <c r="AE1696" s="9" t="s">
        <v>4902</v>
      </c>
      <c r="AF1696" s="9" t="s">
        <v>4902</v>
      </c>
      <c r="AG1696" s="9" t="s">
        <v>4902</v>
      </c>
      <c r="AH1696" s="9" t="s">
        <v>4878</v>
      </c>
      <c r="AI1696" s="9" t="s">
        <v>4878</v>
      </c>
      <c r="AJ1696" s="9" t="s">
        <v>4878</v>
      </c>
      <c r="AK1696" s="9" t="s">
        <v>4878</v>
      </c>
      <c r="AL1696" s="9" t="s">
        <v>4878</v>
      </c>
      <c r="AM1696" s="9"/>
      <c r="AN1696" s="9" t="s">
        <v>4878</v>
      </c>
      <c r="AO1696" s="9" t="s">
        <v>4878</v>
      </c>
      <c r="AP1696" s="9" t="s">
        <v>4878</v>
      </c>
      <c r="AQ1696" s="9" t="s">
        <v>4878</v>
      </c>
      <c r="AR1696" s="9" t="s">
        <v>4878</v>
      </c>
      <c r="AS1696" s="9" t="s">
        <v>4878</v>
      </c>
      <c r="AT1696" s="9" t="s">
        <v>4878</v>
      </c>
      <c r="AU1696" s="9" t="s">
        <v>4878</v>
      </c>
      <c r="AV1696" s="9" t="s">
        <v>4878</v>
      </c>
      <c r="AW1696" s="9" t="s">
        <v>4878</v>
      </c>
      <c r="AX1696" s="9" t="s">
        <v>4878</v>
      </c>
      <c r="AY1696" s="9" t="s">
        <v>4878</v>
      </c>
      <c r="BB1696" s="12">
        <v>0</v>
      </c>
      <c r="BC1696" s="12">
        <v>0</v>
      </c>
      <c r="BD1696" s="12">
        <v>0</v>
      </c>
      <c r="BE1696" s="12">
        <v>0</v>
      </c>
      <c r="BF1696" s="12">
        <v>0</v>
      </c>
      <c r="BI1696" s="12">
        <v>0</v>
      </c>
      <c r="BJ1696" s="12">
        <v>0</v>
      </c>
    </row>
    <row r="1697" spans="1:15" x14ac:dyDescent="0.15">
      <c r="A1697" s="7" t="s">
        <v>3142</v>
      </c>
      <c r="C1697" s="7" t="s">
        <v>3156</v>
      </c>
      <c r="D1697" s="8" t="s">
        <v>7095</v>
      </c>
      <c r="E1697" s="9" t="s">
        <v>7963</v>
      </c>
      <c r="F1697" s="9" t="s">
        <v>4609</v>
      </c>
      <c r="G1697" s="9" t="s">
        <v>6915</v>
      </c>
      <c r="I1697" s="9" t="s">
        <v>7098</v>
      </c>
      <c r="J1697" s="9" t="s">
        <v>3164</v>
      </c>
      <c r="K1697" s="9" t="s">
        <v>6913</v>
      </c>
      <c r="L1697" s="10">
        <v>4084272</v>
      </c>
      <c r="M1697" s="10">
        <v>271004</v>
      </c>
      <c r="N1697" s="11">
        <v>16</v>
      </c>
      <c r="O1697" s="11" t="s">
        <v>6992</v>
      </c>
    </row>
    <row r="1698" spans="1:15" x14ac:dyDescent="0.15">
      <c r="A1698" s="7" t="s">
        <v>3143</v>
      </c>
      <c r="C1698" s="7" t="s">
        <v>3157</v>
      </c>
      <c r="D1698" s="8" t="s">
        <v>7095</v>
      </c>
      <c r="E1698" s="9" t="s">
        <v>7963</v>
      </c>
      <c r="F1698" s="9" t="s">
        <v>4609</v>
      </c>
      <c r="G1698" s="9" t="s">
        <v>6915</v>
      </c>
      <c r="I1698" s="9" t="s">
        <v>3128</v>
      </c>
      <c r="J1698" s="9" t="s">
        <v>6916</v>
      </c>
      <c r="K1698" s="9" t="s">
        <v>7101</v>
      </c>
      <c r="L1698" s="10">
        <v>4096386</v>
      </c>
      <c r="M1698" s="10">
        <v>259796</v>
      </c>
      <c r="N1698" s="11">
        <v>16</v>
      </c>
      <c r="O1698" s="11" t="s">
        <v>6992</v>
      </c>
    </row>
    <row r="1699" spans="1:15" x14ac:dyDescent="0.15">
      <c r="A1699" s="7" t="s">
        <v>3144</v>
      </c>
      <c r="D1699" s="8" t="s">
        <v>7095</v>
      </c>
      <c r="E1699" s="9" t="s">
        <v>7963</v>
      </c>
      <c r="F1699" s="9" t="s">
        <v>4609</v>
      </c>
      <c r="G1699" s="9" t="s">
        <v>6915</v>
      </c>
      <c r="I1699" s="9" t="s">
        <v>6911</v>
      </c>
      <c r="J1699" s="9" t="s">
        <v>6916</v>
      </c>
      <c r="K1699" s="9" t="s">
        <v>7101</v>
      </c>
      <c r="L1699" s="10">
        <v>4097072</v>
      </c>
      <c r="M1699" s="10">
        <v>264656</v>
      </c>
      <c r="N1699" s="11">
        <v>16</v>
      </c>
      <c r="O1699" s="11" t="s">
        <v>6992</v>
      </c>
    </row>
    <row r="1700" spans="1:15" x14ac:dyDescent="0.15">
      <c r="A1700" s="7" t="s">
        <v>3145</v>
      </c>
      <c r="D1700" s="8" t="s">
        <v>7095</v>
      </c>
      <c r="E1700" s="9" t="s">
        <v>7963</v>
      </c>
      <c r="F1700" s="9" t="s">
        <v>4609</v>
      </c>
      <c r="G1700" s="9" t="s">
        <v>6915</v>
      </c>
      <c r="I1700" s="9" t="s">
        <v>3162</v>
      </c>
      <c r="J1700" s="9" t="s">
        <v>6916</v>
      </c>
      <c r="K1700" s="9" t="s">
        <v>7101</v>
      </c>
      <c r="L1700" s="10">
        <v>4097472</v>
      </c>
      <c r="M1700" s="10">
        <v>264704</v>
      </c>
      <c r="N1700" s="11">
        <v>16</v>
      </c>
      <c r="O1700" s="11" t="s">
        <v>6992</v>
      </c>
    </row>
    <row r="1701" spans="1:15" x14ac:dyDescent="0.15">
      <c r="A1701" s="7" t="s">
        <v>3146</v>
      </c>
      <c r="D1701" s="8" t="s">
        <v>7095</v>
      </c>
      <c r="E1701" s="9" t="s">
        <v>7963</v>
      </c>
      <c r="F1701" s="9" t="s">
        <v>4609</v>
      </c>
      <c r="G1701" s="9" t="s">
        <v>6915</v>
      </c>
      <c r="I1701" s="9" t="s">
        <v>7119</v>
      </c>
      <c r="J1701" s="9" t="s">
        <v>6916</v>
      </c>
      <c r="K1701" s="9" t="s">
        <v>7101</v>
      </c>
      <c r="L1701" s="10">
        <v>4097376</v>
      </c>
      <c r="M1701" s="10">
        <v>264176</v>
      </c>
      <c r="N1701" s="11">
        <v>16</v>
      </c>
      <c r="O1701" s="11" t="s">
        <v>6992</v>
      </c>
    </row>
    <row r="1702" spans="1:15" x14ac:dyDescent="0.15">
      <c r="A1702" s="7" t="s">
        <v>3147</v>
      </c>
      <c r="D1702" s="8" t="s">
        <v>7095</v>
      </c>
      <c r="E1702" s="9" t="s">
        <v>7963</v>
      </c>
      <c r="F1702" s="9" t="s">
        <v>4609</v>
      </c>
      <c r="G1702" s="9" t="s">
        <v>6915</v>
      </c>
      <c r="I1702" s="9" t="s">
        <v>6906</v>
      </c>
      <c r="J1702" s="9" t="s">
        <v>6916</v>
      </c>
      <c r="K1702" s="9" t="s">
        <v>7101</v>
      </c>
      <c r="L1702" s="10">
        <v>4097136</v>
      </c>
      <c r="M1702" s="10">
        <v>264128</v>
      </c>
      <c r="N1702" s="11">
        <v>16</v>
      </c>
      <c r="O1702" s="11" t="s">
        <v>6992</v>
      </c>
    </row>
    <row r="1703" spans="1:15" x14ac:dyDescent="0.15">
      <c r="A1703" s="7" t="s">
        <v>3148</v>
      </c>
      <c r="D1703" s="8" t="s">
        <v>7095</v>
      </c>
      <c r="E1703" s="9" t="s">
        <v>7963</v>
      </c>
      <c r="F1703" s="9" t="s">
        <v>4609</v>
      </c>
      <c r="G1703" s="9" t="s">
        <v>6915</v>
      </c>
      <c r="I1703" s="9" t="s">
        <v>7118</v>
      </c>
      <c r="J1703" s="9" t="s">
        <v>6916</v>
      </c>
      <c r="K1703" s="9" t="s">
        <v>7101</v>
      </c>
      <c r="L1703" s="10">
        <v>4091056</v>
      </c>
      <c r="M1703" s="10">
        <v>265936</v>
      </c>
      <c r="N1703" s="11">
        <v>16</v>
      </c>
      <c r="O1703" s="11" t="s">
        <v>6992</v>
      </c>
    </row>
    <row r="1704" spans="1:15" x14ac:dyDescent="0.15">
      <c r="A1704" s="7" t="s">
        <v>3149</v>
      </c>
      <c r="D1704" s="8" t="s">
        <v>7095</v>
      </c>
      <c r="E1704" s="9" t="s">
        <v>7963</v>
      </c>
      <c r="F1704" s="9" t="s">
        <v>4609</v>
      </c>
      <c r="G1704" s="9" t="s">
        <v>6915</v>
      </c>
      <c r="I1704" s="9" t="s">
        <v>3163</v>
      </c>
      <c r="J1704" s="9" t="s">
        <v>3164</v>
      </c>
      <c r="K1704" s="9" t="s">
        <v>7101</v>
      </c>
      <c r="L1704" s="10">
        <v>4087776</v>
      </c>
      <c r="M1704" s="10">
        <v>266656</v>
      </c>
      <c r="N1704" s="11">
        <v>16</v>
      </c>
      <c r="O1704" s="11" t="s">
        <v>6992</v>
      </c>
    </row>
    <row r="1705" spans="1:15" x14ac:dyDescent="0.15">
      <c r="A1705" s="7" t="s">
        <v>3150</v>
      </c>
      <c r="D1705" s="8" t="s">
        <v>7095</v>
      </c>
      <c r="E1705" s="9" t="s">
        <v>7963</v>
      </c>
      <c r="F1705" s="9" t="s">
        <v>4609</v>
      </c>
      <c r="G1705" s="9" t="s">
        <v>6915</v>
      </c>
      <c r="I1705" s="9" t="s">
        <v>6911</v>
      </c>
      <c r="J1705" s="9" t="s">
        <v>3164</v>
      </c>
      <c r="K1705" s="9" t="s">
        <v>7101</v>
      </c>
      <c r="L1705" s="10">
        <v>4085968</v>
      </c>
      <c r="M1705" s="10">
        <v>273928</v>
      </c>
      <c r="N1705" s="11">
        <v>16</v>
      </c>
      <c r="O1705" s="11" t="s">
        <v>6992</v>
      </c>
    </row>
    <row r="1706" spans="1:15" x14ac:dyDescent="0.15">
      <c r="A1706" s="7" t="s">
        <v>3151</v>
      </c>
      <c r="D1706" s="8" t="s">
        <v>7095</v>
      </c>
      <c r="E1706" s="9" t="s">
        <v>7963</v>
      </c>
      <c r="F1706" s="9" t="s">
        <v>4609</v>
      </c>
      <c r="G1706" s="9" t="s">
        <v>6915</v>
      </c>
      <c r="I1706" s="9" t="s">
        <v>4371</v>
      </c>
      <c r="J1706" s="9" t="s">
        <v>3164</v>
      </c>
      <c r="K1706" s="9" t="s">
        <v>6913</v>
      </c>
      <c r="L1706" s="10">
        <v>4088320</v>
      </c>
      <c r="M1706" s="10">
        <v>270592</v>
      </c>
      <c r="N1706" s="11">
        <v>16</v>
      </c>
      <c r="O1706" s="11" t="s">
        <v>6992</v>
      </c>
    </row>
    <row r="1707" spans="1:15" x14ac:dyDescent="0.15">
      <c r="A1707" s="7" t="s">
        <v>3152</v>
      </c>
      <c r="D1707" s="8" t="s">
        <v>7095</v>
      </c>
      <c r="E1707" s="9" t="s">
        <v>7963</v>
      </c>
      <c r="F1707" s="9" t="s">
        <v>4609</v>
      </c>
      <c r="G1707" s="9" t="s">
        <v>6915</v>
      </c>
      <c r="I1707" s="9" t="s">
        <v>3160</v>
      </c>
      <c r="J1707" s="9" t="s">
        <v>6916</v>
      </c>
      <c r="K1707" s="9" t="s">
        <v>6913</v>
      </c>
      <c r="L1707" s="10">
        <v>4091632</v>
      </c>
      <c r="M1707" s="10">
        <v>270488</v>
      </c>
      <c r="N1707" s="11">
        <v>16</v>
      </c>
      <c r="O1707" s="11" t="s">
        <v>6992</v>
      </c>
    </row>
    <row r="1708" spans="1:15" x14ac:dyDescent="0.15">
      <c r="A1708" s="7" t="s">
        <v>3153</v>
      </c>
      <c r="D1708" s="8" t="s">
        <v>7095</v>
      </c>
      <c r="E1708" s="9" t="s">
        <v>7963</v>
      </c>
      <c r="F1708" s="9" t="s">
        <v>4609</v>
      </c>
      <c r="G1708" s="9" t="s">
        <v>6915</v>
      </c>
      <c r="I1708" s="9" t="s">
        <v>7099</v>
      </c>
      <c r="J1708" s="9" t="s">
        <v>6916</v>
      </c>
      <c r="K1708" s="9" t="s">
        <v>6913</v>
      </c>
      <c r="L1708" s="10">
        <v>4093416</v>
      </c>
      <c r="M1708" s="10">
        <v>269640</v>
      </c>
      <c r="N1708" s="11">
        <v>16</v>
      </c>
      <c r="O1708" s="11" t="s">
        <v>6992</v>
      </c>
    </row>
    <row r="1709" spans="1:15" x14ac:dyDescent="0.15">
      <c r="A1709" s="7" t="s">
        <v>3154</v>
      </c>
      <c r="D1709" s="8" t="s">
        <v>7095</v>
      </c>
      <c r="E1709" s="9" t="s">
        <v>7963</v>
      </c>
      <c r="F1709" s="9" t="s">
        <v>4609</v>
      </c>
      <c r="G1709" s="9" t="s">
        <v>3159</v>
      </c>
      <c r="I1709" s="9" t="s">
        <v>7118</v>
      </c>
      <c r="J1709" s="9" t="s">
        <v>3164</v>
      </c>
      <c r="K1709" s="9" t="s">
        <v>6913</v>
      </c>
      <c r="L1709" s="10">
        <v>4084520</v>
      </c>
      <c r="M1709" s="10">
        <v>276088</v>
      </c>
      <c r="N1709" s="11">
        <v>16</v>
      </c>
      <c r="O1709" s="11" t="s">
        <v>6992</v>
      </c>
    </row>
    <row r="1710" spans="1:15" x14ac:dyDescent="0.15">
      <c r="A1710" s="7" t="s">
        <v>3166</v>
      </c>
      <c r="C1710" s="7" t="s">
        <v>3171</v>
      </c>
      <c r="D1710" s="8" t="s">
        <v>7095</v>
      </c>
      <c r="E1710" s="9" t="s">
        <v>7963</v>
      </c>
      <c r="F1710" s="9" t="s">
        <v>4609</v>
      </c>
      <c r="G1710" s="9" t="s">
        <v>3158</v>
      </c>
      <c r="I1710" s="9" t="s">
        <v>3172</v>
      </c>
      <c r="J1710" s="9" t="s">
        <v>3130</v>
      </c>
      <c r="K1710" s="9" t="s">
        <v>7101</v>
      </c>
      <c r="L1710" s="10">
        <v>4076424</v>
      </c>
      <c r="M1710" s="10">
        <v>261136</v>
      </c>
      <c r="N1710" s="11">
        <v>16</v>
      </c>
      <c r="O1710" s="11" t="s">
        <v>6992</v>
      </c>
    </row>
    <row r="1711" spans="1:15" x14ac:dyDescent="0.15">
      <c r="A1711" s="7" t="s">
        <v>3167</v>
      </c>
      <c r="D1711" s="8" t="s">
        <v>7095</v>
      </c>
      <c r="E1711" s="9" t="s">
        <v>7963</v>
      </c>
      <c r="F1711" s="9" t="s">
        <v>4609</v>
      </c>
      <c r="G1711" s="9" t="s">
        <v>3158</v>
      </c>
      <c r="I1711" s="9" t="s">
        <v>3173</v>
      </c>
      <c r="J1711" s="9" t="s">
        <v>3130</v>
      </c>
      <c r="K1711" s="9" t="s">
        <v>7101</v>
      </c>
      <c r="L1711" s="10">
        <v>4075240</v>
      </c>
      <c r="M1711" s="10">
        <v>262232</v>
      </c>
      <c r="N1711" s="11">
        <v>16</v>
      </c>
      <c r="O1711" s="11" t="s">
        <v>6992</v>
      </c>
    </row>
    <row r="1712" spans="1:15" x14ac:dyDescent="0.15">
      <c r="A1712" s="7" t="s">
        <v>3168</v>
      </c>
      <c r="D1712" s="8" t="s">
        <v>7095</v>
      </c>
      <c r="E1712" s="9" t="s">
        <v>7963</v>
      </c>
      <c r="F1712" s="9" t="s">
        <v>4609</v>
      </c>
      <c r="G1712" s="9" t="s">
        <v>3158</v>
      </c>
      <c r="I1712" s="9" t="s">
        <v>3173</v>
      </c>
      <c r="J1712" s="9" t="s">
        <v>3130</v>
      </c>
      <c r="K1712" s="9" t="s">
        <v>7101</v>
      </c>
      <c r="L1712" s="10">
        <v>4074664</v>
      </c>
      <c r="M1712" s="10">
        <v>263072</v>
      </c>
      <c r="N1712" s="11">
        <v>16</v>
      </c>
      <c r="O1712" s="11" t="s">
        <v>6992</v>
      </c>
    </row>
    <row r="1713" spans="1:62" x14ac:dyDescent="0.15">
      <c r="A1713" s="7" t="s">
        <v>3169</v>
      </c>
      <c r="D1713" s="8" t="s">
        <v>7095</v>
      </c>
      <c r="E1713" s="9" t="s">
        <v>7963</v>
      </c>
      <c r="F1713" s="9" t="s">
        <v>4609</v>
      </c>
      <c r="G1713" s="9" t="s">
        <v>3158</v>
      </c>
      <c r="I1713" s="9" t="s">
        <v>3160</v>
      </c>
      <c r="J1713" s="9" t="s">
        <v>3164</v>
      </c>
      <c r="K1713" s="9" t="s">
        <v>7101</v>
      </c>
      <c r="L1713" s="10">
        <v>4082200</v>
      </c>
      <c r="M1713" s="10">
        <v>259104</v>
      </c>
      <c r="N1713" s="11">
        <v>16</v>
      </c>
      <c r="O1713" s="11" t="s">
        <v>6992</v>
      </c>
    </row>
    <row r="1714" spans="1:62" x14ac:dyDescent="0.15">
      <c r="A1714" s="7" t="s">
        <v>3170</v>
      </c>
      <c r="D1714" s="8" t="s">
        <v>7095</v>
      </c>
      <c r="E1714" s="9" t="s">
        <v>7963</v>
      </c>
      <c r="F1714" s="9" t="s">
        <v>4609</v>
      </c>
      <c r="G1714" s="9" t="s">
        <v>3158</v>
      </c>
      <c r="I1714" s="9" t="s">
        <v>3174</v>
      </c>
      <c r="J1714" s="9" t="s">
        <v>3130</v>
      </c>
      <c r="K1714" s="9" t="s">
        <v>7101</v>
      </c>
      <c r="L1714" s="10">
        <v>4071432</v>
      </c>
      <c r="M1714" s="10">
        <v>260640</v>
      </c>
      <c r="N1714" s="11">
        <v>16</v>
      </c>
      <c r="O1714" s="11" t="s">
        <v>6992</v>
      </c>
    </row>
    <row r="1715" spans="1:62" x14ac:dyDescent="0.15">
      <c r="A1715" s="7" t="s">
        <v>2095</v>
      </c>
      <c r="C1715" s="7" t="s">
        <v>3095</v>
      </c>
      <c r="D1715" s="8" t="s">
        <v>7095</v>
      </c>
      <c r="E1715" s="9" t="s">
        <v>7963</v>
      </c>
      <c r="F1715" s="9" t="s">
        <v>4609</v>
      </c>
      <c r="G1715" s="9" t="s">
        <v>3159</v>
      </c>
      <c r="I1715" s="9" t="s">
        <v>7242</v>
      </c>
      <c r="J1715" s="9" t="s">
        <v>3130</v>
      </c>
      <c r="K1715" s="9" t="s">
        <v>3096</v>
      </c>
      <c r="L1715" s="10">
        <v>4086628</v>
      </c>
      <c r="M1715" s="10">
        <v>294924</v>
      </c>
      <c r="N1715" s="11">
        <v>16</v>
      </c>
      <c r="O1715" s="11" t="s">
        <v>6992</v>
      </c>
      <c r="P1715" s="7" t="s">
        <v>3097</v>
      </c>
      <c r="S1715" s="9" t="s">
        <v>7095</v>
      </c>
      <c r="T1715" s="9" t="s">
        <v>4902</v>
      </c>
      <c r="U1715" s="9" t="s">
        <v>4902</v>
      </c>
      <c r="V1715" s="9" t="s">
        <v>4902</v>
      </c>
      <c r="W1715" s="9" t="s">
        <v>4902</v>
      </c>
      <c r="X1715" s="9" t="s">
        <v>4902</v>
      </c>
      <c r="Y1715" s="9" t="s">
        <v>4902</v>
      </c>
      <c r="Z1715" s="9" t="s">
        <v>4902</v>
      </c>
      <c r="AA1715" s="9" t="s">
        <v>4902</v>
      </c>
      <c r="AB1715" s="9" t="s">
        <v>4902</v>
      </c>
      <c r="AC1715" s="9" t="s">
        <v>4902</v>
      </c>
      <c r="AD1715" s="9" t="s">
        <v>4902</v>
      </c>
      <c r="AE1715" s="9" t="s">
        <v>4902</v>
      </c>
      <c r="AF1715" s="9" t="s">
        <v>4902</v>
      </c>
      <c r="AG1715" s="9" t="s">
        <v>4902</v>
      </c>
      <c r="AH1715" s="9" t="s">
        <v>3128</v>
      </c>
      <c r="AI1715" s="11">
        <v>18</v>
      </c>
      <c r="AJ1715" s="11">
        <v>1</v>
      </c>
      <c r="AK1715" s="11">
        <v>1</v>
      </c>
      <c r="AL1715" s="11">
        <v>0</v>
      </c>
      <c r="AN1715" s="12">
        <v>0</v>
      </c>
      <c r="AO1715" s="12">
        <v>0</v>
      </c>
      <c r="AP1715" s="12">
        <v>0</v>
      </c>
      <c r="AQ1715" s="12">
        <v>0</v>
      </c>
      <c r="AR1715" s="11">
        <v>1</v>
      </c>
      <c r="AS1715" s="12">
        <v>0</v>
      </c>
      <c r="AT1715" s="11">
        <v>0</v>
      </c>
      <c r="AU1715" s="12">
        <v>0</v>
      </c>
      <c r="AV1715" s="12">
        <v>0</v>
      </c>
      <c r="AW1715" s="12">
        <v>0</v>
      </c>
      <c r="AX1715" s="12">
        <v>0</v>
      </c>
      <c r="AY1715" s="12">
        <v>0</v>
      </c>
      <c r="BB1715" s="12">
        <v>0</v>
      </c>
      <c r="BC1715" s="12">
        <v>0</v>
      </c>
      <c r="BD1715" s="12">
        <v>0</v>
      </c>
      <c r="BE1715" s="12">
        <v>0</v>
      </c>
      <c r="BF1715" s="12">
        <v>0</v>
      </c>
      <c r="BI1715" s="12">
        <v>0</v>
      </c>
      <c r="BJ1715" s="12">
        <v>0</v>
      </c>
    </row>
    <row r="1716" spans="1:62" x14ac:dyDescent="0.15">
      <c r="A1716" s="7" t="s">
        <v>3089</v>
      </c>
      <c r="B1716" s="7" t="s">
        <v>3101</v>
      </c>
      <c r="D1716" s="8" t="s">
        <v>7095</v>
      </c>
      <c r="E1716" s="9" t="s">
        <v>7963</v>
      </c>
      <c r="F1716" s="9" t="s">
        <v>4609</v>
      </c>
      <c r="G1716" s="9" t="s">
        <v>3159</v>
      </c>
      <c r="I1716" s="9" t="s">
        <v>3098</v>
      </c>
      <c r="J1716" s="9" t="s">
        <v>3164</v>
      </c>
      <c r="K1716" s="9" t="s">
        <v>3099</v>
      </c>
      <c r="L1716" s="10">
        <v>4086628</v>
      </c>
      <c r="M1716" s="10">
        <v>294920</v>
      </c>
      <c r="N1716" s="11">
        <v>16</v>
      </c>
      <c r="O1716" s="11" t="s">
        <v>6992</v>
      </c>
      <c r="P1716" s="7" t="s">
        <v>2021</v>
      </c>
      <c r="S1716" s="9" t="s">
        <v>7095</v>
      </c>
      <c r="T1716" s="9" t="s">
        <v>4902</v>
      </c>
      <c r="U1716" s="9" t="s">
        <v>4902</v>
      </c>
      <c r="V1716" s="9" t="s">
        <v>4902</v>
      </c>
      <c r="W1716" s="9" t="s">
        <v>4902</v>
      </c>
      <c r="X1716" s="9" t="s">
        <v>4902</v>
      </c>
      <c r="Y1716" s="9" t="s">
        <v>4902</v>
      </c>
      <c r="Z1716" s="9" t="s">
        <v>4902</v>
      </c>
      <c r="AA1716" s="9" t="s">
        <v>4902</v>
      </c>
      <c r="AB1716" s="9" t="s">
        <v>4902</v>
      </c>
      <c r="AC1716" s="9" t="s">
        <v>4902</v>
      </c>
      <c r="AD1716" s="9" t="s">
        <v>4902</v>
      </c>
      <c r="AE1716" s="9" t="s">
        <v>4902</v>
      </c>
      <c r="AF1716" s="9" t="s">
        <v>4902</v>
      </c>
      <c r="AG1716" s="9" t="s">
        <v>4902</v>
      </c>
      <c r="AH1716" s="9" t="s">
        <v>8248</v>
      </c>
      <c r="AI1716" s="11">
        <v>1</v>
      </c>
      <c r="AJ1716" s="11">
        <v>1</v>
      </c>
      <c r="AK1716" s="11">
        <v>1</v>
      </c>
      <c r="AL1716" s="11">
        <v>0</v>
      </c>
      <c r="AN1716" s="12">
        <v>0</v>
      </c>
      <c r="AO1716" s="12">
        <v>0</v>
      </c>
      <c r="AP1716" s="12">
        <v>0</v>
      </c>
      <c r="AQ1716" s="12">
        <v>0</v>
      </c>
      <c r="AR1716" s="11">
        <v>1</v>
      </c>
      <c r="AS1716" s="12">
        <v>0</v>
      </c>
      <c r="AT1716" s="11">
        <v>0</v>
      </c>
      <c r="AU1716" s="12">
        <v>0</v>
      </c>
      <c r="AV1716" s="12">
        <v>0</v>
      </c>
      <c r="AW1716" s="12">
        <v>0</v>
      </c>
      <c r="AX1716" s="12">
        <v>0</v>
      </c>
      <c r="AY1716" s="12">
        <v>0</v>
      </c>
      <c r="BB1716" s="12">
        <v>0</v>
      </c>
      <c r="BC1716" s="12">
        <v>0</v>
      </c>
      <c r="BD1716" s="12">
        <v>0</v>
      </c>
      <c r="BE1716" s="12">
        <v>0</v>
      </c>
      <c r="BF1716" s="12">
        <v>0</v>
      </c>
      <c r="BI1716" s="12">
        <v>0</v>
      </c>
      <c r="BJ1716" s="12">
        <v>0</v>
      </c>
    </row>
    <row r="1717" spans="1:62" x14ac:dyDescent="0.15">
      <c r="A1717" s="7" t="s">
        <v>3090</v>
      </c>
      <c r="B1717" s="7" t="s">
        <v>3100</v>
      </c>
      <c r="D1717" s="8" t="s">
        <v>7095</v>
      </c>
      <c r="E1717" s="9" t="s">
        <v>7963</v>
      </c>
      <c r="F1717" s="9" t="s">
        <v>4609</v>
      </c>
      <c r="G1717" s="9" t="s">
        <v>3159</v>
      </c>
      <c r="I1717" s="9" t="s">
        <v>3162</v>
      </c>
      <c r="J1717" s="9" t="s">
        <v>3130</v>
      </c>
      <c r="K1717" s="9" t="s">
        <v>6923</v>
      </c>
      <c r="L1717" s="10">
        <v>4078893</v>
      </c>
      <c r="M1717" s="10">
        <v>284270</v>
      </c>
      <c r="N1717" s="11">
        <v>16</v>
      </c>
      <c r="O1717" s="11" t="s">
        <v>6992</v>
      </c>
      <c r="P1717" s="7" t="s">
        <v>2020</v>
      </c>
      <c r="S1717" s="9" t="s">
        <v>7095</v>
      </c>
      <c r="T1717" s="9" t="s">
        <v>4902</v>
      </c>
      <c r="U1717" s="9" t="s">
        <v>4902</v>
      </c>
      <c r="V1717" s="9" t="s">
        <v>4902</v>
      </c>
      <c r="W1717" s="9" t="s">
        <v>4902</v>
      </c>
      <c r="X1717" s="9" t="s">
        <v>4902</v>
      </c>
      <c r="Y1717" s="9" t="s">
        <v>4902</v>
      </c>
      <c r="Z1717" s="9" t="s">
        <v>4902</v>
      </c>
      <c r="AA1717" s="9" t="s">
        <v>4902</v>
      </c>
      <c r="AB1717" s="9" t="s">
        <v>4902</v>
      </c>
      <c r="AC1717" s="9" t="s">
        <v>4902</v>
      </c>
      <c r="AD1717" s="9" t="s">
        <v>4902</v>
      </c>
      <c r="AE1717" s="9" t="s">
        <v>4902</v>
      </c>
      <c r="AF1717" s="9" t="s">
        <v>4902</v>
      </c>
      <c r="AG1717" s="9" t="s">
        <v>4902</v>
      </c>
      <c r="AH1717" s="9" t="s">
        <v>4909</v>
      </c>
      <c r="AI1717" s="11">
        <v>1</v>
      </c>
      <c r="AJ1717" s="11">
        <v>1</v>
      </c>
      <c r="AK1717" s="11">
        <v>1</v>
      </c>
      <c r="AL1717" s="11">
        <v>0</v>
      </c>
      <c r="AN1717" s="12">
        <v>0</v>
      </c>
      <c r="AO1717" s="12">
        <v>0</v>
      </c>
      <c r="AP1717" s="12">
        <v>0</v>
      </c>
      <c r="AQ1717" s="12">
        <v>0</v>
      </c>
      <c r="AR1717" s="11">
        <v>1</v>
      </c>
      <c r="AS1717" s="12">
        <v>0</v>
      </c>
      <c r="AT1717" s="11">
        <v>0</v>
      </c>
      <c r="AU1717" s="12">
        <v>0</v>
      </c>
      <c r="AV1717" s="12">
        <v>0</v>
      </c>
      <c r="AW1717" s="12">
        <v>0</v>
      </c>
      <c r="AX1717" s="12">
        <v>0</v>
      </c>
      <c r="AY1717" s="12">
        <v>0</v>
      </c>
      <c r="BB1717" s="12">
        <v>0</v>
      </c>
      <c r="BC1717" s="12">
        <v>0</v>
      </c>
      <c r="BD1717" s="12">
        <v>0</v>
      </c>
      <c r="BE1717" s="12">
        <v>0</v>
      </c>
      <c r="BF1717" s="12">
        <v>0</v>
      </c>
      <c r="BI1717" s="12">
        <v>0</v>
      </c>
      <c r="BJ1717" s="12">
        <v>0</v>
      </c>
    </row>
    <row r="1718" spans="1:62" x14ac:dyDescent="0.15">
      <c r="A1718" s="7" t="s">
        <v>3091</v>
      </c>
      <c r="B1718" s="7" t="s">
        <v>3106</v>
      </c>
      <c r="C1718" s="7" t="s">
        <v>3094</v>
      </c>
      <c r="D1718" s="8" t="s">
        <v>7095</v>
      </c>
      <c r="G1718" s="9" t="s">
        <v>3159</v>
      </c>
      <c r="I1718" s="9" t="s">
        <v>7536</v>
      </c>
      <c r="J1718" s="9" t="s">
        <v>3165</v>
      </c>
      <c r="K1718" s="9" t="s">
        <v>3099</v>
      </c>
      <c r="L1718" s="10">
        <v>4070241</v>
      </c>
      <c r="M1718" s="10">
        <v>291089</v>
      </c>
      <c r="N1718" s="11">
        <v>16</v>
      </c>
      <c r="O1718" s="11" t="s">
        <v>6992</v>
      </c>
      <c r="P1718" s="7" t="s">
        <v>3105</v>
      </c>
      <c r="S1718" s="9" t="s">
        <v>7095</v>
      </c>
      <c r="T1718" s="9" t="s">
        <v>4902</v>
      </c>
      <c r="U1718" s="9" t="s">
        <v>4902</v>
      </c>
      <c r="V1718" s="9" t="s">
        <v>4902</v>
      </c>
      <c r="W1718" s="9" t="s">
        <v>4902</v>
      </c>
      <c r="X1718" s="9" t="s">
        <v>4902</v>
      </c>
      <c r="Y1718" s="9" t="s">
        <v>4902</v>
      </c>
      <c r="Z1718" s="9" t="s">
        <v>4902</v>
      </c>
      <c r="AA1718" s="9" t="s">
        <v>4902</v>
      </c>
      <c r="AB1718" s="9" t="s">
        <v>4902</v>
      </c>
      <c r="AC1718" s="9" t="s">
        <v>4902</v>
      </c>
      <c r="AD1718" s="9" t="s">
        <v>4902</v>
      </c>
      <c r="AE1718" s="9" t="s">
        <v>4902</v>
      </c>
      <c r="AF1718" s="9" t="s">
        <v>4902</v>
      </c>
      <c r="AG1718" s="9" t="s">
        <v>4902</v>
      </c>
      <c r="AH1718" s="9" t="s">
        <v>8248</v>
      </c>
      <c r="AI1718" s="11">
        <v>2</v>
      </c>
      <c r="AJ1718" s="11">
        <v>1</v>
      </c>
      <c r="AK1718" s="11">
        <v>1</v>
      </c>
      <c r="AL1718" s="11">
        <v>0</v>
      </c>
      <c r="AN1718" s="12">
        <v>0</v>
      </c>
      <c r="AO1718" s="12">
        <v>0</v>
      </c>
      <c r="AP1718" s="12">
        <v>0</v>
      </c>
      <c r="AQ1718" s="12">
        <v>0</v>
      </c>
      <c r="AR1718" s="11">
        <v>1</v>
      </c>
      <c r="AS1718" s="12">
        <v>0</v>
      </c>
      <c r="AT1718" s="11">
        <v>0</v>
      </c>
      <c r="AU1718" s="12">
        <v>0</v>
      </c>
      <c r="AV1718" s="12">
        <v>0</v>
      </c>
      <c r="AW1718" s="12">
        <v>0</v>
      </c>
      <c r="AX1718" s="12">
        <v>0</v>
      </c>
      <c r="AY1718" s="12">
        <v>0</v>
      </c>
      <c r="BB1718" s="12">
        <v>0</v>
      </c>
      <c r="BC1718" s="12">
        <v>0</v>
      </c>
      <c r="BD1718" s="12">
        <v>0</v>
      </c>
      <c r="BE1718" s="12">
        <v>0</v>
      </c>
      <c r="BF1718" s="12">
        <v>0</v>
      </c>
      <c r="BI1718" s="12">
        <v>0</v>
      </c>
      <c r="BJ1718" s="12">
        <v>0</v>
      </c>
    </row>
    <row r="1719" spans="1:62" x14ac:dyDescent="0.15">
      <c r="A1719" s="7" t="s">
        <v>3102</v>
      </c>
      <c r="C1719" s="7" t="s">
        <v>3103</v>
      </c>
      <c r="E1719" s="9" t="s">
        <v>7963</v>
      </c>
      <c r="F1719" s="9" t="s">
        <v>4609</v>
      </c>
      <c r="G1719" s="9" t="s">
        <v>3159</v>
      </c>
      <c r="I1719" s="9" t="s">
        <v>4876</v>
      </c>
      <c r="J1719" s="9" t="s">
        <v>3130</v>
      </c>
      <c r="K1719" s="9" t="s">
        <v>6923</v>
      </c>
      <c r="L1719" s="10">
        <v>4080128</v>
      </c>
      <c r="M1719" s="10">
        <v>284672</v>
      </c>
      <c r="N1719" s="11">
        <v>16</v>
      </c>
      <c r="O1719" s="11" t="s">
        <v>4871</v>
      </c>
      <c r="P1719" s="7" t="s">
        <v>3104</v>
      </c>
      <c r="S1719" s="9" t="s">
        <v>7095</v>
      </c>
      <c r="T1719" s="9" t="s">
        <v>4902</v>
      </c>
      <c r="U1719" s="9" t="s">
        <v>4902</v>
      </c>
      <c r="V1719" s="9" t="s">
        <v>4902</v>
      </c>
      <c r="W1719" s="9" t="s">
        <v>4902</v>
      </c>
      <c r="X1719" s="9" t="s">
        <v>4902</v>
      </c>
      <c r="Y1719" s="9" t="s">
        <v>4902</v>
      </c>
      <c r="Z1719" s="9" t="s">
        <v>4902</v>
      </c>
      <c r="AA1719" s="9" t="s">
        <v>4902</v>
      </c>
      <c r="AB1719" s="9" t="s">
        <v>4902</v>
      </c>
      <c r="AC1719" s="9" t="s">
        <v>4902</v>
      </c>
      <c r="AD1719" s="9" t="s">
        <v>4902</v>
      </c>
      <c r="AE1719" s="9" t="s">
        <v>4902</v>
      </c>
      <c r="AF1719" s="9" t="s">
        <v>4902</v>
      </c>
      <c r="AG1719" s="9" t="s">
        <v>4902</v>
      </c>
      <c r="AH1719" s="9" t="s">
        <v>4909</v>
      </c>
      <c r="AI1719" s="11">
        <v>1</v>
      </c>
      <c r="AJ1719" s="11">
        <v>1</v>
      </c>
      <c r="AK1719" s="11">
        <v>0</v>
      </c>
      <c r="AL1719" s="11">
        <v>0</v>
      </c>
      <c r="AN1719" s="12">
        <v>0</v>
      </c>
      <c r="AO1719" s="12">
        <v>0</v>
      </c>
      <c r="AP1719" s="12">
        <v>0</v>
      </c>
      <c r="AQ1719" s="12">
        <v>0</v>
      </c>
      <c r="AR1719" s="11">
        <v>0</v>
      </c>
      <c r="AS1719" s="12">
        <v>0</v>
      </c>
      <c r="AT1719" s="11">
        <v>1</v>
      </c>
      <c r="AU1719" s="12">
        <v>0</v>
      </c>
      <c r="AV1719" s="11">
        <v>0</v>
      </c>
      <c r="AW1719" s="12">
        <v>0</v>
      </c>
      <c r="AX1719" s="12">
        <v>0</v>
      </c>
      <c r="AY1719" s="12">
        <v>0</v>
      </c>
      <c r="AZ1719" s="12" t="s">
        <v>4843</v>
      </c>
      <c r="BA1719" s="12" t="s">
        <v>4911</v>
      </c>
      <c r="BB1719" s="12">
        <v>0</v>
      </c>
      <c r="BC1719" s="12">
        <v>0</v>
      </c>
      <c r="BD1719" s="12">
        <v>0</v>
      </c>
      <c r="BE1719" s="12">
        <v>0</v>
      </c>
      <c r="BF1719" s="12">
        <v>0</v>
      </c>
      <c r="BI1719" s="12">
        <v>0</v>
      </c>
      <c r="BJ1719" s="12">
        <v>0</v>
      </c>
    </row>
    <row r="1720" spans="1:62" x14ac:dyDescent="0.15">
      <c r="A1720" s="7" t="s">
        <v>2022</v>
      </c>
      <c r="C1720" s="7" t="s">
        <v>2023</v>
      </c>
      <c r="D1720" s="8" t="s">
        <v>7095</v>
      </c>
      <c r="L1720" s="10">
        <v>4090316</v>
      </c>
      <c r="M1720" s="10">
        <v>309156</v>
      </c>
      <c r="N1720" s="11">
        <v>16</v>
      </c>
      <c r="O1720" s="11" t="s">
        <v>6992</v>
      </c>
    </row>
    <row r="1721" spans="1:62" x14ac:dyDescent="0.15">
      <c r="A1721" s="7" t="s">
        <v>2024</v>
      </c>
      <c r="C1721" s="7" t="s">
        <v>2025</v>
      </c>
      <c r="D1721" s="8" t="s">
        <v>7095</v>
      </c>
      <c r="L1721" s="10">
        <v>4088412</v>
      </c>
      <c r="M1721" s="10">
        <v>304576</v>
      </c>
      <c r="N1721" s="11">
        <v>16</v>
      </c>
      <c r="O1721" s="11" t="s">
        <v>6992</v>
      </c>
      <c r="P1721" s="7" t="s">
        <v>2026</v>
      </c>
    </row>
    <row r="1722" spans="1:62" x14ac:dyDescent="0.15">
      <c r="C1722" s="7" t="s">
        <v>6843</v>
      </c>
      <c r="D1722" s="8" t="s">
        <v>6844</v>
      </c>
      <c r="E1722" s="9" t="s">
        <v>7423</v>
      </c>
      <c r="F1722" s="9" t="s">
        <v>7423</v>
      </c>
      <c r="G1722" s="9" t="s">
        <v>6845</v>
      </c>
      <c r="L1722" s="10">
        <v>3499452</v>
      </c>
      <c r="M1722" s="10">
        <v>634108</v>
      </c>
      <c r="N1722" s="11">
        <v>15</v>
      </c>
      <c r="O1722" s="11" t="s">
        <v>4871</v>
      </c>
      <c r="P1722" s="7" t="s">
        <v>6846</v>
      </c>
      <c r="AH1722" s="9" t="s">
        <v>7536</v>
      </c>
      <c r="AI1722" s="11">
        <v>5</v>
      </c>
      <c r="AJ1722" s="11">
        <v>1</v>
      </c>
      <c r="AK1722" s="11">
        <v>1</v>
      </c>
      <c r="AT1722" s="11">
        <v>1</v>
      </c>
      <c r="BG1722" t="s">
        <v>6847</v>
      </c>
    </row>
    <row r="1723" spans="1:62" x14ac:dyDescent="0.15">
      <c r="C1723" s="7" t="s">
        <v>6117</v>
      </c>
      <c r="D1723" s="8" t="s">
        <v>6844</v>
      </c>
      <c r="E1723" s="9" t="s">
        <v>7423</v>
      </c>
      <c r="F1723" s="9" t="s">
        <v>7423</v>
      </c>
      <c r="G1723" s="9" t="s">
        <v>6845</v>
      </c>
      <c r="L1723" s="10">
        <v>3498976</v>
      </c>
      <c r="M1723" s="10">
        <v>626424</v>
      </c>
      <c r="N1723" s="11">
        <v>15</v>
      </c>
      <c r="O1723" s="11" t="s">
        <v>4871</v>
      </c>
      <c r="P1723" s="7" t="s">
        <v>6848</v>
      </c>
      <c r="AH1723" s="9" t="s">
        <v>4909</v>
      </c>
      <c r="AI1723" s="11">
        <v>1</v>
      </c>
      <c r="AJ1723" s="11">
        <v>1</v>
      </c>
      <c r="AK1723" s="11">
        <v>0</v>
      </c>
      <c r="AL1723" s="11">
        <v>1</v>
      </c>
      <c r="AN1723" s="11">
        <v>0</v>
      </c>
      <c r="AO1723" s="11">
        <v>0</v>
      </c>
      <c r="AP1723" s="11">
        <v>0</v>
      </c>
      <c r="AQ1723" s="11">
        <v>1</v>
      </c>
      <c r="AR1723" s="11">
        <v>0</v>
      </c>
      <c r="AS1723" s="11">
        <v>0</v>
      </c>
      <c r="AT1723" s="11">
        <v>0</v>
      </c>
      <c r="AU1723" s="11">
        <v>0</v>
      </c>
      <c r="AV1723" s="11">
        <v>0</v>
      </c>
      <c r="AW1723" s="11">
        <v>0</v>
      </c>
      <c r="AX1723" s="11">
        <v>0</v>
      </c>
      <c r="AY1723" s="11">
        <v>0</v>
      </c>
      <c r="BF1723" s="12">
        <f>100*150</f>
        <v>15000</v>
      </c>
    </row>
    <row r="1724" spans="1:62" x14ac:dyDescent="0.15">
      <c r="C1724" s="7" t="s">
        <v>6849</v>
      </c>
      <c r="D1724" s="8" t="s">
        <v>6844</v>
      </c>
      <c r="E1724" s="9" t="s">
        <v>7423</v>
      </c>
      <c r="F1724" s="9" t="s">
        <v>7423</v>
      </c>
      <c r="G1724" s="9" t="s">
        <v>6845</v>
      </c>
      <c r="L1724" s="10">
        <v>3499430</v>
      </c>
      <c r="M1724" s="10">
        <v>626363</v>
      </c>
      <c r="N1724" s="11">
        <v>15</v>
      </c>
      <c r="O1724" s="11" t="s">
        <v>4871</v>
      </c>
      <c r="P1724" s="7" t="s">
        <v>6850</v>
      </c>
      <c r="AH1724" s="9" t="s">
        <v>4909</v>
      </c>
      <c r="AI1724" s="11">
        <v>1</v>
      </c>
      <c r="AJ1724" s="11">
        <v>1</v>
      </c>
      <c r="AK1724" s="11">
        <v>0</v>
      </c>
      <c r="AR1724" s="11">
        <v>1</v>
      </c>
      <c r="BD1724" s="12">
        <v>7</v>
      </c>
      <c r="BF1724" s="12">
        <f>150*125</f>
        <v>18750</v>
      </c>
      <c r="BG1724" t="s">
        <v>2956</v>
      </c>
    </row>
    <row r="1725" spans="1:62" x14ac:dyDescent="0.15">
      <c r="C1725" s="7" t="s">
        <v>6121</v>
      </c>
      <c r="D1725" s="8" t="s">
        <v>6844</v>
      </c>
      <c r="E1725" s="9" t="s">
        <v>7423</v>
      </c>
      <c r="F1725" s="9" t="s">
        <v>7423</v>
      </c>
      <c r="G1725" s="9" t="s">
        <v>6845</v>
      </c>
      <c r="L1725" s="10">
        <v>3498184</v>
      </c>
      <c r="M1725" s="10">
        <v>625600</v>
      </c>
      <c r="N1725" s="11">
        <v>15</v>
      </c>
      <c r="O1725" s="11" t="s">
        <v>4871</v>
      </c>
      <c r="P1725" s="7" t="s">
        <v>2957</v>
      </c>
      <c r="AH1725" s="9" t="s">
        <v>4909</v>
      </c>
      <c r="AI1725" s="11">
        <v>1</v>
      </c>
      <c r="AJ1725" s="11">
        <v>1</v>
      </c>
      <c r="AK1725" s="11">
        <v>0</v>
      </c>
      <c r="AL1725" s="11">
        <v>1</v>
      </c>
      <c r="AN1725" s="11">
        <v>0</v>
      </c>
      <c r="AO1725" s="11">
        <v>0</v>
      </c>
      <c r="AP1725" s="11">
        <v>0</v>
      </c>
      <c r="AQ1725" s="11">
        <v>1</v>
      </c>
      <c r="AR1725" s="11">
        <v>0</v>
      </c>
      <c r="AS1725" s="11">
        <v>0</v>
      </c>
      <c r="AT1725" s="11">
        <v>0</v>
      </c>
      <c r="AU1725" s="11">
        <v>0</v>
      </c>
      <c r="AV1725" s="11">
        <v>0</v>
      </c>
      <c r="AW1725" s="11">
        <v>0</v>
      </c>
      <c r="AX1725" s="11">
        <v>0</v>
      </c>
      <c r="AY1725" s="11">
        <v>0</v>
      </c>
      <c r="BD1725" s="12">
        <v>16</v>
      </c>
    </row>
    <row r="1726" spans="1:62" x14ac:dyDescent="0.15">
      <c r="C1726" s="7" t="s">
        <v>6360</v>
      </c>
      <c r="D1726" s="8" t="s">
        <v>6844</v>
      </c>
      <c r="E1726" s="9" t="s">
        <v>7423</v>
      </c>
      <c r="F1726" s="9" t="s">
        <v>7423</v>
      </c>
      <c r="G1726" s="9" t="s">
        <v>2958</v>
      </c>
      <c r="L1726" s="10">
        <v>3499304</v>
      </c>
      <c r="M1726" s="10">
        <v>612292</v>
      </c>
      <c r="N1726" s="11">
        <v>15</v>
      </c>
      <c r="O1726" s="11" t="s">
        <v>4871</v>
      </c>
      <c r="P1726" s="7" t="s">
        <v>2959</v>
      </c>
    </row>
    <row r="1727" spans="1:62" x14ac:dyDescent="0.15">
      <c r="C1727" s="7" t="s">
        <v>5802</v>
      </c>
      <c r="D1727" s="8" t="s">
        <v>6844</v>
      </c>
      <c r="E1727" s="9" t="s">
        <v>7423</v>
      </c>
      <c r="F1727" s="9" t="s">
        <v>7423</v>
      </c>
      <c r="G1727" s="9" t="s">
        <v>2958</v>
      </c>
      <c r="L1727" s="10">
        <v>3508828</v>
      </c>
      <c r="M1727" s="10">
        <v>611852</v>
      </c>
      <c r="N1727" s="11">
        <v>15</v>
      </c>
      <c r="O1727" s="11" t="s">
        <v>4871</v>
      </c>
      <c r="P1727" s="7" t="s">
        <v>5803</v>
      </c>
      <c r="Y1727" s="12">
        <v>1</v>
      </c>
      <c r="AH1727" s="9" t="s">
        <v>4876</v>
      </c>
      <c r="AI1727" s="11">
        <v>3</v>
      </c>
      <c r="AJ1727" s="11">
        <v>1</v>
      </c>
      <c r="AK1727" s="11">
        <v>1</v>
      </c>
      <c r="AL1727" s="11">
        <v>0</v>
      </c>
      <c r="AN1727" s="11">
        <v>0</v>
      </c>
      <c r="AO1727" s="11">
        <v>0</v>
      </c>
      <c r="AP1727" s="11">
        <v>0</v>
      </c>
      <c r="AQ1727" s="11">
        <v>0</v>
      </c>
      <c r="AT1727" s="11">
        <v>1</v>
      </c>
      <c r="AZ1727" s="12" t="s">
        <v>5804</v>
      </c>
      <c r="BA1727" s="12" t="s">
        <v>5805</v>
      </c>
      <c r="BD1727" s="12">
        <v>4</v>
      </c>
      <c r="BG1727" t="s">
        <v>5806</v>
      </c>
    </row>
    <row r="1728" spans="1:62" x14ac:dyDescent="0.15">
      <c r="C1728" s="7" t="s">
        <v>4886</v>
      </c>
      <c r="D1728" s="8" t="s">
        <v>6844</v>
      </c>
      <c r="E1728" s="9" t="s">
        <v>7423</v>
      </c>
      <c r="F1728" s="9" t="s">
        <v>7423</v>
      </c>
      <c r="G1728" s="9" t="s">
        <v>2958</v>
      </c>
      <c r="L1728" s="10">
        <v>3507920</v>
      </c>
      <c r="M1728" s="10">
        <v>613064</v>
      </c>
      <c r="N1728" s="11">
        <v>15</v>
      </c>
      <c r="O1728" s="11" t="s">
        <v>4871</v>
      </c>
      <c r="P1728" s="7" t="s">
        <v>5807</v>
      </c>
      <c r="AH1728" s="9" t="s">
        <v>4876</v>
      </c>
      <c r="AI1728" s="11">
        <v>3</v>
      </c>
      <c r="AJ1728" s="11">
        <v>1</v>
      </c>
      <c r="AK1728" s="11">
        <v>1</v>
      </c>
      <c r="AT1728" s="11">
        <v>1</v>
      </c>
    </row>
    <row r="1729" spans="1:58" x14ac:dyDescent="0.15">
      <c r="C1729" s="7" t="s">
        <v>3478</v>
      </c>
      <c r="D1729" s="8" t="s">
        <v>3686</v>
      </c>
      <c r="E1729" s="9" t="s">
        <v>5850</v>
      </c>
      <c r="F1729" s="9" t="s">
        <v>5850</v>
      </c>
      <c r="G1729" s="9" t="s">
        <v>3159</v>
      </c>
      <c r="H1729" s="9" t="s">
        <v>4871</v>
      </c>
      <c r="L1729" s="10">
        <v>3687404</v>
      </c>
      <c r="M1729" s="10">
        <v>682652</v>
      </c>
      <c r="N1729" s="11">
        <v>15</v>
      </c>
      <c r="O1729" s="11" t="s">
        <v>4871</v>
      </c>
      <c r="P1729" s="7" t="s">
        <v>3477</v>
      </c>
      <c r="AH1729" s="9" t="s">
        <v>4909</v>
      </c>
      <c r="AI1729" s="11">
        <v>1</v>
      </c>
      <c r="AJ1729" s="11">
        <v>1</v>
      </c>
      <c r="AK1729" s="11">
        <v>0</v>
      </c>
      <c r="AR1729" s="11">
        <v>1</v>
      </c>
      <c r="BD1729" s="12">
        <v>20</v>
      </c>
    </row>
    <row r="1730" spans="1:58" x14ac:dyDescent="0.15">
      <c r="C1730" s="7" t="s">
        <v>3479</v>
      </c>
      <c r="D1730" s="8" t="s">
        <v>3686</v>
      </c>
      <c r="E1730" s="9" t="s">
        <v>5850</v>
      </c>
      <c r="F1730" s="9" t="s">
        <v>5850</v>
      </c>
      <c r="G1730" s="9" t="s">
        <v>3159</v>
      </c>
      <c r="H1730" s="9" t="s">
        <v>4871</v>
      </c>
      <c r="L1730" s="10">
        <v>3687592</v>
      </c>
      <c r="M1730" s="10">
        <v>682416</v>
      </c>
      <c r="N1730" s="11">
        <v>15</v>
      </c>
      <c r="O1730" s="11" t="s">
        <v>4871</v>
      </c>
      <c r="P1730" s="7" t="s">
        <v>3480</v>
      </c>
      <c r="AH1730" s="9" t="s">
        <v>4909</v>
      </c>
      <c r="AI1730" s="11">
        <v>1</v>
      </c>
      <c r="AJ1730" s="11">
        <v>1</v>
      </c>
      <c r="AK1730" s="11">
        <v>0</v>
      </c>
      <c r="AR1730" s="11">
        <v>1</v>
      </c>
      <c r="BD1730" s="12">
        <v>3</v>
      </c>
    </row>
    <row r="1731" spans="1:58" x14ac:dyDescent="0.15">
      <c r="C1731" s="7" t="s">
        <v>6464</v>
      </c>
      <c r="D1731" s="8" t="s">
        <v>3686</v>
      </c>
      <c r="E1731" s="9" t="s">
        <v>5850</v>
      </c>
      <c r="F1731" s="9" t="s">
        <v>5850</v>
      </c>
      <c r="G1731" s="9" t="s">
        <v>3159</v>
      </c>
      <c r="H1731" s="9" t="s">
        <v>4871</v>
      </c>
      <c r="L1731" s="10">
        <v>3696436</v>
      </c>
      <c r="M1731" s="10">
        <v>696075</v>
      </c>
      <c r="N1731" s="11">
        <v>15</v>
      </c>
      <c r="O1731" s="11" t="s">
        <v>4871</v>
      </c>
      <c r="P1731" s="7" t="s">
        <v>6465</v>
      </c>
      <c r="AH1731" s="9" t="s">
        <v>4909</v>
      </c>
      <c r="AI1731" s="11">
        <v>1</v>
      </c>
      <c r="AJ1731" s="11">
        <v>1</v>
      </c>
      <c r="AK1731" s="11">
        <v>0</v>
      </c>
      <c r="AL1731" s="11">
        <v>1</v>
      </c>
      <c r="AM1731" s="11">
        <v>1</v>
      </c>
      <c r="AU1731" s="11">
        <v>0</v>
      </c>
      <c r="AV1731" s="11">
        <v>0</v>
      </c>
      <c r="BD1731" s="12">
        <v>12</v>
      </c>
    </row>
    <row r="1732" spans="1:58" x14ac:dyDescent="0.15">
      <c r="C1732" s="7" t="s">
        <v>1286</v>
      </c>
      <c r="D1732" s="8" t="s">
        <v>3686</v>
      </c>
      <c r="E1732" s="9" t="s">
        <v>5850</v>
      </c>
      <c r="F1732" s="9" t="s">
        <v>5850</v>
      </c>
      <c r="G1732" s="9" t="s">
        <v>3159</v>
      </c>
      <c r="H1732" s="9" t="s">
        <v>4871</v>
      </c>
      <c r="L1732" s="10">
        <v>3694138</v>
      </c>
      <c r="M1732" s="10">
        <v>702656</v>
      </c>
      <c r="N1732" s="11">
        <v>15</v>
      </c>
      <c r="O1732" s="11" t="s">
        <v>4871</v>
      </c>
      <c r="P1732" s="7" t="s">
        <v>1287</v>
      </c>
      <c r="AC1732" s="11">
        <v>1</v>
      </c>
      <c r="AD1732" s="11">
        <v>1</v>
      </c>
      <c r="AH1732" s="9" t="s">
        <v>4878</v>
      </c>
      <c r="AI1732" s="11">
        <v>0</v>
      </c>
      <c r="AJ1732" s="11">
        <v>0</v>
      </c>
      <c r="AK1732" s="11">
        <v>0</v>
      </c>
      <c r="AL1732" s="11">
        <v>0</v>
      </c>
    </row>
    <row r="1733" spans="1:58" x14ac:dyDescent="0.15">
      <c r="C1733" s="7" t="s">
        <v>8045</v>
      </c>
      <c r="D1733" s="8" t="s">
        <v>3686</v>
      </c>
      <c r="E1733" s="9" t="s">
        <v>5850</v>
      </c>
      <c r="F1733" s="9" t="s">
        <v>5850</v>
      </c>
      <c r="G1733" s="9" t="s">
        <v>3159</v>
      </c>
      <c r="H1733" s="9" t="s">
        <v>4871</v>
      </c>
      <c r="L1733" s="10">
        <v>3699218</v>
      </c>
      <c r="M1733" s="10">
        <v>694588</v>
      </c>
      <c r="N1733" s="11">
        <v>15</v>
      </c>
      <c r="O1733" s="11" t="s">
        <v>4871</v>
      </c>
      <c r="P1733" s="7" t="s">
        <v>8046</v>
      </c>
      <c r="S1733" s="9" t="s">
        <v>4881</v>
      </c>
      <c r="T1733" s="9" t="s">
        <v>7731</v>
      </c>
      <c r="AE1733" s="11">
        <v>1</v>
      </c>
      <c r="AF1733" s="11">
        <v>1</v>
      </c>
      <c r="AH1733" s="9" t="s">
        <v>1083</v>
      </c>
      <c r="AI1733" s="11">
        <v>2</v>
      </c>
      <c r="AJ1733" s="11">
        <v>1</v>
      </c>
      <c r="AK1733" s="11">
        <v>1</v>
      </c>
      <c r="AL1733" s="11">
        <v>1</v>
      </c>
      <c r="AM1733" s="11">
        <v>1</v>
      </c>
      <c r="AN1733" s="11">
        <v>0</v>
      </c>
      <c r="AO1733" s="11">
        <v>0</v>
      </c>
      <c r="AT1733" s="11">
        <v>1</v>
      </c>
      <c r="BD1733" s="12">
        <v>6</v>
      </c>
      <c r="BF1733" s="12">
        <f>75*75</f>
        <v>5625</v>
      </c>
    </row>
    <row r="1734" spans="1:58" x14ac:dyDescent="0.15">
      <c r="C1734" s="7" t="s">
        <v>8047</v>
      </c>
      <c r="D1734" s="8" t="s">
        <v>3686</v>
      </c>
      <c r="E1734" s="9" t="s">
        <v>5850</v>
      </c>
      <c r="F1734" s="9" t="s">
        <v>5850</v>
      </c>
      <c r="G1734" s="9" t="s">
        <v>3159</v>
      </c>
      <c r="H1734" s="9" t="s">
        <v>4871</v>
      </c>
      <c r="L1734" s="10">
        <v>3705060</v>
      </c>
      <c r="M1734" s="10">
        <v>698956</v>
      </c>
      <c r="N1734" s="11">
        <v>15</v>
      </c>
      <c r="O1734" s="11" t="s">
        <v>4871</v>
      </c>
      <c r="P1734" s="7" t="s">
        <v>8048</v>
      </c>
      <c r="AH1734" s="9" t="s">
        <v>4909</v>
      </c>
      <c r="AI1734" s="11">
        <v>1</v>
      </c>
      <c r="AJ1734" s="11">
        <v>1</v>
      </c>
      <c r="AK1734" s="11">
        <v>0</v>
      </c>
      <c r="AL1734" s="11">
        <v>0</v>
      </c>
      <c r="AM1734" s="11">
        <v>0</v>
      </c>
      <c r="AN1734" s="11">
        <v>0</v>
      </c>
      <c r="AO1734" s="11">
        <v>0</v>
      </c>
      <c r="AP1734" s="11">
        <v>0</v>
      </c>
      <c r="AQ1734" s="11">
        <v>0</v>
      </c>
      <c r="AR1734" s="11">
        <v>1</v>
      </c>
      <c r="AS1734" s="11">
        <v>0</v>
      </c>
      <c r="AT1734" s="11">
        <v>0</v>
      </c>
      <c r="BD1734" s="12">
        <v>3</v>
      </c>
    </row>
    <row r="1735" spans="1:58" x14ac:dyDescent="0.15">
      <c r="C1735" s="7" t="s">
        <v>4171</v>
      </c>
      <c r="D1735" s="8" t="s">
        <v>3686</v>
      </c>
      <c r="E1735" s="9" t="s">
        <v>5850</v>
      </c>
      <c r="F1735" s="9" t="s">
        <v>5850</v>
      </c>
      <c r="G1735" s="9" t="s">
        <v>3159</v>
      </c>
      <c r="H1735" s="9" t="s">
        <v>4871</v>
      </c>
      <c r="L1735" s="10">
        <v>3708580</v>
      </c>
      <c r="M1735" s="10">
        <v>676824</v>
      </c>
      <c r="N1735" s="11">
        <v>15</v>
      </c>
      <c r="O1735" s="11" t="s">
        <v>4871</v>
      </c>
      <c r="P1735" s="7" t="s">
        <v>2096</v>
      </c>
      <c r="AH1735" s="9" t="s">
        <v>4909</v>
      </c>
      <c r="AI1735" s="11">
        <v>1</v>
      </c>
      <c r="AJ1735" s="11">
        <v>1</v>
      </c>
      <c r="AK1735" s="11">
        <v>0</v>
      </c>
      <c r="AL1735" s="11">
        <v>1</v>
      </c>
      <c r="AM1735" s="11">
        <v>1</v>
      </c>
      <c r="AN1735" s="11">
        <v>0</v>
      </c>
      <c r="AO1735" s="11">
        <v>0</v>
      </c>
      <c r="AP1735" s="11">
        <v>0</v>
      </c>
      <c r="AQ1735" s="11">
        <v>0</v>
      </c>
      <c r="AR1735" s="11">
        <v>0</v>
      </c>
      <c r="AS1735" s="11">
        <v>0</v>
      </c>
      <c r="AT1735" s="11">
        <v>0</v>
      </c>
      <c r="AU1735" s="11">
        <v>0</v>
      </c>
      <c r="AV1735" s="11">
        <v>0</v>
      </c>
      <c r="AW1735" s="11">
        <v>0</v>
      </c>
      <c r="AX1735" s="11">
        <v>0</v>
      </c>
      <c r="AY1735" s="11">
        <v>0</v>
      </c>
      <c r="BD1735" s="12">
        <v>4</v>
      </c>
      <c r="BF1735" s="12">
        <f>30*30</f>
        <v>900</v>
      </c>
    </row>
    <row r="1736" spans="1:58" x14ac:dyDescent="0.15">
      <c r="A1736" s="7" t="s">
        <v>2097</v>
      </c>
      <c r="C1736" s="7" t="s">
        <v>7339</v>
      </c>
      <c r="D1736" s="8" t="s">
        <v>2098</v>
      </c>
      <c r="E1736" s="9" t="s">
        <v>5850</v>
      </c>
      <c r="F1736" s="9" t="s">
        <v>5850</v>
      </c>
      <c r="G1736" s="9" t="s">
        <v>3159</v>
      </c>
      <c r="H1736" s="9" t="s">
        <v>4871</v>
      </c>
      <c r="L1736" s="10">
        <v>3715324</v>
      </c>
      <c r="M1736" s="10">
        <v>671052</v>
      </c>
      <c r="N1736" s="11">
        <v>15</v>
      </c>
      <c r="O1736" s="11" t="s">
        <v>4871</v>
      </c>
      <c r="P1736" s="7" t="s">
        <v>2099</v>
      </c>
      <c r="AH1736" s="9" t="s">
        <v>1083</v>
      </c>
      <c r="AI1736" s="11">
        <v>2</v>
      </c>
      <c r="AJ1736" s="11">
        <v>1</v>
      </c>
      <c r="AK1736" s="11">
        <v>1</v>
      </c>
      <c r="AL1736" s="11">
        <v>1</v>
      </c>
      <c r="AM1736" s="11">
        <v>1</v>
      </c>
      <c r="AN1736" s="11">
        <v>0</v>
      </c>
      <c r="AO1736" s="11">
        <v>0</v>
      </c>
      <c r="AP1736" s="11">
        <v>0</v>
      </c>
      <c r="AQ1736" s="11">
        <v>1</v>
      </c>
      <c r="AR1736" s="11">
        <v>0</v>
      </c>
      <c r="AS1736" s="11">
        <v>0</v>
      </c>
      <c r="AT1736" s="11">
        <v>0</v>
      </c>
      <c r="AU1736" s="11">
        <v>0</v>
      </c>
      <c r="AV1736" s="11">
        <v>0</v>
      </c>
      <c r="BD1736" s="12">
        <v>12</v>
      </c>
    </row>
    <row r="1737" spans="1:58" x14ac:dyDescent="0.15">
      <c r="A1737" s="7" t="s">
        <v>7770</v>
      </c>
      <c r="C1737" s="7" t="s">
        <v>2100</v>
      </c>
      <c r="D1737" s="8" t="s">
        <v>2098</v>
      </c>
      <c r="E1737" s="9" t="s">
        <v>2101</v>
      </c>
      <c r="F1737" s="9" t="s">
        <v>2101</v>
      </c>
      <c r="H1737" s="9" t="s">
        <v>4871</v>
      </c>
      <c r="L1737" s="10">
        <v>3722960</v>
      </c>
      <c r="M1737" s="10">
        <v>666840</v>
      </c>
      <c r="N1737" s="11">
        <v>15</v>
      </c>
      <c r="O1737" s="11" t="s">
        <v>4871</v>
      </c>
      <c r="P1737" s="7" t="s">
        <v>2102</v>
      </c>
      <c r="AH1737" s="9" t="s">
        <v>4909</v>
      </c>
      <c r="AI1737" s="11">
        <v>0</v>
      </c>
      <c r="AJ1737" s="11">
        <v>1</v>
      </c>
      <c r="AK1737" s="11">
        <v>0</v>
      </c>
      <c r="AL1737" s="11">
        <v>1</v>
      </c>
      <c r="AM1737" s="11">
        <v>1</v>
      </c>
      <c r="AN1737" s="11">
        <v>0</v>
      </c>
      <c r="AO1737" s="11">
        <v>0</v>
      </c>
      <c r="AP1737" s="11">
        <v>0</v>
      </c>
      <c r="AQ1737" s="11">
        <v>1</v>
      </c>
      <c r="AR1737" s="11">
        <v>0</v>
      </c>
      <c r="AS1737" s="11">
        <v>0</v>
      </c>
      <c r="AT1737" s="11">
        <v>0</v>
      </c>
      <c r="AU1737" s="11">
        <v>0</v>
      </c>
      <c r="AV1737" s="11">
        <v>0</v>
      </c>
      <c r="AW1737" s="11">
        <v>0</v>
      </c>
      <c r="AX1737" s="11">
        <v>0</v>
      </c>
      <c r="AY1737" s="11">
        <v>0</v>
      </c>
      <c r="BD1737" s="12">
        <v>12</v>
      </c>
      <c r="BF1737" s="12">
        <f>108*72</f>
        <v>7776</v>
      </c>
    </row>
    <row r="1738" spans="1:58" x14ac:dyDescent="0.15">
      <c r="C1738" s="7" t="s">
        <v>8882</v>
      </c>
      <c r="D1738" s="8" t="s">
        <v>3686</v>
      </c>
      <c r="E1738" s="9" t="s">
        <v>5850</v>
      </c>
      <c r="F1738" s="9" t="s">
        <v>5850</v>
      </c>
      <c r="G1738" s="9" t="s">
        <v>3159</v>
      </c>
      <c r="H1738" s="9" t="s">
        <v>4871</v>
      </c>
      <c r="L1738" s="10">
        <v>3729960</v>
      </c>
      <c r="M1738" s="10">
        <v>688296</v>
      </c>
      <c r="N1738" s="11">
        <v>15</v>
      </c>
      <c r="O1738" s="11" t="s">
        <v>4871</v>
      </c>
      <c r="P1738" s="7" t="s">
        <v>8883</v>
      </c>
    </row>
    <row r="1739" spans="1:58" x14ac:dyDescent="0.15">
      <c r="C1739" s="7" t="s">
        <v>8884</v>
      </c>
      <c r="D1739" s="8" t="s">
        <v>3686</v>
      </c>
      <c r="E1739" s="9" t="s">
        <v>5850</v>
      </c>
      <c r="F1739" s="9" t="s">
        <v>5850</v>
      </c>
      <c r="G1739" s="9" t="s">
        <v>3159</v>
      </c>
      <c r="H1739" s="9" t="s">
        <v>4871</v>
      </c>
      <c r="L1739" s="10">
        <v>3732576</v>
      </c>
      <c r="M1739" s="10">
        <v>684704</v>
      </c>
      <c r="N1739" s="11">
        <v>15</v>
      </c>
      <c r="O1739" s="11" t="s">
        <v>4871</v>
      </c>
      <c r="P1739" s="7" t="s">
        <v>8885</v>
      </c>
      <c r="T1739" s="9" t="s">
        <v>8484</v>
      </c>
      <c r="U1739" s="12" t="s">
        <v>5019</v>
      </c>
      <c r="V1739" s="12" t="s">
        <v>5020</v>
      </c>
      <c r="AE1739" s="11">
        <v>1</v>
      </c>
      <c r="AF1739" s="11">
        <v>1</v>
      </c>
      <c r="AG1739" s="11">
        <v>0</v>
      </c>
      <c r="AH1739" s="9" t="s">
        <v>4876</v>
      </c>
      <c r="AI1739" s="11">
        <v>3</v>
      </c>
      <c r="AJ1739" s="11">
        <v>1</v>
      </c>
      <c r="AK1739" s="11">
        <v>1</v>
      </c>
      <c r="AL1739" s="11">
        <v>1</v>
      </c>
      <c r="AM1739" s="11">
        <v>1</v>
      </c>
      <c r="AN1739" s="11">
        <v>0</v>
      </c>
      <c r="AO1739" s="11">
        <v>0</v>
      </c>
      <c r="AP1739" s="11">
        <v>0</v>
      </c>
      <c r="AQ1739" s="11">
        <v>1</v>
      </c>
      <c r="AR1739" s="11">
        <v>1</v>
      </c>
      <c r="AS1739" s="11">
        <v>0</v>
      </c>
      <c r="AT1739" s="11">
        <v>0</v>
      </c>
    </row>
    <row r="1740" spans="1:58" x14ac:dyDescent="0.15">
      <c r="C1740" s="7" t="s">
        <v>8882</v>
      </c>
      <c r="D1740" s="8" t="s">
        <v>3686</v>
      </c>
      <c r="E1740" s="9" t="s">
        <v>5850</v>
      </c>
      <c r="F1740" s="9" t="s">
        <v>5850</v>
      </c>
      <c r="G1740" s="9" t="s">
        <v>3159</v>
      </c>
      <c r="H1740" s="9" t="s">
        <v>4871</v>
      </c>
      <c r="L1740" s="10">
        <v>3738368</v>
      </c>
      <c r="M1740" s="10">
        <v>687072</v>
      </c>
      <c r="N1740" s="11">
        <v>15</v>
      </c>
      <c r="O1740" s="11" t="s">
        <v>4871</v>
      </c>
      <c r="P1740" s="7" t="s">
        <v>8886</v>
      </c>
      <c r="AH1740" s="9" t="s">
        <v>4909</v>
      </c>
      <c r="AI1740" s="11">
        <v>1</v>
      </c>
      <c r="AJ1740" s="11">
        <v>1</v>
      </c>
      <c r="AK1740" s="11">
        <v>0</v>
      </c>
      <c r="AL1740" s="11">
        <v>1</v>
      </c>
      <c r="AM1740" s="11">
        <v>1</v>
      </c>
      <c r="AN1740" s="11">
        <v>0</v>
      </c>
      <c r="AO1740" s="11">
        <v>0</v>
      </c>
      <c r="AP1740" s="11">
        <v>0</v>
      </c>
      <c r="AQ1740" s="11">
        <v>1</v>
      </c>
      <c r="AR1740" s="11">
        <v>0</v>
      </c>
      <c r="AS1740" s="11">
        <v>0</v>
      </c>
      <c r="AT1740" s="11">
        <v>0</v>
      </c>
      <c r="AU1740" s="11">
        <v>0</v>
      </c>
      <c r="AV1740" s="11">
        <v>0</v>
      </c>
      <c r="AW1740" s="11">
        <v>0</v>
      </c>
      <c r="AX1740" s="11">
        <v>0</v>
      </c>
      <c r="AY1740" s="11">
        <v>0</v>
      </c>
      <c r="BD1740" s="12">
        <v>20</v>
      </c>
      <c r="BF1740" s="12">
        <f>60*60</f>
        <v>3600</v>
      </c>
    </row>
    <row r="1741" spans="1:58" x14ac:dyDescent="0.15">
      <c r="C1741" s="7" t="s">
        <v>2113</v>
      </c>
      <c r="D1741" s="8" t="s">
        <v>3686</v>
      </c>
      <c r="E1741" s="9" t="s">
        <v>5850</v>
      </c>
      <c r="F1741" s="9" t="s">
        <v>5850</v>
      </c>
      <c r="G1741" s="9" t="s">
        <v>3159</v>
      </c>
      <c r="H1741" s="9" t="s">
        <v>4871</v>
      </c>
      <c r="L1741" s="10">
        <v>3740524</v>
      </c>
      <c r="M1741" s="10">
        <v>690996</v>
      </c>
      <c r="N1741" s="11">
        <v>15</v>
      </c>
      <c r="O1741" s="11" t="s">
        <v>4871</v>
      </c>
      <c r="P1741" s="7" t="s">
        <v>5165</v>
      </c>
      <c r="AH1741" s="9" t="s">
        <v>1083</v>
      </c>
      <c r="AI1741" s="11">
        <v>2</v>
      </c>
      <c r="AJ1741" s="11">
        <v>1</v>
      </c>
      <c r="AK1741" s="11">
        <v>1</v>
      </c>
      <c r="AT1741" s="11">
        <v>1</v>
      </c>
    </row>
    <row r="1742" spans="1:58" x14ac:dyDescent="0.15">
      <c r="C1742" s="7" t="s">
        <v>5166</v>
      </c>
      <c r="D1742" s="8" t="s">
        <v>3686</v>
      </c>
      <c r="E1742" s="9" t="s">
        <v>5850</v>
      </c>
      <c r="F1742" s="9" t="s">
        <v>5850</v>
      </c>
      <c r="G1742" s="9" t="s">
        <v>3159</v>
      </c>
      <c r="H1742" s="9" t="s">
        <v>4871</v>
      </c>
      <c r="L1742" s="10">
        <v>3739576</v>
      </c>
      <c r="M1742" s="10">
        <v>692656</v>
      </c>
      <c r="N1742" s="11">
        <v>15</v>
      </c>
      <c r="O1742" s="11" t="s">
        <v>4871</v>
      </c>
      <c r="P1742" s="7" t="s">
        <v>5167</v>
      </c>
      <c r="AH1742" s="9" t="s">
        <v>4909</v>
      </c>
      <c r="AI1742" s="11">
        <v>1</v>
      </c>
      <c r="AJ1742" s="11">
        <v>1</v>
      </c>
      <c r="AK1742" s="11">
        <v>0</v>
      </c>
      <c r="AR1742" s="11">
        <v>1</v>
      </c>
      <c r="BD1742" s="12">
        <v>5</v>
      </c>
      <c r="BF1742" s="12">
        <f>30*30</f>
        <v>900</v>
      </c>
    </row>
    <row r="1743" spans="1:58" x14ac:dyDescent="0.15">
      <c r="C1743" s="7" t="s">
        <v>5168</v>
      </c>
      <c r="D1743" s="8" t="s">
        <v>3686</v>
      </c>
      <c r="E1743" s="9" t="s">
        <v>5850</v>
      </c>
      <c r="F1743" s="9" t="s">
        <v>5850</v>
      </c>
      <c r="G1743" s="9" t="s">
        <v>3159</v>
      </c>
      <c r="H1743" s="9" t="s">
        <v>4871</v>
      </c>
      <c r="L1743" s="10">
        <v>3739748</v>
      </c>
      <c r="M1743" s="10">
        <v>692695</v>
      </c>
      <c r="N1743" s="11">
        <v>15</v>
      </c>
      <c r="O1743" s="11" t="s">
        <v>4871</v>
      </c>
      <c r="P1743" s="7" t="s">
        <v>5169</v>
      </c>
      <c r="AH1743" s="9" t="s">
        <v>4909</v>
      </c>
      <c r="AI1743" s="11">
        <v>1</v>
      </c>
      <c r="AJ1743" s="11">
        <v>1</v>
      </c>
      <c r="AK1743" s="11">
        <v>0</v>
      </c>
      <c r="AL1743" s="11">
        <v>1</v>
      </c>
      <c r="AM1743" s="11">
        <v>1</v>
      </c>
      <c r="AN1743" s="11">
        <v>0</v>
      </c>
      <c r="AO1743" s="11">
        <v>0</v>
      </c>
      <c r="AP1743" s="11">
        <v>0</v>
      </c>
      <c r="AQ1743" s="11">
        <v>1</v>
      </c>
      <c r="AR1743" s="11">
        <v>0</v>
      </c>
      <c r="AS1743" s="11">
        <v>0</v>
      </c>
      <c r="AT1743" s="11">
        <v>0</v>
      </c>
      <c r="AU1743" s="11">
        <v>0</v>
      </c>
      <c r="AV1743" s="11">
        <v>0</v>
      </c>
      <c r="AW1743" s="11">
        <v>0</v>
      </c>
      <c r="AX1743" s="11">
        <v>0</v>
      </c>
      <c r="AY1743" s="11">
        <v>0</v>
      </c>
      <c r="BD1743" s="12">
        <v>3</v>
      </c>
      <c r="BF1743" s="12">
        <f>90*90</f>
        <v>8100</v>
      </c>
    </row>
    <row r="1744" spans="1:58" x14ac:dyDescent="0.15">
      <c r="C1744" s="7" t="s">
        <v>4938</v>
      </c>
      <c r="D1744" s="8" t="s">
        <v>3686</v>
      </c>
      <c r="E1744" s="9" t="s">
        <v>5850</v>
      </c>
      <c r="F1744" s="9" t="s">
        <v>5850</v>
      </c>
      <c r="G1744" s="9" t="s">
        <v>3159</v>
      </c>
      <c r="H1744" s="9" t="s">
        <v>4871</v>
      </c>
      <c r="L1744" s="10">
        <v>3739568</v>
      </c>
      <c r="M1744" s="10">
        <v>692660</v>
      </c>
      <c r="N1744" s="11">
        <v>15</v>
      </c>
      <c r="O1744" s="11" t="s">
        <v>4871</v>
      </c>
      <c r="P1744" s="7" t="s">
        <v>4939</v>
      </c>
      <c r="AH1744" s="9" t="s">
        <v>4909</v>
      </c>
      <c r="AI1744" s="11">
        <v>1</v>
      </c>
      <c r="AJ1744" s="11">
        <v>1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AQ1744" s="11">
        <v>0</v>
      </c>
      <c r="AR1744" s="11">
        <v>0</v>
      </c>
      <c r="AS1744" s="11">
        <v>0</v>
      </c>
      <c r="AT1744" s="11">
        <v>1</v>
      </c>
      <c r="AU1744" s="11">
        <v>0</v>
      </c>
      <c r="AV1744" s="11">
        <v>0</v>
      </c>
      <c r="AW1744" s="11">
        <v>0</v>
      </c>
      <c r="AX1744" s="11">
        <v>0</v>
      </c>
      <c r="AY1744" s="11">
        <v>0</v>
      </c>
      <c r="BD1744" s="12">
        <v>9</v>
      </c>
    </row>
    <row r="1745" spans="3:58" x14ac:dyDescent="0.15">
      <c r="C1745" s="7" t="s">
        <v>4940</v>
      </c>
      <c r="D1745" s="8" t="s">
        <v>3686</v>
      </c>
      <c r="E1745" s="9" t="s">
        <v>5850</v>
      </c>
      <c r="F1745" s="9" t="s">
        <v>5850</v>
      </c>
      <c r="G1745" s="9" t="s">
        <v>3159</v>
      </c>
      <c r="H1745" s="9" t="s">
        <v>4871</v>
      </c>
      <c r="L1745" s="10">
        <v>3739440</v>
      </c>
      <c r="M1745" s="10">
        <v>689612</v>
      </c>
      <c r="N1745" s="11">
        <v>15</v>
      </c>
      <c r="O1745" s="11" t="s">
        <v>4871</v>
      </c>
      <c r="P1745" s="7" t="s">
        <v>4941</v>
      </c>
      <c r="AH1745" s="9" t="s">
        <v>4909</v>
      </c>
      <c r="AI1745" s="11">
        <v>1</v>
      </c>
      <c r="AJ1745" s="11">
        <v>1</v>
      </c>
      <c r="AK1745" s="11">
        <v>0</v>
      </c>
      <c r="AL1745" s="11">
        <v>1</v>
      </c>
      <c r="AM1745" s="11">
        <v>1</v>
      </c>
      <c r="AN1745" s="11">
        <v>0</v>
      </c>
      <c r="AO1745" s="11">
        <v>0</v>
      </c>
      <c r="AP1745" s="11">
        <v>0</v>
      </c>
      <c r="AQ1745" s="11">
        <v>1</v>
      </c>
      <c r="AR1745" s="11">
        <v>0</v>
      </c>
      <c r="AS1745" s="11">
        <v>0</v>
      </c>
      <c r="AT1745" s="11">
        <v>0</v>
      </c>
      <c r="AU1745" s="11">
        <v>0</v>
      </c>
      <c r="AV1745" s="11">
        <v>0</v>
      </c>
      <c r="AW1745" s="11">
        <v>0</v>
      </c>
      <c r="AX1745" s="11">
        <v>0</v>
      </c>
      <c r="BD1745" s="12">
        <v>4</v>
      </c>
      <c r="BF1745" s="12">
        <f>90*90</f>
        <v>8100</v>
      </c>
    </row>
    <row r="1746" spans="3:58" x14ac:dyDescent="0.15">
      <c r="C1746" s="7" t="s">
        <v>4942</v>
      </c>
      <c r="D1746" s="8" t="s">
        <v>3686</v>
      </c>
      <c r="E1746" s="9" t="s">
        <v>5850</v>
      </c>
      <c r="F1746" s="9" t="s">
        <v>5850</v>
      </c>
      <c r="G1746" s="9" t="s">
        <v>3159</v>
      </c>
      <c r="H1746" s="9" t="s">
        <v>4871</v>
      </c>
      <c r="L1746" s="10">
        <v>3744564</v>
      </c>
      <c r="M1746" s="10">
        <v>685336</v>
      </c>
      <c r="N1746" s="11">
        <v>15</v>
      </c>
      <c r="O1746" s="11" t="s">
        <v>4871</v>
      </c>
      <c r="P1746" s="7" t="s">
        <v>4943</v>
      </c>
      <c r="AH1746" s="9" t="s">
        <v>4909</v>
      </c>
      <c r="AI1746" s="11">
        <v>1</v>
      </c>
      <c r="AJ1746" s="11">
        <v>1</v>
      </c>
      <c r="AK1746" s="11">
        <v>0</v>
      </c>
      <c r="AN1746" s="11">
        <v>0</v>
      </c>
      <c r="AO1746" s="11">
        <v>0</v>
      </c>
      <c r="AP1746" s="11">
        <v>0</v>
      </c>
      <c r="AQ1746" s="11">
        <v>0</v>
      </c>
      <c r="AR1746" s="11">
        <v>1</v>
      </c>
      <c r="AS1746" s="11">
        <v>0</v>
      </c>
      <c r="AT1746" s="11">
        <v>0</v>
      </c>
      <c r="AU1746" s="11">
        <v>0</v>
      </c>
      <c r="AV1746" s="11">
        <v>0</v>
      </c>
      <c r="AW1746" s="11">
        <v>0</v>
      </c>
      <c r="AX1746" s="11">
        <v>0</v>
      </c>
      <c r="AY1746" s="11">
        <v>0</v>
      </c>
      <c r="BD1746" s="12">
        <v>3</v>
      </c>
      <c r="BF1746" s="12">
        <f>15*15</f>
        <v>225</v>
      </c>
    </row>
    <row r="1747" spans="3:58" x14ac:dyDescent="0.15">
      <c r="C1747" s="7" t="s">
        <v>1833</v>
      </c>
      <c r="D1747" s="8" t="s">
        <v>3686</v>
      </c>
      <c r="E1747" s="9" t="s">
        <v>5850</v>
      </c>
      <c r="F1747" s="9" t="s">
        <v>5850</v>
      </c>
      <c r="G1747" s="9" t="s">
        <v>3159</v>
      </c>
      <c r="H1747" s="9" t="s">
        <v>4871</v>
      </c>
      <c r="L1747" s="10">
        <v>3751472</v>
      </c>
      <c r="M1747" s="10">
        <v>686796</v>
      </c>
      <c r="N1747" s="11">
        <v>15</v>
      </c>
      <c r="O1747" s="11" t="s">
        <v>4871</v>
      </c>
      <c r="P1747" s="7" t="s">
        <v>4944</v>
      </c>
      <c r="AH1747" s="9" t="s">
        <v>4909</v>
      </c>
      <c r="AI1747" s="11">
        <v>1</v>
      </c>
      <c r="AJ1747" s="11">
        <v>1</v>
      </c>
      <c r="AK1747" s="11">
        <v>0</v>
      </c>
      <c r="AL1747" s="11">
        <v>1</v>
      </c>
      <c r="AM1747" s="11">
        <v>1</v>
      </c>
      <c r="AN1747" s="11">
        <v>0</v>
      </c>
      <c r="AO1747" s="11">
        <v>0</v>
      </c>
      <c r="AP1747" s="11">
        <v>0</v>
      </c>
      <c r="AQ1747" s="11">
        <v>1</v>
      </c>
      <c r="AR1747" s="11">
        <v>0</v>
      </c>
      <c r="AS1747" s="11">
        <v>0</v>
      </c>
      <c r="AT1747" s="11">
        <v>0</v>
      </c>
      <c r="AU1747" s="11">
        <v>0</v>
      </c>
      <c r="AV1747" s="11">
        <v>0</v>
      </c>
      <c r="AW1747" s="11">
        <v>0</v>
      </c>
      <c r="AX1747" s="11">
        <v>0</v>
      </c>
      <c r="AY1747" s="11">
        <v>0</v>
      </c>
      <c r="BD1747" s="12">
        <v>0.5</v>
      </c>
      <c r="BF1747" s="12">
        <f>150*90</f>
        <v>13500</v>
      </c>
    </row>
    <row r="1748" spans="3:58" x14ac:dyDescent="0.15">
      <c r="C1748" s="7" t="s">
        <v>4945</v>
      </c>
      <c r="D1748" s="8" t="s">
        <v>3686</v>
      </c>
      <c r="E1748" s="9" t="s">
        <v>5850</v>
      </c>
      <c r="F1748" s="9" t="s">
        <v>5850</v>
      </c>
      <c r="G1748" s="9" t="s">
        <v>3159</v>
      </c>
      <c r="H1748" s="9" t="s">
        <v>4871</v>
      </c>
      <c r="L1748" s="10">
        <v>3748632</v>
      </c>
      <c r="M1748" s="10">
        <v>689456</v>
      </c>
      <c r="N1748" s="11">
        <v>15</v>
      </c>
      <c r="O1748" s="11" t="s">
        <v>4871</v>
      </c>
      <c r="P1748" s="7" t="s">
        <v>4946</v>
      </c>
      <c r="AH1748" s="9" t="s">
        <v>4909</v>
      </c>
      <c r="AI1748" s="11">
        <v>1</v>
      </c>
      <c r="AJ1748" s="11">
        <v>1</v>
      </c>
      <c r="AK1748" s="11">
        <v>0</v>
      </c>
      <c r="AL1748" s="11">
        <v>1</v>
      </c>
      <c r="AM1748" s="11">
        <v>1</v>
      </c>
      <c r="AN1748" s="11">
        <v>0</v>
      </c>
      <c r="AO1748" s="11">
        <v>0</v>
      </c>
      <c r="AP1748" s="11">
        <v>0</v>
      </c>
      <c r="AQ1748" s="11">
        <v>1</v>
      </c>
      <c r="AR1748" s="11">
        <v>0</v>
      </c>
      <c r="AS1748" s="11">
        <v>0</v>
      </c>
      <c r="AT1748" s="11">
        <v>0</v>
      </c>
      <c r="AU1748" s="11">
        <v>0</v>
      </c>
      <c r="AV1748" s="11">
        <v>0</v>
      </c>
      <c r="AW1748" s="11">
        <v>0</v>
      </c>
      <c r="AX1748" s="11">
        <v>0</v>
      </c>
      <c r="AY1748" s="11">
        <v>0</v>
      </c>
      <c r="BD1748" s="12">
        <v>6</v>
      </c>
      <c r="BF1748" s="12">
        <f>90*150</f>
        <v>13500</v>
      </c>
    </row>
    <row r="1749" spans="3:58" x14ac:dyDescent="0.15">
      <c r="C1749" s="7" t="s">
        <v>4947</v>
      </c>
      <c r="D1749" s="8" t="s">
        <v>3686</v>
      </c>
      <c r="E1749" s="9" t="s">
        <v>5850</v>
      </c>
      <c r="F1749" s="9" t="s">
        <v>5850</v>
      </c>
      <c r="G1749" s="9" t="s">
        <v>3159</v>
      </c>
      <c r="H1749" s="9" t="s">
        <v>4871</v>
      </c>
      <c r="L1749" s="10">
        <v>3749444</v>
      </c>
      <c r="M1749" s="10">
        <v>692732</v>
      </c>
      <c r="N1749" s="11">
        <v>15</v>
      </c>
      <c r="O1749" s="11" t="s">
        <v>4871</v>
      </c>
      <c r="P1749" s="7" t="s">
        <v>4948</v>
      </c>
      <c r="AH1749" s="9" t="s">
        <v>4909</v>
      </c>
      <c r="AI1749" s="11">
        <v>1</v>
      </c>
      <c r="AJ1749" s="11">
        <v>1</v>
      </c>
      <c r="AK1749" s="11">
        <v>0</v>
      </c>
      <c r="AL1749" s="11">
        <v>1</v>
      </c>
      <c r="AM1749" s="11">
        <v>1</v>
      </c>
      <c r="AN1749" s="11">
        <v>0</v>
      </c>
      <c r="AO1749" s="11">
        <v>1</v>
      </c>
      <c r="AP1749" s="11">
        <v>0</v>
      </c>
      <c r="AQ1749" s="11">
        <v>1</v>
      </c>
      <c r="AR1749" s="11">
        <v>0</v>
      </c>
      <c r="AS1749" s="11">
        <v>0</v>
      </c>
      <c r="AT1749" s="11">
        <v>0</v>
      </c>
      <c r="AU1749" s="11">
        <v>0</v>
      </c>
      <c r="AV1749" s="11">
        <v>0</v>
      </c>
      <c r="AW1749" s="11">
        <v>0</v>
      </c>
      <c r="AX1749" s="11">
        <v>0</v>
      </c>
      <c r="AZ1749" s="12" t="s">
        <v>4949</v>
      </c>
      <c r="BD1749" s="12">
        <v>17</v>
      </c>
      <c r="BF1749" s="12">
        <f>150*90</f>
        <v>13500</v>
      </c>
    </row>
    <row r="1750" spans="3:58" x14ac:dyDescent="0.15">
      <c r="C1750" s="7" t="s">
        <v>7182</v>
      </c>
      <c r="D1750" s="8" t="s">
        <v>3686</v>
      </c>
      <c r="E1750" s="9" t="s">
        <v>5850</v>
      </c>
      <c r="F1750" s="9" t="s">
        <v>5850</v>
      </c>
      <c r="G1750" s="9" t="s">
        <v>3159</v>
      </c>
      <c r="H1750" s="9" t="s">
        <v>4871</v>
      </c>
      <c r="L1750" s="10">
        <v>3742464</v>
      </c>
      <c r="M1750" s="10">
        <v>691744</v>
      </c>
      <c r="N1750" s="11">
        <v>15</v>
      </c>
      <c r="O1750" s="11" t="s">
        <v>4871</v>
      </c>
      <c r="P1750" s="7" t="s">
        <v>4950</v>
      </c>
      <c r="AH1750" s="9" t="s">
        <v>4909</v>
      </c>
      <c r="AI1750" s="11">
        <v>1</v>
      </c>
      <c r="AJ1750" s="11">
        <v>1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AQ1750" s="11">
        <v>0</v>
      </c>
      <c r="AR1750" s="11">
        <v>1</v>
      </c>
      <c r="AS1750" s="11">
        <v>0</v>
      </c>
      <c r="AT1750" s="11">
        <v>0</v>
      </c>
      <c r="AU1750" s="11">
        <v>0</v>
      </c>
      <c r="AV1750" s="11">
        <v>0</v>
      </c>
      <c r="AW1750" s="11">
        <v>0</v>
      </c>
      <c r="AX1750" s="11">
        <v>0</v>
      </c>
      <c r="AY1750" s="11">
        <v>0</v>
      </c>
      <c r="BD1750" s="12">
        <v>9</v>
      </c>
      <c r="BF1750" s="12">
        <f>50*50</f>
        <v>2500</v>
      </c>
    </row>
    <row r="1751" spans="3:58" x14ac:dyDescent="0.15">
      <c r="C1751" s="7" t="s">
        <v>5931</v>
      </c>
      <c r="D1751" s="8" t="s">
        <v>3686</v>
      </c>
      <c r="E1751" s="9" t="s">
        <v>5850</v>
      </c>
      <c r="F1751" s="9" t="s">
        <v>5850</v>
      </c>
      <c r="G1751" s="9" t="s">
        <v>3159</v>
      </c>
      <c r="H1751" s="9" t="s">
        <v>4871</v>
      </c>
      <c r="L1751" s="10">
        <v>3679980</v>
      </c>
      <c r="M1751" s="10">
        <v>703812</v>
      </c>
      <c r="N1751" s="11">
        <v>15</v>
      </c>
      <c r="O1751" s="11" t="s">
        <v>4871</v>
      </c>
      <c r="P1751" s="7" t="s">
        <v>3970</v>
      </c>
      <c r="AH1751" s="9" t="s">
        <v>4909</v>
      </c>
      <c r="AI1751" s="11">
        <v>1</v>
      </c>
      <c r="AJ1751" s="11">
        <v>1</v>
      </c>
      <c r="AK1751" s="11">
        <v>0</v>
      </c>
      <c r="AL1751" s="11" t="s">
        <v>4902</v>
      </c>
      <c r="AM1751" s="11" t="s">
        <v>4902</v>
      </c>
      <c r="AQ1751" s="11" t="s">
        <v>4902</v>
      </c>
      <c r="AR1751" s="11" t="s">
        <v>4902</v>
      </c>
    </row>
    <row r="1752" spans="3:58" x14ac:dyDescent="0.15">
      <c r="C1752" s="7" t="s">
        <v>3971</v>
      </c>
      <c r="D1752" s="8" t="s">
        <v>3686</v>
      </c>
      <c r="E1752" s="9" t="s">
        <v>5850</v>
      </c>
      <c r="F1752" s="9" t="s">
        <v>5850</v>
      </c>
      <c r="G1752" s="9" t="s">
        <v>3159</v>
      </c>
      <c r="H1752" s="9" t="s">
        <v>4871</v>
      </c>
      <c r="L1752" s="10">
        <v>3662065</v>
      </c>
      <c r="M1752" s="10">
        <v>703777</v>
      </c>
      <c r="N1752" s="11">
        <v>15</v>
      </c>
      <c r="O1752" s="11" t="s">
        <v>4871</v>
      </c>
      <c r="P1752" s="7" t="s">
        <v>3972</v>
      </c>
    </row>
    <row r="1753" spans="3:58" x14ac:dyDescent="0.15">
      <c r="C1753" s="7" t="s">
        <v>6895</v>
      </c>
      <c r="D1753" s="8" t="s">
        <v>3686</v>
      </c>
      <c r="E1753" s="9" t="s">
        <v>7963</v>
      </c>
      <c r="F1753" s="9" t="s">
        <v>4609</v>
      </c>
      <c r="G1753" s="9" t="s">
        <v>3159</v>
      </c>
      <c r="H1753" s="9" t="s">
        <v>4871</v>
      </c>
      <c r="L1753" s="10">
        <v>4004500</v>
      </c>
      <c r="M1753" s="10">
        <v>257000</v>
      </c>
      <c r="N1753" s="11">
        <v>15</v>
      </c>
      <c r="O1753" s="11" t="s">
        <v>4871</v>
      </c>
      <c r="P1753" s="7" t="s">
        <v>25</v>
      </c>
    </row>
    <row r="1754" spans="3:58" x14ac:dyDescent="0.15">
      <c r="C1754" s="7" t="s">
        <v>2138</v>
      </c>
      <c r="D1754" s="8" t="s">
        <v>3686</v>
      </c>
      <c r="E1754" s="9" t="s">
        <v>7364</v>
      </c>
      <c r="F1754" s="9" t="s">
        <v>2101</v>
      </c>
      <c r="G1754" s="9" t="s">
        <v>3159</v>
      </c>
      <c r="H1754" s="9" t="s">
        <v>4871</v>
      </c>
      <c r="L1754" s="10">
        <v>3973500</v>
      </c>
      <c r="M1754" s="10">
        <v>767000</v>
      </c>
      <c r="N1754" s="11">
        <v>15</v>
      </c>
      <c r="O1754" s="11" t="s">
        <v>4871</v>
      </c>
      <c r="P1754" s="7" t="s">
        <v>26</v>
      </c>
      <c r="AE1754" s="11">
        <v>1</v>
      </c>
      <c r="AF1754" s="11">
        <v>1</v>
      </c>
      <c r="AH1754" s="9" t="s">
        <v>4909</v>
      </c>
      <c r="AI1754" s="11">
        <v>1</v>
      </c>
      <c r="AJ1754" s="11">
        <v>1</v>
      </c>
      <c r="AK1754" s="11">
        <v>1</v>
      </c>
      <c r="AL1754" s="11">
        <v>1</v>
      </c>
      <c r="AZ1754" s="12" t="s">
        <v>4843</v>
      </c>
      <c r="BA1754" s="12" t="s">
        <v>4843</v>
      </c>
    </row>
    <row r="1755" spans="3:58" x14ac:dyDescent="0.15">
      <c r="C1755" s="7" t="s">
        <v>27</v>
      </c>
      <c r="D1755" s="8" t="s">
        <v>3686</v>
      </c>
      <c r="E1755" s="9" t="s">
        <v>7364</v>
      </c>
      <c r="F1755" s="9" t="s">
        <v>2101</v>
      </c>
      <c r="G1755" s="9" t="s">
        <v>3159</v>
      </c>
      <c r="H1755" s="9" t="s">
        <v>4871</v>
      </c>
      <c r="L1755" s="10">
        <v>3965298</v>
      </c>
      <c r="M1755" s="10">
        <v>761038</v>
      </c>
      <c r="N1755" s="11">
        <v>15</v>
      </c>
      <c r="O1755" s="11" t="s">
        <v>4871</v>
      </c>
      <c r="P1755" s="7" t="s">
        <v>28</v>
      </c>
      <c r="AZ1755" s="12" t="s">
        <v>4843</v>
      </c>
      <c r="BA1755" s="12" t="s">
        <v>4843</v>
      </c>
    </row>
  </sheetData>
  <autoFilter ref="A1:BJ1755" xr:uid="{00000000-0009-0000-0000-000000000000}"/>
  <phoneticPr fontId="0" type="noConversion"/>
  <pageMargins left="0.75" right="0.75" top="1" bottom="1" header="0.5" footer="0.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62"/>
  <sheetViews>
    <sheetView view="pageBreakPreview" zoomScale="60" zoomScaleNormal="100" workbookViewId="0">
      <selection activeCell="D129" sqref="D129"/>
    </sheetView>
  </sheetViews>
  <sheetFormatPr baseColWidth="10" defaultColWidth="8.83203125" defaultRowHeight="13" x14ac:dyDescent="0.15"/>
  <cols>
    <col min="1" max="1" width="10.33203125" customWidth="1"/>
    <col min="2" max="2" width="21.1640625" customWidth="1"/>
  </cols>
  <sheetData>
    <row r="1" spans="1:2" x14ac:dyDescent="0.15">
      <c r="A1" t="s">
        <v>8056</v>
      </c>
      <c r="B1" t="s">
        <v>4997</v>
      </c>
    </row>
    <row r="2" spans="1:2" x14ac:dyDescent="0.15">
      <c r="A2" t="s">
        <v>6198</v>
      </c>
      <c r="B2" t="s">
        <v>2282</v>
      </c>
    </row>
    <row r="3" spans="1:2" x14ac:dyDescent="0.15">
      <c r="A3" t="s">
        <v>6199</v>
      </c>
      <c r="B3" t="s">
        <v>4374</v>
      </c>
    </row>
    <row r="4" spans="1:2" x14ac:dyDescent="0.15">
      <c r="A4" t="s">
        <v>6200</v>
      </c>
      <c r="B4" t="s">
        <v>7078</v>
      </c>
    </row>
    <row r="5" spans="1:2" x14ac:dyDescent="0.15">
      <c r="A5" t="s">
        <v>6201</v>
      </c>
      <c r="B5" t="s">
        <v>7080</v>
      </c>
    </row>
    <row r="6" spans="1:2" x14ac:dyDescent="0.15">
      <c r="A6" t="s">
        <v>6202</v>
      </c>
      <c r="B6" t="s">
        <v>7082</v>
      </c>
    </row>
    <row r="7" spans="1:2" x14ac:dyDescent="0.15">
      <c r="A7" t="s">
        <v>6203</v>
      </c>
      <c r="B7" t="s">
        <v>7093</v>
      </c>
    </row>
    <row r="8" spans="1:2" x14ac:dyDescent="0.15">
      <c r="A8" t="s">
        <v>6204</v>
      </c>
      <c r="B8" t="s">
        <v>7094</v>
      </c>
    </row>
    <row r="9" spans="1:2" x14ac:dyDescent="0.15">
      <c r="A9" t="s">
        <v>6205</v>
      </c>
      <c r="B9" t="s">
        <v>7106</v>
      </c>
    </row>
    <row r="10" spans="1:2" x14ac:dyDescent="0.15">
      <c r="A10" t="s">
        <v>6206</v>
      </c>
      <c r="B10" t="s">
        <v>7109</v>
      </c>
    </row>
    <row r="11" spans="1:2" x14ac:dyDescent="0.15">
      <c r="A11" t="s">
        <v>6207</v>
      </c>
      <c r="B11" t="s">
        <v>7967</v>
      </c>
    </row>
    <row r="12" spans="1:2" x14ac:dyDescent="0.15">
      <c r="A12" t="s">
        <v>6208</v>
      </c>
      <c r="B12" t="s">
        <v>2283</v>
      </c>
    </row>
    <row r="13" spans="1:2" x14ac:dyDescent="0.15">
      <c r="A13" t="s">
        <v>6209</v>
      </c>
      <c r="B13" t="s">
        <v>7961</v>
      </c>
    </row>
    <row r="14" spans="1:2" x14ac:dyDescent="0.15">
      <c r="A14" t="s">
        <v>6210</v>
      </c>
      <c r="B14" t="s">
        <v>6903</v>
      </c>
    </row>
    <row r="15" spans="1:2" x14ac:dyDescent="0.15">
      <c r="A15" t="s">
        <v>6211</v>
      </c>
      <c r="B15" t="s">
        <v>6905</v>
      </c>
    </row>
    <row r="16" spans="1:2" x14ac:dyDescent="0.15">
      <c r="A16" t="s">
        <v>6212</v>
      </c>
      <c r="B16" t="s">
        <v>2284</v>
      </c>
    </row>
    <row r="17" spans="1:2" x14ac:dyDescent="0.15">
      <c r="A17" t="s">
        <v>6213</v>
      </c>
      <c r="B17" t="s">
        <v>2285</v>
      </c>
    </row>
    <row r="18" spans="1:2" x14ac:dyDescent="0.15">
      <c r="A18" t="s">
        <v>5047</v>
      </c>
      <c r="B18" t="s">
        <v>2286</v>
      </c>
    </row>
    <row r="19" spans="1:2" x14ac:dyDescent="0.15">
      <c r="A19" t="s">
        <v>6907</v>
      </c>
      <c r="B19" t="s">
        <v>6907</v>
      </c>
    </row>
    <row r="20" spans="1:2" x14ac:dyDescent="0.15">
      <c r="A20" t="s">
        <v>2027</v>
      </c>
      <c r="B20" t="s">
        <v>2027</v>
      </c>
    </row>
    <row r="21" spans="1:2" x14ac:dyDescent="0.15">
      <c r="A21" t="s">
        <v>2028</v>
      </c>
      <c r="B21" t="s">
        <v>2028</v>
      </c>
    </row>
    <row r="22" spans="1:2" x14ac:dyDescent="0.15">
      <c r="A22" t="s">
        <v>2029</v>
      </c>
      <c r="B22" t="s">
        <v>2029</v>
      </c>
    </row>
    <row r="23" spans="1:2" x14ac:dyDescent="0.15">
      <c r="A23" t="s">
        <v>2030</v>
      </c>
      <c r="B23" t="s">
        <v>2030</v>
      </c>
    </row>
    <row r="24" spans="1:2" x14ac:dyDescent="0.15">
      <c r="A24" t="s">
        <v>2031</v>
      </c>
      <c r="B24" t="s">
        <v>2031</v>
      </c>
    </row>
    <row r="25" spans="1:2" x14ac:dyDescent="0.15">
      <c r="A25" t="s">
        <v>2032</v>
      </c>
      <c r="B25" t="s">
        <v>2032</v>
      </c>
    </row>
    <row r="26" spans="1:2" x14ac:dyDescent="0.15">
      <c r="A26" t="s">
        <v>2033</v>
      </c>
      <c r="B26" t="s">
        <v>2033</v>
      </c>
    </row>
    <row r="27" spans="1:2" x14ac:dyDescent="0.15">
      <c r="A27" t="s">
        <v>2034</v>
      </c>
      <c r="B27" t="s">
        <v>2034</v>
      </c>
    </row>
    <row r="28" spans="1:2" x14ac:dyDescent="0.15">
      <c r="A28" t="s">
        <v>2035</v>
      </c>
      <c r="B28" t="s">
        <v>2035</v>
      </c>
    </row>
    <row r="29" spans="1:2" x14ac:dyDescent="0.15">
      <c r="A29" t="s">
        <v>2036</v>
      </c>
      <c r="B29" t="s">
        <v>2036</v>
      </c>
    </row>
    <row r="30" spans="1:2" x14ac:dyDescent="0.15">
      <c r="A30" t="s">
        <v>2037</v>
      </c>
      <c r="B30" t="s">
        <v>2037</v>
      </c>
    </row>
    <row r="31" spans="1:2" x14ac:dyDescent="0.15">
      <c r="A31" t="s">
        <v>2038</v>
      </c>
      <c r="B31" t="s">
        <v>2038</v>
      </c>
    </row>
    <row r="32" spans="1:2" x14ac:dyDescent="0.15">
      <c r="A32" t="s">
        <v>2039</v>
      </c>
      <c r="B32" t="s">
        <v>2039</v>
      </c>
    </row>
    <row r="33" spans="1:2" x14ac:dyDescent="0.15">
      <c r="A33" t="s">
        <v>5048</v>
      </c>
      <c r="B33" t="s">
        <v>5045</v>
      </c>
    </row>
    <row r="34" spans="1:2" x14ac:dyDescent="0.15">
      <c r="A34" t="s">
        <v>2040</v>
      </c>
      <c r="B34" t="s">
        <v>2040</v>
      </c>
    </row>
    <row r="35" spans="1:2" x14ac:dyDescent="0.15">
      <c r="A35" t="s">
        <v>5049</v>
      </c>
      <c r="B35" t="s">
        <v>6919</v>
      </c>
    </row>
    <row r="36" spans="1:2" x14ac:dyDescent="0.15">
      <c r="A36" t="s">
        <v>5050</v>
      </c>
      <c r="B36" t="s">
        <v>2287</v>
      </c>
    </row>
    <row r="37" spans="1:2" x14ac:dyDescent="0.15">
      <c r="A37" t="s">
        <v>5051</v>
      </c>
      <c r="B37" t="s">
        <v>6938</v>
      </c>
    </row>
    <row r="38" spans="1:2" x14ac:dyDescent="0.15">
      <c r="A38" t="s">
        <v>5052</v>
      </c>
      <c r="B38" t="s">
        <v>6940</v>
      </c>
    </row>
    <row r="39" spans="1:2" x14ac:dyDescent="0.15">
      <c r="A39" t="s">
        <v>5053</v>
      </c>
      <c r="B39" t="s">
        <v>6939</v>
      </c>
    </row>
    <row r="40" spans="1:2" x14ac:dyDescent="0.15">
      <c r="A40" t="s">
        <v>5054</v>
      </c>
      <c r="B40" t="s">
        <v>3107</v>
      </c>
    </row>
    <row r="41" spans="1:2" x14ac:dyDescent="0.15">
      <c r="A41" t="s">
        <v>5055</v>
      </c>
      <c r="B41" t="s">
        <v>3112</v>
      </c>
    </row>
    <row r="42" spans="1:2" x14ac:dyDescent="0.15">
      <c r="A42" t="s">
        <v>5056</v>
      </c>
      <c r="B42" t="s">
        <v>5406</v>
      </c>
    </row>
    <row r="43" spans="1:2" x14ac:dyDescent="0.15">
      <c r="A43" t="s">
        <v>5057</v>
      </c>
      <c r="B43" t="s">
        <v>2288</v>
      </c>
    </row>
    <row r="44" spans="1:2" x14ac:dyDescent="0.15">
      <c r="A44" t="s">
        <v>5058</v>
      </c>
      <c r="B44" t="s">
        <v>3116</v>
      </c>
    </row>
    <row r="45" spans="1:2" x14ac:dyDescent="0.15">
      <c r="A45" t="s">
        <v>5059</v>
      </c>
      <c r="B45" t="s">
        <v>3117</v>
      </c>
    </row>
    <row r="46" spans="1:2" x14ac:dyDescent="0.15">
      <c r="A46" t="s">
        <v>5060</v>
      </c>
      <c r="B46" t="s">
        <v>2289</v>
      </c>
    </row>
    <row r="47" spans="1:2" x14ac:dyDescent="0.15">
      <c r="A47" t="s">
        <v>5061</v>
      </c>
      <c r="B47" t="s">
        <v>3119</v>
      </c>
    </row>
    <row r="48" spans="1:2" x14ac:dyDescent="0.15">
      <c r="A48" t="s">
        <v>5062</v>
      </c>
      <c r="B48" t="s">
        <v>3120</v>
      </c>
    </row>
    <row r="49" spans="1:2" x14ac:dyDescent="0.15">
      <c r="A49" t="s">
        <v>5063</v>
      </c>
      <c r="B49" t="s">
        <v>3121</v>
      </c>
    </row>
    <row r="50" spans="1:2" x14ac:dyDescent="0.15">
      <c r="A50" t="s">
        <v>5064</v>
      </c>
      <c r="B50" t="s">
        <v>3133</v>
      </c>
    </row>
    <row r="51" spans="1:2" x14ac:dyDescent="0.15">
      <c r="A51" t="s">
        <v>5065</v>
      </c>
      <c r="B51" t="s">
        <v>2290</v>
      </c>
    </row>
    <row r="52" spans="1:2" x14ac:dyDescent="0.15">
      <c r="A52" t="s">
        <v>5066</v>
      </c>
      <c r="B52" t="s">
        <v>7733</v>
      </c>
    </row>
    <row r="53" spans="1:2" x14ac:dyDescent="0.15">
      <c r="A53" t="s">
        <v>5067</v>
      </c>
      <c r="B53" t="s">
        <v>2291</v>
      </c>
    </row>
    <row r="54" spans="1:2" x14ac:dyDescent="0.15">
      <c r="A54" t="s">
        <v>5068</v>
      </c>
      <c r="B54" t="s">
        <v>2292</v>
      </c>
    </row>
    <row r="55" spans="1:2" x14ac:dyDescent="0.15">
      <c r="A55" t="s">
        <v>5069</v>
      </c>
      <c r="B55" t="s">
        <v>2293</v>
      </c>
    </row>
    <row r="56" spans="1:2" x14ac:dyDescent="0.15">
      <c r="A56" t="s">
        <v>5070</v>
      </c>
      <c r="B56" t="s">
        <v>2294</v>
      </c>
    </row>
    <row r="57" spans="1:2" x14ac:dyDescent="0.15">
      <c r="A57" t="s">
        <v>3139</v>
      </c>
      <c r="B57" t="s">
        <v>3139</v>
      </c>
    </row>
    <row r="58" spans="1:2" x14ac:dyDescent="0.15">
      <c r="A58" t="s">
        <v>5071</v>
      </c>
      <c r="B58" t="s">
        <v>3155</v>
      </c>
    </row>
    <row r="59" spans="1:2" x14ac:dyDescent="0.15">
      <c r="A59" t="s">
        <v>5072</v>
      </c>
      <c r="B59" t="s">
        <v>2295</v>
      </c>
    </row>
    <row r="60" spans="1:2" x14ac:dyDescent="0.15">
      <c r="A60" t="s">
        <v>5073</v>
      </c>
      <c r="B60" t="s">
        <v>3156</v>
      </c>
    </row>
    <row r="61" spans="1:2" x14ac:dyDescent="0.15">
      <c r="A61" t="s">
        <v>5074</v>
      </c>
      <c r="B61" t="s">
        <v>2296</v>
      </c>
    </row>
    <row r="62" spans="1:2" x14ac:dyDescent="0.15">
      <c r="A62" t="s">
        <v>5075</v>
      </c>
      <c r="B62" t="s">
        <v>3157</v>
      </c>
    </row>
    <row r="63" spans="1:2" x14ac:dyDescent="0.15">
      <c r="A63" t="s">
        <v>3144</v>
      </c>
      <c r="B63" t="s">
        <v>3144</v>
      </c>
    </row>
    <row r="64" spans="1:2" x14ac:dyDescent="0.15">
      <c r="A64" t="s">
        <v>3145</v>
      </c>
      <c r="B64" t="s">
        <v>3145</v>
      </c>
    </row>
    <row r="65" spans="1:2" x14ac:dyDescent="0.15">
      <c r="A65" t="s">
        <v>3146</v>
      </c>
      <c r="B65" t="s">
        <v>3146</v>
      </c>
    </row>
    <row r="66" spans="1:2" x14ac:dyDescent="0.15">
      <c r="A66" t="s">
        <v>3147</v>
      </c>
      <c r="B66" t="s">
        <v>3147</v>
      </c>
    </row>
    <row r="67" spans="1:2" x14ac:dyDescent="0.15">
      <c r="A67" t="s">
        <v>3148</v>
      </c>
      <c r="B67" t="s">
        <v>3148</v>
      </c>
    </row>
    <row r="68" spans="1:2" x14ac:dyDescent="0.15">
      <c r="A68" t="s">
        <v>3149</v>
      </c>
      <c r="B68" t="s">
        <v>3149</v>
      </c>
    </row>
    <row r="69" spans="1:2" x14ac:dyDescent="0.15">
      <c r="A69" t="s">
        <v>3150</v>
      </c>
      <c r="B69" t="s">
        <v>3150</v>
      </c>
    </row>
    <row r="70" spans="1:2" x14ac:dyDescent="0.15">
      <c r="A70" t="s">
        <v>3151</v>
      </c>
      <c r="B70" t="s">
        <v>3151</v>
      </c>
    </row>
    <row r="71" spans="1:2" x14ac:dyDescent="0.15">
      <c r="A71" t="s">
        <v>3152</v>
      </c>
      <c r="B71" t="s">
        <v>3152</v>
      </c>
    </row>
    <row r="72" spans="1:2" x14ac:dyDescent="0.15">
      <c r="A72" t="s">
        <v>3153</v>
      </c>
      <c r="B72" t="s">
        <v>3153</v>
      </c>
    </row>
    <row r="73" spans="1:2" x14ac:dyDescent="0.15">
      <c r="A73" t="s">
        <v>3154</v>
      </c>
      <c r="B73" t="s">
        <v>3154</v>
      </c>
    </row>
    <row r="74" spans="1:2" x14ac:dyDescent="0.15">
      <c r="A74" t="s">
        <v>5076</v>
      </c>
      <c r="B74" t="s">
        <v>3171</v>
      </c>
    </row>
    <row r="75" spans="1:2" x14ac:dyDescent="0.15">
      <c r="A75" t="s">
        <v>3167</v>
      </c>
      <c r="B75" t="s">
        <v>3167</v>
      </c>
    </row>
    <row r="76" spans="1:2" x14ac:dyDescent="0.15">
      <c r="A76" t="s">
        <v>3168</v>
      </c>
      <c r="B76" t="s">
        <v>3168</v>
      </c>
    </row>
    <row r="77" spans="1:2" x14ac:dyDescent="0.15">
      <c r="A77" t="s">
        <v>3169</v>
      </c>
      <c r="B77" t="s">
        <v>3169</v>
      </c>
    </row>
    <row r="78" spans="1:2" x14ac:dyDescent="0.15">
      <c r="A78" t="s">
        <v>3170</v>
      </c>
      <c r="B78" t="s">
        <v>3170</v>
      </c>
    </row>
    <row r="79" spans="1:2" x14ac:dyDescent="0.15">
      <c r="A79" t="s">
        <v>5077</v>
      </c>
      <c r="B79" t="s">
        <v>2297</v>
      </c>
    </row>
    <row r="80" spans="1:2" x14ac:dyDescent="0.15">
      <c r="A80" t="s">
        <v>5078</v>
      </c>
      <c r="B80" t="s">
        <v>5255</v>
      </c>
    </row>
    <row r="81" spans="1:2" x14ac:dyDescent="0.15">
      <c r="A81" t="s">
        <v>5079</v>
      </c>
      <c r="B81" t="s">
        <v>3095</v>
      </c>
    </row>
    <row r="82" spans="1:2" x14ac:dyDescent="0.15">
      <c r="A82" t="s">
        <v>5080</v>
      </c>
      <c r="B82" t="s">
        <v>6823</v>
      </c>
    </row>
    <row r="83" spans="1:2" x14ac:dyDescent="0.15">
      <c r="A83" t="s">
        <v>5081</v>
      </c>
      <c r="B83" t="s">
        <v>7736</v>
      </c>
    </row>
    <row r="84" spans="1:2" x14ac:dyDescent="0.15">
      <c r="A84" t="s">
        <v>5082</v>
      </c>
      <c r="B84" t="s">
        <v>6827</v>
      </c>
    </row>
    <row r="85" spans="1:2" x14ac:dyDescent="0.15">
      <c r="A85" t="s">
        <v>3089</v>
      </c>
      <c r="B85" t="s">
        <v>3089</v>
      </c>
    </row>
    <row r="86" spans="1:2" x14ac:dyDescent="0.15">
      <c r="A86" t="s">
        <v>3090</v>
      </c>
      <c r="B86" t="s">
        <v>3090</v>
      </c>
    </row>
    <row r="87" spans="1:2" x14ac:dyDescent="0.15">
      <c r="A87" t="s">
        <v>2041</v>
      </c>
      <c r="B87" t="s">
        <v>2041</v>
      </c>
    </row>
    <row r="88" spans="1:2" x14ac:dyDescent="0.15">
      <c r="A88" t="s">
        <v>5083</v>
      </c>
      <c r="B88" t="s">
        <v>3094</v>
      </c>
    </row>
    <row r="89" spans="1:2" x14ac:dyDescent="0.15">
      <c r="A89" t="s">
        <v>3092</v>
      </c>
      <c r="B89" t="s">
        <v>3092</v>
      </c>
    </row>
    <row r="90" spans="1:2" x14ac:dyDescent="0.15">
      <c r="A90" t="s">
        <v>3093</v>
      </c>
      <c r="B90" t="s">
        <v>3093</v>
      </c>
    </row>
    <row r="91" spans="1:2" x14ac:dyDescent="0.15">
      <c r="A91" t="s">
        <v>2042</v>
      </c>
      <c r="B91" t="s">
        <v>2042</v>
      </c>
    </row>
    <row r="92" spans="1:2" x14ac:dyDescent="0.15">
      <c r="A92" t="s">
        <v>2043</v>
      </c>
      <c r="B92" t="s">
        <v>2043</v>
      </c>
    </row>
    <row r="93" spans="1:2" x14ac:dyDescent="0.15">
      <c r="A93" t="s">
        <v>2044</v>
      </c>
      <c r="B93" t="s">
        <v>2044</v>
      </c>
    </row>
    <row r="94" spans="1:2" x14ac:dyDescent="0.15">
      <c r="A94" t="s">
        <v>2045</v>
      </c>
      <c r="B94" t="s">
        <v>2045</v>
      </c>
    </row>
    <row r="95" spans="1:2" x14ac:dyDescent="0.15">
      <c r="A95" t="s">
        <v>2046</v>
      </c>
      <c r="B95" t="s">
        <v>2046</v>
      </c>
    </row>
    <row r="96" spans="1:2" x14ac:dyDescent="0.15">
      <c r="A96" t="s">
        <v>2047</v>
      </c>
      <c r="B96" t="s">
        <v>2047</v>
      </c>
    </row>
    <row r="97" spans="1:2" x14ac:dyDescent="0.15">
      <c r="A97" t="s">
        <v>2048</v>
      </c>
      <c r="B97" t="s">
        <v>2048</v>
      </c>
    </row>
    <row r="98" spans="1:2" x14ac:dyDescent="0.15">
      <c r="A98" t="s">
        <v>5084</v>
      </c>
      <c r="B98" t="s">
        <v>6831</v>
      </c>
    </row>
    <row r="99" spans="1:2" x14ac:dyDescent="0.15">
      <c r="A99" t="s">
        <v>5085</v>
      </c>
      <c r="B99" t="s">
        <v>2023</v>
      </c>
    </row>
    <row r="100" spans="1:2" x14ac:dyDescent="0.15">
      <c r="A100" t="s">
        <v>5086</v>
      </c>
      <c r="B100" t="s">
        <v>2025</v>
      </c>
    </row>
    <row r="101" spans="1:2" x14ac:dyDescent="0.15">
      <c r="A101" t="s">
        <v>5087</v>
      </c>
      <c r="B101" t="s">
        <v>5247</v>
      </c>
    </row>
    <row r="102" spans="1:2" x14ac:dyDescent="0.15">
      <c r="A102" t="s">
        <v>5088</v>
      </c>
      <c r="B102" t="s">
        <v>2298</v>
      </c>
    </row>
    <row r="103" spans="1:2" x14ac:dyDescent="0.15">
      <c r="A103" t="s">
        <v>944</v>
      </c>
      <c r="B103" t="s">
        <v>2299</v>
      </c>
    </row>
    <row r="104" spans="1:2" x14ac:dyDescent="0.15">
      <c r="A104" t="s">
        <v>945</v>
      </c>
      <c r="B104" t="s">
        <v>5250</v>
      </c>
    </row>
    <row r="105" spans="1:2" x14ac:dyDescent="0.15">
      <c r="A105" t="s">
        <v>946</v>
      </c>
      <c r="B105" t="s">
        <v>2300</v>
      </c>
    </row>
    <row r="106" spans="1:2" x14ac:dyDescent="0.15">
      <c r="A106" t="s">
        <v>947</v>
      </c>
      <c r="B106" t="s">
        <v>2301</v>
      </c>
    </row>
    <row r="107" spans="1:2" x14ac:dyDescent="0.15">
      <c r="A107" t="s">
        <v>948</v>
      </c>
      <c r="B107" t="s">
        <v>2302</v>
      </c>
    </row>
    <row r="108" spans="1:2" x14ac:dyDescent="0.15">
      <c r="A108" t="s">
        <v>949</v>
      </c>
      <c r="B108" t="s">
        <v>2303</v>
      </c>
    </row>
    <row r="109" spans="1:2" x14ac:dyDescent="0.15">
      <c r="A109" t="s">
        <v>950</v>
      </c>
      <c r="B109" t="s">
        <v>7182</v>
      </c>
    </row>
    <row r="110" spans="1:2" x14ac:dyDescent="0.15">
      <c r="A110" t="s">
        <v>951</v>
      </c>
      <c r="B110" t="s">
        <v>2304</v>
      </c>
    </row>
    <row r="111" spans="1:2" x14ac:dyDescent="0.15">
      <c r="A111" t="s">
        <v>2049</v>
      </c>
      <c r="B111" t="s">
        <v>2049</v>
      </c>
    </row>
    <row r="112" spans="1:2" x14ac:dyDescent="0.15">
      <c r="A112" t="s">
        <v>2050</v>
      </c>
      <c r="B112" t="s">
        <v>2050</v>
      </c>
    </row>
    <row r="113" spans="1:2" x14ac:dyDescent="0.15">
      <c r="A113" t="s">
        <v>952</v>
      </c>
      <c r="B113" t="s">
        <v>6838</v>
      </c>
    </row>
    <row r="114" spans="1:2" x14ac:dyDescent="0.15">
      <c r="A114" t="s">
        <v>953</v>
      </c>
      <c r="B114" t="s">
        <v>6842</v>
      </c>
    </row>
    <row r="115" spans="1:2" x14ac:dyDescent="0.15">
      <c r="A115" t="s">
        <v>954</v>
      </c>
      <c r="B115" t="s">
        <v>2305</v>
      </c>
    </row>
    <row r="116" spans="1:2" x14ac:dyDescent="0.15">
      <c r="A116" t="s">
        <v>955</v>
      </c>
      <c r="B116" t="s">
        <v>7775</v>
      </c>
    </row>
    <row r="117" spans="1:2" x14ac:dyDescent="0.15">
      <c r="A117" t="s">
        <v>956</v>
      </c>
      <c r="B117" t="s">
        <v>2306</v>
      </c>
    </row>
    <row r="118" spans="1:2" x14ac:dyDescent="0.15">
      <c r="A118" t="s">
        <v>2051</v>
      </c>
      <c r="B118" t="s">
        <v>2051</v>
      </c>
    </row>
    <row r="119" spans="1:2" x14ac:dyDescent="0.15">
      <c r="A119" t="s">
        <v>2052</v>
      </c>
      <c r="B119" t="s">
        <v>2052</v>
      </c>
    </row>
    <row r="120" spans="1:2" x14ac:dyDescent="0.15">
      <c r="A120" t="s">
        <v>2053</v>
      </c>
      <c r="B120" t="s">
        <v>2053</v>
      </c>
    </row>
    <row r="121" spans="1:2" x14ac:dyDescent="0.15">
      <c r="A121" t="s">
        <v>2054</v>
      </c>
      <c r="B121" t="s">
        <v>2054</v>
      </c>
    </row>
    <row r="122" spans="1:2" x14ac:dyDescent="0.15">
      <c r="A122" t="s">
        <v>2055</v>
      </c>
      <c r="B122" t="s">
        <v>2055</v>
      </c>
    </row>
    <row r="123" spans="1:2" x14ac:dyDescent="0.15">
      <c r="A123" t="s">
        <v>2056</v>
      </c>
      <c r="B123" t="s">
        <v>2056</v>
      </c>
    </row>
    <row r="124" spans="1:2" x14ac:dyDescent="0.15">
      <c r="A124" t="s">
        <v>2057</v>
      </c>
      <c r="B124" t="s">
        <v>2057</v>
      </c>
    </row>
    <row r="125" spans="1:2" x14ac:dyDescent="0.15">
      <c r="A125" t="s">
        <v>957</v>
      </c>
      <c r="B125" t="s">
        <v>5043</v>
      </c>
    </row>
    <row r="126" spans="1:2" x14ac:dyDescent="0.15">
      <c r="A126" t="s">
        <v>2058</v>
      </c>
      <c r="B126" t="s">
        <v>2058</v>
      </c>
    </row>
    <row r="127" spans="1:2" x14ac:dyDescent="0.15">
      <c r="A127" t="s">
        <v>2059</v>
      </c>
      <c r="B127" t="s">
        <v>2059</v>
      </c>
    </row>
    <row r="128" spans="1:2" x14ac:dyDescent="0.15">
      <c r="A128" t="s">
        <v>2060</v>
      </c>
      <c r="B128" t="s">
        <v>2060</v>
      </c>
    </row>
    <row r="129" spans="1:2" x14ac:dyDescent="0.15">
      <c r="A129" t="s">
        <v>2061</v>
      </c>
      <c r="B129" t="s">
        <v>2061</v>
      </c>
    </row>
    <row r="130" spans="1:2" x14ac:dyDescent="0.15">
      <c r="A130" t="s">
        <v>2062</v>
      </c>
      <c r="B130" t="s">
        <v>2062</v>
      </c>
    </row>
    <row r="131" spans="1:2" x14ac:dyDescent="0.15">
      <c r="A131" t="s">
        <v>2063</v>
      </c>
      <c r="B131" t="s">
        <v>2063</v>
      </c>
    </row>
    <row r="132" spans="1:2" x14ac:dyDescent="0.15">
      <c r="A132" t="s">
        <v>958</v>
      </c>
      <c r="B132" t="s">
        <v>2307</v>
      </c>
    </row>
    <row r="133" spans="1:2" x14ac:dyDescent="0.15">
      <c r="A133" t="s">
        <v>959</v>
      </c>
      <c r="B133" t="s">
        <v>2308</v>
      </c>
    </row>
    <row r="134" spans="1:2" x14ac:dyDescent="0.15">
      <c r="A134" t="s">
        <v>960</v>
      </c>
      <c r="B134" t="s">
        <v>5036</v>
      </c>
    </row>
    <row r="135" spans="1:2" x14ac:dyDescent="0.15">
      <c r="A135" t="s">
        <v>2064</v>
      </c>
      <c r="B135" t="s">
        <v>2064</v>
      </c>
    </row>
    <row r="136" spans="1:2" x14ac:dyDescent="0.15">
      <c r="A136" t="s">
        <v>2065</v>
      </c>
      <c r="B136" t="s">
        <v>2065</v>
      </c>
    </row>
    <row r="137" spans="1:2" x14ac:dyDescent="0.15">
      <c r="A137" t="s">
        <v>2066</v>
      </c>
      <c r="B137" t="s">
        <v>2066</v>
      </c>
    </row>
    <row r="138" spans="1:2" x14ac:dyDescent="0.15">
      <c r="A138" t="s">
        <v>961</v>
      </c>
      <c r="B138" t="s">
        <v>2309</v>
      </c>
    </row>
    <row r="139" spans="1:2" x14ac:dyDescent="0.15">
      <c r="A139" t="s">
        <v>962</v>
      </c>
      <c r="B139" t="s">
        <v>2310</v>
      </c>
    </row>
    <row r="140" spans="1:2" x14ac:dyDescent="0.15">
      <c r="A140" t="s">
        <v>2067</v>
      </c>
      <c r="B140" t="s">
        <v>2067</v>
      </c>
    </row>
    <row r="141" spans="1:2" x14ac:dyDescent="0.15">
      <c r="A141" t="s">
        <v>963</v>
      </c>
      <c r="B141" t="s">
        <v>2311</v>
      </c>
    </row>
    <row r="142" spans="1:2" x14ac:dyDescent="0.15">
      <c r="A142" t="s">
        <v>2068</v>
      </c>
      <c r="B142" t="s">
        <v>2068</v>
      </c>
    </row>
    <row r="143" spans="1:2" x14ac:dyDescent="0.15">
      <c r="A143" t="s">
        <v>2069</v>
      </c>
      <c r="B143" t="s">
        <v>2069</v>
      </c>
    </row>
    <row r="144" spans="1:2" x14ac:dyDescent="0.15">
      <c r="A144" t="s">
        <v>2070</v>
      </c>
      <c r="B144" t="s">
        <v>2070</v>
      </c>
    </row>
    <row r="145" spans="1:2" x14ac:dyDescent="0.15">
      <c r="A145" t="s">
        <v>2071</v>
      </c>
      <c r="B145" t="s">
        <v>2071</v>
      </c>
    </row>
    <row r="146" spans="1:2" x14ac:dyDescent="0.15">
      <c r="A146" t="s">
        <v>2072</v>
      </c>
      <c r="B146" t="s">
        <v>2072</v>
      </c>
    </row>
    <row r="147" spans="1:2" x14ac:dyDescent="0.15">
      <c r="A147" t="s">
        <v>964</v>
      </c>
      <c r="B147" t="s">
        <v>7785</v>
      </c>
    </row>
    <row r="148" spans="1:2" x14ac:dyDescent="0.15">
      <c r="A148" t="s">
        <v>965</v>
      </c>
      <c r="B148" t="s">
        <v>4959</v>
      </c>
    </row>
    <row r="149" spans="1:2" x14ac:dyDescent="0.15">
      <c r="A149" t="s">
        <v>966</v>
      </c>
      <c r="B149" t="s">
        <v>1722</v>
      </c>
    </row>
    <row r="150" spans="1:2" x14ac:dyDescent="0.15">
      <c r="A150" t="s">
        <v>967</v>
      </c>
      <c r="B150" t="s">
        <v>2312</v>
      </c>
    </row>
    <row r="151" spans="1:2" x14ac:dyDescent="0.15">
      <c r="A151" t="s">
        <v>968</v>
      </c>
      <c r="B151" t="s">
        <v>2313</v>
      </c>
    </row>
    <row r="152" spans="1:2" x14ac:dyDescent="0.15">
      <c r="A152" t="s">
        <v>969</v>
      </c>
      <c r="B152" t="s">
        <v>6851</v>
      </c>
    </row>
    <row r="153" spans="1:2" x14ac:dyDescent="0.15">
      <c r="A153" t="s">
        <v>2073</v>
      </c>
      <c r="B153" t="s">
        <v>2073</v>
      </c>
    </row>
    <row r="154" spans="1:2" x14ac:dyDescent="0.15">
      <c r="A154" t="s">
        <v>2074</v>
      </c>
      <c r="B154" t="s">
        <v>2074</v>
      </c>
    </row>
    <row r="155" spans="1:2" x14ac:dyDescent="0.15">
      <c r="A155" t="s">
        <v>2075</v>
      </c>
      <c r="B155" t="s">
        <v>2075</v>
      </c>
    </row>
    <row r="156" spans="1:2" x14ac:dyDescent="0.15">
      <c r="A156" t="s">
        <v>2076</v>
      </c>
      <c r="B156" t="s">
        <v>2076</v>
      </c>
    </row>
    <row r="157" spans="1:2" x14ac:dyDescent="0.15">
      <c r="A157" t="s">
        <v>2077</v>
      </c>
      <c r="B157" t="s">
        <v>2077</v>
      </c>
    </row>
    <row r="158" spans="1:2" x14ac:dyDescent="0.15">
      <c r="A158" t="s">
        <v>2078</v>
      </c>
      <c r="B158" t="s">
        <v>2078</v>
      </c>
    </row>
    <row r="159" spans="1:2" x14ac:dyDescent="0.15">
      <c r="A159" t="s">
        <v>970</v>
      </c>
      <c r="B159" t="s">
        <v>7339</v>
      </c>
    </row>
    <row r="160" spans="1:2" x14ac:dyDescent="0.15">
      <c r="A160" t="s">
        <v>2079</v>
      </c>
      <c r="B160" t="s">
        <v>2079</v>
      </c>
    </row>
    <row r="161" spans="1:2" x14ac:dyDescent="0.15">
      <c r="A161" t="s">
        <v>971</v>
      </c>
      <c r="B161" t="s">
        <v>2314</v>
      </c>
    </row>
    <row r="162" spans="1:2" x14ac:dyDescent="0.15">
      <c r="A162" t="s">
        <v>972</v>
      </c>
      <c r="B162" t="s">
        <v>2315</v>
      </c>
    </row>
    <row r="163" spans="1:2" x14ac:dyDescent="0.15">
      <c r="A163" t="s">
        <v>973</v>
      </c>
      <c r="B163" t="s">
        <v>2316</v>
      </c>
    </row>
    <row r="164" spans="1:2" x14ac:dyDescent="0.15">
      <c r="A164" t="s">
        <v>974</v>
      </c>
      <c r="B164" t="s">
        <v>4966</v>
      </c>
    </row>
    <row r="165" spans="1:2" x14ac:dyDescent="0.15">
      <c r="A165" t="s">
        <v>975</v>
      </c>
      <c r="B165" t="s">
        <v>2316</v>
      </c>
    </row>
    <row r="166" spans="1:2" x14ac:dyDescent="0.15">
      <c r="A166" t="s">
        <v>976</v>
      </c>
      <c r="B166" t="s">
        <v>2317</v>
      </c>
    </row>
    <row r="167" spans="1:2" x14ac:dyDescent="0.15">
      <c r="A167" t="s">
        <v>977</v>
      </c>
      <c r="B167" t="s">
        <v>2318</v>
      </c>
    </row>
    <row r="168" spans="1:2" x14ac:dyDescent="0.15">
      <c r="A168" t="s">
        <v>978</v>
      </c>
      <c r="B168" t="s">
        <v>2319</v>
      </c>
    </row>
    <row r="169" spans="1:2" x14ac:dyDescent="0.15">
      <c r="A169" t="s">
        <v>979</v>
      </c>
      <c r="B169" t="s">
        <v>2320</v>
      </c>
    </row>
    <row r="170" spans="1:2" x14ac:dyDescent="0.15">
      <c r="A170" t="s">
        <v>2080</v>
      </c>
      <c r="B170" t="s">
        <v>2080</v>
      </c>
    </row>
    <row r="171" spans="1:2" x14ac:dyDescent="0.15">
      <c r="A171" t="s">
        <v>2081</v>
      </c>
      <c r="B171" t="s">
        <v>2081</v>
      </c>
    </row>
    <row r="172" spans="1:2" x14ac:dyDescent="0.15">
      <c r="A172" t="s">
        <v>980</v>
      </c>
      <c r="B172" t="s">
        <v>2321</v>
      </c>
    </row>
    <row r="173" spans="1:2" x14ac:dyDescent="0.15">
      <c r="A173" t="s">
        <v>981</v>
      </c>
      <c r="B173" t="s">
        <v>2322</v>
      </c>
    </row>
    <row r="174" spans="1:2" x14ac:dyDescent="0.15">
      <c r="A174" t="s">
        <v>982</v>
      </c>
      <c r="B174" t="s">
        <v>2323</v>
      </c>
    </row>
    <row r="175" spans="1:2" x14ac:dyDescent="0.15">
      <c r="A175" t="s">
        <v>2082</v>
      </c>
      <c r="B175" t="s">
        <v>2082</v>
      </c>
    </row>
    <row r="176" spans="1:2" x14ac:dyDescent="0.15">
      <c r="A176" t="s">
        <v>983</v>
      </c>
      <c r="B176" t="s">
        <v>2324</v>
      </c>
    </row>
    <row r="177" spans="1:2" x14ac:dyDescent="0.15">
      <c r="A177" t="s">
        <v>984</v>
      </c>
      <c r="B177" t="s">
        <v>2325</v>
      </c>
    </row>
    <row r="178" spans="1:2" x14ac:dyDescent="0.15">
      <c r="A178" t="s">
        <v>985</v>
      </c>
      <c r="B178" t="s">
        <v>2326</v>
      </c>
    </row>
    <row r="179" spans="1:2" x14ac:dyDescent="0.15">
      <c r="A179" t="s">
        <v>986</v>
      </c>
      <c r="B179" t="s">
        <v>2327</v>
      </c>
    </row>
    <row r="180" spans="1:2" x14ac:dyDescent="0.15">
      <c r="A180" t="s">
        <v>987</v>
      </c>
      <c r="B180" t="s">
        <v>5243</v>
      </c>
    </row>
    <row r="181" spans="1:2" x14ac:dyDescent="0.15">
      <c r="A181" t="s">
        <v>2083</v>
      </c>
      <c r="B181" t="s">
        <v>2083</v>
      </c>
    </row>
    <row r="182" spans="1:2" x14ac:dyDescent="0.15">
      <c r="A182" t="s">
        <v>2084</v>
      </c>
      <c r="B182" t="s">
        <v>2084</v>
      </c>
    </row>
    <row r="183" spans="1:2" x14ac:dyDescent="0.15">
      <c r="A183" t="s">
        <v>988</v>
      </c>
      <c r="B183" t="s">
        <v>7572</v>
      </c>
    </row>
    <row r="184" spans="1:2" x14ac:dyDescent="0.15">
      <c r="A184" t="s">
        <v>989</v>
      </c>
      <c r="B184" t="s">
        <v>2328</v>
      </c>
    </row>
    <row r="185" spans="1:2" x14ac:dyDescent="0.15">
      <c r="A185" t="s">
        <v>990</v>
      </c>
      <c r="B185" t="s">
        <v>2329</v>
      </c>
    </row>
    <row r="186" spans="1:2" x14ac:dyDescent="0.15">
      <c r="A186" t="s">
        <v>991</v>
      </c>
      <c r="B186" t="s">
        <v>2330</v>
      </c>
    </row>
    <row r="187" spans="1:2" x14ac:dyDescent="0.15">
      <c r="A187" t="s">
        <v>992</v>
      </c>
      <c r="B187" t="s">
        <v>2331</v>
      </c>
    </row>
    <row r="188" spans="1:2" x14ac:dyDescent="0.15">
      <c r="A188" t="s">
        <v>2085</v>
      </c>
      <c r="B188" t="s">
        <v>2085</v>
      </c>
    </row>
    <row r="189" spans="1:2" x14ac:dyDescent="0.15">
      <c r="A189" t="s">
        <v>2086</v>
      </c>
      <c r="B189" t="s">
        <v>2086</v>
      </c>
    </row>
    <row r="190" spans="1:2" x14ac:dyDescent="0.15">
      <c r="A190" t="s">
        <v>2087</v>
      </c>
      <c r="B190" t="s">
        <v>2087</v>
      </c>
    </row>
    <row r="191" spans="1:2" x14ac:dyDescent="0.15">
      <c r="A191" t="s">
        <v>2088</v>
      </c>
      <c r="B191" t="s">
        <v>2088</v>
      </c>
    </row>
    <row r="192" spans="1:2" x14ac:dyDescent="0.15">
      <c r="A192" t="s">
        <v>2089</v>
      </c>
      <c r="B192" t="s">
        <v>2089</v>
      </c>
    </row>
    <row r="193" spans="1:2" x14ac:dyDescent="0.15">
      <c r="A193" t="s">
        <v>2090</v>
      </c>
      <c r="B193" t="s">
        <v>2090</v>
      </c>
    </row>
    <row r="194" spans="1:2" x14ac:dyDescent="0.15">
      <c r="A194" t="s">
        <v>993</v>
      </c>
      <c r="B194" t="s">
        <v>2332</v>
      </c>
    </row>
    <row r="195" spans="1:2" x14ac:dyDescent="0.15">
      <c r="A195" t="s">
        <v>994</v>
      </c>
      <c r="B195" t="s">
        <v>2333</v>
      </c>
    </row>
    <row r="196" spans="1:2" x14ac:dyDescent="0.15">
      <c r="A196" t="s">
        <v>995</v>
      </c>
      <c r="B196" t="s">
        <v>2334</v>
      </c>
    </row>
    <row r="197" spans="1:2" x14ac:dyDescent="0.15">
      <c r="A197" t="s">
        <v>996</v>
      </c>
      <c r="B197" t="s">
        <v>2335</v>
      </c>
    </row>
    <row r="198" spans="1:2" x14ac:dyDescent="0.15">
      <c r="A198" t="s">
        <v>997</v>
      </c>
      <c r="B198" t="s">
        <v>6859</v>
      </c>
    </row>
    <row r="199" spans="1:2" x14ac:dyDescent="0.15">
      <c r="A199" t="s">
        <v>998</v>
      </c>
      <c r="B199" t="s">
        <v>2336</v>
      </c>
    </row>
    <row r="200" spans="1:2" x14ac:dyDescent="0.15">
      <c r="A200" t="s">
        <v>999</v>
      </c>
      <c r="B200" t="s">
        <v>5253</v>
      </c>
    </row>
    <row r="201" spans="1:2" x14ac:dyDescent="0.15">
      <c r="A201" t="s">
        <v>1000</v>
      </c>
      <c r="B201" t="s">
        <v>2337</v>
      </c>
    </row>
    <row r="202" spans="1:2" x14ac:dyDescent="0.15">
      <c r="A202" t="s">
        <v>1001</v>
      </c>
      <c r="B202" t="s">
        <v>2338</v>
      </c>
    </row>
    <row r="203" spans="1:2" x14ac:dyDescent="0.15">
      <c r="A203" t="s">
        <v>1002</v>
      </c>
      <c r="B203" t="s">
        <v>2339</v>
      </c>
    </row>
    <row r="204" spans="1:2" x14ac:dyDescent="0.15">
      <c r="A204" t="s">
        <v>1003</v>
      </c>
      <c r="B204" t="s">
        <v>2340</v>
      </c>
    </row>
    <row r="205" spans="1:2" x14ac:dyDescent="0.15">
      <c r="A205" t="s">
        <v>1004</v>
      </c>
      <c r="B205" t="s">
        <v>2341</v>
      </c>
    </row>
    <row r="206" spans="1:2" x14ac:dyDescent="0.15">
      <c r="A206" t="s">
        <v>1005</v>
      </c>
      <c r="B206" t="s">
        <v>2342</v>
      </c>
    </row>
    <row r="207" spans="1:2" x14ac:dyDescent="0.15">
      <c r="A207" t="s">
        <v>7738</v>
      </c>
      <c r="B207" t="s">
        <v>7738</v>
      </c>
    </row>
    <row r="208" spans="1:2" x14ac:dyDescent="0.15">
      <c r="A208" t="s">
        <v>7739</v>
      </c>
      <c r="B208" t="s">
        <v>7739</v>
      </c>
    </row>
    <row r="209" spans="1:2" x14ac:dyDescent="0.15">
      <c r="A209" t="s">
        <v>7740</v>
      </c>
      <c r="B209" t="s">
        <v>7740</v>
      </c>
    </row>
    <row r="210" spans="1:2" x14ac:dyDescent="0.15">
      <c r="A210" t="s">
        <v>7741</v>
      </c>
      <c r="B210" t="s">
        <v>7741</v>
      </c>
    </row>
    <row r="211" spans="1:2" x14ac:dyDescent="0.15">
      <c r="A211" t="s">
        <v>7742</v>
      </c>
      <c r="B211" t="s">
        <v>7742</v>
      </c>
    </row>
    <row r="212" spans="1:2" x14ac:dyDescent="0.15">
      <c r="A212" t="s">
        <v>7743</v>
      </c>
      <c r="B212" t="s">
        <v>7743</v>
      </c>
    </row>
    <row r="213" spans="1:2" x14ac:dyDescent="0.15">
      <c r="A213" t="s">
        <v>7744</v>
      </c>
      <c r="B213" t="s">
        <v>7744</v>
      </c>
    </row>
    <row r="214" spans="1:2" x14ac:dyDescent="0.15">
      <c r="A214" t="s">
        <v>7745</v>
      </c>
      <c r="B214" t="s">
        <v>7745</v>
      </c>
    </row>
    <row r="215" spans="1:2" x14ac:dyDescent="0.15">
      <c r="A215" t="s">
        <v>7746</v>
      </c>
      <c r="B215" t="s">
        <v>7746</v>
      </c>
    </row>
    <row r="216" spans="1:2" x14ac:dyDescent="0.15">
      <c r="A216" t="s">
        <v>7747</v>
      </c>
      <c r="B216" t="s">
        <v>7747</v>
      </c>
    </row>
    <row r="217" spans="1:2" x14ac:dyDescent="0.15">
      <c r="A217" t="s">
        <v>7748</v>
      </c>
      <c r="B217" t="s">
        <v>7748</v>
      </c>
    </row>
    <row r="218" spans="1:2" x14ac:dyDescent="0.15">
      <c r="A218" t="s">
        <v>7271</v>
      </c>
      <c r="B218" t="s">
        <v>7271</v>
      </c>
    </row>
    <row r="219" spans="1:2" x14ac:dyDescent="0.15">
      <c r="A219" t="s">
        <v>7749</v>
      </c>
      <c r="B219" t="s">
        <v>7749</v>
      </c>
    </row>
    <row r="220" spans="1:2" x14ac:dyDescent="0.15">
      <c r="A220" t="s">
        <v>7750</v>
      </c>
      <c r="B220" t="s">
        <v>7750</v>
      </c>
    </row>
    <row r="221" spans="1:2" x14ac:dyDescent="0.15">
      <c r="A221" t="s">
        <v>7751</v>
      </c>
      <c r="B221" t="s">
        <v>7751</v>
      </c>
    </row>
    <row r="222" spans="1:2" x14ac:dyDescent="0.15">
      <c r="A222" t="s">
        <v>7752</v>
      </c>
      <c r="B222" t="s">
        <v>7752</v>
      </c>
    </row>
    <row r="223" spans="1:2" x14ac:dyDescent="0.15">
      <c r="A223" t="s">
        <v>7753</v>
      </c>
      <c r="B223" t="s">
        <v>7753</v>
      </c>
    </row>
    <row r="224" spans="1:2" x14ac:dyDescent="0.15">
      <c r="A224" t="s">
        <v>1006</v>
      </c>
      <c r="B224" t="s">
        <v>2343</v>
      </c>
    </row>
    <row r="225" spans="1:2" x14ac:dyDescent="0.15">
      <c r="A225" t="s">
        <v>1007</v>
      </c>
      <c r="B225" t="s">
        <v>2344</v>
      </c>
    </row>
    <row r="226" spans="1:2" x14ac:dyDescent="0.15">
      <c r="A226" t="s">
        <v>1008</v>
      </c>
      <c r="B226" t="s">
        <v>2345</v>
      </c>
    </row>
    <row r="227" spans="1:2" x14ac:dyDescent="0.15">
      <c r="A227" t="s">
        <v>1009</v>
      </c>
      <c r="B227" t="s">
        <v>2346</v>
      </c>
    </row>
    <row r="228" spans="1:2" x14ac:dyDescent="0.15">
      <c r="A228" t="s">
        <v>1010</v>
      </c>
      <c r="B228" t="s">
        <v>2347</v>
      </c>
    </row>
    <row r="229" spans="1:2" x14ac:dyDescent="0.15">
      <c r="A229" t="s">
        <v>1011</v>
      </c>
      <c r="B229" t="s">
        <v>4775</v>
      </c>
    </row>
    <row r="230" spans="1:2" x14ac:dyDescent="0.15">
      <c r="A230" t="s">
        <v>1012</v>
      </c>
      <c r="B230" t="s">
        <v>2348</v>
      </c>
    </row>
    <row r="231" spans="1:2" x14ac:dyDescent="0.15">
      <c r="A231" t="s">
        <v>1013</v>
      </c>
      <c r="B231" t="s">
        <v>2349</v>
      </c>
    </row>
    <row r="232" spans="1:2" x14ac:dyDescent="0.15">
      <c r="A232" t="s">
        <v>1014</v>
      </c>
      <c r="B232" t="s">
        <v>2350</v>
      </c>
    </row>
    <row r="233" spans="1:2" x14ac:dyDescent="0.15">
      <c r="A233" t="s">
        <v>7754</v>
      </c>
      <c r="B233" t="s">
        <v>7754</v>
      </c>
    </row>
    <row r="234" spans="1:2" x14ac:dyDescent="0.15">
      <c r="A234" t="s">
        <v>1015</v>
      </c>
      <c r="B234" t="s">
        <v>2351</v>
      </c>
    </row>
    <row r="235" spans="1:2" x14ac:dyDescent="0.15">
      <c r="A235" t="s">
        <v>1016</v>
      </c>
      <c r="B235" t="s">
        <v>2352</v>
      </c>
    </row>
    <row r="236" spans="1:2" x14ac:dyDescent="0.15">
      <c r="A236" t="s">
        <v>4182</v>
      </c>
      <c r="B236" t="s">
        <v>2353</v>
      </c>
    </row>
    <row r="237" spans="1:2" x14ac:dyDescent="0.15">
      <c r="A237" t="s">
        <v>4183</v>
      </c>
      <c r="B237" t="s">
        <v>7570</v>
      </c>
    </row>
    <row r="238" spans="1:2" x14ac:dyDescent="0.15">
      <c r="A238" t="s">
        <v>4184</v>
      </c>
      <c r="B238" t="s">
        <v>2122</v>
      </c>
    </row>
    <row r="239" spans="1:2" x14ac:dyDescent="0.15">
      <c r="A239" t="s">
        <v>4185</v>
      </c>
      <c r="B239" t="s">
        <v>2123</v>
      </c>
    </row>
    <row r="240" spans="1:2" x14ac:dyDescent="0.15">
      <c r="A240" t="s">
        <v>4186</v>
      </c>
      <c r="B240" t="s">
        <v>6881</v>
      </c>
    </row>
    <row r="241" spans="1:2" x14ac:dyDescent="0.15">
      <c r="A241" t="s">
        <v>4187</v>
      </c>
      <c r="B241" t="s">
        <v>2124</v>
      </c>
    </row>
    <row r="242" spans="1:2" x14ac:dyDescent="0.15">
      <c r="A242" t="s">
        <v>4188</v>
      </c>
      <c r="B242" t="s">
        <v>2125</v>
      </c>
    </row>
    <row r="243" spans="1:2" x14ac:dyDescent="0.15">
      <c r="A243" t="s">
        <v>4189</v>
      </c>
      <c r="B243" t="s">
        <v>2126</v>
      </c>
    </row>
    <row r="244" spans="1:2" x14ac:dyDescent="0.15">
      <c r="A244" t="s">
        <v>4190</v>
      </c>
      <c r="B244" t="s">
        <v>2127</v>
      </c>
    </row>
    <row r="245" spans="1:2" x14ac:dyDescent="0.15">
      <c r="A245" t="s">
        <v>4191</v>
      </c>
      <c r="B245" t="s">
        <v>2128</v>
      </c>
    </row>
    <row r="246" spans="1:2" x14ac:dyDescent="0.15">
      <c r="A246" t="s">
        <v>4192</v>
      </c>
      <c r="B246" t="s">
        <v>2129</v>
      </c>
    </row>
    <row r="247" spans="1:2" x14ac:dyDescent="0.15">
      <c r="A247" t="s">
        <v>4193</v>
      </c>
      <c r="B247" t="s">
        <v>5026</v>
      </c>
    </row>
    <row r="248" spans="1:2" x14ac:dyDescent="0.15">
      <c r="A248" t="s">
        <v>4194</v>
      </c>
      <c r="B248" t="s">
        <v>5039</v>
      </c>
    </row>
    <row r="249" spans="1:2" x14ac:dyDescent="0.15">
      <c r="A249" t="s">
        <v>4195</v>
      </c>
      <c r="B249" t="s">
        <v>2130</v>
      </c>
    </row>
    <row r="250" spans="1:2" x14ac:dyDescent="0.15">
      <c r="A250" t="s">
        <v>7755</v>
      </c>
      <c r="B250" t="s">
        <v>7755</v>
      </c>
    </row>
    <row r="251" spans="1:2" x14ac:dyDescent="0.15">
      <c r="A251" t="s">
        <v>7756</v>
      </c>
      <c r="B251" t="s">
        <v>7756</v>
      </c>
    </row>
    <row r="252" spans="1:2" x14ac:dyDescent="0.15">
      <c r="A252" t="s">
        <v>7757</v>
      </c>
      <c r="B252" t="s">
        <v>7757</v>
      </c>
    </row>
    <row r="253" spans="1:2" x14ac:dyDescent="0.15">
      <c r="A253" t="s">
        <v>7758</v>
      </c>
      <c r="B253" t="s">
        <v>7758</v>
      </c>
    </row>
    <row r="254" spans="1:2" x14ac:dyDescent="0.15">
      <c r="A254" t="s">
        <v>7759</v>
      </c>
      <c r="B254" t="s">
        <v>7759</v>
      </c>
    </row>
    <row r="255" spans="1:2" x14ac:dyDescent="0.15">
      <c r="A255" t="s">
        <v>7760</v>
      </c>
      <c r="B255" t="s">
        <v>7760</v>
      </c>
    </row>
    <row r="256" spans="1:2" x14ac:dyDescent="0.15">
      <c r="A256" t="s">
        <v>7761</v>
      </c>
      <c r="B256" t="s">
        <v>7761</v>
      </c>
    </row>
    <row r="257" spans="1:2" x14ac:dyDescent="0.15">
      <c r="A257" t="s">
        <v>7264</v>
      </c>
      <c r="B257" t="s">
        <v>7264</v>
      </c>
    </row>
    <row r="258" spans="1:2" x14ac:dyDescent="0.15">
      <c r="A258" t="s">
        <v>7762</v>
      </c>
      <c r="B258" t="s">
        <v>7762</v>
      </c>
    </row>
    <row r="259" spans="1:2" x14ac:dyDescent="0.15">
      <c r="A259" t="s">
        <v>4196</v>
      </c>
      <c r="B259" t="s">
        <v>2131</v>
      </c>
    </row>
    <row r="260" spans="1:2" x14ac:dyDescent="0.15">
      <c r="A260" t="s">
        <v>4197</v>
      </c>
      <c r="B260" t="s">
        <v>2132</v>
      </c>
    </row>
    <row r="261" spans="1:2" x14ac:dyDescent="0.15">
      <c r="A261" t="s">
        <v>4198</v>
      </c>
      <c r="B261" t="s">
        <v>2133</v>
      </c>
    </row>
    <row r="262" spans="1:2" x14ac:dyDescent="0.15">
      <c r="A262" t="s">
        <v>7763</v>
      </c>
      <c r="B262" t="s">
        <v>7763</v>
      </c>
    </row>
    <row r="263" spans="1:2" x14ac:dyDescent="0.15">
      <c r="A263" t="s">
        <v>7764</v>
      </c>
      <c r="B263" t="s">
        <v>7764</v>
      </c>
    </row>
    <row r="264" spans="1:2" x14ac:dyDescent="0.15">
      <c r="A264" t="s">
        <v>7765</v>
      </c>
      <c r="B264" t="s">
        <v>7765</v>
      </c>
    </row>
    <row r="265" spans="1:2" x14ac:dyDescent="0.15">
      <c r="A265" t="s">
        <v>4199</v>
      </c>
      <c r="B265" t="s">
        <v>2134</v>
      </c>
    </row>
    <row r="266" spans="1:2" x14ac:dyDescent="0.15">
      <c r="A266" t="s">
        <v>4200</v>
      </c>
      <c r="B266" t="s">
        <v>2135</v>
      </c>
    </row>
    <row r="267" spans="1:2" x14ac:dyDescent="0.15">
      <c r="A267" t="s">
        <v>4201</v>
      </c>
      <c r="B267" t="s">
        <v>2136</v>
      </c>
    </row>
    <row r="268" spans="1:2" x14ac:dyDescent="0.15">
      <c r="A268" t="s">
        <v>4202</v>
      </c>
      <c r="B268" t="s">
        <v>2137</v>
      </c>
    </row>
    <row r="269" spans="1:2" x14ac:dyDescent="0.15">
      <c r="A269" t="s">
        <v>4203</v>
      </c>
      <c r="B269" t="s">
        <v>2138</v>
      </c>
    </row>
    <row r="270" spans="1:2" x14ac:dyDescent="0.15">
      <c r="A270" t="s">
        <v>4204</v>
      </c>
      <c r="B270" t="s">
        <v>2139</v>
      </c>
    </row>
    <row r="271" spans="1:2" x14ac:dyDescent="0.15">
      <c r="A271" t="s">
        <v>4205</v>
      </c>
      <c r="B271" t="s">
        <v>2140</v>
      </c>
    </row>
    <row r="272" spans="1:2" x14ac:dyDescent="0.15">
      <c r="A272" t="s">
        <v>4206</v>
      </c>
      <c r="B272" t="s">
        <v>7359</v>
      </c>
    </row>
    <row r="273" spans="1:2" x14ac:dyDescent="0.15">
      <c r="A273" t="s">
        <v>4207</v>
      </c>
      <c r="B273" t="s">
        <v>6915</v>
      </c>
    </row>
    <row r="274" spans="1:2" x14ac:dyDescent="0.15">
      <c r="A274" t="s">
        <v>4208</v>
      </c>
      <c r="B274" t="s">
        <v>2141</v>
      </c>
    </row>
    <row r="275" spans="1:2" x14ac:dyDescent="0.15">
      <c r="A275" t="s">
        <v>4209</v>
      </c>
      <c r="B275" t="s">
        <v>2142</v>
      </c>
    </row>
    <row r="276" spans="1:2" x14ac:dyDescent="0.15">
      <c r="A276" t="s">
        <v>4210</v>
      </c>
      <c r="B276" t="s">
        <v>2143</v>
      </c>
    </row>
    <row r="277" spans="1:2" x14ac:dyDescent="0.15">
      <c r="A277" t="s">
        <v>4211</v>
      </c>
      <c r="B277" t="s">
        <v>2144</v>
      </c>
    </row>
    <row r="278" spans="1:2" x14ac:dyDescent="0.15">
      <c r="A278" t="s">
        <v>4212</v>
      </c>
      <c r="B278" t="s">
        <v>2145</v>
      </c>
    </row>
    <row r="279" spans="1:2" x14ac:dyDescent="0.15">
      <c r="A279" t="s">
        <v>4213</v>
      </c>
      <c r="B279" t="s">
        <v>4587</v>
      </c>
    </row>
    <row r="280" spans="1:2" x14ac:dyDescent="0.15">
      <c r="A280" t="s">
        <v>4214</v>
      </c>
      <c r="B280" t="s">
        <v>2146</v>
      </c>
    </row>
    <row r="281" spans="1:2" x14ac:dyDescent="0.15">
      <c r="A281" t="s">
        <v>4215</v>
      </c>
      <c r="B281" t="s">
        <v>2147</v>
      </c>
    </row>
    <row r="282" spans="1:2" x14ac:dyDescent="0.15">
      <c r="A282" t="s">
        <v>4216</v>
      </c>
      <c r="B282" t="s">
        <v>4598</v>
      </c>
    </row>
    <row r="283" spans="1:2" x14ac:dyDescent="0.15">
      <c r="A283" t="s">
        <v>4217</v>
      </c>
      <c r="B283" t="s">
        <v>2148</v>
      </c>
    </row>
    <row r="284" spans="1:2" x14ac:dyDescent="0.15">
      <c r="A284" t="s">
        <v>4218</v>
      </c>
      <c r="B284" t="s">
        <v>2149</v>
      </c>
    </row>
    <row r="285" spans="1:2" x14ac:dyDescent="0.15">
      <c r="A285" t="s">
        <v>4219</v>
      </c>
      <c r="B285" t="s">
        <v>5291</v>
      </c>
    </row>
    <row r="286" spans="1:2" x14ac:dyDescent="0.15">
      <c r="A286" t="s">
        <v>4220</v>
      </c>
      <c r="B286" t="s">
        <v>5297</v>
      </c>
    </row>
    <row r="287" spans="1:2" x14ac:dyDescent="0.15">
      <c r="A287" t="s">
        <v>4221</v>
      </c>
      <c r="B287" t="s">
        <v>5299</v>
      </c>
    </row>
    <row r="288" spans="1:2" x14ac:dyDescent="0.15">
      <c r="A288" t="s">
        <v>4222</v>
      </c>
      <c r="B288" t="s">
        <v>5301</v>
      </c>
    </row>
    <row r="289" spans="1:2" x14ac:dyDescent="0.15">
      <c r="A289" t="s">
        <v>4223</v>
      </c>
      <c r="B289" t="s">
        <v>2150</v>
      </c>
    </row>
    <row r="290" spans="1:2" x14ac:dyDescent="0.15">
      <c r="A290" t="s">
        <v>7766</v>
      </c>
      <c r="B290" t="s">
        <v>7766</v>
      </c>
    </row>
    <row r="291" spans="1:2" x14ac:dyDescent="0.15">
      <c r="A291" t="s">
        <v>4224</v>
      </c>
      <c r="B291" t="s">
        <v>2151</v>
      </c>
    </row>
    <row r="292" spans="1:2" x14ac:dyDescent="0.15">
      <c r="A292" t="s">
        <v>7767</v>
      </c>
      <c r="B292" t="s">
        <v>7767</v>
      </c>
    </row>
    <row r="293" spans="1:2" x14ac:dyDescent="0.15">
      <c r="A293" t="s">
        <v>4225</v>
      </c>
      <c r="B293" t="s">
        <v>2152</v>
      </c>
    </row>
    <row r="294" spans="1:2" x14ac:dyDescent="0.15">
      <c r="A294" t="s">
        <v>4226</v>
      </c>
      <c r="B294" t="s">
        <v>2153</v>
      </c>
    </row>
    <row r="295" spans="1:2" x14ac:dyDescent="0.15">
      <c r="A295" t="s">
        <v>4227</v>
      </c>
      <c r="B295" t="s">
        <v>2154</v>
      </c>
    </row>
    <row r="296" spans="1:2" x14ac:dyDescent="0.15">
      <c r="A296" t="s">
        <v>4228</v>
      </c>
      <c r="B296" t="s">
        <v>2155</v>
      </c>
    </row>
    <row r="297" spans="1:2" x14ac:dyDescent="0.15">
      <c r="A297" t="s">
        <v>4229</v>
      </c>
      <c r="B297" t="s">
        <v>2156</v>
      </c>
    </row>
    <row r="298" spans="1:2" x14ac:dyDescent="0.15">
      <c r="A298" t="s">
        <v>4230</v>
      </c>
      <c r="B298" t="s">
        <v>5303</v>
      </c>
    </row>
    <row r="299" spans="1:2" x14ac:dyDescent="0.15">
      <c r="A299" t="s">
        <v>4231</v>
      </c>
      <c r="B299" t="s">
        <v>5306</v>
      </c>
    </row>
    <row r="300" spans="1:2" x14ac:dyDescent="0.15">
      <c r="A300" t="s">
        <v>4232</v>
      </c>
      <c r="B300" t="s">
        <v>5179</v>
      </c>
    </row>
    <row r="301" spans="1:2" x14ac:dyDescent="0.15">
      <c r="A301" t="s">
        <v>4233</v>
      </c>
      <c r="B301" t="s">
        <v>2157</v>
      </c>
    </row>
    <row r="302" spans="1:2" x14ac:dyDescent="0.15">
      <c r="A302" t="s">
        <v>4234</v>
      </c>
      <c r="B302" t="s">
        <v>6077</v>
      </c>
    </row>
    <row r="303" spans="1:2" x14ac:dyDescent="0.15">
      <c r="A303" t="s">
        <v>4235</v>
      </c>
      <c r="B303" t="s">
        <v>2158</v>
      </c>
    </row>
    <row r="304" spans="1:2" x14ac:dyDescent="0.15">
      <c r="A304" t="s">
        <v>4236</v>
      </c>
      <c r="B304" t="s">
        <v>2159</v>
      </c>
    </row>
    <row r="305" spans="1:2" x14ac:dyDescent="0.15">
      <c r="A305" t="s">
        <v>4237</v>
      </c>
      <c r="B305" t="s">
        <v>2160</v>
      </c>
    </row>
    <row r="306" spans="1:2" x14ac:dyDescent="0.15">
      <c r="A306" t="s">
        <v>4238</v>
      </c>
      <c r="B306" t="s">
        <v>5314</v>
      </c>
    </row>
    <row r="307" spans="1:2" x14ac:dyDescent="0.15">
      <c r="A307" t="s">
        <v>4239</v>
      </c>
      <c r="B307" t="s">
        <v>1050</v>
      </c>
    </row>
    <row r="308" spans="1:2" x14ac:dyDescent="0.15">
      <c r="A308" t="s">
        <v>4240</v>
      </c>
      <c r="B308" t="s">
        <v>1052</v>
      </c>
    </row>
    <row r="309" spans="1:2" x14ac:dyDescent="0.15">
      <c r="A309" t="s">
        <v>4241</v>
      </c>
      <c r="B309" t="s">
        <v>2161</v>
      </c>
    </row>
    <row r="310" spans="1:2" x14ac:dyDescent="0.15">
      <c r="A310" t="s">
        <v>4242</v>
      </c>
      <c r="B310" t="s">
        <v>3410</v>
      </c>
    </row>
    <row r="311" spans="1:2" x14ac:dyDescent="0.15">
      <c r="A311" t="s">
        <v>4243</v>
      </c>
      <c r="B311" t="s">
        <v>1059</v>
      </c>
    </row>
    <row r="312" spans="1:2" x14ac:dyDescent="0.15">
      <c r="A312" t="s">
        <v>4244</v>
      </c>
      <c r="B312" t="s">
        <v>2162</v>
      </c>
    </row>
    <row r="313" spans="1:2" x14ac:dyDescent="0.15">
      <c r="A313" t="s">
        <v>4245</v>
      </c>
      <c r="B313" t="s">
        <v>1063</v>
      </c>
    </row>
    <row r="314" spans="1:2" x14ac:dyDescent="0.15">
      <c r="A314" t="s">
        <v>8693</v>
      </c>
      <c r="B314" t="s">
        <v>2163</v>
      </c>
    </row>
    <row r="315" spans="1:2" x14ac:dyDescent="0.15">
      <c r="A315" t="s">
        <v>8694</v>
      </c>
      <c r="B315" t="s">
        <v>5317</v>
      </c>
    </row>
    <row r="316" spans="1:2" x14ac:dyDescent="0.15">
      <c r="A316" t="s">
        <v>8695</v>
      </c>
      <c r="B316" t="s">
        <v>5320</v>
      </c>
    </row>
    <row r="317" spans="1:2" x14ac:dyDescent="0.15">
      <c r="A317" t="s">
        <v>8696</v>
      </c>
      <c r="B317" t="s">
        <v>5324</v>
      </c>
    </row>
    <row r="318" spans="1:2" x14ac:dyDescent="0.15">
      <c r="A318" t="s">
        <v>8697</v>
      </c>
      <c r="B318" t="s">
        <v>5328</v>
      </c>
    </row>
    <row r="319" spans="1:2" x14ac:dyDescent="0.15">
      <c r="A319" t="s">
        <v>8698</v>
      </c>
      <c r="B319" t="s">
        <v>2164</v>
      </c>
    </row>
    <row r="320" spans="1:2" x14ac:dyDescent="0.15">
      <c r="A320" t="s">
        <v>8699</v>
      </c>
      <c r="B320" t="s">
        <v>1043</v>
      </c>
    </row>
    <row r="321" spans="1:2" x14ac:dyDescent="0.15">
      <c r="A321" t="s">
        <v>8700</v>
      </c>
      <c r="B321" t="s">
        <v>2165</v>
      </c>
    </row>
    <row r="322" spans="1:2" x14ac:dyDescent="0.15">
      <c r="A322" t="s">
        <v>8701</v>
      </c>
      <c r="B322" t="s">
        <v>2166</v>
      </c>
    </row>
    <row r="323" spans="1:2" x14ac:dyDescent="0.15">
      <c r="A323" t="s">
        <v>8702</v>
      </c>
      <c r="B323" t="s">
        <v>2167</v>
      </c>
    </row>
    <row r="324" spans="1:2" x14ac:dyDescent="0.15">
      <c r="A324" t="s">
        <v>8703</v>
      </c>
      <c r="B324" t="s">
        <v>2168</v>
      </c>
    </row>
    <row r="325" spans="1:2" x14ac:dyDescent="0.15">
      <c r="A325" t="s">
        <v>8704</v>
      </c>
      <c r="B325" t="s">
        <v>2169</v>
      </c>
    </row>
    <row r="326" spans="1:2" x14ac:dyDescent="0.15">
      <c r="A326" t="s">
        <v>8705</v>
      </c>
      <c r="B326" t="s">
        <v>2170</v>
      </c>
    </row>
    <row r="327" spans="1:2" x14ac:dyDescent="0.15">
      <c r="A327" t="s">
        <v>8706</v>
      </c>
      <c r="B327" t="s">
        <v>2171</v>
      </c>
    </row>
    <row r="328" spans="1:2" x14ac:dyDescent="0.15">
      <c r="A328" t="s">
        <v>8707</v>
      </c>
      <c r="B328" t="s">
        <v>1070</v>
      </c>
    </row>
    <row r="329" spans="1:2" x14ac:dyDescent="0.15">
      <c r="A329" t="s">
        <v>8708</v>
      </c>
      <c r="B329" t="s">
        <v>1078</v>
      </c>
    </row>
    <row r="330" spans="1:2" x14ac:dyDescent="0.15">
      <c r="A330" t="s">
        <v>8709</v>
      </c>
      <c r="B330" t="s">
        <v>2172</v>
      </c>
    </row>
    <row r="331" spans="1:2" x14ac:dyDescent="0.15">
      <c r="A331" t="s">
        <v>8710</v>
      </c>
      <c r="B331" t="s">
        <v>2173</v>
      </c>
    </row>
    <row r="332" spans="1:2" x14ac:dyDescent="0.15">
      <c r="A332" t="s">
        <v>8711</v>
      </c>
      <c r="B332" t="s">
        <v>1089</v>
      </c>
    </row>
    <row r="333" spans="1:2" x14ac:dyDescent="0.15">
      <c r="A333" t="s">
        <v>8712</v>
      </c>
      <c r="B333" t="s">
        <v>1091</v>
      </c>
    </row>
    <row r="334" spans="1:2" x14ac:dyDescent="0.15">
      <c r="A334" t="s">
        <v>8713</v>
      </c>
      <c r="B334" t="s">
        <v>1094</v>
      </c>
    </row>
    <row r="335" spans="1:2" x14ac:dyDescent="0.15">
      <c r="A335" t="s">
        <v>8714</v>
      </c>
      <c r="B335" t="s">
        <v>2174</v>
      </c>
    </row>
    <row r="336" spans="1:2" x14ac:dyDescent="0.15">
      <c r="A336" t="s">
        <v>8715</v>
      </c>
      <c r="B336" t="s">
        <v>1100</v>
      </c>
    </row>
    <row r="337" spans="1:2" x14ac:dyDescent="0.15">
      <c r="A337" t="s">
        <v>8716</v>
      </c>
      <c r="B337" t="s">
        <v>1073</v>
      </c>
    </row>
    <row r="338" spans="1:2" x14ac:dyDescent="0.15">
      <c r="A338" t="s">
        <v>8717</v>
      </c>
      <c r="B338" t="s">
        <v>1075</v>
      </c>
    </row>
    <row r="339" spans="1:2" x14ac:dyDescent="0.15">
      <c r="A339" t="s">
        <v>8718</v>
      </c>
      <c r="B339" t="s">
        <v>2175</v>
      </c>
    </row>
    <row r="340" spans="1:2" x14ac:dyDescent="0.15">
      <c r="A340" t="s">
        <v>8719</v>
      </c>
      <c r="B340" t="s">
        <v>2176</v>
      </c>
    </row>
    <row r="341" spans="1:2" x14ac:dyDescent="0.15">
      <c r="A341" t="s">
        <v>8720</v>
      </c>
      <c r="B341" t="s">
        <v>1103</v>
      </c>
    </row>
    <row r="342" spans="1:2" x14ac:dyDescent="0.15">
      <c r="A342" t="s">
        <v>8721</v>
      </c>
      <c r="B342" t="s">
        <v>2177</v>
      </c>
    </row>
    <row r="343" spans="1:2" x14ac:dyDescent="0.15">
      <c r="A343" t="s">
        <v>8722</v>
      </c>
      <c r="B343" t="s">
        <v>1108</v>
      </c>
    </row>
    <row r="344" spans="1:2" x14ac:dyDescent="0.15">
      <c r="A344" t="s">
        <v>8723</v>
      </c>
      <c r="B344" t="s">
        <v>1111</v>
      </c>
    </row>
    <row r="345" spans="1:2" x14ac:dyDescent="0.15">
      <c r="A345" t="s">
        <v>8724</v>
      </c>
      <c r="B345" t="s">
        <v>1114</v>
      </c>
    </row>
    <row r="346" spans="1:2" x14ac:dyDescent="0.15">
      <c r="A346" t="s">
        <v>8725</v>
      </c>
      <c r="B346" t="s">
        <v>2178</v>
      </c>
    </row>
    <row r="347" spans="1:2" x14ac:dyDescent="0.15">
      <c r="A347" t="s">
        <v>8726</v>
      </c>
      <c r="B347" t="s">
        <v>2179</v>
      </c>
    </row>
    <row r="348" spans="1:2" x14ac:dyDescent="0.15">
      <c r="A348" t="s">
        <v>8727</v>
      </c>
      <c r="B348" t="s">
        <v>6214</v>
      </c>
    </row>
    <row r="349" spans="1:2" x14ac:dyDescent="0.15">
      <c r="A349" t="s">
        <v>8728</v>
      </c>
      <c r="B349" t="s">
        <v>6215</v>
      </c>
    </row>
    <row r="350" spans="1:2" x14ac:dyDescent="0.15">
      <c r="A350" t="s">
        <v>8729</v>
      </c>
      <c r="B350" t="s">
        <v>1133</v>
      </c>
    </row>
    <row r="351" spans="1:2" x14ac:dyDescent="0.15">
      <c r="A351" t="s">
        <v>8730</v>
      </c>
      <c r="B351" t="s">
        <v>1137</v>
      </c>
    </row>
    <row r="352" spans="1:2" x14ac:dyDescent="0.15">
      <c r="A352" t="s">
        <v>8731</v>
      </c>
      <c r="B352" t="s">
        <v>1141</v>
      </c>
    </row>
    <row r="353" spans="1:2" x14ac:dyDescent="0.15">
      <c r="A353" t="s">
        <v>8732</v>
      </c>
      <c r="B353" t="s">
        <v>1144</v>
      </c>
    </row>
    <row r="354" spans="1:2" x14ac:dyDescent="0.15">
      <c r="A354" t="s">
        <v>8733</v>
      </c>
      <c r="B354" t="s">
        <v>904</v>
      </c>
    </row>
    <row r="355" spans="1:2" x14ac:dyDescent="0.15">
      <c r="A355" t="s">
        <v>8734</v>
      </c>
      <c r="B355" t="s">
        <v>906</v>
      </c>
    </row>
    <row r="356" spans="1:2" x14ac:dyDescent="0.15">
      <c r="A356" t="s">
        <v>8735</v>
      </c>
      <c r="B356" t="s">
        <v>909</v>
      </c>
    </row>
    <row r="357" spans="1:2" x14ac:dyDescent="0.15">
      <c r="A357" t="s">
        <v>8736</v>
      </c>
      <c r="B357" t="s">
        <v>912</v>
      </c>
    </row>
    <row r="358" spans="1:2" x14ac:dyDescent="0.15">
      <c r="A358" t="s">
        <v>8737</v>
      </c>
      <c r="B358" t="s">
        <v>1116</v>
      </c>
    </row>
    <row r="359" spans="1:2" x14ac:dyDescent="0.15">
      <c r="A359" t="s">
        <v>8738</v>
      </c>
      <c r="B359" t="s">
        <v>5378</v>
      </c>
    </row>
    <row r="360" spans="1:2" x14ac:dyDescent="0.15">
      <c r="A360" t="s">
        <v>8739</v>
      </c>
      <c r="B360" t="s">
        <v>1120</v>
      </c>
    </row>
    <row r="361" spans="1:2" x14ac:dyDescent="0.15">
      <c r="A361" t="s">
        <v>8740</v>
      </c>
      <c r="B361" t="s">
        <v>1122</v>
      </c>
    </row>
    <row r="362" spans="1:2" x14ac:dyDescent="0.15">
      <c r="A362" t="s">
        <v>8741</v>
      </c>
      <c r="B362" t="s">
        <v>1124</v>
      </c>
    </row>
    <row r="363" spans="1:2" x14ac:dyDescent="0.15">
      <c r="A363" t="s">
        <v>8742</v>
      </c>
      <c r="B363" t="s">
        <v>1127</v>
      </c>
    </row>
    <row r="364" spans="1:2" x14ac:dyDescent="0.15">
      <c r="A364" t="s">
        <v>8743</v>
      </c>
      <c r="B364" t="s">
        <v>1130</v>
      </c>
    </row>
    <row r="365" spans="1:2" x14ac:dyDescent="0.15">
      <c r="A365" t="s">
        <v>8744</v>
      </c>
      <c r="B365" t="s">
        <v>6216</v>
      </c>
    </row>
    <row r="366" spans="1:2" x14ac:dyDescent="0.15">
      <c r="A366" t="s">
        <v>8745</v>
      </c>
      <c r="B366" t="s">
        <v>6217</v>
      </c>
    </row>
    <row r="367" spans="1:2" x14ac:dyDescent="0.15">
      <c r="A367" t="s">
        <v>8746</v>
      </c>
      <c r="B367" t="s">
        <v>6218</v>
      </c>
    </row>
    <row r="368" spans="1:2" x14ac:dyDescent="0.15">
      <c r="A368" t="s">
        <v>8747</v>
      </c>
      <c r="B368" t="s">
        <v>3265</v>
      </c>
    </row>
    <row r="369" spans="1:2" x14ac:dyDescent="0.15">
      <c r="A369" t="s">
        <v>8748</v>
      </c>
      <c r="B369" t="s">
        <v>914</v>
      </c>
    </row>
    <row r="370" spans="1:2" x14ac:dyDescent="0.15">
      <c r="A370" t="s">
        <v>8749</v>
      </c>
      <c r="B370" t="s">
        <v>916</v>
      </c>
    </row>
    <row r="371" spans="1:2" x14ac:dyDescent="0.15">
      <c r="A371" t="s">
        <v>8750</v>
      </c>
      <c r="B371" t="s">
        <v>919</v>
      </c>
    </row>
    <row r="372" spans="1:2" x14ac:dyDescent="0.15">
      <c r="A372" t="s">
        <v>8751</v>
      </c>
      <c r="B372" t="s">
        <v>922</v>
      </c>
    </row>
    <row r="373" spans="1:2" x14ac:dyDescent="0.15">
      <c r="A373" t="s">
        <v>8752</v>
      </c>
      <c r="B373" t="s">
        <v>925</v>
      </c>
    </row>
    <row r="374" spans="1:2" x14ac:dyDescent="0.15">
      <c r="A374" t="s">
        <v>8753</v>
      </c>
      <c r="B374" t="s">
        <v>6219</v>
      </c>
    </row>
    <row r="375" spans="1:2" x14ac:dyDescent="0.15">
      <c r="A375" t="s">
        <v>8754</v>
      </c>
      <c r="B375" t="s">
        <v>931</v>
      </c>
    </row>
    <row r="376" spans="1:2" x14ac:dyDescent="0.15">
      <c r="A376" t="s">
        <v>8755</v>
      </c>
      <c r="B376" t="s">
        <v>6220</v>
      </c>
    </row>
    <row r="377" spans="1:2" x14ac:dyDescent="0.15">
      <c r="A377" t="s">
        <v>8756</v>
      </c>
      <c r="B377" t="s">
        <v>6982</v>
      </c>
    </row>
    <row r="378" spans="1:2" x14ac:dyDescent="0.15">
      <c r="A378" t="s">
        <v>8757</v>
      </c>
      <c r="B378" t="s">
        <v>6984</v>
      </c>
    </row>
    <row r="379" spans="1:2" x14ac:dyDescent="0.15">
      <c r="A379" t="s">
        <v>8758</v>
      </c>
      <c r="B379" t="s">
        <v>6221</v>
      </c>
    </row>
    <row r="380" spans="1:2" x14ac:dyDescent="0.15">
      <c r="A380" t="s">
        <v>8759</v>
      </c>
      <c r="B380" t="s">
        <v>882</v>
      </c>
    </row>
    <row r="381" spans="1:2" x14ac:dyDescent="0.15">
      <c r="A381" t="s">
        <v>8760</v>
      </c>
      <c r="B381" t="s">
        <v>889</v>
      </c>
    </row>
    <row r="382" spans="1:2" x14ac:dyDescent="0.15">
      <c r="A382" t="s">
        <v>8761</v>
      </c>
      <c r="B382" t="s">
        <v>6222</v>
      </c>
    </row>
    <row r="383" spans="1:2" x14ac:dyDescent="0.15">
      <c r="A383" t="s">
        <v>8762</v>
      </c>
      <c r="B383" t="s">
        <v>898</v>
      </c>
    </row>
    <row r="384" spans="1:2" x14ac:dyDescent="0.15">
      <c r="A384" t="s">
        <v>8763</v>
      </c>
      <c r="B384" t="s">
        <v>902</v>
      </c>
    </row>
    <row r="385" spans="1:2" x14ac:dyDescent="0.15">
      <c r="A385" t="s">
        <v>8764</v>
      </c>
      <c r="B385" t="s">
        <v>696</v>
      </c>
    </row>
    <row r="386" spans="1:2" x14ac:dyDescent="0.15">
      <c r="A386" t="s">
        <v>8765</v>
      </c>
      <c r="B386" t="s">
        <v>699</v>
      </c>
    </row>
    <row r="387" spans="1:2" x14ac:dyDescent="0.15">
      <c r="A387" t="s">
        <v>8766</v>
      </c>
      <c r="B387" t="s">
        <v>703</v>
      </c>
    </row>
    <row r="388" spans="1:2" x14ac:dyDescent="0.15">
      <c r="A388" t="s">
        <v>8767</v>
      </c>
      <c r="B388" t="s">
        <v>6987</v>
      </c>
    </row>
    <row r="389" spans="1:2" x14ac:dyDescent="0.15">
      <c r="A389" t="s">
        <v>8768</v>
      </c>
      <c r="B389" t="s">
        <v>6991</v>
      </c>
    </row>
    <row r="390" spans="1:2" x14ac:dyDescent="0.15">
      <c r="A390" t="s">
        <v>8769</v>
      </c>
      <c r="B390" t="s">
        <v>6223</v>
      </c>
    </row>
    <row r="391" spans="1:2" x14ac:dyDescent="0.15">
      <c r="A391" t="s">
        <v>8770</v>
      </c>
      <c r="B391" t="s">
        <v>860</v>
      </c>
    </row>
    <row r="392" spans="1:2" x14ac:dyDescent="0.15">
      <c r="A392" t="s">
        <v>8771</v>
      </c>
      <c r="B392" t="s">
        <v>863</v>
      </c>
    </row>
    <row r="393" spans="1:2" x14ac:dyDescent="0.15">
      <c r="A393" t="s">
        <v>8499</v>
      </c>
      <c r="B393" t="s">
        <v>866</v>
      </c>
    </row>
    <row r="394" spans="1:2" x14ac:dyDescent="0.15">
      <c r="A394" t="s">
        <v>8500</v>
      </c>
      <c r="B394" t="s">
        <v>870</v>
      </c>
    </row>
    <row r="395" spans="1:2" x14ac:dyDescent="0.15">
      <c r="A395" t="s">
        <v>8501</v>
      </c>
      <c r="B395" t="s">
        <v>874</v>
      </c>
    </row>
    <row r="396" spans="1:2" x14ac:dyDescent="0.15">
      <c r="A396" t="s">
        <v>8502</v>
      </c>
      <c r="B396" t="s">
        <v>877</v>
      </c>
    </row>
    <row r="397" spans="1:2" x14ac:dyDescent="0.15">
      <c r="A397" t="s">
        <v>8503</v>
      </c>
      <c r="B397" t="s">
        <v>879</v>
      </c>
    </row>
    <row r="398" spans="1:2" x14ac:dyDescent="0.15">
      <c r="A398" t="s">
        <v>8504</v>
      </c>
      <c r="B398" t="s">
        <v>884</v>
      </c>
    </row>
    <row r="399" spans="1:2" x14ac:dyDescent="0.15">
      <c r="A399" t="s">
        <v>8505</v>
      </c>
      <c r="B399" t="s">
        <v>886</v>
      </c>
    </row>
    <row r="400" spans="1:2" x14ac:dyDescent="0.15">
      <c r="A400" t="s">
        <v>8506</v>
      </c>
      <c r="B400" t="s">
        <v>6224</v>
      </c>
    </row>
    <row r="401" spans="1:2" x14ac:dyDescent="0.15">
      <c r="A401" t="s">
        <v>8507</v>
      </c>
      <c r="B401" t="s">
        <v>6225</v>
      </c>
    </row>
    <row r="402" spans="1:2" x14ac:dyDescent="0.15">
      <c r="A402" t="s">
        <v>8508</v>
      </c>
      <c r="B402" t="s">
        <v>707</v>
      </c>
    </row>
    <row r="403" spans="1:2" x14ac:dyDescent="0.15">
      <c r="A403" t="s">
        <v>8509</v>
      </c>
      <c r="B403" t="s">
        <v>724</v>
      </c>
    </row>
    <row r="404" spans="1:2" x14ac:dyDescent="0.15">
      <c r="A404" t="s">
        <v>8510</v>
      </c>
      <c r="B404" t="s">
        <v>727</v>
      </c>
    </row>
    <row r="405" spans="1:2" x14ac:dyDescent="0.15">
      <c r="A405" t="s">
        <v>8511</v>
      </c>
      <c r="B405" t="s">
        <v>730</v>
      </c>
    </row>
    <row r="406" spans="1:2" x14ac:dyDescent="0.15">
      <c r="A406" t="s">
        <v>8512</v>
      </c>
      <c r="B406" t="s">
        <v>6627</v>
      </c>
    </row>
    <row r="407" spans="1:2" x14ac:dyDescent="0.15">
      <c r="A407" t="s">
        <v>8513</v>
      </c>
      <c r="B407" t="s">
        <v>6630</v>
      </c>
    </row>
    <row r="408" spans="1:2" x14ac:dyDescent="0.15">
      <c r="A408" t="s">
        <v>8514</v>
      </c>
      <c r="B408" t="s">
        <v>6633</v>
      </c>
    </row>
    <row r="409" spans="1:2" x14ac:dyDescent="0.15">
      <c r="A409" t="s">
        <v>8515</v>
      </c>
      <c r="B409" t="s">
        <v>6636</v>
      </c>
    </row>
    <row r="410" spans="1:2" x14ac:dyDescent="0.15">
      <c r="A410" t="s">
        <v>8516</v>
      </c>
      <c r="B410" t="s">
        <v>6639</v>
      </c>
    </row>
    <row r="411" spans="1:2" x14ac:dyDescent="0.15">
      <c r="A411" t="s">
        <v>8517</v>
      </c>
      <c r="B411" t="s">
        <v>6226</v>
      </c>
    </row>
    <row r="412" spans="1:2" x14ac:dyDescent="0.15">
      <c r="A412" t="s">
        <v>8518</v>
      </c>
      <c r="B412" t="s">
        <v>714</v>
      </c>
    </row>
    <row r="413" spans="1:2" x14ac:dyDescent="0.15">
      <c r="A413" t="s">
        <v>8519</v>
      </c>
      <c r="B413" t="s">
        <v>717</v>
      </c>
    </row>
    <row r="414" spans="1:2" x14ac:dyDescent="0.15">
      <c r="A414" t="s">
        <v>8520</v>
      </c>
      <c r="B414" t="s">
        <v>720</v>
      </c>
    </row>
    <row r="415" spans="1:2" x14ac:dyDescent="0.15">
      <c r="A415" t="s">
        <v>8521</v>
      </c>
      <c r="B415" t="s">
        <v>6227</v>
      </c>
    </row>
    <row r="416" spans="1:2" x14ac:dyDescent="0.15">
      <c r="A416" t="s">
        <v>8522</v>
      </c>
      <c r="B416" t="s">
        <v>6228</v>
      </c>
    </row>
    <row r="417" spans="1:2" x14ac:dyDescent="0.15">
      <c r="A417" t="s">
        <v>8523</v>
      </c>
      <c r="B417" t="s">
        <v>6229</v>
      </c>
    </row>
    <row r="418" spans="1:2" x14ac:dyDescent="0.15">
      <c r="A418" t="s">
        <v>8524</v>
      </c>
      <c r="B418" t="s">
        <v>6230</v>
      </c>
    </row>
    <row r="419" spans="1:2" x14ac:dyDescent="0.15">
      <c r="A419" t="s">
        <v>7768</v>
      </c>
      <c r="B419" t="s">
        <v>7768</v>
      </c>
    </row>
    <row r="420" spans="1:2" x14ac:dyDescent="0.15">
      <c r="A420" t="s">
        <v>7769</v>
      </c>
      <c r="B420" t="s">
        <v>7769</v>
      </c>
    </row>
    <row r="421" spans="1:2" x14ac:dyDescent="0.15">
      <c r="A421" t="s">
        <v>8525</v>
      </c>
      <c r="B421" t="s">
        <v>6231</v>
      </c>
    </row>
    <row r="422" spans="1:2" x14ac:dyDescent="0.15">
      <c r="A422" t="s">
        <v>8526</v>
      </c>
      <c r="B422" t="s">
        <v>6650</v>
      </c>
    </row>
    <row r="423" spans="1:2" x14ac:dyDescent="0.15">
      <c r="A423" t="s">
        <v>8527</v>
      </c>
      <c r="B423" t="s">
        <v>6653</v>
      </c>
    </row>
    <row r="424" spans="1:2" x14ac:dyDescent="0.15">
      <c r="A424" t="s">
        <v>8528</v>
      </c>
      <c r="B424" t="s">
        <v>6657</v>
      </c>
    </row>
    <row r="425" spans="1:2" x14ac:dyDescent="0.15">
      <c r="A425" t="s">
        <v>8529</v>
      </c>
      <c r="B425" t="s">
        <v>8240</v>
      </c>
    </row>
    <row r="426" spans="1:2" x14ac:dyDescent="0.15">
      <c r="A426" t="s">
        <v>8530</v>
      </c>
      <c r="B426" t="s">
        <v>6661</v>
      </c>
    </row>
    <row r="427" spans="1:2" x14ac:dyDescent="0.15">
      <c r="A427" t="s">
        <v>8531</v>
      </c>
      <c r="B427" t="s">
        <v>6664</v>
      </c>
    </row>
    <row r="428" spans="1:2" x14ac:dyDescent="0.15">
      <c r="A428" t="s">
        <v>8532</v>
      </c>
      <c r="B428" t="s">
        <v>6666</v>
      </c>
    </row>
    <row r="429" spans="1:2" x14ac:dyDescent="0.15">
      <c r="A429" t="s">
        <v>8533</v>
      </c>
      <c r="B429" t="s">
        <v>6668</v>
      </c>
    </row>
    <row r="430" spans="1:2" x14ac:dyDescent="0.15">
      <c r="A430" t="s">
        <v>8534</v>
      </c>
      <c r="B430" t="s">
        <v>6644</v>
      </c>
    </row>
    <row r="431" spans="1:2" x14ac:dyDescent="0.15">
      <c r="A431" t="s">
        <v>8535</v>
      </c>
      <c r="B431" t="s">
        <v>6648</v>
      </c>
    </row>
    <row r="432" spans="1:2" x14ac:dyDescent="0.15">
      <c r="A432" t="s">
        <v>8536</v>
      </c>
      <c r="B432" t="s">
        <v>6232</v>
      </c>
    </row>
    <row r="433" spans="1:2" x14ac:dyDescent="0.15">
      <c r="A433" t="s">
        <v>8537</v>
      </c>
      <c r="B433" t="s">
        <v>6233</v>
      </c>
    </row>
    <row r="434" spans="1:2" x14ac:dyDescent="0.15">
      <c r="A434" t="s">
        <v>8538</v>
      </c>
      <c r="B434" t="s">
        <v>6234</v>
      </c>
    </row>
    <row r="435" spans="1:2" x14ac:dyDescent="0.15">
      <c r="A435" t="s">
        <v>8539</v>
      </c>
      <c r="B435" t="s">
        <v>6235</v>
      </c>
    </row>
    <row r="436" spans="1:2" x14ac:dyDescent="0.15">
      <c r="A436" t="s">
        <v>8540</v>
      </c>
      <c r="B436" t="s">
        <v>6236</v>
      </c>
    </row>
    <row r="437" spans="1:2" x14ac:dyDescent="0.15">
      <c r="A437" t="s">
        <v>8541</v>
      </c>
      <c r="B437" t="s">
        <v>6237</v>
      </c>
    </row>
    <row r="438" spans="1:2" x14ac:dyDescent="0.15">
      <c r="A438" t="s">
        <v>8542</v>
      </c>
      <c r="B438" t="s">
        <v>6238</v>
      </c>
    </row>
    <row r="439" spans="1:2" x14ac:dyDescent="0.15">
      <c r="A439" t="s">
        <v>8543</v>
      </c>
      <c r="B439" t="s">
        <v>6239</v>
      </c>
    </row>
    <row r="440" spans="1:2" x14ac:dyDescent="0.15">
      <c r="A440" t="s">
        <v>8544</v>
      </c>
      <c r="B440" t="s">
        <v>6240</v>
      </c>
    </row>
    <row r="441" spans="1:2" x14ac:dyDescent="0.15">
      <c r="A441" t="s">
        <v>8545</v>
      </c>
      <c r="B441" t="s">
        <v>6670</v>
      </c>
    </row>
    <row r="442" spans="1:2" x14ac:dyDescent="0.15">
      <c r="A442" t="s">
        <v>8546</v>
      </c>
      <c r="B442" t="s">
        <v>8338</v>
      </c>
    </row>
    <row r="443" spans="1:2" x14ac:dyDescent="0.15">
      <c r="A443" t="s">
        <v>8547</v>
      </c>
      <c r="B443" t="s">
        <v>6470</v>
      </c>
    </row>
    <row r="444" spans="1:2" x14ac:dyDescent="0.15">
      <c r="A444" t="s">
        <v>8548</v>
      </c>
      <c r="B444" t="s">
        <v>6472</v>
      </c>
    </row>
    <row r="445" spans="1:2" x14ac:dyDescent="0.15">
      <c r="A445" t="s">
        <v>8549</v>
      </c>
      <c r="B445" t="s">
        <v>6475</v>
      </c>
    </row>
    <row r="446" spans="1:2" x14ac:dyDescent="0.15">
      <c r="A446" t="s">
        <v>8550</v>
      </c>
      <c r="B446" t="s">
        <v>6477</v>
      </c>
    </row>
    <row r="447" spans="1:2" x14ac:dyDescent="0.15">
      <c r="A447" t="s">
        <v>8551</v>
      </c>
      <c r="B447" t="s">
        <v>6479</v>
      </c>
    </row>
    <row r="448" spans="1:2" x14ac:dyDescent="0.15">
      <c r="A448" t="s">
        <v>8552</v>
      </c>
      <c r="B448" t="s">
        <v>6224</v>
      </c>
    </row>
    <row r="449" spans="1:2" x14ac:dyDescent="0.15">
      <c r="A449" t="s">
        <v>8553</v>
      </c>
      <c r="B449" t="s">
        <v>6241</v>
      </c>
    </row>
    <row r="450" spans="1:2" x14ac:dyDescent="0.15">
      <c r="A450" t="s">
        <v>8554</v>
      </c>
      <c r="B450" t="s">
        <v>6242</v>
      </c>
    </row>
    <row r="451" spans="1:2" x14ac:dyDescent="0.15">
      <c r="A451" t="s">
        <v>8555</v>
      </c>
      <c r="B451" t="s">
        <v>6483</v>
      </c>
    </row>
    <row r="452" spans="1:2" x14ac:dyDescent="0.15">
      <c r="A452" t="s">
        <v>8556</v>
      </c>
      <c r="B452" t="s">
        <v>6499</v>
      </c>
    </row>
    <row r="453" spans="1:2" x14ac:dyDescent="0.15">
      <c r="A453" t="s">
        <v>8557</v>
      </c>
      <c r="B453" t="s">
        <v>6501</v>
      </c>
    </row>
    <row r="454" spans="1:2" x14ac:dyDescent="0.15">
      <c r="A454" t="s">
        <v>8558</v>
      </c>
      <c r="B454" t="s">
        <v>5974</v>
      </c>
    </row>
    <row r="455" spans="1:2" x14ac:dyDescent="0.15">
      <c r="A455" t="s">
        <v>8559</v>
      </c>
      <c r="B455" t="s">
        <v>5975</v>
      </c>
    </row>
    <row r="456" spans="1:2" x14ac:dyDescent="0.15">
      <c r="A456" t="s">
        <v>8560</v>
      </c>
      <c r="B456" t="s">
        <v>6508</v>
      </c>
    </row>
    <row r="457" spans="1:2" x14ac:dyDescent="0.15">
      <c r="A457" t="s">
        <v>8561</v>
      </c>
      <c r="B457" t="s">
        <v>6510</v>
      </c>
    </row>
    <row r="458" spans="1:2" x14ac:dyDescent="0.15">
      <c r="A458" t="s">
        <v>8562</v>
      </c>
      <c r="B458" t="s">
        <v>6513</v>
      </c>
    </row>
    <row r="459" spans="1:2" x14ac:dyDescent="0.15">
      <c r="A459" t="s">
        <v>8563</v>
      </c>
      <c r="B459" t="s">
        <v>6517</v>
      </c>
    </row>
    <row r="460" spans="1:2" x14ac:dyDescent="0.15">
      <c r="A460" t="s">
        <v>8564</v>
      </c>
      <c r="B460" t="s">
        <v>5976</v>
      </c>
    </row>
    <row r="461" spans="1:2" x14ac:dyDescent="0.15">
      <c r="A461" t="s">
        <v>8565</v>
      </c>
      <c r="B461" t="s">
        <v>5977</v>
      </c>
    </row>
    <row r="462" spans="1:2" x14ac:dyDescent="0.15">
      <c r="A462" t="s">
        <v>8566</v>
      </c>
      <c r="B462" t="s">
        <v>6493</v>
      </c>
    </row>
    <row r="463" spans="1:2" x14ac:dyDescent="0.15">
      <c r="A463" t="s">
        <v>8567</v>
      </c>
      <c r="B463" t="s">
        <v>6496</v>
      </c>
    </row>
    <row r="464" spans="1:2" x14ac:dyDescent="0.15">
      <c r="A464" t="s">
        <v>8568</v>
      </c>
      <c r="B464" t="s">
        <v>5978</v>
      </c>
    </row>
    <row r="465" spans="1:2" x14ac:dyDescent="0.15">
      <c r="A465" t="s">
        <v>8569</v>
      </c>
      <c r="B465" t="s">
        <v>5979</v>
      </c>
    </row>
    <row r="466" spans="1:2" x14ac:dyDescent="0.15">
      <c r="A466" t="s">
        <v>8570</v>
      </c>
      <c r="B466" t="s">
        <v>5980</v>
      </c>
    </row>
    <row r="467" spans="1:2" x14ac:dyDescent="0.15">
      <c r="A467" t="s">
        <v>8571</v>
      </c>
      <c r="B467" t="s">
        <v>5981</v>
      </c>
    </row>
    <row r="468" spans="1:2" x14ac:dyDescent="0.15">
      <c r="A468" t="s">
        <v>8572</v>
      </c>
      <c r="B468" t="s">
        <v>5982</v>
      </c>
    </row>
    <row r="469" spans="1:2" x14ac:dyDescent="0.15">
      <c r="A469" t="s">
        <v>8573</v>
      </c>
      <c r="B469" t="s">
        <v>6519</v>
      </c>
    </row>
    <row r="470" spans="1:2" x14ac:dyDescent="0.15">
      <c r="A470" t="s">
        <v>8574</v>
      </c>
      <c r="B470" t="s">
        <v>4931</v>
      </c>
    </row>
    <row r="471" spans="1:2" x14ac:dyDescent="0.15">
      <c r="A471" t="s">
        <v>8575</v>
      </c>
      <c r="B471" t="s">
        <v>5983</v>
      </c>
    </row>
    <row r="472" spans="1:2" x14ac:dyDescent="0.15">
      <c r="A472" t="s">
        <v>8576</v>
      </c>
      <c r="B472" t="s">
        <v>5984</v>
      </c>
    </row>
    <row r="473" spans="1:2" x14ac:dyDescent="0.15">
      <c r="A473" t="s">
        <v>8577</v>
      </c>
      <c r="B473" t="s">
        <v>5985</v>
      </c>
    </row>
    <row r="474" spans="1:2" x14ac:dyDescent="0.15">
      <c r="A474" t="s">
        <v>8578</v>
      </c>
      <c r="B474" t="s">
        <v>7420</v>
      </c>
    </row>
    <row r="475" spans="1:2" x14ac:dyDescent="0.15">
      <c r="A475" t="s">
        <v>8579</v>
      </c>
      <c r="B475" t="s">
        <v>5986</v>
      </c>
    </row>
    <row r="476" spans="1:2" x14ac:dyDescent="0.15">
      <c r="A476" t="s">
        <v>8580</v>
      </c>
      <c r="B476" t="s">
        <v>874</v>
      </c>
    </row>
    <row r="477" spans="1:2" x14ac:dyDescent="0.15">
      <c r="A477" t="s">
        <v>8581</v>
      </c>
      <c r="B477" t="s">
        <v>5987</v>
      </c>
    </row>
    <row r="478" spans="1:2" x14ac:dyDescent="0.15">
      <c r="A478" t="s">
        <v>8582</v>
      </c>
      <c r="B478" t="s">
        <v>3108</v>
      </c>
    </row>
    <row r="479" spans="1:2" x14ac:dyDescent="0.15">
      <c r="A479" t="s">
        <v>8583</v>
      </c>
      <c r="B479" t="s">
        <v>6528</v>
      </c>
    </row>
    <row r="480" spans="1:2" x14ac:dyDescent="0.15">
      <c r="A480" t="s">
        <v>8584</v>
      </c>
      <c r="B480" t="s">
        <v>5988</v>
      </c>
    </row>
    <row r="481" spans="1:2" x14ac:dyDescent="0.15">
      <c r="A481" t="s">
        <v>8585</v>
      </c>
      <c r="B481" t="s">
        <v>5989</v>
      </c>
    </row>
    <row r="482" spans="1:2" x14ac:dyDescent="0.15">
      <c r="A482" t="s">
        <v>8586</v>
      </c>
      <c r="B482" t="s">
        <v>6533</v>
      </c>
    </row>
    <row r="483" spans="1:2" x14ac:dyDescent="0.15">
      <c r="A483" t="s">
        <v>8587</v>
      </c>
      <c r="B483" t="s">
        <v>5990</v>
      </c>
    </row>
    <row r="484" spans="1:2" x14ac:dyDescent="0.15">
      <c r="A484" t="s">
        <v>8588</v>
      </c>
      <c r="B484" t="s">
        <v>6537</v>
      </c>
    </row>
    <row r="485" spans="1:2" x14ac:dyDescent="0.15">
      <c r="A485" t="s">
        <v>8589</v>
      </c>
      <c r="B485" t="s">
        <v>5991</v>
      </c>
    </row>
    <row r="486" spans="1:2" x14ac:dyDescent="0.15">
      <c r="A486" t="s">
        <v>8590</v>
      </c>
      <c r="B486" t="s">
        <v>5028</v>
      </c>
    </row>
    <row r="487" spans="1:2" x14ac:dyDescent="0.15">
      <c r="A487" t="s">
        <v>8591</v>
      </c>
      <c r="B487" t="s">
        <v>5992</v>
      </c>
    </row>
    <row r="488" spans="1:2" x14ac:dyDescent="0.15">
      <c r="A488" t="s">
        <v>8592</v>
      </c>
      <c r="B488" t="s">
        <v>6541</v>
      </c>
    </row>
    <row r="489" spans="1:2" x14ac:dyDescent="0.15">
      <c r="A489" t="s">
        <v>8593</v>
      </c>
      <c r="B489" t="s">
        <v>6549</v>
      </c>
    </row>
    <row r="490" spans="1:2" x14ac:dyDescent="0.15">
      <c r="A490" t="s">
        <v>8594</v>
      </c>
      <c r="B490" t="s">
        <v>6551</v>
      </c>
    </row>
    <row r="491" spans="1:2" x14ac:dyDescent="0.15">
      <c r="A491" t="s">
        <v>8595</v>
      </c>
      <c r="B491" t="s">
        <v>6553</v>
      </c>
    </row>
    <row r="492" spans="1:2" x14ac:dyDescent="0.15">
      <c r="A492" t="s">
        <v>8596</v>
      </c>
      <c r="B492" t="s">
        <v>5993</v>
      </c>
    </row>
    <row r="493" spans="1:2" x14ac:dyDescent="0.15">
      <c r="A493" t="s">
        <v>8597</v>
      </c>
      <c r="B493" t="s">
        <v>5994</v>
      </c>
    </row>
    <row r="494" spans="1:2" x14ac:dyDescent="0.15">
      <c r="A494" t="s">
        <v>8598</v>
      </c>
      <c r="B494" t="s">
        <v>5995</v>
      </c>
    </row>
    <row r="495" spans="1:2" x14ac:dyDescent="0.15">
      <c r="A495" t="s">
        <v>8599</v>
      </c>
      <c r="B495" t="s">
        <v>5996</v>
      </c>
    </row>
    <row r="496" spans="1:2" x14ac:dyDescent="0.15">
      <c r="A496" t="s">
        <v>8600</v>
      </c>
      <c r="B496" t="s">
        <v>5997</v>
      </c>
    </row>
    <row r="497" spans="1:2" x14ac:dyDescent="0.15">
      <c r="A497" t="s">
        <v>8601</v>
      </c>
      <c r="B497" t="s">
        <v>6545</v>
      </c>
    </row>
    <row r="498" spans="1:2" x14ac:dyDescent="0.15">
      <c r="A498" t="s">
        <v>8602</v>
      </c>
      <c r="B498" t="s">
        <v>5998</v>
      </c>
    </row>
    <row r="499" spans="1:2" x14ac:dyDescent="0.15">
      <c r="A499" t="s">
        <v>8603</v>
      </c>
      <c r="B499" t="s">
        <v>5999</v>
      </c>
    </row>
    <row r="500" spans="1:2" x14ac:dyDescent="0.15">
      <c r="A500" t="s">
        <v>8604</v>
      </c>
      <c r="B500" t="s">
        <v>6000</v>
      </c>
    </row>
    <row r="501" spans="1:2" x14ac:dyDescent="0.15">
      <c r="A501" t="s">
        <v>8605</v>
      </c>
      <c r="B501" t="s">
        <v>6001</v>
      </c>
    </row>
    <row r="502" spans="1:2" x14ac:dyDescent="0.15">
      <c r="A502" t="s">
        <v>8606</v>
      </c>
      <c r="B502" t="s">
        <v>8772</v>
      </c>
    </row>
    <row r="503" spans="1:2" x14ac:dyDescent="0.15">
      <c r="A503" t="s">
        <v>8607</v>
      </c>
      <c r="B503" t="s">
        <v>8773</v>
      </c>
    </row>
    <row r="504" spans="1:2" x14ac:dyDescent="0.15">
      <c r="A504" t="s">
        <v>8608</v>
      </c>
      <c r="B504" t="s">
        <v>8774</v>
      </c>
    </row>
    <row r="505" spans="1:2" x14ac:dyDescent="0.15">
      <c r="A505" t="s">
        <v>8609</v>
      </c>
      <c r="B505" t="s">
        <v>8775</v>
      </c>
    </row>
    <row r="506" spans="1:2" x14ac:dyDescent="0.15">
      <c r="A506" t="s">
        <v>8610</v>
      </c>
      <c r="B506" t="s">
        <v>8776</v>
      </c>
    </row>
    <row r="507" spans="1:2" x14ac:dyDescent="0.15">
      <c r="A507" t="s">
        <v>8611</v>
      </c>
      <c r="B507" t="s">
        <v>8777</v>
      </c>
    </row>
    <row r="508" spans="1:2" x14ac:dyDescent="0.15">
      <c r="A508" t="s">
        <v>8612</v>
      </c>
      <c r="B508" t="s">
        <v>8778</v>
      </c>
    </row>
    <row r="509" spans="1:2" x14ac:dyDescent="0.15">
      <c r="A509" t="s">
        <v>8613</v>
      </c>
      <c r="B509" t="s">
        <v>8779</v>
      </c>
    </row>
    <row r="510" spans="1:2" x14ac:dyDescent="0.15">
      <c r="A510" t="s">
        <v>8614</v>
      </c>
      <c r="B510" t="s">
        <v>8780</v>
      </c>
    </row>
    <row r="511" spans="1:2" x14ac:dyDescent="0.15">
      <c r="A511" t="s">
        <v>8615</v>
      </c>
      <c r="B511" t="s">
        <v>8781</v>
      </c>
    </row>
    <row r="512" spans="1:2" x14ac:dyDescent="0.15">
      <c r="A512" t="s">
        <v>8616</v>
      </c>
      <c r="B512" t="s">
        <v>8782</v>
      </c>
    </row>
    <row r="513" spans="1:2" x14ac:dyDescent="0.15">
      <c r="A513" t="s">
        <v>8617</v>
      </c>
      <c r="B513" t="s">
        <v>8783</v>
      </c>
    </row>
    <row r="514" spans="1:2" x14ac:dyDescent="0.15">
      <c r="A514" t="s">
        <v>8618</v>
      </c>
      <c r="B514" t="s">
        <v>8784</v>
      </c>
    </row>
    <row r="515" spans="1:2" x14ac:dyDescent="0.15">
      <c r="A515" t="s">
        <v>8619</v>
      </c>
      <c r="B515" t="s">
        <v>8785</v>
      </c>
    </row>
    <row r="516" spans="1:2" x14ac:dyDescent="0.15">
      <c r="A516" t="s">
        <v>8620</v>
      </c>
      <c r="B516" t="s">
        <v>8786</v>
      </c>
    </row>
    <row r="517" spans="1:2" x14ac:dyDescent="0.15">
      <c r="A517" t="s">
        <v>8621</v>
      </c>
      <c r="B517" t="s">
        <v>8787</v>
      </c>
    </row>
    <row r="518" spans="1:2" x14ac:dyDescent="0.15">
      <c r="A518" t="s">
        <v>8622</v>
      </c>
      <c r="B518" t="s">
        <v>8788</v>
      </c>
    </row>
    <row r="519" spans="1:2" x14ac:dyDescent="0.15">
      <c r="A519" t="s">
        <v>8623</v>
      </c>
      <c r="B519" t="s">
        <v>8789</v>
      </c>
    </row>
    <row r="520" spans="1:2" x14ac:dyDescent="0.15">
      <c r="A520" t="s">
        <v>8624</v>
      </c>
      <c r="B520" t="s">
        <v>8790</v>
      </c>
    </row>
    <row r="521" spans="1:2" x14ac:dyDescent="0.15">
      <c r="A521" t="s">
        <v>8625</v>
      </c>
      <c r="B521" t="s">
        <v>8791</v>
      </c>
    </row>
    <row r="522" spans="1:2" x14ac:dyDescent="0.15">
      <c r="A522" t="s">
        <v>8626</v>
      </c>
      <c r="B522" t="s">
        <v>8792</v>
      </c>
    </row>
    <row r="523" spans="1:2" x14ac:dyDescent="0.15">
      <c r="A523" t="s">
        <v>8627</v>
      </c>
      <c r="B523" t="s">
        <v>8793</v>
      </c>
    </row>
    <row r="524" spans="1:2" x14ac:dyDescent="0.15">
      <c r="A524" t="s">
        <v>8628</v>
      </c>
      <c r="B524" t="s">
        <v>8794</v>
      </c>
    </row>
    <row r="525" spans="1:2" x14ac:dyDescent="0.15">
      <c r="A525" t="s">
        <v>8629</v>
      </c>
      <c r="B525" t="s">
        <v>8795</v>
      </c>
    </row>
    <row r="526" spans="1:2" x14ac:dyDescent="0.15">
      <c r="A526" t="s">
        <v>8630</v>
      </c>
      <c r="B526" t="s">
        <v>8796</v>
      </c>
    </row>
    <row r="527" spans="1:2" x14ac:dyDescent="0.15">
      <c r="A527" t="s">
        <v>8631</v>
      </c>
      <c r="B527" t="s">
        <v>8797</v>
      </c>
    </row>
    <row r="528" spans="1:2" x14ac:dyDescent="0.15">
      <c r="A528" t="s">
        <v>8632</v>
      </c>
      <c r="B528" t="s">
        <v>8798</v>
      </c>
    </row>
    <row r="529" spans="1:2" x14ac:dyDescent="0.15">
      <c r="A529" t="s">
        <v>8633</v>
      </c>
      <c r="B529" t="s">
        <v>8799</v>
      </c>
    </row>
    <row r="530" spans="1:2" x14ac:dyDescent="0.15">
      <c r="A530" t="s">
        <v>8634</v>
      </c>
      <c r="B530" t="s">
        <v>8800</v>
      </c>
    </row>
    <row r="531" spans="1:2" x14ac:dyDescent="0.15">
      <c r="A531" t="s">
        <v>8635</v>
      </c>
      <c r="B531" t="s">
        <v>8801</v>
      </c>
    </row>
    <row r="532" spans="1:2" x14ac:dyDescent="0.15">
      <c r="A532" t="s">
        <v>8636</v>
      </c>
      <c r="B532" t="s">
        <v>8802</v>
      </c>
    </row>
    <row r="533" spans="1:2" x14ac:dyDescent="0.15">
      <c r="A533" t="s">
        <v>8637</v>
      </c>
      <c r="B533" t="s">
        <v>8803</v>
      </c>
    </row>
    <row r="534" spans="1:2" x14ac:dyDescent="0.15">
      <c r="A534" t="s">
        <v>8638</v>
      </c>
      <c r="B534" t="s">
        <v>7417</v>
      </c>
    </row>
    <row r="535" spans="1:2" x14ac:dyDescent="0.15">
      <c r="A535" t="s">
        <v>8639</v>
      </c>
      <c r="B535" t="s">
        <v>8804</v>
      </c>
    </row>
    <row r="536" spans="1:2" x14ac:dyDescent="0.15">
      <c r="A536" t="s">
        <v>8640</v>
      </c>
      <c r="B536" t="s">
        <v>8805</v>
      </c>
    </row>
    <row r="537" spans="1:2" x14ac:dyDescent="0.15">
      <c r="A537" t="s">
        <v>8641</v>
      </c>
      <c r="B537" t="s">
        <v>8806</v>
      </c>
    </row>
    <row r="538" spans="1:2" x14ac:dyDescent="0.15">
      <c r="A538" t="s">
        <v>8642</v>
      </c>
      <c r="B538" t="s">
        <v>8807</v>
      </c>
    </row>
    <row r="539" spans="1:2" x14ac:dyDescent="0.15">
      <c r="A539" t="s">
        <v>8643</v>
      </c>
      <c r="B539" t="s">
        <v>8808</v>
      </c>
    </row>
    <row r="540" spans="1:2" x14ac:dyDescent="0.15">
      <c r="A540" t="s">
        <v>8644</v>
      </c>
      <c r="B540" t="s">
        <v>8809</v>
      </c>
    </row>
    <row r="541" spans="1:2" x14ac:dyDescent="0.15">
      <c r="A541" t="s">
        <v>8645</v>
      </c>
      <c r="B541" t="s">
        <v>8810</v>
      </c>
    </row>
    <row r="542" spans="1:2" x14ac:dyDescent="0.15">
      <c r="A542" t="s">
        <v>8646</v>
      </c>
      <c r="B542" t="s">
        <v>8811</v>
      </c>
    </row>
    <row r="543" spans="1:2" x14ac:dyDescent="0.15">
      <c r="A543" t="s">
        <v>8647</v>
      </c>
      <c r="B543" t="s">
        <v>8812</v>
      </c>
    </row>
    <row r="544" spans="1:2" x14ac:dyDescent="0.15">
      <c r="A544" t="s">
        <v>8648</v>
      </c>
      <c r="B544" t="s">
        <v>8813</v>
      </c>
    </row>
    <row r="545" spans="1:2" x14ac:dyDescent="0.15">
      <c r="A545" t="s">
        <v>8395</v>
      </c>
      <c r="B545" t="s">
        <v>8814</v>
      </c>
    </row>
    <row r="546" spans="1:2" x14ac:dyDescent="0.15">
      <c r="A546" t="s">
        <v>8396</v>
      </c>
      <c r="B546" t="s">
        <v>8815</v>
      </c>
    </row>
    <row r="547" spans="1:2" x14ac:dyDescent="0.15">
      <c r="A547" t="s">
        <v>8397</v>
      </c>
      <c r="B547" t="s">
        <v>8816</v>
      </c>
    </row>
    <row r="548" spans="1:2" x14ac:dyDescent="0.15">
      <c r="A548" t="s">
        <v>8398</v>
      </c>
      <c r="B548" t="s">
        <v>8817</v>
      </c>
    </row>
    <row r="549" spans="1:2" x14ac:dyDescent="0.15">
      <c r="A549" t="s">
        <v>8399</v>
      </c>
      <c r="B549" t="s">
        <v>8818</v>
      </c>
    </row>
    <row r="550" spans="1:2" x14ac:dyDescent="0.15">
      <c r="A550" t="s">
        <v>8400</v>
      </c>
      <c r="B550" t="s">
        <v>6370</v>
      </c>
    </row>
    <row r="551" spans="1:2" x14ac:dyDescent="0.15">
      <c r="A551" t="s">
        <v>8401</v>
      </c>
      <c r="B551" t="s">
        <v>6396</v>
      </c>
    </row>
    <row r="552" spans="1:2" x14ac:dyDescent="0.15">
      <c r="A552" t="s">
        <v>8402</v>
      </c>
      <c r="B552" t="s">
        <v>2938</v>
      </c>
    </row>
    <row r="553" spans="1:2" x14ac:dyDescent="0.15">
      <c r="A553" t="s">
        <v>8403</v>
      </c>
      <c r="B553" t="s">
        <v>6401</v>
      </c>
    </row>
    <row r="554" spans="1:2" x14ac:dyDescent="0.15">
      <c r="A554" t="s">
        <v>8404</v>
      </c>
      <c r="B554" t="s">
        <v>6404</v>
      </c>
    </row>
    <row r="555" spans="1:2" x14ac:dyDescent="0.15">
      <c r="A555" t="s">
        <v>8405</v>
      </c>
      <c r="B555" t="s">
        <v>8819</v>
      </c>
    </row>
    <row r="556" spans="1:2" x14ac:dyDescent="0.15">
      <c r="A556" t="s">
        <v>8406</v>
      </c>
      <c r="B556" t="s">
        <v>6410</v>
      </c>
    </row>
    <row r="557" spans="1:2" x14ac:dyDescent="0.15">
      <c r="A557" t="s">
        <v>8407</v>
      </c>
      <c r="B557" t="s">
        <v>8820</v>
      </c>
    </row>
    <row r="558" spans="1:2" x14ac:dyDescent="0.15">
      <c r="A558" t="s">
        <v>8408</v>
      </c>
      <c r="B558" t="s">
        <v>6414</v>
      </c>
    </row>
    <row r="559" spans="1:2" x14ac:dyDescent="0.15">
      <c r="A559" t="s">
        <v>8409</v>
      </c>
      <c r="B559" t="s">
        <v>8821</v>
      </c>
    </row>
    <row r="560" spans="1:2" x14ac:dyDescent="0.15">
      <c r="A560" t="s">
        <v>8410</v>
      </c>
      <c r="B560" t="s">
        <v>8822</v>
      </c>
    </row>
    <row r="561" spans="1:2" x14ac:dyDescent="0.15">
      <c r="A561" t="s">
        <v>8411</v>
      </c>
      <c r="B561" t="s">
        <v>6377</v>
      </c>
    </row>
    <row r="562" spans="1:2" x14ac:dyDescent="0.15">
      <c r="A562" t="s">
        <v>8412</v>
      </c>
      <c r="B562" t="s">
        <v>6380</v>
      </c>
    </row>
    <row r="563" spans="1:2" x14ac:dyDescent="0.15">
      <c r="A563" t="s">
        <v>8413</v>
      </c>
      <c r="B563" t="s">
        <v>6383</v>
      </c>
    </row>
    <row r="564" spans="1:2" x14ac:dyDescent="0.15">
      <c r="A564" t="s">
        <v>8414</v>
      </c>
      <c r="B564" t="s">
        <v>6386</v>
      </c>
    </row>
    <row r="565" spans="1:2" x14ac:dyDescent="0.15">
      <c r="A565" t="s">
        <v>8415</v>
      </c>
      <c r="B565" t="s">
        <v>6388</v>
      </c>
    </row>
    <row r="566" spans="1:2" x14ac:dyDescent="0.15">
      <c r="A566" t="s">
        <v>8416</v>
      </c>
      <c r="B566" t="s">
        <v>4587</v>
      </c>
    </row>
    <row r="567" spans="1:2" x14ac:dyDescent="0.15">
      <c r="A567" t="s">
        <v>8417</v>
      </c>
      <c r="B567" t="s">
        <v>6393</v>
      </c>
    </row>
    <row r="568" spans="1:2" x14ac:dyDescent="0.15">
      <c r="A568" t="s">
        <v>8418</v>
      </c>
      <c r="B568" t="s">
        <v>8823</v>
      </c>
    </row>
    <row r="569" spans="1:2" x14ac:dyDescent="0.15">
      <c r="A569" t="s">
        <v>8419</v>
      </c>
      <c r="B569" t="s">
        <v>3071</v>
      </c>
    </row>
    <row r="570" spans="1:2" x14ac:dyDescent="0.15">
      <c r="A570" t="s">
        <v>8420</v>
      </c>
      <c r="B570" t="s">
        <v>8824</v>
      </c>
    </row>
    <row r="571" spans="1:2" x14ac:dyDescent="0.15">
      <c r="A571" t="s">
        <v>8421</v>
      </c>
      <c r="B571" t="s">
        <v>8825</v>
      </c>
    </row>
    <row r="572" spans="1:2" x14ac:dyDescent="0.15">
      <c r="A572" t="s">
        <v>8422</v>
      </c>
      <c r="B572" t="s">
        <v>6416</v>
      </c>
    </row>
    <row r="573" spans="1:2" x14ac:dyDescent="0.15">
      <c r="A573" t="s">
        <v>8423</v>
      </c>
      <c r="B573" t="s">
        <v>6419</v>
      </c>
    </row>
    <row r="574" spans="1:2" x14ac:dyDescent="0.15">
      <c r="A574" t="s">
        <v>8424</v>
      </c>
      <c r="B574" t="s">
        <v>717</v>
      </c>
    </row>
    <row r="575" spans="1:2" x14ac:dyDescent="0.15">
      <c r="A575" t="s">
        <v>8425</v>
      </c>
      <c r="B575" t="s">
        <v>8826</v>
      </c>
    </row>
    <row r="576" spans="1:2" x14ac:dyDescent="0.15">
      <c r="A576" t="s">
        <v>8426</v>
      </c>
      <c r="B576" t="s">
        <v>8827</v>
      </c>
    </row>
    <row r="577" spans="1:2" x14ac:dyDescent="0.15">
      <c r="A577" t="s">
        <v>8427</v>
      </c>
      <c r="B577" t="s">
        <v>8828</v>
      </c>
    </row>
    <row r="578" spans="1:2" x14ac:dyDescent="0.15">
      <c r="A578" t="s">
        <v>8428</v>
      </c>
      <c r="B578" t="s">
        <v>8829</v>
      </c>
    </row>
    <row r="579" spans="1:2" x14ac:dyDescent="0.15">
      <c r="A579" t="s">
        <v>8429</v>
      </c>
      <c r="B579" t="s">
        <v>8830</v>
      </c>
    </row>
    <row r="580" spans="1:2" x14ac:dyDescent="0.15">
      <c r="A580" t="s">
        <v>8430</v>
      </c>
      <c r="B580" t="s">
        <v>8831</v>
      </c>
    </row>
    <row r="581" spans="1:2" x14ac:dyDescent="0.15">
      <c r="A581" t="s">
        <v>8431</v>
      </c>
      <c r="B581" t="s">
        <v>8832</v>
      </c>
    </row>
    <row r="582" spans="1:2" x14ac:dyDescent="0.15">
      <c r="A582" t="s">
        <v>8432</v>
      </c>
      <c r="B582" t="s">
        <v>8833</v>
      </c>
    </row>
    <row r="583" spans="1:2" x14ac:dyDescent="0.15">
      <c r="A583" t="s">
        <v>8433</v>
      </c>
      <c r="B583" t="s">
        <v>8834</v>
      </c>
    </row>
    <row r="584" spans="1:2" x14ac:dyDescent="0.15">
      <c r="A584" t="s">
        <v>8434</v>
      </c>
      <c r="B584" t="s">
        <v>8835</v>
      </c>
    </row>
    <row r="585" spans="1:2" x14ac:dyDescent="0.15">
      <c r="A585" t="s">
        <v>8435</v>
      </c>
      <c r="B585" t="s">
        <v>8836</v>
      </c>
    </row>
    <row r="586" spans="1:2" x14ac:dyDescent="0.15">
      <c r="A586" t="s">
        <v>8436</v>
      </c>
      <c r="B586" t="s">
        <v>2322</v>
      </c>
    </row>
    <row r="587" spans="1:2" x14ac:dyDescent="0.15">
      <c r="A587" t="s">
        <v>8437</v>
      </c>
      <c r="B587" t="s">
        <v>8837</v>
      </c>
    </row>
    <row r="588" spans="1:2" x14ac:dyDescent="0.15">
      <c r="A588" t="s">
        <v>8438</v>
      </c>
      <c r="B588" t="s">
        <v>8838</v>
      </c>
    </row>
    <row r="589" spans="1:2" x14ac:dyDescent="0.15">
      <c r="A589" t="s">
        <v>8439</v>
      </c>
      <c r="B589" t="s">
        <v>6430</v>
      </c>
    </row>
    <row r="590" spans="1:2" x14ac:dyDescent="0.15">
      <c r="A590" t="s">
        <v>8440</v>
      </c>
      <c r="B590" t="s">
        <v>6435</v>
      </c>
    </row>
    <row r="591" spans="1:2" x14ac:dyDescent="0.15">
      <c r="A591" t="s">
        <v>8441</v>
      </c>
      <c r="B591" t="s">
        <v>8839</v>
      </c>
    </row>
    <row r="592" spans="1:2" x14ac:dyDescent="0.15">
      <c r="A592" t="s">
        <v>8442</v>
      </c>
      <c r="B592" t="s">
        <v>6438</v>
      </c>
    </row>
    <row r="593" spans="1:2" x14ac:dyDescent="0.15">
      <c r="A593" t="s">
        <v>8443</v>
      </c>
      <c r="B593" t="s">
        <v>6445</v>
      </c>
    </row>
    <row r="594" spans="1:2" x14ac:dyDescent="0.15">
      <c r="A594" t="s">
        <v>8444</v>
      </c>
      <c r="B594" t="s">
        <v>6448</v>
      </c>
    </row>
    <row r="595" spans="1:2" x14ac:dyDescent="0.15">
      <c r="A595" t="s">
        <v>8445</v>
      </c>
      <c r="B595" t="s">
        <v>6451</v>
      </c>
    </row>
    <row r="596" spans="1:2" x14ac:dyDescent="0.15">
      <c r="A596" t="s">
        <v>8446</v>
      </c>
      <c r="B596" t="s">
        <v>6453</v>
      </c>
    </row>
    <row r="597" spans="1:2" x14ac:dyDescent="0.15">
      <c r="A597" t="s">
        <v>8447</v>
      </c>
      <c r="B597" t="s">
        <v>6455</v>
      </c>
    </row>
    <row r="598" spans="1:2" x14ac:dyDescent="0.15">
      <c r="A598" t="s">
        <v>8448</v>
      </c>
      <c r="B598" t="s">
        <v>6457</v>
      </c>
    </row>
    <row r="599" spans="1:2" x14ac:dyDescent="0.15">
      <c r="A599" t="s">
        <v>8449</v>
      </c>
      <c r="B599" t="s">
        <v>8840</v>
      </c>
    </row>
    <row r="600" spans="1:2" x14ac:dyDescent="0.15">
      <c r="A600" t="s">
        <v>8450</v>
      </c>
      <c r="B600" t="s">
        <v>6463</v>
      </c>
    </row>
    <row r="601" spans="1:2" x14ac:dyDescent="0.15">
      <c r="A601" t="s">
        <v>8451</v>
      </c>
      <c r="B601" t="s">
        <v>7325</v>
      </c>
    </row>
    <row r="602" spans="1:2" x14ac:dyDescent="0.15">
      <c r="A602" t="s">
        <v>8452</v>
      </c>
      <c r="B602" t="s">
        <v>7327</v>
      </c>
    </row>
    <row r="603" spans="1:2" x14ac:dyDescent="0.15">
      <c r="A603" t="s">
        <v>8453</v>
      </c>
      <c r="B603" t="s">
        <v>7330</v>
      </c>
    </row>
    <row r="604" spans="1:2" x14ac:dyDescent="0.15">
      <c r="A604" t="s">
        <v>8454</v>
      </c>
      <c r="B604" t="s">
        <v>3175</v>
      </c>
    </row>
    <row r="605" spans="1:2" x14ac:dyDescent="0.15">
      <c r="A605" t="s">
        <v>8455</v>
      </c>
      <c r="B605" t="s">
        <v>3176</v>
      </c>
    </row>
    <row r="606" spans="1:2" x14ac:dyDescent="0.15">
      <c r="A606" t="s">
        <v>5808</v>
      </c>
      <c r="B606" t="s">
        <v>7333</v>
      </c>
    </row>
    <row r="607" spans="1:2" x14ac:dyDescent="0.15">
      <c r="A607" t="s">
        <v>5809</v>
      </c>
      <c r="B607" t="s">
        <v>7127</v>
      </c>
    </row>
    <row r="608" spans="1:2" x14ac:dyDescent="0.15">
      <c r="A608" t="s">
        <v>5810</v>
      </c>
      <c r="B608" t="s">
        <v>6549</v>
      </c>
    </row>
    <row r="609" spans="1:2" x14ac:dyDescent="0.15">
      <c r="A609" t="s">
        <v>5811</v>
      </c>
      <c r="B609" t="s">
        <v>7143</v>
      </c>
    </row>
    <row r="610" spans="1:2" x14ac:dyDescent="0.15">
      <c r="A610" t="s">
        <v>5812</v>
      </c>
      <c r="B610" t="s">
        <v>7145</v>
      </c>
    </row>
    <row r="611" spans="1:2" x14ac:dyDescent="0.15">
      <c r="A611" t="s">
        <v>5813</v>
      </c>
      <c r="B611" t="s">
        <v>7147</v>
      </c>
    </row>
    <row r="612" spans="1:2" x14ac:dyDescent="0.15">
      <c r="A612" t="s">
        <v>5814</v>
      </c>
      <c r="B612" t="s">
        <v>7149</v>
      </c>
    </row>
    <row r="613" spans="1:2" x14ac:dyDescent="0.15">
      <c r="A613" t="s">
        <v>5815</v>
      </c>
      <c r="B613" t="s">
        <v>7151</v>
      </c>
    </row>
    <row r="614" spans="1:2" x14ac:dyDescent="0.15">
      <c r="A614" t="s">
        <v>5816</v>
      </c>
      <c r="B614" t="s">
        <v>7153</v>
      </c>
    </row>
    <row r="615" spans="1:2" x14ac:dyDescent="0.15">
      <c r="A615" t="s">
        <v>5817</v>
      </c>
      <c r="B615" t="s">
        <v>7335</v>
      </c>
    </row>
    <row r="616" spans="1:2" x14ac:dyDescent="0.15">
      <c r="A616" t="s">
        <v>5818</v>
      </c>
      <c r="B616" t="s">
        <v>7337</v>
      </c>
    </row>
    <row r="617" spans="1:2" x14ac:dyDescent="0.15">
      <c r="A617" t="s">
        <v>5819</v>
      </c>
      <c r="B617" t="s">
        <v>7339</v>
      </c>
    </row>
    <row r="618" spans="1:2" x14ac:dyDescent="0.15">
      <c r="A618" t="s">
        <v>5820</v>
      </c>
      <c r="B618" t="s">
        <v>7341</v>
      </c>
    </row>
    <row r="619" spans="1:2" x14ac:dyDescent="0.15">
      <c r="A619" t="s">
        <v>5821</v>
      </c>
      <c r="B619" t="s">
        <v>7343</v>
      </c>
    </row>
    <row r="620" spans="1:2" x14ac:dyDescent="0.15">
      <c r="A620" t="s">
        <v>5822</v>
      </c>
      <c r="B620" t="s">
        <v>7346</v>
      </c>
    </row>
    <row r="621" spans="1:2" x14ac:dyDescent="0.15">
      <c r="A621" t="s">
        <v>5823</v>
      </c>
      <c r="B621" t="s">
        <v>7348</v>
      </c>
    </row>
    <row r="622" spans="1:2" x14ac:dyDescent="0.15">
      <c r="A622" t="s">
        <v>5824</v>
      </c>
      <c r="B622" t="s">
        <v>7121</v>
      </c>
    </row>
    <row r="623" spans="1:2" x14ac:dyDescent="0.15">
      <c r="A623" t="s">
        <v>5825</v>
      </c>
      <c r="B623" t="s">
        <v>7123</v>
      </c>
    </row>
    <row r="624" spans="1:2" x14ac:dyDescent="0.15">
      <c r="A624" t="s">
        <v>5826</v>
      </c>
      <c r="B624" t="s">
        <v>7125</v>
      </c>
    </row>
    <row r="625" spans="1:2" x14ac:dyDescent="0.15">
      <c r="A625" t="s">
        <v>5827</v>
      </c>
      <c r="B625" t="s">
        <v>7130</v>
      </c>
    </row>
    <row r="626" spans="1:2" x14ac:dyDescent="0.15">
      <c r="A626" t="s">
        <v>5828</v>
      </c>
      <c r="B626" t="s">
        <v>7132</v>
      </c>
    </row>
    <row r="627" spans="1:2" x14ac:dyDescent="0.15">
      <c r="A627" t="s">
        <v>5829</v>
      </c>
      <c r="B627" t="s">
        <v>3177</v>
      </c>
    </row>
    <row r="628" spans="1:2" x14ac:dyDescent="0.15">
      <c r="A628" t="s">
        <v>5830</v>
      </c>
      <c r="B628" t="s">
        <v>7136</v>
      </c>
    </row>
    <row r="629" spans="1:2" x14ac:dyDescent="0.15">
      <c r="A629" t="s">
        <v>5831</v>
      </c>
      <c r="B629" t="s">
        <v>7138</v>
      </c>
    </row>
    <row r="630" spans="1:2" x14ac:dyDescent="0.15">
      <c r="A630" t="s">
        <v>5832</v>
      </c>
      <c r="B630" t="s">
        <v>7140</v>
      </c>
    </row>
    <row r="631" spans="1:2" x14ac:dyDescent="0.15">
      <c r="A631" t="s">
        <v>5833</v>
      </c>
      <c r="B631" t="s">
        <v>3178</v>
      </c>
    </row>
    <row r="632" spans="1:2" x14ac:dyDescent="0.15">
      <c r="A632" t="s">
        <v>5834</v>
      </c>
      <c r="B632" t="s">
        <v>3179</v>
      </c>
    </row>
    <row r="633" spans="1:2" x14ac:dyDescent="0.15">
      <c r="A633" t="s">
        <v>5835</v>
      </c>
      <c r="B633" t="s">
        <v>7416</v>
      </c>
    </row>
    <row r="634" spans="1:2" x14ac:dyDescent="0.15">
      <c r="A634" t="s">
        <v>5836</v>
      </c>
      <c r="B634" t="s">
        <v>3180</v>
      </c>
    </row>
    <row r="635" spans="1:2" x14ac:dyDescent="0.15">
      <c r="A635" t="s">
        <v>5837</v>
      </c>
      <c r="B635" t="s">
        <v>3181</v>
      </c>
    </row>
    <row r="636" spans="1:2" x14ac:dyDescent="0.15">
      <c r="A636" t="s">
        <v>5838</v>
      </c>
      <c r="B636" t="s">
        <v>3182</v>
      </c>
    </row>
    <row r="637" spans="1:2" x14ac:dyDescent="0.15">
      <c r="A637" t="s">
        <v>5839</v>
      </c>
      <c r="B637" t="s">
        <v>3183</v>
      </c>
    </row>
    <row r="638" spans="1:2" x14ac:dyDescent="0.15">
      <c r="A638" t="s">
        <v>5840</v>
      </c>
      <c r="B638" t="s">
        <v>3184</v>
      </c>
    </row>
    <row r="639" spans="1:2" x14ac:dyDescent="0.15">
      <c r="A639" t="s">
        <v>5576</v>
      </c>
      <c r="B639" t="s">
        <v>3185</v>
      </c>
    </row>
    <row r="640" spans="1:2" x14ac:dyDescent="0.15">
      <c r="A640" t="s">
        <v>5577</v>
      </c>
      <c r="B640" t="s">
        <v>3186</v>
      </c>
    </row>
    <row r="641" spans="1:2" x14ac:dyDescent="0.15">
      <c r="A641" t="s">
        <v>5578</v>
      </c>
      <c r="B641" t="s">
        <v>7155</v>
      </c>
    </row>
    <row r="642" spans="1:2" x14ac:dyDescent="0.15">
      <c r="A642" t="s">
        <v>5579</v>
      </c>
      <c r="B642" t="s">
        <v>3187</v>
      </c>
    </row>
    <row r="643" spans="1:2" x14ac:dyDescent="0.15">
      <c r="A643" t="s">
        <v>5580</v>
      </c>
      <c r="B643" t="s">
        <v>7172</v>
      </c>
    </row>
    <row r="644" spans="1:2" x14ac:dyDescent="0.15">
      <c r="A644" t="s">
        <v>5581</v>
      </c>
      <c r="B644" t="s">
        <v>7175</v>
      </c>
    </row>
    <row r="645" spans="1:2" x14ac:dyDescent="0.15">
      <c r="A645" t="s">
        <v>5582</v>
      </c>
      <c r="B645" t="s">
        <v>7177</v>
      </c>
    </row>
    <row r="646" spans="1:2" x14ac:dyDescent="0.15">
      <c r="A646" t="s">
        <v>5583</v>
      </c>
      <c r="B646" t="s">
        <v>7179</v>
      </c>
    </row>
    <row r="647" spans="1:2" x14ac:dyDescent="0.15">
      <c r="A647" t="s">
        <v>5584</v>
      </c>
      <c r="B647" t="s">
        <v>7182</v>
      </c>
    </row>
    <row r="648" spans="1:2" x14ac:dyDescent="0.15">
      <c r="A648" t="s">
        <v>5585</v>
      </c>
      <c r="B648" t="s">
        <v>7184</v>
      </c>
    </row>
    <row r="649" spans="1:2" x14ac:dyDescent="0.15">
      <c r="A649" t="s">
        <v>5586</v>
      </c>
      <c r="B649" t="s">
        <v>7187</v>
      </c>
    </row>
    <row r="650" spans="1:2" x14ac:dyDescent="0.15">
      <c r="A650" t="s">
        <v>5587</v>
      </c>
      <c r="B650" t="s">
        <v>3466</v>
      </c>
    </row>
    <row r="651" spans="1:2" x14ac:dyDescent="0.15">
      <c r="A651" t="s">
        <v>5588</v>
      </c>
      <c r="B651" t="s">
        <v>7157</v>
      </c>
    </row>
    <row r="652" spans="1:2" x14ac:dyDescent="0.15">
      <c r="A652" t="s">
        <v>5589</v>
      </c>
      <c r="B652" t="s">
        <v>7159</v>
      </c>
    </row>
    <row r="653" spans="1:2" x14ac:dyDescent="0.15">
      <c r="A653" t="s">
        <v>5590</v>
      </c>
      <c r="B653" t="s">
        <v>7161</v>
      </c>
    </row>
    <row r="654" spans="1:2" x14ac:dyDescent="0.15">
      <c r="A654" t="s">
        <v>5591</v>
      </c>
      <c r="B654" t="s">
        <v>7164</v>
      </c>
    </row>
    <row r="655" spans="1:2" x14ac:dyDescent="0.15">
      <c r="A655" t="s">
        <v>5592</v>
      </c>
      <c r="B655" t="s">
        <v>7166</v>
      </c>
    </row>
    <row r="656" spans="1:2" x14ac:dyDescent="0.15">
      <c r="A656" t="s">
        <v>5593</v>
      </c>
      <c r="B656" t="s">
        <v>7168</v>
      </c>
    </row>
    <row r="657" spans="1:2" x14ac:dyDescent="0.15">
      <c r="A657" t="s">
        <v>5594</v>
      </c>
      <c r="B657" t="s">
        <v>3188</v>
      </c>
    </row>
    <row r="658" spans="1:2" x14ac:dyDescent="0.15">
      <c r="A658" t="s">
        <v>5595</v>
      </c>
      <c r="B658" t="s">
        <v>3189</v>
      </c>
    </row>
    <row r="659" spans="1:2" x14ac:dyDescent="0.15">
      <c r="A659" t="s">
        <v>5596</v>
      </c>
      <c r="B659" t="s">
        <v>3453</v>
      </c>
    </row>
    <row r="660" spans="1:2" x14ac:dyDescent="0.15">
      <c r="A660" t="s">
        <v>5597</v>
      </c>
      <c r="B660" t="s">
        <v>3190</v>
      </c>
    </row>
    <row r="661" spans="1:2" x14ac:dyDescent="0.15">
      <c r="A661" t="s">
        <v>5598</v>
      </c>
      <c r="B661" t="s">
        <v>3191</v>
      </c>
    </row>
    <row r="662" spans="1:2" x14ac:dyDescent="0.15">
      <c r="A662" t="s">
        <v>5599</v>
      </c>
      <c r="B662" t="s">
        <v>3192</v>
      </c>
    </row>
    <row r="663" spans="1:2" x14ac:dyDescent="0.15">
      <c r="A663" t="s">
        <v>5600</v>
      </c>
      <c r="B663" t="s">
        <v>3193</v>
      </c>
    </row>
    <row r="664" spans="1:2" x14ac:dyDescent="0.15">
      <c r="A664" t="s">
        <v>5601</v>
      </c>
      <c r="B664" t="s">
        <v>3194</v>
      </c>
    </row>
    <row r="665" spans="1:2" x14ac:dyDescent="0.15">
      <c r="A665" t="s">
        <v>5602</v>
      </c>
      <c r="B665" t="s">
        <v>3195</v>
      </c>
    </row>
    <row r="666" spans="1:2" x14ac:dyDescent="0.15">
      <c r="A666" t="s">
        <v>5603</v>
      </c>
      <c r="B666" t="s">
        <v>3196</v>
      </c>
    </row>
    <row r="667" spans="1:2" x14ac:dyDescent="0.15">
      <c r="A667" t="s">
        <v>5604</v>
      </c>
      <c r="B667" t="s">
        <v>3197</v>
      </c>
    </row>
    <row r="668" spans="1:2" x14ac:dyDescent="0.15">
      <c r="A668" t="s">
        <v>5605</v>
      </c>
      <c r="B668" t="s">
        <v>7414</v>
      </c>
    </row>
    <row r="669" spans="1:2" x14ac:dyDescent="0.15">
      <c r="A669" t="s">
        <v>5606</v>
      </c>
      <c r="B669" t="s">
        <v>3198</v>
      </c>
    </row>
    <row r="670" spans="1:2" x14ac:dyDescent="0.15">
      <c r="A670" t="s">
        <v>5607</v>
      </c>
      <c r="B670" t="s">
        <v>7189</v>
      </c>
    </row>
    <row r="671" spans="1:2" x14ac:dyDescent="0.15">
      <c r="A671" t="s">
        <v>5608</v>
      </c>
      <c r="B671" t="s">
        <v>7191</v>
      </c>
    </row>
    <row r="672" spans="1:2" x14ac:dyDescent="0.15">
      <c r="A672" t="s">
        <v>5609</v>
      </c>
      <c r="B672" t="s">
        <v>7194</v>
      </c>
    </row>
    <row r="673" spans="1:2" x14ac:dyDescent="0.15">
      <c r="A673" t="s">
        <v>5610</v>
      </c>
      <c r="B673" t="s">
        <v>7197</v>
      </c>
    </row>
    <row r="674" spans="1:2" x14ac:dyDescent="0.15">
      <c r="A674" t="s">
        <v>5611</v>
      </c>
      <c r="B674" t="s">
        <v>7199</v>
      </c>
    </row>
    <row r="675" spans="1:2" x14ac:dyDescent="0.15">
      <c r="A675" t="s">
        <v>5612</v>
      </c>
      <c r="B675" t="s">
        <v>7201</v>
      </c>
    </row>
    <row r="676" spans="1:2" x14ac:dyDescent="0.15">
      <c r="A676" t="s">
        <v>5613</v>
      </c>
      <c r="B676" t="s">
        <v>7203</v>
      </c>
    </row>
    <row r="677" spans="1:2" x14ac:dyDescent="0.15">
      <c r="A677" t="s">
        <v>5614</v>
      </c>
      <c r="B677" t="s">
        <v>7205</v>
      </c>
    </row>
    <row r="678" spans="1:2" x14ac:dyDescent="0.15">
      <c r="A678" t="s">
        <v>5615</v>
      </c>
      <c r="B678" t="s">
        <v>3199</v>
      </c>
    </row>
    <row r="679" spans="1:2" x14ac:dyDescent="0.15">
      <c r="A679" t="s">
        <v>5616</v>
      </c>
      <c r="B679" t="s">
        <v>3200</v>
      </c>
    </row>
    <row r="680" spans="1:2" x14ac:dyDescent="0.15">
      <c r="A680" t="s">
        <v>5617</v>
      </c>
      <c r="B680" t="s">
        <v>3201</v>
      </c>
    </row>
    <row r="681" spans="1:2" x14ac:dyDescent="0.15">
      <c r="A681" t="s">
        <v>5618</v>
      </c>
      <c r="B681" t="s">
        <v>3202</v>
      </c>
    </row>
    <row r="682" spans="1:2" x14ac:dyDescent="0.15">
      <c r="A682" t="s">
        <v>5619</v>
      </c>
      <c r="B682" t="s">
        <v>3203</v>
      </c>
    </row>
    <row r="683" spans="1:2" x14ac:dyDescent="0.15">
      <c r="A683" t="s">
        <v>5620</v>
      </c>
      <c r="B683" t="s">
        <v>2919</v>
      </c>
    </row>
    <row r="684" spans="1:2" x14ac:dyDescent="0.15">
      <c r="A684" t="s">
        <v>5621</v>
      </c>
      <c r="B684" t="s">
        <v>2920</v>
      </c>
    </row>
    <row r="685" spans="1:2" x14ac:dyDescent="0.15">
      <c r="A685" t="s">
        <v>5622</v>
      </c>
      <c r="B685" t="s">
        <v>2921</v>
      </c>
    </row>
    <row r="686" spans="1:2" x14ac:dyDescent="0.15">
      <c r="A686" t="s">
        <v>5623</v>
      </c>
      <c r="B686" t="s">
        <v>2922</v>
      </c>
    </row>
    <row r="687" spans="1:2" x14ac:dyDescent="0.15">
      <c r="A687" t="s">
        <v>5624</v>
      </c>
      <c r="B687" t="s">
        <v>2923</v>
      </c>
    </row>
    <row r="688" spans="1:2" x14ac:dyDescent="0.15">
      <c r="A688" t="s">
        <v>5625</v>
      </c>
      <c r="B688" t="s">
        <v>6987</v>
      </c>
    </row>
    <row r="689" spans="1:2" x14ac:dyDescent="0.15">
      <c r="A689" t="s">
        <v>5626</v>
      </c>
      <c r="B689" t="s">
        <v>2103</v>
      </c>
    </row>
    <row r="690" spans="1:2" x14ac:dyDescent="0.15">
      <c r="A690" t="s">
        <v>5627</v>
      </c>
      <c r="B690" t="s">
        <v>2104</v>
      </c>
    </row>
    <row r="691" spans="1:2" x14ac:dyDescent="0.15">
      <c r="A691" t="s">
        <v>5628</v>
      </c>
      <c r="B691" t="s">
        <v>2105</v>
      </c>
    </row>
    <row r="692" spans="1:2" x14ac:dyDescent="0.15">
      <c r="A692" t="s">
        <v>5629</v>
      </c>
      <c r="B692" t="s">
        <v>7210</v>
      </c>
    </row>
    <row r="693" spans="1:2" x14ac:dyDescent="0.15">
      <c r="A693" t="s">
        <v>5630</v>
      </c>
      <c r="B693" t="s">
        <v>7213</v>
      </c>
    </row>
    <row r="694" spans="1:2" x14ac:dyDescent="0.15">
      <c r="A694" t="s">
        <v>5631</v>
      </c>
      <c r="B694" t="s">
        <v>7216</v>
      </c>
    </row>
    <row r="695" spans="1:2" x14ac:dyDescent="0.15">
      <c r="A695" t="s">
        <v>5632</v>
      </c>
      <c r="B695" t="s">
        <v>7219</v>
      </c>
    </row>
    <row r="696" spans="1:2" x14ac:dyDescent="0.15">
      <c r="A696" t="s">
        <v>5633</v>
      </c>
      <c r="B696" t="s">
        <v>7221</v>
      </c>
    </row>
    <row r="697" spans="1:2" x14ac:dyDescent="0.15">
      <c r="A697" t="s">
        <v>5634</v>
      </c>
      <c r="B697" t="s">
        <v>7224</v>
      </c>
    </row>
    <row r="698" spans="1:2" x14ac:dyDescent="0.15">
      <c r="A698" t="s">
        <v>5635</v>
      </c>
      <c r="B698" t="s">
        <v>7226</v>
      </c>
    </row>
    <row r="699" spans="1:2" x14ac:dyDescent="0.15">
      <c r="A699" t="s">
        <v>5636</v>
      </c>
      <c r="B699" t="s">
        <v>2106</v>
      </c>
    </row>
    <row r="700" spans="1:2" x14ac:dyDescent="0.15">
      <c r="A700" t="s">
        <v>5637</v>
      </c>
      <c r="B700" t="s">
        <v>2107</v>
      </c>
    </row>
    <row r="701" spans="1:2" x14ac:dyDescent="0.15">
      <c r="A701" t="s">
        <v>5638</v>
      </c>
      <c r="B701" t="s">
        <v>7228</v>
      </c>
    </row>
    <row r="702" spans="1:2" x14ac:dyDescent="0.15">
      <c r="A702" t="s">
        <v>5639</v>
      </c>
      <c r="B702" t="s">
        <v>7230</v>
      </c>
    </row>
    <row r="703" spans="1:2" x14ac:dyDescent="0.15">
      <c r="A703" t="s">
        <v>5640</v>
      </c>
      <c r="B703" t="s">
        <v>7233</v>
      </c>
    </row>
    <row r="704" spans="1:2" x14ac:dyDescent="0.15">
      <c r="A704" t="s">
        <v>5641</v>
      </c>
      <c r="B704" t="s">
        <v>7235</v>
      </c>
    </row>
    <row r="705" spans="1:2" x14ac:dyDescent="0.15">
      <c r="A705" t="s">
        <v>5642</v>
      </c>
      <c r="B705" t="s">
        <v>7238</v>
      </c>
    </row>
    <row r="706" spans="1:2" x14ac:dyDescent="0.15">
      <c r="A706" t="s">
        <v>5643</v>
      </c>
      <c r="B706" t="s">
        <v>2108</v>
      </c>
    </row>
    <row r="707" spans="1:2" x14ac:dyDescent="0.15">
      <c r="A707" t="s">
        <v>5644</v>
      </c>
      <c r="B707" t="s">
        <v>2109</v>
      </c>
    </row>
    <row r="708" spans="1:2" x14ac:dyDescent="0.15">
      <c r="A708" t="s">
        <v>5645</v>
      </c>
      <c r="B708" t="s">
        <v>7241</v>
      </c>
    </row>
    <row r="709" spans="1:2" x14ac:dyDescent="0.15">
      <c r="A709" t="s">
        <v>5646</v>
      </c>
      <c r="B709" t="s">
        <v>7022</v>
      </c>
    </row>
    <row r="710" spans="1:2" x14ac:dyDescent="0.15">
      <c r="A710" t="s">
        <v>5647</v>
      </c>
      <c r="B710" t="s">
        <v>7029</v>
      </c>
    </row>
    <row r="711" spans="1:2" x14ac:dyDescent="0.15">
      <c r="A711" t="s">
        <v>5648</v>
      </c>
      <c r="B711" t="s">
        <v>7031</v>
      </c>
    </row>
    <row r="712" spans="1:2" x14ac:dyDescent="0.15">
      <c r="A712" t="s">
        <v>5649</v>
      </c>
      <c r="B712" t="s">
        <v>7033</v>
      </c>
    </row>
    <row r="713" spans="1:2" x14ac:dyDescent="0.15">
      <c r="A713" t="s">
        <v>5650</v>
      </c>
      <c r="B713" t="s">
        <v>6982</v>
      </c>
    </row>
    <row r="714" spans="1:2" x14ac:dyDescent="0.15">
      <c r="A714" t="s">
        <v>5651</v>
      </c>
      <c r="B714" t="s">
        <v>8338</v>
      </c>
    </row>
    <row r="715" spans="1:2" x14ac:dyDescent="0.15">
      <c r="A715" t="s">
        <v>5652</v>
      </c>
      <c r="B715" t="s">
        <v>7039</v>
      </c>
    </row>
    <row r="716" spans="1:2" x14ac:dyDescent="0.15">
      <c r="A716" t="s">
        <v>5653</v>
      </c>
      <c r="B716" t="s">
        <v>7041</v>
      </c>
    </row>
    <row r="717" spans="1:2" x14ac:dyDescent="0.15">
      <c r="A717" t="s">
        <v>5654</v>
      </c>
      <c r="B717" t="s">
        <v>7244</v>
      </c>
    </row>
    <row r="718" spans="1:2" x14ac:dyDescent="0.15">
      <c r="A718" t="s">
        <v>5655</v>
      </c>
      <c r="B718" t="s">
        <v>7003</v>
      </c>
    </row>
    <row r="719" spans="1:2" x14ac:dyDescent="0.15">
      <c r="A719" t="s">
        <v>5656</v>
      </c>
      <c r="B719" t="s">
        <v>7005</v>
      </c>
    </row>
    <row r="720" spans="1:2" x14ac:dyDescent="0.15">
      <c r="A720" t="s">
        <v>5657</v>
      </c>
      <c r="B720" t="s">
        <v>7008</v>
      </c>
    </row>
    <row r="721" spans="1:2" x14ac:dyDescent="0.15">
      <c r="A721" t="s">
        <v>5658</v>
      </c>
      <c r="B721" t="s">
        <v>2110</v>
      </c>
    </row>
    <row r="722" spans="1:2" x14ac:dyDescent="0.15">
      <c r="A722" t="s">
        <v>5659</v>
      </c>
      <c r="B722" t="s">
        <v>7012</v>
      </c>
    </row>
    <row r="723" spans="1:2" x14ac:dyDescent="0.15">
      <c r="A723" t="s">
        <v>5660</v>
      </c>
      <c r="B723" t="s">
        <v>7014</v>
      </c>
    </row>
    <row r="724" spans="1:2" x14ac:dyDescent="0.15">
      <c r="A724" t="s">
        <v>5661</v>
      </c>
      <c r="B724" t="s">
        <v>7016</v>
      </c>
    </row>
    <row r="725" spans="1:2" x14ac:dyDescent="0.15">
      <c r="A725" t="s">
        <v>5662</v>
      </c>
      <c r="B725" t="s">
        <v>7018</v>
      </c>
    </row>
    <row r="726" spans="1:2" x14ac:dyDescent="0.15">
      <c r="A726" t="s">
        <v>5663</v>
      </c>
      <c r="B726" t="s">
        <v>7020</v>
      </c>
    </row>
    <row r="727" spans="1:2" x14ac:dyDescent="0.15">
      <c r="A727" t="s">
        <v>5664</v>
      </c>
      <c r="B727" t="s">
        <v>7025</v>
      </c>
    </row>
    <row r="728" spans="1:2" x14ac:dyDescent="0.15">
      <c r="A728" t="s">
        <v>5665</v>
      </c>
      <c r="B728" t="s">
        <v>7027</v>
      </c>
    </row>
    <row r="729" spans="1:2" x14ac:dyDescent="0.15">
      <c r="A729" t="s">
        <v>5666</v>
      </c>
      <c r="B729" t="s">
        <v>2111</v>
      </c>
    </row>
    <row r="730" spans="1:2" x14ac:dyDescent="0.15">
      <c r="A730" t="s">
        <v>5667</v>
      </c>
      <c r="B730" t="s">
        <v>2112</v>
      </c>
    </row>
    <row r="731" spans="1:2" x14ac:dyDescent="0.15">
      <c r="A731" t="s">
        <v>5668</v>
      </c>
      <c r="B731" t="s">
        <v>7012</v>
      </c>
    </row>
    <row r="732" spans="1:2" x14ac:dyDescent="0.15">
      <c r="A732" t="s">
        <v>5669</v>
      </c>
      <c r="B732" t="s">
        <v>2113</v>
      </c>
    </row>
    <row r="733" spans="1:2" x14ac:dyDescent="0.15">
      <c r="A733" t="s">
        <v>5670</v>
      </c>
      <c r="B733" t="s">
        <v>2114</v>
      </c>
    </row>
    <row r="734" spans="1:2" x14ac:dyDescent="0.15">
      <c r="A734" t="s">
        <v>5671</v>
      </c>
      <c r="B734" t="s">
        <v>2115</v>
      </c>
    </row>
    <row r="735" spans="1:2" x14ac:dyDescent="0.15">
      <c r="A735" t="s">
        <v>5672</v>
      </c>
      <c r="B735" t="s">
        <v>7420</v>
      </c>
    </row>
    <row r="736" spans="1:2" x14ac:dyDescent="0.15">
      <c r="A736" t="s">
        <v>5673</v>
      </c>
      <c r="B736" t="s">
        <v>2116</v>
      </c>
    </row>
    <row r="737" spans="1:2" x14ac:dyDescent="0.15">
      <c r="A737" t="s">
        <v>5674</v>
      </c>
      <c r="B737" t="s">
        <v>2117</v>
      </c>
    </row>
    <row r="738" spans="1:2" x14ac:dyDescent="0.15">
      <c r="A738" t="s">
        <v>5675</v>
      </c>
      <c r="B738" t="s">
        <v>2118</v>
      </c>
    </row>
    <row r="739" spans="1:2" x14ac:dyDescent="0.15">
      <c r="A739" t="s">
        <v>5676</v>
      </c>
      <c r="B739" t="s">
        <v>7043</v>
      </c>
    </row>
    <row r="740" spans="1:2" x14ac:dyDescent="0.15">
      <c r="A740" t="s">
        <v>5677</v>
      </c>
      <c r="B740" t="s">
        <v>7066</v>
      </c>
    </row>
    <row r="741" spans="1:2" x14ac:dyDescent="0.15">
      <c r="A741" t="s">
        <v>5678</v>
      </c>
      <c r="B741" t="s">
        <v>7072</v>
      </c>
    </row>
    <row r="742" spans="1:2" x14ac:dyDescent="0.15">
      <c r="A742" t="s">
        <v>5679</v>
      </c>
      <c r="B742" t="s">
        <v>7075</v>
      </c>
    </row>
    <row r="743" spans="1:2" x14ac:dyDescent="0.15">
      <c r="A743" t="s">
        <v>5680</v>
      </c>
      <c r="B743" t="s">
        <v>3458</v>
      </c>
    </row>
    <row r="744" spans="1:2" x14ac:dyDescent="0.15">
      <c r="A744" t="s">
        <v>5681</v>
      </c>
      <c r="B744" t="s">
        <v>3460</v>
      </c>
    </row>
    <row r="745" spans="1:2" x14ac:dyDescent="0.15">
      <c r="A745" t="s">
        <v>5682</v>
      </c>
      <c r="B745" t="s">
        <v>3462</v>
      </c>
    </row>
    <row r="746" spans="1:2" x14ac:dyDescent="0.15">
      <c r="A746" t="s">
        <v>5683</v>
      </c>
      <c r="B746" t="s">
        <v>3464</v>
      </c>
    </row>
    <row r="747" spans="1:2" x14ac:dyDescent="0.15">
      <c r="A747" t="s">
        <v>5684</v>
      </c>
      <c r="B747" t="s">
        <v>2119</v>
      </c>
    </row>
    <row r="748" spans="1:2" x14ac:dyDescent="0.15">
      <c r="A748" t="s">
        <v>5685</v>
      </c>
      <c r="B748" t="s">
        <v>7046</v>
      </c>
    </row>
    <row r="749" spans="1:2" x14ac:dyDescent="0.15">
      <c r="A749" t="s">
        <v>5686</v>
      </c>
      <c r="B749" t="s">
        <v>7048</v>
      </c>
    </row>
    <row r="750" spans="1:2" x14ac:dyDescent="0.15">
      <c r="A750" t="s">
        <v>5687</v>
      </c>
      <c r="B750" t="s">
        <v>7050</v>
      </c>
    </row>
    <row r="751" spans="1:2" x14ac:dyDescent="0.15">
      <c r="A751" t="s">
        <v>5688</v>
      </c>
      <c r="B751" t="s">
        <v>7052</v>
      </c>
    </row>
    <row r="752" spans="1:2" x14ac:dyDescent="0.15">
      <c r="A752" t="s">
        <v>5689</v>
      </c>
      <c r="B752" t="s">
        <v>7054</v>
      </c>
    </row>
    <row r="753" spans="1:2" x14ac:dyDescent="0.15">
      <c r="A753" t="s">
        <v>5690</v>
      </c>
      <c r="B753" t="s">
        <v>7056</v>
      </c>
    </row>
    <row r="754" spans="1:2" x14ac:dyDescent="0.15">
      <c r="A754" t="s">
        <v>5691</v>
      </c>
      <c r="B754" t="s">
        <v>7058</v>
      </c>
    </row>
    <row r="755" spans="1:2" x14ac:dyDescent="0.15">
      <c r="A755" t="s">
        <v>5692</v>
      </c>
      <c r="B755" t="s">
        <v>7060</v>
      </c>
    </row>
    <row r="756" spans="1:2" x14ac:dyDescent="0.15">
      <c r="A756" t="s">
        <v>5693</v>
      </c>
      <c r="B756" t="s">
        <v>7062</v>
      </c>
    </row>
    <row r="757" spans="1:2" x14ac:dyDescent="0.15">
      <c r="A757" t="s">
        <v>5694</v>
      </c>
      <c r="B757" t="s">
        <v>7064</v>
      </c>
    </row>
    <row r="758" spans="1:2" x14ac:dyDescent="0.15">
      <c r="A758" t="s">
        <v>5695</v>
      </c>
      <c r="B758" t="s">
        <v>7068</v>
      </c>
    </row>
    <row r="759" spans="1:2" x14ac:dyDescent="0.15">
      <c r="A759" t="s">
        <v>5696</v>
      </c>
      <c r="B759" t="s">
        <v>7070</v>
      </c>
    </row>
    <row r="760" spans="1:2" x14ac:dyDescent="0.15">
      <c r="A760" t="s">
        <v>5697</v>
      </c>
      <c r="B760" t="s">
        <v>3194</v>
      </c>
    </row>
    <row r="761" spans="1:2" x14ac:dyDescent="0.15">
      <c r="A761" t="s">
        <v>5698</v>
      </c>
      <c r="B761" t="s">
        <v>2120</v>
      </c>
    </row>
    <row r="762" spans="1:2" x14ac:dyDescent="0.15">
      <c r="A762" t="s">
        <v>5699</v>
      </c>
      <c r="B762" t="s">
        <v>2121</v>
      </c>
    </row>
    <row r="763" spans="1:2" x14ac:dyDescent="0.15">
      <c r="A763" t="s">
        <v>5700</v>
      </c>
      <c r="B763" t="s">
        <v>1852</v>
      </c>
    </row>
    <row r="764" spans="1:2" x14ac:dyDescent="0.15">
      <c r="A764" t="s">
        <v>5701</v>
      </c>
      <c r="B764" t="s">
        <v>1853</v>
      </c>
    </row>
    <row r="765" spans="1:2" x14ac:dyDescent="0.15">
      <c r="A765" t="s">
        <v>5702</v>
      </c>
      <c r="B765" t="s">
        <v>4587</v>
      </c>
    </row>
    <row r="766" spans="1:2" x14ac:dyDescent="0.15">
      <c r="A766" t="s">
        <v>5703</v>
      </c>
      <c r="B766" t="s">
        <v>1122</v>
      </c>
    </row>
    <row r="767" spans="1:2" x14ac:dyDescent="0.15">
      <c r="A767" t="s">
        <v>5704</v>
      </c>
      <c r="B767" t="s">
        <v>1854</v>
      </c>
    </row>
    <row r="768" spans="1:2" x14ac:dyDescent="0.15">
      <c r="A768" t="s">
        <v>5705</v>
      </c>
      <c r="B768" t="s">
        <v>1855</v>
      </c>
    </row>
    <row r="769" spans="1:2" x14ac:dyDescent="0.15">
      <c r="A769" t="s">
        <v>5706</v>
      </c>
      <c r="B769" t="s">
        <v>8880</v>
      </c>
    </row>
    <row r="770" spans="1:2" x14ac:dyDescent="0.15">
      <c r="A770" t="s">
        <v>5707</v>
      </c>
      <c r="B770" t="s">
        <v>1856</v>
      </c>
    </row>
    <row r="771" spans="1:2" x14ac:dyDescent="0.15">
      <c r="A771" t="s">
        <v>5708</v>
      </c>
      <c r="B771" t="s">
        <v>3468</v>
      </c>
    </row>
    <row r="772" spans="1:2" x14ac:dyDescent="0.15">
      <c r="A772" t="s">
        <v>5709</v>
      </c>
      <c r="B772" t="s">
        <v>3204</v>
      </c>
    </row>
    <row r="773" spans="1:2" x14ac:dyDescent="0.15">
      <c r="A773" t="s">
        <v>5710</v>
      </c>
      <c r="B773" t="s">
        <v>3207</v>
      </c>
    </row>
    <row r="774" spans="1:2" x14ac:dyDescent="0.15">
      <c r="A774" t="s">
        <v>5711</v>
      </c>
      <c r="B774" t="s">
        <v>3210</v>
      </c>
    </row>
    <row r="775" spans="1:2" x14ac:dyDescent="0.15">
      <c r="A775" t="s">
        <v>5712</v>
      </c>
      <c r="B775" t="s">
        <v>3212</v>
      </c>
    </row>
    <row r="776" spans="1:2" x14ac:dyDescent="0.15">
      <c r="A776" t="s">
        <v>5713</v>
      </c>
      <c r="B776" t="s">
        <v>3214</v>
      </c>
    </row>
    <row r="777" spans="1:2" x14ac:dyDescent="0.15">
      <c r="A777" t="s">
        <v>5714</v>
      </c>
      <c r="B777" t="s">
        <v>3217</v>
      </c>
    </row>
    <row r="778" spans="1:2" x14ac:dyDescent="0.15">
      <c r="A778" t="s">
        <v>5715</v>
      </c>
      <c r="B778" t="s">
        <v>3219</v>
      </c>
    </row>
    <row r="779" spans="1:2" x14ac:dyDescent="0.15">
      <c r="A779" t="s">
        <v>5716</v>
      </c>
      <c r="B779" t="s">
        <v>3223</v>
      </c>
    </row>
    <row r="780" spans="1:2" x14ac:dyDescent="0.15">
      <c r="A780" t="s">
        <v>5717</v>
      </c>
      <c r="B780" t="s">
        <v>3471</v>
      </c>
    </row>
    <row r="781" spans="1:2" x14ac:dyDescent="0.15">
      <c r="A781" t="s">
        <v>5718</v>
      </c>
      <c r="B781" t="s">
        <v>3473</v>
      </c>
    </row>
    <row r="782" spans="1:2" x14ac:dyDescent="0.15">
      <c r="A782" t="s">
        <v>5719</v>
      </c>
      <c r="B782" t="s">
        <v>3475</v>
      </c>
    </row>
    <row r="783" spans="1:2" x14ac:dyDescent="0.15">
      <c r="A783" t="s">
        <v>5720</v>
      </c>
      <c r="B783" t="s">
        <v>1857</v>
      </c>
    </row>
    <row r="784" spans="1:2" x14ac:dyDescent="0.15">
      <c r="A784" t="s">
        <v>5721</v>
      </c>
      <c r="B784" t="s">
        <v>7339</v>
      </c>
    </row>
    <row r="785" spans="1:2" x14ac:dyDescent="0.15">
      <c r="A785" t="s">
        <v>5722</v>
      </c>
      <c r="B785" t="s">
        <v>1858</v>
      </c>
    </row>
    <row r="786" spans="1:2" x14ac:dyDescent="0.15">
      <c r="A786" t="s">
        <v>5723</v>
      </c>
      <c r="B786" t="s">
        <v>6842</v>
      </c>
    </row>
    <row r="787" spans="1:2" x14ac:dyDescent="0.15">
      <c r="A787" t="s">
        <v>5724</v>
      </c>
      <c r="B787" t="s">
        <v>1859</v>
      </c>
    </row>
    <row r="788" spans="1:2" x14ac:dyDescent="0.15">
      <c r="A788" t="s">
        <v>5725</v>
      </c>
      <c r="B788" t="s">
        <v>1860</v>
      </c>
    </row>
    <row r="789" spans="1:2" x14ac:dyDescent="0.15">
      <c r="A789" t="s">
        <v>5426</v>
      </c>
      <c r="B789" t="s">
        <v>1861</v>
      </c>
    </row>
    <row r="790" spans="1:2" x14ac:dyDescent="0.15">
      <c r="A790" t="s">
        <v>5427</v>
      </c>
      <c r="B790" t="s">
        <v>7411</v>
      </c>
    </row>
    <row r="791" spans="1:2" x14ac:dyDescent="0.15">
      <c r="A791" t="s">
        <v>5428</v>
      </c>
      <c r="B791" t="s">
        <v>1862</v>
      </c>
    </row>
    <row r="792" spans="1:2" x14ac:dyDescent="0.15">
      <c r="A792" t="s">
        <v>5429</v>
      </c>
      <c r="B792" t="s">
        <v>1863</v>
      </c>
    </row>
    <row r="793" spans="1:2" x14ac:dyDescent="0.15">
      <c r="A793" t="s">
        <v>5430</v>
      </c>
      <c r="B793" t="s">
        <v>1864</v>
      </c>
    </row>
    <row r="794" spans="1:2" x14ac:dyDescent="0.15">
      <c r="A794" t="s">
        <v>5431</v>
      </c>
      <c r="B794" t="s">
        <v>1865</v>
      </c>
    </row>
    <row r="795" spans="1:2" x14ac:dyDescent="0.15">
      <c r="A795" t="s">
        <v>5432</v>
      </c>
      <c r="B795" t="s">
        <v>1866</v>
      </c>
    </row>
    <row r="796" spans="1:2" x14ac:dyDescent="0.15">
      <c r="A796" t="s">
        <v>5433</v>
      </c>
      <c r="B796" t="s">
        <v>3225</v>
      </c>
    </row>
    <row r="797" spans="1:2" x14ac:dyDescent="0.15">
      <c r="A797" t="s">
        <v>5434</v>
      </c>
      <c r="B797" t="s">
        <v>3227</v>
      </c>
    </row>
    <row r="798" spans="1:2" x14ac:dyDescent="0.15">
      <c r="A798" t="s">
        <v>5435</v>
      </c>
      <c r="B798" t="s">
        <v>1867</v>
      </c>
    </row>
    <row r="799" spans="1:2" x14ac:dyDescent="0.15">
      <c r="A799" t="s">
        <v>5436</v>
      </c>
      <c r="B799" t="s">
        <v>1868</v>
      </c>
    </row>
    <row r="800" spans="1:2" x14ac:dyDescent="0.15">
      <c r="A800" t="s">
        <v>5437</v>
      </c>
      <c r="B800" t="s">
        <v>1869</v>
      </c>
    </row>
    <row r="801" spans="1:2" x14ac:dyDescent="0.15">
      <c r="A801" t="s">
        <v>5438</v>
      </c>
      <c r="B801" t="s">
        <v>1870</v>
      </c>
    </row>
    <row r="802" spans="1:2" x14ac:dyDescent="0.15">
      <c r="A802" t="s">
        <v>5439</v>
      </c>
      <c r="B802" t="s">
        <v>1871</v>
      </c>
    </row>
    <row r="803" spans="1:2" x14ac:dyDescent="0.15">
      <c r="A803" t="s">
        <v>5440</v>
      </c>
      <c r="B803" t="s">
        <v>1872</v>
      </c>
    </row>
    <row r="804" spans="1:2" x14ac:dyDescent="0.15">
      <c r="A804" t="s">
        <v>5441</v>
      </c>
      <c r="B804" t="s">
        <v>1873</v>
      </c>
    </row>
    <row r="805" spans="1:2" x14ac:dyDescent="0.15">
      <c r="A805" t="s">
        <v>5442</v>
      </c>
      <c r="B805" t="s">
        <v>1874</v>
      </c>
    </row>
    <row r="806" spans="1:2" x14ac:dyDescent="0.15">
      <c r="A806" t="s">
        <v>5443</v>
      </c>
      <c r="B806" t="s">
        <v>1875</v>
      </c>
    </row>
    <row r="807" spans="1:2" x14ac:dyDescent="0.15">
      <c r="A807" t="s">
        <v>5444</v>
      </c>
      <c r="B807" t="s">
        <v>1876</v>
      </c>
    </row>
    <row r="808" spans="1:2" x14ac:dyDescent="0.15">
      <c r="A808" t="s">
        <v>5445</v>
      </c>
      <c r="B808" t="s">
        <v>1877</v>
      </c>
    </row>
    <row r="809" spans="1:2" x14ac:dyDescent="0.15">
      <c r="A809" t="s">
        <v>5446</v>
      </c>
      <c r="B809" t="s">
        <v>5851</v>
      </c>
    </row>
    <row r="810" spans="1:2" x14ac:dyDescent="0.15">
      <c r="A810" t="s">
        <v>5447</v>
      </c>
      <c r="B810" t="s">
        <v>5852</v>
      </c>
    </row>
    <row r="811" spans="1:2" x14ac:dyDescent="0.15">
      <c r="A811" t="s">
        <v>5448</v>
      </c>
      <c r="B811" t="s">
        <v>5853</v>
      </c>
    </row>
    <row r="812" spans="1:2" x14ac:dyDescent="0.15">
      <c r="A812" t="s">
        <v>5449</v>
      </c>
      <c r="B812" t="s">
        <v>6059</v>
      </c>
    </row>
    <row r="813" spans="1:2" x14ac:dyDescent="0.15">
      <c r="A813" t="s">
        <v>5450</v>
      </c>
      <c r="B813" t="s">
        <v>3232</v>
      </c>
    </row>
    <row r="814" spans="1:2" x14ac:dyDescent="0.15">
      <c r="A814" t="s">
        <v>5451</v>
      </c>
      <c r="B814" t="s">
        <v>5854</v>
      </c>
    </row>
    <row r="815" spans="1:2" x14ac:dyDescent="0.15">
      <c r="A815" t="s">
        <v>5452</v>
      </c>
      <c r="B815" t="s">
        <v>2966</v>
      </c>
    </row>
    <row r="816" spans="1:2" x14ac:dyDescent="0.15">
      <c r="A816" t="s">
        <v>5453</v>
      </c>
      <c r="B816" t="s">
        <v>5855</v>
      </c>
    </row>
    <row r="817" spans="1:2" x14ac:dyDescent="0.15">
      <c r="A817" t="s">
        <v>5454</v>
      </c>
      <c r="B817" t="s">
        <v>5856</v>
      </c>
    </row>
    <row r="818" spans="1:2" x14ac:dyDescent="0.15">
      <c r="A818" t="s">
        <v>5455</v>
      </c>
      <c r="B818" t="s">
        <v>5857</v>
      </c>
    </row>
    <row r="819" spans="1:2" x14ac:dyDescent="0.15">
      <c r="A819" t="s">
        <v>5456</v>
      </c>
      <c r="B819" t="s">
        <v>3234</v>
      </c>
    </row>
    <row r="820" spans="1:2" x14ac:dyDescent="0.15">
      <c r="A820" t="s">
        <v>5457</v>
      </c>
      <c r="B820" t="s">
        <v>5858</v>
      </c>
    </row>
    <row r="821" spans="1:2" x14ac:dyDescent="0.15">
      <c r="A821" t="s">
        <v>5458</v>
      </c>
      <c r="B821" t="s">
        <v>5859</v>
      </c>
    </row>
    <row r="822" spans="1:2" x14ac:dyDescent="0.15">
      <c r="A822" t="s">
        <v>5459</v>
      </c>
      <c r="B822" t="s">
        <v>5860</v>
      </c>
    </row>
    <row r="823" spans="1:2" x14ac:dyDescent="0.15">
      <c r="A823" t="s">
        <v>7770</v>
      </c>
      <c r="B823" t="s">
        <v>7770</v>
      </c>
    </row>
    <row r="824" spans="1:2" x14ac:dyDescent="0.15">
      <c r="A824" t="s">
        <v>5460</v>
      </c>
      <c r="B824" t="s">
        <v>5861</v>
      </c>
    </row>
    <row r="825" spans="1:2" x14ac:dyDescent="0.15">
      <c r="A825" t="s">
        <v>5461</v>
      </c>
      <c r="B825" t="s">
        <v>7339</v>
      </c>
    </row>
    <row r="826" spans="1:2" x14ac:dyDescent="0.15">
      <c r="A826" t="s">
        <v>5462</v>
      </c>
      <c r="B826" t="s">
        <v>5862</v>
      </c>
    </row>
    <row r="827" spans="1:2" x14ac:dyDescent="0.15">
      <c r="A827" t="s">
        <v>5463</v>
      </c>
      <c r="B827" t="s">
        <v>5863</v>
      </c>
    </row>
    <row r="828" spans="1:2" x14ac:dyDescent="0.15">
      <c r="A828" t="s">
        <v>5464</v>
      </c>
      <c r="B828" t="s">
        <v>1122</v>
      </c>
    </row>
    <row r="829" spans="1:2" x14ac:dyDescent="0.15">
      <c r="A829" t="s">
        <v>5465</v>
      </c>
      <c r="B829" t="s">
        <v>3237</v>
      </c>
    </row>
    <row r="830" spans="1:2" x14ac:dyDescent="0.15">
      <c r="A830" t="s">
        <v>5466</v>
      </c>
      <c r="B830" t="s">
        <v>3240</v>
      </c>
    </row>
    <row r="831" spans="1:2" x14ac:dyDescent="0.15">
      <c r="A831" t="s">
        <v>5467</v>
      </c>
      <c r="B831" t="s">
        <v>3242</v>
      </c>
    </row>
    <row r="832" spans="1:2" x14ac:dyDescent="0.15">
      <c r="A832" t="s">
        <v>5468</v>
      </c>
      <c r="B832" t="s">
        <v>3244</v>
      </c>
    </row>
    <row r="833" spans="1:2" x14ac:dyDescent="0.15">
      <c r="A833" t="s">
        <v>5469</v>
      </c>
      <c r="B833" t="s">
        <v>4806</v>
      </c>
    </row>
    <row r="834" spans="1:2" x14ac:dyDescent="0.15">
      <c r="A834" t="s">
        <v>5470</v>
      </c>
      <c r="B834" t="s">
        <v>3247</v>
      </c>
    </row>
    <row r="835" spans="1:2" x14ac:dyDescent="0.15">
      <c r="A835" t="s">
        <v>5471</v>
      </c>
      <c r="B835" t="s">
        <v>3250</v>
      </c>
    </row>
    <row r="836" spans="1:2" x14ac:dyDescent="0.15">
      <c r="A836" t="s">
        <v>5472</v>
      </c>
      <c r="B836" t="s">
        <v>5864</v>
      </c>
    </row>
    <row r="837" spans="1:2" x14ac:dyDescent="0.15">
      <c r="A837" t="s">
        <v>5473</v>
      </c>
      <c r="B837" t="s">
        <v>5865</v>
      </c>
    </row>
    <row r="838" spans="1:2" x14ac:dyDescent="0.15">
      <c r="A838" t="s">
        <v>5474</v>
      </c>
      <c r="B838" t="s">
        <v>5866</v>
      </c>
    </row>
    <row r="839" spans="1:2" x14ac:dyDescent="0.15">
      <c r="A839" t="s">
        <v>5475</v>
      </c>
      <c r="B839" t="s">
        <v>5867</v>
      </c>
    </row>
    <row r="840" spans="1:2" x14ac:dyDescent="0.15">
      <c r="A840" t="s">
        <v>5476</v>
      </c>
      <c r="B840" t="s">
        <v>5868</v>
      </c>
    </row>
    <row r="841" spans="1:2" x14ac:dyDescent="0.15">
      <c r="A841" t="s">
        <v>5477</v>
      </c>
      <c r="B841" t="s">
        <v>5869</v>
      </c>
    </row>
    <row r="842" spans="1:2" x14ac:dyDescent="0.15">
      <c r="A842" t="s">
        <v>5478</v>
      </c>
      <c r="B842" t="s">
        <v>5870</v>
      </c>
    </row>
    <row r="843" spans="1:2" x14ac:dyDescent="0.15">
      <c r="A843" t="s">
        <v>5479</v>
      </c>
      <c r="B843" t="s">
        <v>5871</v>
      </c>
    </row>
    <row r="844" spans="1:2" x14ac:dyDescent="0.15">
      <c r="A844" t="s">
        <v>5480</v>
      </c>
      <c r="B844" t="s">
        <v>5872</v>
      </c>
    </row>
    <row r="845" spans="1:2" x14ac:dyDescent="0.15">
      <c r="A845" t="s">
        <v>5481</v>
      </c>
      <c r="B845" t="s">
        <v>5873</v>
      </c>
    </row>
    <row r="846" spans="1:2" x14ac:dyDescent="0.15">
      <c r="A846" t="s">
        <v>5482</v>
      </c>
      <c r="B846" t="s">
        <v>5874</v>
      </c>
    </row>
    <row r="847" spans="1:2" x14ac:dyDescent="0.15">
      <c r="A847" t="s">
        <v>5483</v>
      </c>
      <c r="B847" t="s">
        <v>5875</v>
      </c>
    </row>
    <row r="848" spans="1:2" x14ac:dyDescent="0.15">
      <c r="A848" t="s">
        <v>5484</v>
      </c>
      <c r="B848" t="s">
        <v>5876</v>
      </c>
    </row>
    <row r="849" spans="1:2" x14ac:dyDescent="0.15">
      <c r="A849" t="s">
        <v>5485</v>
      </c>
      <c r="B849" t="s">
        <v>5877</v>
      </c>
    </row>
    <row r="850" spans="1:2" x14ac:dyDescent="0.15">
      <c r="A850" t="s">
        <v>5486</v>
      </c>
      <c r="B850" t="s">
        <v>5878</v>
      </c>
    </row>
    <row r="851" spans="1:2" x14ac:dyDescent="0.15">
      <c r="A851" t="s">
        <v>5487</v>
      </c>
      <c r="B851" t="s">
        <v>5879</v>
      </c>
    </row>
    <row r="852" spans="1:2" x14ac:dyDescent="0.15">
      <c r="A852" t="s">
        <v>5488</v>
      </c>
      <c r="B852" t="s">
        <v>5880</v>
      </c>
    </row>
    <row r="853" spans="1:2" x14ac:dyDescent="0.15">
      <c r="A853" t="s">
        <v>5489</v>
      </c>
      <c r="B853" t="s">
        <v>5881</v>
      </c>
    </row>
    <row r="854" spans="1:2" x14ac:dyDescent="0.15">
      <c r="A854" t="s">
        <v>5490</v>
      </c>
      <c r="B854" t="s">
        <v>5882</v>
      </c>
    </row>
    <row r="855" spans="1:2" x14ac:dyDescent="0.15">
      <c r="A855" t="s">
        <v>5491</v>
      </c>
      <c r="B855" t="s">
        <v>3259</v>
      </c>
    </row>
    <row r="856" spans="1:2" x14ac:dyDescent="0.15">
      <c r="A856" t="s">
        <v>5492</v>
      </c>
      <c r="B856" t="s">
        <v>3261</v>
      </c>
    </row>
    <row r="857" spans="1:2" x14ac:dyDescent="0.15">
      <c r="A857" t="s">
        <v>5493</v>
      </c>
      <c r="B857" t="s">
        <v>5883</v>
      </c>
    </row>
    <row r="858" spans="1:2" x14ac:dyDescent="0.15">
      <c r="A858" t="s">
        <v>5494</v>
      </c>
      <c r="B858" t="s">
        <v>3265</v>
      </c>
    </row>
    <row r="859" spans="1:2" x14ac:dyDescent="0.15">
      <c r="A859" t="s">
        <v>5495</v>
      </c>
      <c r="B859" t="s">
        <v>5884</v>
      </c>
    </row>
    <row r="860" spans="1:2" x14ac:dyDescent="0.15">
      <c r="A860" t="s">
        <v>5496</v>
      </c>
      <c r="B860" t="s">
        <v>3268</v>
      </c>
    </row>
    <row r="861" spans="1:2" x14ac:dyDescent="0.15">
      <c r="A861" t="s">
        <v>5497</v>
      </c>
      <c r="B861" t="s">
        <v>3271</v>
      </c>
    </row>
    <row r="862" spans="1:2" x14ac:dyDescent="0.15">
      <c r="A862" t="s">
        <v>5498</v>
      </c>
      <c r="B862" t="s">
        <v>3255</v>
      </c>
    </row>
    <row r="863" spans="1:2" x14ac:dyDescent="0.15">
      <c r="A863" t="s">
        <v>5499</v>
      </c>
      <c r="B863" t="s">
        <v>5885</v>
      </c>
    </row>
    <row r="864" spans="1:2" x14ac:dyDescent="0.15">
      <c r="A864" t="s">
        <v>5500</v>
      </c>
      <c r="B864" t="s">
        <v>5886</v>
      </c>
    </row>
    <row r="865" spans="1:2" x14ac:dyDescent="0.15">
      <c r="A865" t="s">
        <v>5501</v>
      </c>
      <c r="B865" t="s">
        <v>5887</v>
      </c>
    </row>
    <row r="866" spans="1:2" x14ac:dyDescent="0.15">
      <c r="A866" t="s">
        <v>5502</v>
      </c>
      <c r="B866" t="s">
        <v>5888</v>
      </c>
    </row>
    <row r="867" spans="1:2" x14ac:dyDescent="0.15">
      <c r="A867" t="s">
        <v>5503</v>
      </c>
      <c r="B867" t="s">
        <v>5889</v>
      </c>
    </row>
    <row r="868" spans="1:2" x14ac:dyDescent="0.15">
      <c r="A868" t="s">
        <v>5504</v>
      </c>
      <c r="B868" t="s">
        <v>5890</v>
      </c>
    </row>
    <row r="869" spans="1:2" x14ac:dyDescent="0.15">
      <c r="A869" t="s">
        <v>5505</v>
      </c>
      <c r="B869" t="s">
        <v>5891</v>
      </c>
    </row>
    <row r="870" spans="1:2" x14ac:dyDescent="0.15">
      <c r="A870" t="s">
        <v>5506</v>
      </c>
      <c r="B870" t="s">
        <v>5892</v>
      </c>
    </row>
    <row r="871" spans="1:2" x14ac:dyDescent="0.15">
      <c r="A871" t="s">
        <v>5507</v>
      </c>
      <c r="B871" t="s">
        <v>5893</v>
      </c>
    </row>
    <row r="872" spans="1:2" x14ac:dyDescent="0.15">
      <c r="A872" t="s">
        <v>5508</v>
      </c>
      <c r="B872" t="s">
        <v>7394</v>
      </c>
    </row>
    <row r="873" spans="1:2" x14ac:dyDescent="0.15">
      <c r="A873" t="s">
        <v>5509</v>
      </c>
      <c r="B873" t="s">
        <v>5894</v>
      </c>
    </row>
    <row r="874" spans="1:2" x14ac:dyDescent="0.15">
      <c r="A874" t="s">
        <v>5510</v>
      </c>
      <c r="B874" t="s">
        <v>5895</v>
      </c>
    </row>
    <row r="875" spans="1:2" x14ac:dyDescent="0.15">
      <c r="A875" t="s">
        <v>5511</v>
      </c>
      <c r="B875" t="s">
        <v>7201</v>
      </c>
    </row>
    <row r="876" spans="1:2" x14ac:dyDescent="0.15">
      <c r="A876" t="s">
        <v>5512</v>
      </c>
      <c r="B876" t="s">
        <v>5896</v>
      </c>
    </row>
    <row r="877" spans="1:2" x14ac:dyDescent="0.15">
      <c r="A877" t="s">
        <v>5513</v>
      </c>
      <c r="B877" t="s">
        <v>5897</v>
      </c>
    </row>
    <row r="878" spans="1:2" x14ac:dyDescent="0.15">
      <c r="A878" t="s">
        <v>5514</v>
      </c>
      <c r="B878" t="s">
        <v>6884</v>
      </c>
    </row>
    <row r="879" spans="1:2" x14ac:dyDescent="0.15">
      <c r="A879" t="s">
        <v>5515</v>
      </c>
      <c r="B879" t="s">
        <v>5281</v>
      </c>
    </row>
    <row r="880" spans="1:2" x14ac:dyDescent="0.15">
      <c r="A880" t="s">
        <v>5516</v>
      </c>
      <c r="B880" t="s">
        <v>5269</v>
      </c>
    </row>
    <row r="881" spans="1:2" x14ac:dyDescent="0.15">
      <c r="A881" t="s">
        <v>5517</v>
      </c>
      <c r="B881" t="s">
        <v>3275</v>
      </c>
    </row>
    <row r="882" spans="1:2" x14ac:dyDescent="0.15">
      <c r="A882" t="s">
        <v>5518</v>
      </c>
      <c r="B882" t="s">
        <v>6419</v>
      </c>
    </row>
    <row r="883" spans="1:2" x14ac:dyDescent="0.15">
      <c r="A883" t="s">
        <v>5519</v>
      </c>
      <c r="B883" t="s">
        <v>5898</v>
      </c>
    </row>
    <row r="884" spans="1:2" x14ac:dyDescent="0.15">
      <c r="A884" t="s">
        <v>5520</v>
      </c>
      <c r="B884" t="s">
        <v>2999</v>
      </c>
    </row>
    <row r="885" spans="1:2" x14ac:dyDescent="0.15">
      <c r="A885" t="s">
        <v>5521</v>
      </c>
      <c r="B885" t="s">
        <v>5899</v>
      </c>
    </row>
    <row r="886" spans="1:2" x14ac:dyDescent="0.15">
      <c r="A886" t="s">
        <v>5522</v>
      </c>
      <c r="B886" t="s">
        <v>3277</v>
      </c>
    </row>
    <row r="887" spans="1:2" x14ac:dyDescent="0.15">
      <c r="A887" t="s">
        <v>5523</v>
      </c>
      <c r="B887" t="s">
        <v>3279</v>
      </c>
    </row>
    <row r="888" spans="1:2" x14ac:dyDescent="0.15">
      <c r="A888" t="s">
        <v>5524</v>
      </c>
      <c r="B888" t="s">
        <v>5900</v>
      </c>
    </row>
    <row r="889" spans="1:2" x14ac:dyDescent="0.15">
      <c r="A889" t="s">
        <v>5525</v>
      </c>
      <c r="B889" t="s">
        <v>5901</v>
      </c>
    </row>
    <row r="890" spans="1:2" x14ac:dyDescent="0.15">
      <c r="A890" t="s">
        <v>5526</v>
      </c>
      <c r="B890" t="s">
        <v>5902</v>
      </c>
    </row>
    <row r="891" spans="1:2" x14ac:dyDescent="0.15">
      <c r="A891" t="s">
        <v>5527</v>
      </c>
      <c r="B891" t="s">
        <v>5903</v>
      </c>
    </row>
    <row r="892" spans="1:2" x14ac:dyDescent="0.15">
      <c r="A892" t="s">
        <v>5528</v>
      </c>
      <c r="B892" t="s">
        <v>5904</v>
      </c>
    </row>
    <row r="893" spans="1:2" x14ac:dyDescent="0.15">
      <c r="A893" t="s">
        <v>5529</v>
      </c>
      <c r="B893" t="s">
        <v>7406</v>
      </c>
    </row>
    <row r="894" spans="1:2" x14ac:dyDescent="0.15">
      <c r="A894" t="s">
        <v>5530</v>
      </c>
      <c r="B894" t="s">
        <v>5905</v>
      </c>
    </row>
    <row r="895" spans="1:2" x14ac:dyDescent="0.15">
      <c r="A895" t="s">
        <v>5531</v>
      </c>
      <c r="B895" t="s">
        <v>5906</v>
      </c>
    </row>
    <row r="896" spans="1:2" x14ac:dyDescent="0.15">
      <c r="A896" t="s">
        <v>5532</v>
      </c>
      <c r="B896" t="s">
        <v>5907</v>
      </c>
    </row>
    <row r="897" spans="1:2" x14ac:dyDescent="0.15">
      <c r="A897" t="s">
        <v>5533</v>
      </c>
      <c r="B897" t="s">
        <v>5908</v>
      </c>
    </row>
    <row r="898" spans="1:2" x14ac:dyDescent="0.15">
      <c r="A898" t="s">
        <v>5534</v>
      </c>
      <c r="B898" t="s">
        <v>5909</v>
      </c>
    </row>
    <row r="899" spans="1:2" x14ac:dyDescent="0.15">
      <c r="A899" t="s">
        <v>5535</v>
      </c>
      <c r="B899" t="s">
        <v>5910</v>
      </c>
    </row>
    <row r="900" spans="1:2" x14ac:dyDescent="0.15">
      <c r="A900" t="s">
        <v>5536</v>
      </c>
      <c r="B900" t="s">
        <v>5911</v>
      </c>
    </row>
    <row r="901" spans="1:2" x14ac:dyDescent="0.15">
      <c r="A901" t="s">
        <v>5537</v>
      </c>
      <c r="B901" t="s">
        <v>5912</v>
      </c>
    </row>
    <row r="902" spans="1:2" x14ac:dyDescent="0.15">
      <c r="A902" t="s">
        <v>5538</v>
      </c>
      <c r="B902" t="s">
        <v>5913</v>
      </c>
    </row>
    <row r="903" spans="1:2" x14ac:dyDescent="0.15">
      <c r="A903" t="s">
        <v>5539</v>
      </c>
      <c r="B903" t="s">
        <v>5914</v>
      </c>
    </row>
    <row r="904" spans="1:2" x14ac:dyDescent="0.15">
      <c r="A904" t="s">
        <v>5540</v>
      </c>
      <c r="B904" t="s">
        <v>5915</v>
      </c>
    </row>
    <row r="905" spans="1:2" x14ac:dyDescent="0.15">
      <c r="A905" t="s">
        <v>5541</v>
      </c>
      <c r="B905" t="s">
        <v>5916</v>
      </c>
    </row>
    <row r="906" spans="1:2" x14ac:dyDescent="0.15">
      <c r="A906" t="s">
        <v>5542</v>
      </c>
      <c r="B906" t="s">
        <v>3281</v>
      </c>
    </row>
    <row r="907" spans="1:2" x14ac:dyDescent="0.15">
      <c r="A907" t="s">
        <v>5543</v>
      </c>
      <c r="B907" t="s">
        <v>3283</v>
      </c>
    </row>
    <row r="908" spans="1:2" x14ac:dyDescent="0.15">
      <c r="A908" t="s">
        <v>5544</v>
      </c>
      <c r="B908" t="s">
        <v>3285</v>
      </c>
    </row>
    <row r="909" spans="1:2" x14ac:dyDescent="0.15">
      <c r="A909" t="s">
        <v>5545</v>
      </c>
      <c r="B909" t="s">
        <v>5917</v>
      </c>
    </row>
    <row r="910" spans="1:2" x14ac:dyDescent="0.15">
      <c r="A910" t="s">
        <v>5546</v>
      </c>
      <c r="B910" t="s">
        <v>3289</v>
      </c>
    </row>
    <row r="911" spans="1:2" x14ac:dyDescent="0.15">
      <c r="A911" t="s">
        <v>5547</v>
      </c>
      <c r="B911" t="s">
        <v>3291</v>
      </c>
    </row>
    <row r="912" spans="1:2" x14ac:dyDescent="0.15">
      <c r="A912" t="s">
        <v>5548</v>
      </c>
      <c r="B912" t="s">
        <v>3293</v>
      </c>
    </row>
    <row r="913" spans="1:2" x14ac:dyDescent="0.15">
      <c r="A913" t="s">
        <v>5549</v>
      </c>
      <c r="B913" t="s">
        <v>5918</v>
      </c>
    </row>
    <row r="914" spans="1:2" x14ac:dyDescent="0.15">
      <c r="A914" t="s">
        <v>5550</v>
      </c>
      <c r="B914" t="s">
        <v>5919</v>
      </c>
    </row>
    <row r="915" spans="1:2" x14ac:dyDescent="0.15">
      <c r="A915" t="s">
        <v>5551</v>
      </c>
      <c r="B915" t="s">
        <v>5920</v>
      </c>
    </row>
    <row r="916" spans="1:2" x14ac:dyDescent="0.15">
      <c r="A916" t="s">
        <v>5552</v>
      </c>
      <c r="B916" t="s">
        <v>5921</v>
      </c>
    </row>
    <row r="917" spans="1:2" x14ac:dyDescent="0.15">
      <c r="A917" t="s">
        <v>5553</v>
      </c>
      <c r="B917" t="s">
        <v>3297</v>
      </c>
    </row>
    <row r="918" spans="1:2" x14ac:dyDescent="0.15">
      <c r="A918" t="s">
        <v>5554</v>
      </c>
      <c r="B918" t="s">
        <v>5922</v>
      </c>
    </row>
    <row r="919" spans="1:2" x14ac:dyDescent="0.15">
      <c r="A919" t="s">
        <v>5555</v>
      </c>
      <c r="B919" t="s">
        <v>3301</v>
      </c>
    </row>
    <row r="920" spans="1:2" x14ac:dyDescent="0.15">
      <c r="A920" t="s">
        <v>5556</v>
      </c>
      <c r="B920" t="s">
        <v>3303</v>
      </c>
    </row>
    <row r="921" spans="1:2" x14ac:dyDescent="0.15">
      <c r="A921" t="s">
        <v>5557</v>
      </c>
      <c r="B921" t="s">
        <v>3305</v>
      </c>
    </row>
    <row r="922" spans="1:2" x14ac:dyDescent="0.15">
      <c r="A922" t="s">
        <v>5558</v>
      </c>
      <c r="B922" t="s">
        <v>4934</v>
      </c>
    </row>
    <row r="923" spans="1:2" x14ac:dyDescent="0.15">
      <c r="A923" t="s">
        <v>5559</v>
      </c>
      <c r="B923" t="s">
        <v>4880</v>
      </c>
    </row>
    <row r="924" spans="1:2" x14ac:dyDescent="0.15">
      <c r="A924" t="s">
        <v>5560</v>
      </c>
      <c r="B924" t="s">
        <v>4886</v>
      </c>
    </row>
    <row r="925" spans="1:2" x14ac:dyDescent="0.15">
      <c r="A925" t="s">
        <v>5561</v>
      </c>
      <c r="B925" t="s">
        <v>7391</v>
      </c>
    </row>
    <row r="926" spans="1:2" x14ac:dyDescent="0.15">
      <c r="A926" t="s">
        <v>5562</v>
      </c>
      <c r="B926" t="s">
        <v>5923</v>
      </c>
    </row>
    <row r="927" spans="1:2" x14ac:dyDescent="0.15">
      <c r="A927" t="s">
        <v>5563</v>
      </c>
      <c r="B927" t="s">
        <v>5924</v>
      </c>
    </row>
    <row r="928" spans="1:2" x14ac:dyDescent="0.15">
      <c r="A928" t="s">
        <v>5564</v>
      </c>
      <c r="B928" t="s">
        <v>7325</v>
      </c>
    </row>
    <row r="929" spans="1:2" x14ac:dyDescent="0.15">
      <c r="A929" t="s">
        <v>5565</v>
      </c>
      <c r="B929" t="s">
        <v>5925</v>
      </c>
    </row>
    <row r="930" spans="1:2" x14ac:dyDescent="0.15">
      <c r="A930" t="s">
        <v>5566</v>
      </c>
      <c r="B930" t="s">
        <v>5926</v>
      </c>
    </row>
    <row r="931" spans="1:2" x14ac:dyDescent="0.15">
      <c r="A931" t="s">
        <v>5567</v>
      </c>
      <c r="B931" t="s">
        <v>5927</v>
      </c>
    </row>
    <row r="932" spans="1:2" x14ac:dyDescent="0.15">
      <c r="A932" t="s">
        <v>5568</v>
      </c>
      <c r="B932" t="s">
        <v>5928</v>
      </c>
    </row>
    <row r="933" spans="1:2" x14ac:dyDescent="0.15">
      <c r="A933" t="s">
        <v>5569</v>
      </c>
      <c r="B933" t="s">
        <v>5929</v>
      </c>
    </row>
    <row r="934" spans="1:2" x14ac:dyDescent="0.15">
      <c r="A934" t="s">
        <v>5570</v>
      </c>
      <c r="B934" t="s">
        <v>7393</v>
      </c>
    </row>
    <row r="935" spans="1:2" x14ac:dyDescent="0.15">
      <c r="A935" t="s">
        <v>5571</v>
      </c>
      <c r="B935" t="s">
        <v>5930</v>
      </c>
    </row>
    <row r="936" spans="1:2" x14ac:dyDescent="0.15">
      <c r="A936" t="s">
        <v>5572</v>
      </c>
      <c r="B936" t="s">
        <v>2191</v>
      </c>
    </row>
    <row r="937" spans="1:2" x14ac:dyDescent="0.15">
      <c r="A937" t="s">
        <v>5573</v>
      </c>
      <c r="B937" t="s">
        <v>5931</v>
      </c>
    </row>
    <row r="938" spans="1:2" x14ac:dyDescent="0.15">
      <c r="A938" t="s">
        <v>5574</v>
      </c>
      <c r="B938" t="s">
        <v>5932</v>
      </c>
    </row>
    <row r="939" spans="1:2" x14ac:dyDescent="0.15">
      <c r="A939" t="s">
        <v>5575</v>
      </c>
      <c r="B939" t="s">
        <v>3308</v>
      </c>
    </row>
    <row r="940" spans="1:2" x14ac:dyDescent="0.15">
      <c r="A940" t="s">
        <v>290</v>
      </c>
      <c r="B940" t="s">
        <v>3311</v>
      </c>
    </row>
    <row r="941" spans="1:2" x14ac:dyDescent="0.15">
      <c r="A941" t="s">
        <v>291</v>
      </c>
      <c r="B941" t="s">
        <v>3314</v>
      </c>
    </row>
    <row r="942" spans="1:2" x14ac:dyDescent="0.15">
      <c r="A942" t="s">
        <v>292</v>
      </c>
      <c r="B942" t="s">
        <v>3316</v>
      </c>
    </row>
    <row r="943" spans="1:2" x14ac:dyDescent="0.15">
      <c r="A943" t="s">
        <v>293</v>
      </c>
      <c r="B943" t="s">
        <v>3319</v>
      </c>
    </row>
    <row r="944" spans="1:2" x14ac:dyDescent="0.15">
      <c r="A944" t="s">
        <v>294</v>
      </c>
      <c r="B944" t="s">
        <v>3321</v>
      </c>
    </row>
    <row r="945" spans="1:2" x14ac:dyDescent="0.15">
      <c r="A945" t="s">
        <v>29</v>
      </c>
      <c r="B945" t="s">
        <v>7203</v>
      </c>
    </row>
    <row r="946" spans="1:2" x14ac:dyDescent="0.15">
      <c r="A946" t="s">
        <v>30</v>
      </c>
      <c r="B946" t="s">
        <v>3324</v>
      </c>
    </row>
    <row r="947" spans="1:2" x14ac:dyDescent="0.15">
      <c r="A947" t="s">
        <v>31</v>
      </c>
      <c r="B947" t="s">
        <v>4904</v>
      </c>
    </row>
    <row r="948" spans="1:2" x14ac:dyDescent="0.15">
      <c r="A948" t="s">
        <v>32</v>
      </c>
      <c r="B948" t="s">
        <v>4889</v>
      </c>
    </row>
    <row r="949" spans="1:2" x14ac:dyDescent="0.15">
      <c r="A949" t="s">
        <v>33</v>
      </c>
      <c r="B949" t="s">
        <v>4893</v>
      </c>
    </row>
    <row r="950" spans="1:2" x14ac:dyDescent="0.15">
      <c r="A950" t="s">
        <v>34</v>
      </c>
      <c r="B950" t="s">
        <v>5933</v>
      </c>
    </row>
    <row r="951" spans="1:2" x14ac:dyDescent="0.15">
      <c r="A951" t="s">
        <v>35</v>
      </c>
      <c r="B951" t="s">
        <v>5934</v>
      </c>
    </row>
    <row r="952" spans="1:2" x14ac:dyDescent="0.15">
      <c r="A952" t="s">
        <v>36</v>
      </c>
      <c r="B952" t="s">
        <v>5935</v>
      </c>
    </row>
    <row r="953" spans="1:2" x14ac:dyDescent="0.15">
      <c r="A953" t="s">
        <v>37</v>
      </c>
      <c r="B953" t="s">
        <v>5936</v>
      </c>
    </row>
    <row r="954" spans="1:2" x14ac:dyDescent="0.15">
      <c r="A954" t="s">
        <v>38</v>
      </c>
      <c r="B954" t="s">
        <v>5937</v>
      </c>
    </row>
    <row r="955" spans="1:2" x14ac:dyDescent="0.15">
      <c r="A955" t="s">
        <v>39</v>
      </c>
      <c r="B955" t="s">
        <v>5938</v>
      </c>
    </row>
    <row r="956" spans="1:2" x14ac:dyDescent="0.15">
      <c r="A956" t="s">
        <v>40</v>
      </c>
      <c r="B956" t="s">
        <v>5939</v>
      </c>
    </row>
    <row r="957" spans="1:2" x14ac:dyDescent="0.15">
      <c r="A957" t="s">
        <v>41</v>
      </c>
      <c r="B957" t="s">
        <v>5940</v>
      </c>
    </row>
    <row r="958" spans="1:2" x14ac:dyDescent="0.15">
      <c r="A958" t="s">
        <v>42</v>
      </c>
      <c r="B958" t="s">
        <v>4886</v>
      </c>
    </row>
    <row r="959" spans="1:2" x14ac:dyDescent="0.15">
      <c r="A959" t="s">
        <v>43</v>
      </c>
      <c r="B959" t="s">
        <v>710</v>
      </c>
    </row>
    <row r="960" spans="1:2" x14ac:dyDescent="0.15">
      <c r="A960" t="s">
        <v>44</v>
      </c>
      <c r="B960" t="s">
        <v>5941</v>
      </c>
    </row>
    <row r="961" spans="1:2" x14ac:dyDescent="0.15">
      <c r="A961" t="s">
        <v>45</v>
      </c>
      <c r="B961" t="s">
        <v>5942</v>
      </c>
    </row>
    <row r="962" spans="1:2" x14ac:dyDescent="0.15">
      <c r="A962" t="s">
        <v>46</v>
      </c>
      <c r="B962" t="s">
        <v>1063</v>
      </c>
    </row>
    <row r="963" spans="1:2" x14ac:dyDescent="0.15">
      <c r="A963" t="s">
        <v>47</v>
      </c>
      <c r="B963" t="s">
        <v>3326</v>
      </c>
    </row>
    <row r="964" spans="1:2" x14ac:dyDescent="0.15">
      <c r="A964" t="s">
        <v>48</v>
      </c>
      <c r="B964" t="s">
        <v>3328</v>
      </c>
    </row>
    <row r="965" spans="1:2" x14ac:dyDescent="0.15">
      <c r="A965" t="s">
        <v>49</v>
      </c>
      <c r="B965" t="s">
        <v>3331</v>
      </c>
    </row>
    <row r="966" spans="1:2" x14ac:dyDescent="0.15">
      <c r="A966" t="s">
        <v>50</v>
      </c>
      <c r="B966" t="s">
        <v>3333</v>
      </c>
    </row>
    <row r="967" spans="1:2" x14ac:dyDescent="0.15">
      <c r="A967" t="s">
        <v>51</v>
      </c>
      <c r="B967" t="s">
        <v>3335</v>
      </c>
    </row>
    <row r="968" spans="1:2" x14ac:dyDescent="0.15">
      <c r="A968" t="s">
        <v>52</v>
      </c>
      <c r="B968" t="s">
        <v>3061</v>
      </c>
    </row>
    <row r="969" spans="1:2" x14ac:dyDescent="0.15">
      <c r="A969" t="s">
        <v>53</v>
      </c>
      <c r="B969" t="s">
        <v>4931</v>
      </c>
    </row>
    <row r="970" spans="1:2" x14ac:dyDescent="0.15">
      <c r="A970" t="s">
        <v>54</v>
      </c>
      <c r="B970" t="s">
        <v>4934</v>
      </c>
    </row>
    <row r="971" spans="1:2" x14ac:dyDescent="0.15">
      <c r="A971" t="s">
        <v>55</v>
      </c>
      <c r="B971" t="s">
        <v>4937</v>
      </c>
    </row>
    <row r="972" spans="1:2" x14ac:dyDescent="0.15">
      <c r="A972" t="s">
        <v>56</v>
      </c>
      <c r="B972" t="s">
        <v>4907</v>
      </c>
    </row>
    <row r="973" spans="1:2" x14ac:dyDescent="0.15">
      <c r="A973" t="s">
        <v>57</v>
      </c>
      <c r="B973" t="s">
        <v>5943</v>
      </c>
    </row>
    <row r="974" spans="1:2" x14ac:dyDescent="0.15">
      <c r="A974" t="s">
        <v>58</v>
      </c>
      <c r="B974" t="s">
        <v>4918</v>
      </c>
    </row>
    <row r="975" spans="1:2" x14ac:dyDescent="0.15">
      <c r="A975" t="s">
        <v>59</v>
      </c>
      <c r="B975" t="s">
        <v>4921</v>
      </c>
    </row>
    <row r="976" spans="1:2" x14ac:dyDescent="0.15">
      <c r="A976" t="s">
        <v>60</v>
      </c>
      <c r="B976" t="s">
        <v>5944</v>
      </c>
    </row>
    <row r="977" spans="1:2" x14ac:dyDescent="0.15">
      <c r="A977" t="s">
        <v>61</v>
      </c>
      <c r="B977" t="s">
        <v>4928</v>
      </c>
    </row>
    <row r="978" spans="1:2" x14ac:dyDescent="0.15">
      <c r="A978" t="s">
        <v>62</v>
      </c>
      <c r="B978" t="s">
        <v>5945</v>
      </c>
    </row>
    <row r="979" spans="1:2" x14ac:dyDescent="0.15">
      <c r="A979" t="s">
        <v>63</v>
      </c>
      <c r="B979" t="s">
        <v>5946</v>
      </c>
    </row>
    <row r="980" spans="1:2" x14ac:dyDescent="0.15">
      <c r="A980" t="s">
        <v>64</v>
      </c>
      <c r="B980" t="s">
        <v>5947</v>
      </c>
    </row>
    <row r="981" spans="1:2" x14ac:dyDescent="0.15">
      <c r="A981" t="s">
        <v>65</v>
      </c>
      <c r="B981" t="s">
        <v>5948</v>
      </c>
    </row>
    <row r="982" spans="1:2" x14ac:dyDescent="0.15">
      <c r="A982" t="s">
        <v>66</v>
      </c>
      <c r="B982" t="s">
        <v>5949</v>
      </c>
    </row>
    <row r="983" spans="1:2" x14ac:dyDescent="0.15">
      <c r="A983" t="s">
        <v>67</v>
      </c>
      <c r="B983" t="s">
        <v>5950</v>
      </c>
    </row>
    <row r="984" spans="1:2" x14ac:dyDescent="0.15">
      <c r="A984" t="s">
        <v>68</v>
      </c>
      <c r="B984" t="s">
        <v>5951</v>
      </c>
    </row>
    <row r="985" spans="1:2" x14ac:dyDescent="0.15">
      <c r="A985" t="s">
        <v>69</v>
      </c>
      <c r="B985" t="s">
        <v>5952</v>
      </c>
    </row>
    <row r="986" spans="1:2" x14ac:dyDescent="0.15">
      <c r="A986" t="s">
        <v>70</v>
      </c>
      <c r="B986" t="s">
        <v>7400</v>
      </c>
    </row>
    <row r="987" spans="1:2" x14ac:dyDescent="0.15">
      <c r="A987" t="s">
        <v>71</v>
      </c>
      <c r="B987" t="s">
        <v>5953</v>
      </c>
    </row>
    <row r="988" spans="1:2" x14ac:dyDescent="0.15">
      <c r="A988" t="s">
        <v>72</v>
      </c>
      <c r="B988" t="s">
        <v>5269</v>
      </c>
    </row>
    <row r="989" spans="1:2" x14ac:dyDescent="0.15">
      <c r="A989" t="s">
        <v>73</v>
      </c>
      <c r="B989" t="s">
        <v>5954</v>
      </c>
    </row>
    <row r="990" spans="1:2" x14ac:dyDescent="0.15">
      <c r="A990" t="s">
        <v>74</v>
      </c>
      <c r="B990" t="s">
        <v>5955</v>
      </c>
    </row>
    <row r="991" spans="1:2" x14ac:dyDescent="0.15">
      <c r="A991" t="s">
        <v>75</v>
      </c>
      <c r="B991" t="s">
        <v>5956</v>
      </c>
    </row>
    <row r="992" spans="1:2" x14ac:dyDescent="0.15">
      <c r="A992" t="s">
        <v>76</v>
      </c>
      <c r="B992" t="s">
        <v>5957</v>
      </c>
    </row>
    <row r="993" spans="1:2" x14ac:dyDescent="0.15">
      <c r="A993" t="s">
        <v>77</v>
      </c>
      <c r="B993" t="s">
        <v>5958</v>
      </c>
    </row>
    <row r="994" spans="1:2" x14ac:dyDescent="0.15">
      <c r="A994" t="s">
        <v>78</v>
      </c>
      <c r="B994" t="s">
        <v>4772</v>
      </c>
    </row>
    <row r="995" spans="1:2" x14ac:dyDescent="0.15">
      <c r="A995" t="s">
        <v>79</v>
      </c>
      <c r="B995" t="s">
        <v>5959</v>
      </c>
    </row>
    <row r="996" spans="1:2" x14ac:dyDescent="0.15">
      <c r="A996" t="s">
        <v>80</v>
      </c>
      <c r="B996" t="s">
        <v>5960</v>
      </c>
    </row>
    <row r="997" spans="1:2" x14ac:dyDescent="0.15">
      <c r="A997" t="s">
        <v>81</v>
      </c>
      <c r="B997" t="s">
        <v>5961</v>
      </c>
    </row>
    <row r="998" spans="1:2" x14ac:dyDescent="0.15">
      <c r="A998" t="s">
        <v>82</v>
      </c>
      <c r="B998" t="s">
        <v>3181</v>
      </c>
    </row>
    <row r="999" spans="1:2" x14ac:dyDescent="0.15">
      <c r="A999" t="s">
        <v>83</v>
      </c>
      <c r="B999" t="s">
        <v>7399</v>
      </c>
    </row>
    <row r="1000" spans="1:2" x14ac:dyDescent="0.15">
      <c r="A1000" t="s">
        <v>84</v>
      </c>
      <c r="B1000" t="s">
        <v>5962</v>
      </c>
    </row>
    <row r="1001" spans="1:2" x14ac:dyDescent="0.15">
      <c r="A1001" t="s">
        <v>85</v>
      </c>
      <c r="B1001" t="s">
        <v>5963</v>
      </c>
    </row>
    <row r="1002" spans="1:2" x14ac:dyDescent="0.15">
      <c r="A1002" t="s">
        <v>86</v>
      </c>
      <c r="B1002" t="s">
        <v>5964</v>
      </c>
    </row>
    <row r="1003" spans="1:2" x14ac:dyDescent="0.15">
      <c r="A1003" t="s">
        <v>87</v>
      </c>
      <c r="B1003" t="s">
        <v>5965</v>
      </c>
    </row>
    <row r="1004" spans="1:2" x14ac:dyDescent="0.15">
      <c r="A1004" t="s">
        <v>88</v>
      </c>
      <c r="B1004" t="s">
        <v>5966</v>
      </c>
    </row>
    <row r="1005" spans="1:2" x14ac:dyDescent="0.15">
      <c r="A1005" t="s">
        <v>89</v>
      </c>
      <c r="B1005" t="s">
        <v>5967</v>
      </c>
    </row>
    <row r="1006" spans="1:2" x14ac:dyDescent="0.15">
      <c r="A1006" t="s">
        <v>90</v>
      </c>
      <c r="B1006" t="s">
        <v>5968</v>
      </c>
    </row>
    <row r="1007" spans="1:2" x14ac:dyDescent="0.15">
      <c r="A1007" t="s">
        <v>91</v>
      </c>
      <c r="B1007" t="s">
        <v>5969</v>
      </c>
    </row>
    <row r="1008" spans="1:2" x14ac:dyDescent="0.15">
      <c r="A1008" t="s">
        <v>92</v>
      </c>
      <c r="B1008" t="s">
        <v>5970</v>
      </c>
    </row>
    <row r="1009" spans="1:2" x14ac:dyDescent="0.15">
      <c r="A1009" t="s">
        <v>93</v>
      </c>
      <c r="B1009" t="s">
        <v>5971</v>
      </c>
    </row>
    <row r="1010" spans="1:2" x14ac:dyDescent="0.15">
      <c r="A1010" t="s">
        <v>94</v>
      </c>
      <c r="B1010" t="s">
        <v>5972</v>
      </c>
    </row>
    <row r="1011" spans="1:2" x14ac:dyDescent="0.15">
      <c r="A1011" t="s">
        <v>95</v>
      </c>
      <c r="B1011" t="s">
        <v>5973</v>
      </c>
    </row>
    <row r="1012" spans="1:2" x14ac:dyDescent="0.15">
      <c r="A1012" t="s">
        <v>96</v>
      </c>
      <c r="B1012" t="s">
        <v>5726</v>
      </c>
    </row>
    <row r="1013" spans="1:2" x14ac:dyDescent="0.15">
      <c r="A1013" t="s">
        <v>97</v>
      </c>
      <c r="B1013" t="s">
        <v>5727</v>
      </c>
    </row>
    <row r="1014" spans="1:2" x14ac:dyDescent="0.15">
      <c r="A1014" t="s">
        <v>98</v>
      </c>
      <c r="B1014" t="s">
        <v>5728</v>
      </c>
    </row>
    <row r="1015" spans="1:2" x14ac:dyDescent="0.15">
      <c r="A1015" t="s">
        <v>99</v>
      </c>
      <c r="B1015" t="s">
        <v>5729</v>
      </c>
    </row>
    <row r="1016" spans="1:2" x14ac:dyDescent="0.15">
      <c r="A1016" t="s">
        <v>100</v>
      </c>
      <c r="B1016" t="s">
        <v>5730</v>
      </c>
    </row>
    <row r="1017" spans="1:2" x14ac:dyDescent="0.15">
      <c r="A1017" t="s">
        <v>101</v>
      </c>
      <c r="B1017" t="s">
        <v>5731</v>
      </c>
    </row>
    <row r="1018" spans="1:2" x14ac:dyDescent="0.15">
      <c r="A1018" t="s">
        <v>102</v>
      </c>
      <c r="B1018" t="s">
        <v>5732</v>
      </c>
    </row>
    <row r="1019" spans="1:2" x14ac:dyDescent="0.15">
      <c r="A1019" t="s">
        <v>103</v>
      </c>
      <c r="B1019" t="s">
        <v>5733</v>
      </c>
    </row>
    <row r="1020" spans="1:2" x14ac:dyDescent="0.15">
      <c r="A1020" t="s">
        <v>104</v>
      </c>
      <c r="B1020" t="s">
        <v>5734</v>
      </c>
    </row>
    <row r="1021" spans="1:2" x14ac:dyDescent="0.15">
      <c r="A1021" t="s">
        <v>105</v>
      </c>
      <c r="B1021" t="s">
        <v>7182</v>
      </c>
    </row>
    <row r="1022" spans="1:2" x14ac:dyDescent="0.15">
      <c r="A1022" t="s">
        <v>106</v>
      </c>
      <c r="B1022" t="s">
        <v>5735</v>
      </c>
    </row>
    <row r="1023" spans="1:2" x14ac:dyDescent="0.15">
      <c r="A1023" t="s">
        <v>107</v>
      </c>
      <c r="B1023" t="s">
        <v>5736</v>
      </c>
    </row>
    <row r="1024" spans="1:2" x14ac:dyDescent="0.15">
      <c r="A1024" t="s">
        <v>108</v>
      </c>
      <c r="B1024" t="s">
        <v>5737</v>
      </c>
    </row>
    <row r="1025" spans="1:2" x14ac:dyDescent="0.15">
      <c r="A1025" t="s">
        <v>109</v>
      </c>
      <c r="B1025" t="s">
        <v>7134</v>
      </c>
    </row>
    <row r="1026" spans="1:2" x14ac:dyDescent="0.15">
      <c r="A1026" t="s">
        <v>110</v>
      </c>
      <c r="B1026" t="s">
        <v>5738</v>
      </c>
    </row>
    <row r="1027" spans="1:2" x14ac:dyDescent="0.15">
      <c r="A1027" t="s">
        <v>111</v>
      </c>
      <c r="B1027" t="s">
        <v>5739</v>
      </c>
    </row>
    <row r="1028" spans="1:2" x14ac:dyDescent="0.15">
      <c r="A1028" t="s">
        <v>112</v>
      </c>
      <c r="B1028" t="s">
        <v>5740</v>
      </c>
    </row>
    <row r="1029" spans="1:2" x14ac:dyDescent="0.15">
      <c r="A1029" t="s">
        <v>113</v>
      </c>
      <c r="B1029" t="s">
        <v>5741</v>
      </c>
    </row>
    <row r="1030" spans="1:2" x14ac:dyDescent="0.15">
      <c r="A1030" t="s">
        <v>114</v>
      </c>
      <c r="B1030" t="s">
        <v>5742</v>
      </c>
    </row>
    <row r="1031" spans="1:2" x14ac:dyDescent="0.15">
      <c r="A1031" t="s">
        <v>115</v>
      </c>
      <c r="B1031" t="s">
        <v>5743</v>
      </c>
    </row>
    <row r="1032" spans="1:2" x14ac:dyDescent="0.15">
      <c r="A1032" t="s">
        <v>116</v>
      </c>
      <c r="B1032" t="s">
        <v>5744</v>
      </c>
    </row>
    <row r="1033" spans="1:2" x14ac:dyDescent="0.15">
      <c r="A1033" t="s">
        <v>117</v>
      </c>
      <c r="B1033" t="s">
        <v>5745</v>
      </c>
    </row>
    <row r="1034" spans="1:2" x14ac:dyDescent="0.15">
      <c r="A1034" t="s">
        <v>118</v>
      </c>
      <c r="B1034" t="s">
        <v>5746</v>
      </c>
    </row>
    <row r="1035" spans="1:2" x14ac:dyDescent="0.15">
      <c r="A1035" t="s">
        <v>119</v>
      </c>
      <c r="B1035" t="s">
        <v>5747</v>
      </c>
    </row>
    <row r="1036" spans="1:2" x14ac:dyDescent="0.15">
      <c r="A1036" t="s">
        <v>120</v>
      </c>
      <c r="B1036" t="s">
        <v>5748</v>
      </c>
    </row>
    <row r="1037" spans="1:2" x14ac:dyDescent="0.15">
      <c r="A1037" t="s">
        <v>121</v>
      </c>
      <c r="B1037" t="s">
        <v>5749</v>
      </c>
    </row>
    <row r="1038" spans="1:2" x14ac:dyDescent="0.15">
      <c r="A1038" t="s">
        <v>122</v>
      </c>
      <c r="B1038" t="s">
        <v>5750</v>
      </c>
    </row>
    <row r="1039" spans="1:2" x14ac:dyDescent="0.15">
      <c r="A1039" t="s">
        <v>123</v>
      </c>
      <c r="B1039" t="s">
        <v>5751</v>
      </c>
    </row>
    <row r="1040" spans="1:2" x14ac:dyDescent="0.15">
      <c r="A1040" t="s">
        <v>124</v>
      </c>
      <c r="B1040" t="s">
        <v>5752</v>
      </c>
    </row>
    <row r="1041" spans="1:2" x14ac:dyDescent="0.15">
      <c r="A1041" t="s">
        <v>125</v>
      </c>
      <c r="B1041" t="s">
        <v>5753</v>
      </c>
    </row>
    <row r="1042" spans="1:2" x14ac:dyDescent="0.15">
      <c r="A1042" t="s">
        <v>126</v>
      </c>
      <c r="B1042" t="s">
        <v>5754</v>
      </c>
    </row>
    <row r="1043" spans="1:2" x14ac:dyDescent="0.15">
      <c r="A1043" t="s">
        <v>127</v>
      </c>
      <c r="B1043" t="s">
        <v>5755</v>
      </c>
    </row>
    <row r="1044" spans="1:2" x14ac:dyDescent="0.15">
      <c r="A1044" t="s">
        <v>128</v>
      </c>
      <c r="B1044" t="s">
        <v>5756</v>
      </c>
    </row>
    <row r="1045" spans="1:2" x14ac:dyDescent="0.15">
      <c r="A1045" t="s">
        <v>129</v>
      </c>
      <c r="B1045" t="s">
        <v>5757</v>
      </c>
    </row>
    <row r="1046" spans="1:2" x14ac:dyDescent="0.15">
      <c r="A1046" t="s">
        <v>7771</v>
      </c>
      <c r="B1046" t="s">
        <v>7771</v>
      </c>
    </row>
    <row r="1047" spans="1:2" x14ac:dyDescent="0.15">
      <c r="A1047" t="s">
        <v>130</v>
      </c>
      <c r="B1047" t="s">
        <v>4775</v>
      </c>
    </row>
    <row r="1048" spans="1:2" x14ac:dyDescent="0.15">
      <c r="A1048" t="s">
        <v>131</v>
      </c>
      <c r="B1048" t="s">
        <v>4778</v>
      </c>
    </row>
    <row r="1049" spans="1:2" x14ac:dyDescent="0.15">
      <c r="A1049" t="s">
        <v>132</v>
      </c>
      <c r="B1049" t="s">
        <v>4782</v>
      </c>
    </row>
    <row r="1050" spans="1:2" x14ac:dyDescent="0.15">
      <c r="A1050" t="s">
        <v>133</v>
      </c>
      <c r="B1050" t="s">
        <v>5758</v>
      </c>
    </row>
    <row r="1051" spans="1:2" x14ac:dyDescent="0.15">
      <c r="A1051" t="s">
        <v>134</v>
      </c>
      <c r="B1051" t="s">
        <v>5759</v>
      </c>
    </row>
    <row r="1052" spans="1:2" x14ac:dyDescent="0.15">
      <c r="A1052" t="s">
        <v>135</v>
      </c>
      <c r="B1052" t="s">
        <v>5760</v>
      </c>
    </row>
    <row r="1053" spans="1:2" x14ac:dyDescent="0.15">
      <c r="A1053" t="s">
        <v>136</v>
      </c>
      <c r="B1053" t="s">
        <v>5761</v>
      </c>
    </row>
    <row r="1054" spans="1:2" x14ac:dyDescent="0.15">
      <c r="A1054" t="s">
        <v>137</v>
      </c>
      <c r="B1054" t="s">
        <v>5762</v>
      </c>
    </row>
    <row r="1055" spans="1:2" x14ac:dyDescent="0.15">
      <c r="A1055" t="s">
        <v>138</v>
      </c>
      <c r="B1055" t="s">
        <v>5763</v>
      </c>
    </row>
    <row r="1056" spans="1:2" x14ac:dyDescent="0.15">
      <c r="A1056" t="s">
        <v>139</v>
      </c>
      <c r="B1056" t="s">
        <v>5764</v>
      </c>
    </row>
    <row r="1057" spans="1:2" x14ac:dyDescent="0.15">
      <c r="A1057" t="s">
        <v>140</v>
      </c>
      <c r="B1057" t="s">
        <v>5765</v>
      </c>
    </row>
    <row r="1058" spans="1:2" x14ac:dyDescent="0.15">
      <c r="A1058" t="s">
        <v>141</v>
      </c>
      <c r="B1058" t="s">
        <v>5766</v>
      </c>
    </row>
    <row r="1059" spans="1:2" x14ac:dyDescent="0.15">
      <c r="A1059" t="s">
        <v>142</v>
      </c>
      <c r="B1059" t="s">
        <v>5767</v>
      </c>
    </row>
    <row r="1060" spans="1:2" x14ac:dyDescent="0.15">
      <c r="A1060" t="s">
        <v>143</v>
      </c>
      <c r="B1060" t="s">
        <v>5768</v>
      </c>
    </row>
    <row r="1061" spans="1:2" x14ac:dyDescent="0.15">
      <c r="A1061" t="s">
        <v>144</v>
      </c>
      <c r="B1061" t="s">
        <v>6927</v>
      </c>
    </row>
    <row r="1062" spans="1:2" x14ac:dyDescent="0.15">
      <c r="A1062" t="s">
        <v>145</v>
      </c>
      <c r="B1062" t="s">
        <v>3063</v>
      </c>
    </row>
    <row r="1063" spans="1:2" x14ac:dyDescent="0.15">
      <c r="A1063" t="s">
        <v>146</v>
      </c>
      <c r="B1063" t="s">
        <v>5769</v>
      </c>
    </row>
    <row r="1064" spans="1:2" x14ac:dyDescent="0.15">
      <c r="A1064" t="s">
        <v>147</v>
      </c>
      <c r="B1064" t="s">
        <v>3067</v>
      </c>
    </row>
    <row r="1065" spans="1:2" x14ac:dyDescent="0.15">
      <c r="A1065" t="s">
        <v>148</v>
      </c>
      <c r="B1065" t="s">
        <v>3069</v>
      </c>
    </row>
    <row r="1066" spans="1:2" x14ac:dyDescent="0.15">
      <c r="A1066" t="s">
        <v>149</v>
      </c>
      <c r="B1066" t="s">
        <v>3071</v>
      </c>
    </row>
    <row r="1067" spans="1:2" x14ac:dyDescent="0.15">
      <c r="A1067" t="s">
        <v>150</v>
      </c>
      <c r="B1067" t="s">
        <v>3074</v>
      </c>
    </row>
    <row r="1068" spans="1:2" x14ac:dyDescent="0.15">
      <c r="A1068" t="s">
        <v>151</v>
      </c>
      <c r="B1068" t="s">
        <v>4789</v>
      </c>
    </row>
    <row r="1069" spans="1:2" x14ac:dyDescent="0.15">
      <c r="A1069" t="s">
        <v>152</v>
      </c>
      <c r="B1069" t="s">
        <v>4792</v>
      </c>
    </row>
    <row r="1070" spans="1:2" x14ac:dyDescent="0.15">
      <c r="A1070" t="s">
        <v>153</v>
      </c>
      <c r="B1070" t="s">
        <v>4795</v>
      </c>
    </row>
    <row r="1071" spans="1:2" x14ac:dyDescent="0.15">
      <c r="A1071" t="s">
        <v>154</v>
      </c>
      <c r="B1071" t="s">
        <v>5770</v>
      </c>
    </row>
    <row r="1072" spans="1:2" x14ac:dyDescent="0.15">
      <c r="A1072" t="s">
        <v>155</v>
      </c>
      <c r="B1072" t="s">
        <v>5771</v>
      </c>
    </row>
    <row r="1073" spans="1:2" x14ac:dyDescent="0.15">
      <c r="A1073" t="s">
        <v>156</v>
      </c>
      <c r="B1073" t="s">
        <v>5772</v>
      </c>
    </row>
    <row r="1074" spans="1:2" x14ac:dyDescent="0.15">
      <c r="A1074" t="s">
        <v>157</v>
      </c>
      <c r="B1074" t="s">
        <v>5897</v>
      </c>
    </row>
    <row r="1075" spans="1:2" x14ac:dyDescent="0.15">
      <c r="A1075" t="s">
        <v>158</v>
      </c>
      <c r="B1075" t="s">
        <v>5773</v>
      </c>
    </row>
    <row r="1076" spans="1:2" x14ac:dyDescent="0.15">
      <c r="A1076" t="s">
        <v>159</v>
      </c>
      <c r="B1076" t="s">
        <v>5774</v>
      </c>
    </row>
    <row r="1077" spans="1:2" x14ac:dyDescent="0.15">
      <c r="A1077" t="s">
        <v>160</v>
      </c>
      <c r="B1077" t="s">
        <v>3076</v>
      </c>
    </row>
    <row r="1078" spans="1:2" x14ac:dyDescent="0.15">
      <c r="A1078" t="s">
        <v>161</v>
      </c>
      <c r="B1078" t="s">
        <v>3078</v>
      </c>
    </row>
    <row r="1079" spans="1:2" x14ac:dyDescent="0.15">
      <c r="A1079" t="s">
        <v>162</v>
      </c>
      <c r="B1079" t="s">
        <v>3080</v>
      </c>
    </row>
    <row r="1080" spans="1:2" x14ac:dyDescent="0.15">
      <c r="A1080" t="s">
        <v>163</v>
      </c>
      <c r="B1080" t="s">
        <v>3082</v>
      </c>
    </row>
    <row r="1081" spans="1:2" x14ac:dyDescent="0.15">
      <c r="A1081" t="s">
        <v>164</v>
      </c>
      <c r="B1081" t="s">
        <v>4799</v>
      </c>
    </row>
    <row r="1082" spans="1:2" x14ac:dyDescent="0.15">
      <c r="A1082" t="s">
        <v>165</v>
      </c>
      <c r="B1082" t="s">
        <v>4803</v>
      </c>
    </row>
    <row r="1083" spans="1:2" x14ac:dyDescent="0.15">
      <c r="A1083" t="s">
        <v>166</v>
      </c>
      <c r="B1083" t="s">
        <v>7386</v>
      </c>
    </row>
    <row r="1084" spans="1:2" x14ac:dyDescent="0.15">
      <c r="A1084" t="s">
        <v>167</v>
      </c>
      <c r="B1084" t="s">
        <v>5775</v>
      </c>
    </row>
    <row r="1085" spans="1:2" x14ac:dyDescent="0.15">
      <c r="A1085" t="s">
        <v>168</v>
      </c>
      <c r="B1085" t="s">
        <v>5776</v>
      </c>
    </row>
    <row r="1086" spans="1:2" x14ac:dyDescent="0.15">
      <c r="A1086" t="s">
        <v>169</v>
      </c>
      <c r="B1086" t="s">
        <v>5777</v>
      </c>
    </row>
    <row r="1087" spans="1:2" x14ac:dyDescent="0.15">
      <c r="A1087" t="s">
        <v>170</v>
      </c>
      <c r="B1087" t="s">
        <v>5778</v>
      </c>
    </row>
    <row r="1088" spans="1:2" x14ac:dyDescent="0.15">
      <c r="A1088" t="s">
        <v>171</v>
      </c>
      <c r="B1088" t="s">
        <v>5779</v>
      </c>
    </row>
    <row r="1089" spans="1:2" x14ac:dyDescent="0.15">
      <c r="A1089" t="s">
        <v>172</v>
      </c>
      <c r="B1089" t="s">
        <v>3085</v>
      </c>
    </row>
    <row r="1090" spans="1:2" x14ac:dyDescent="0.15">
      <c r="A1090" t="s">
        <v>173</v>
      </c>
      <c r="B1090" t="s">
        <v>4174</v>
      </c>
    </row>
    <row r="1091" spans="1:2" x14ac:dyDescent="0.15">
      <c r="A1091" t="s">
        <v>174</v>
      </c>
      <c r="B1091" t="s">
        <v>5780</v>
      </c>
    </row>
    <row r="1092" spans="1:2" x14ac:dyDescent="0.15">
      <c r="A1092" t="s">
        <v>175</v>
      </c>
      <c r="B1092" t="s">
        <v>5781</v>
      </c>
    </row>
    <row r="1093" spans="1:2" x14ac:dyDescent="0.15">
      <c r="A1093" t="s">
        <v>176</v>
      </c>
      <c r="B1093" t="s">
        <v>4181</v>
      </c>
    </row>
    <row r="1094" spans="1:2" x14ac:dyDescent="0.15">
      <c r="A1094" t="s">
        <v>177</v>
      </c>
      <c r="B1094" t="s">
        <v>7959</v>
      </c>
    </row>
    <row r="1095" spans="1:2" x14ac:dyDescent="0.15">
      <c r="A1095" t="s">
        <v>178</v>
      </c>
      <c r="B1095" t="s">
        <v>8464</v>
      </c>
    </row>
    <row r="1096" spans="1:2" x14ac:dyDescent="0.15">
      <c r="A1096" t="s">
        <v>179</v>
      </c>
      <c r="B1096" t="s">
        <v>8467</v>
      </c>
    </row>
    <row r="1097" spans="1:2" x14ac:dyDescent="0.15">
      <c r="A1097" t="s">
        <v>0</v>
      </c>
      <c r="B1097" t="s">
        <v>5782</v>
      </c>
    </row>
    <row r="1098" spans="1:2" x14ac:dyDescent="0.15">
      <c r="A1098" t="s">
        <v>1</v>
      </c>
      <c r="B1098" t="s">
        <v>4806</v>
      </c>
    </row>
    <row r="1099" spans="1:2" x14ac:dyDescent="0.15">
      <c r="A1099" t="s">
        <v>2</v>
      </c>
      <c r="B1099" t="s">
        <v>5783</v>
      </c>
    </row>
    <row r="1100" spans="1:2" x14ac:dyDescent="0.15">
      <c r="A1100" t="s">
        <v>3</v>
      </c>
      <c r="B1100" t="s">
        <v>4809</v>
      </c>
    </row>
    <row r="1101" spans="1:2" x14ac:dyDescent="0.15">
      <c r="A1101" t="s">
        <v>4</v>
      </c>
      <c r="B1101" t="s">
        <v>4812</v>
      </c>
    </row>
    <row r="1102" spans="1:2" x14ac:dyDescent="0.15">
      <c r="A1102" t="s">
        <v>5</v>
      </c>
      <c r="B1102" t="s">
        <v>4815</v>
      </c>
    </row>
    <row r="1103" spans="1:2" x14ac:dyDescent="0.15">
      <c r="A1103" t="s">
        <v>6</v>
      </c>
      <c r="B1103" t="s">
        <v>5784</v>
      </c>
    </row>
    <row r="1104" spans="1:2" x14ac:dyDescent="0.15">
      <c r="A1104" t="s">
        <v>7</v>
      </c>
      <c r="B1104" t="s">
        <v>5785</v>
      </c>
    </row>
    <row r="1105" spans="1:2" x14ac:dyDescent="0.15">
      <c r="A1105" t="s">
        <v>8</v>
      </c>
      <c r="B1105" t="s">
        <v>5786</v>
      </c>
    </row>
    <row r="1106" spans="1:2" x14ac:dyDescent="0.15">
      <c r="A1106" t="s">
        <v>9</v>
      </c>
      <c r="B1106" t="s">
        <v>8458</v>
      </c>
    </row>
    <row r="1107" spans="1:2" x14ac:dyDescent="0.15">
      <c r="A1107" t="s">
        <v>10</v>
      </c>
      <c r="B1107" t="s">
        <v>5787</v>
      </c>
    </row>
    <row r="1108" spans="1:2" x14ac:dyDescent="0.15">
      <c r="A1108" t="s">
        <v>11</v>
      </c>
      <c r="B1108" t="s">
        <v>8461</v>
      </c>
    </row>
    <row r="1109" spans="1:2" x14ac:dyDescent="0.15">
      <c r="A1109" t="s">
        <v>12</v>
      </c>
      <c r="B1109" t="s">
        <v>5788</v>
      </c>
    </row>
    <row r="1110" spans="1:2" x14ac:dyDescent="0.15">
      <c r="A1110" t="s">
        <v>13</v>
      </c>
      <c r="B1110" t="s">
        <v>3108</v>
      </c>
    </row>
    <row r="1111" spans="1:2" x14ac:dyDescent="0.15">
      <c r="A1111" t="s">
        <v>14</v>
      </c>
      <c r="B1111" t="s">
        <v>5789</v>
      </c>
    </row>
    <row r="1112" spans="1:2" x14ac:dyDescent="0.15">
      <c r="A1112" t="s">
        <v>15</v>
      </c>
      <c r="B1112" t="s">
        <v>5790</v>
      </c>
    </row>
    <row r="1113" spans="1:2" x14ac:dyDescent="0.15">
      <c r="A1113" t="s">
        <v>16</v>
      </c>
      <c r="B1113" t="s">
        <v>8473</v>
      </c>
    </row>
    <row r="1114" spans="1:2" x14ac:dyDescent="0.15">
      <c r="A1114" t="s">
        <v>17</v>
      </c>
      <c r="B1114" t="s">
        <v>8476</v>
      </c>
    </row>
    <row r="1115" spans="1:2" x14ac:dyDescent="0.15">
      <c r="A1115" t="s">
        <v>18</v>
      </c>
      <c r="B1115" t="s">
        <v>8479</v>
      </c>
    </row>
    <row r="1116" spans="1:2" x14ac:dyDescent="0.15">
      <c r="A1116" t="s">
        <v>19</v>
      </c>
      <c r="B1116" t="s">
        <v>5791</v>
      </c>
    </row>
    <row r="1117" spans="1:2" x14ac:dyDescent="0.15">
      <c r="A1117" t="s">
        <v>20</v>
      </c>
      <c r="B1117" t="s">
        <v>5792</v>
      </c>
    </row>
    <row r="1118" spans="1:2" x14ac:dyDescent="0.15">
      <c r="A1118" t="s">
        <v>21</v>
      </c>
      <c r="B1118" t="s">
        <v>5793</v>
      </c>
    </row>
    <row r="1119" spans="1:2" x14ac:dyDescent="0.15">
      <c r="A1119" t="s">
        <v>22</v>
      </c>
      <c r="B1119" t="s">
        <v>5794</v>
      </c>
    </row>
    <row r="1120" spans="1:2" x14ac:dyDescent="0.15">
      <c r="A1120" t="s">
        <v>23</v>
      </c>
      <c r="B1120" t="s">
        <v>5795</v>
      </c>
    </row>
    <row r="1121" spans="1:2" x14ac:dyDescent="0.15">
      <c r="A1121" t="s">
        <v>24</v>
      </c>
      <c r="B1121" t="s">
        <v>5796</v>
      </c>
    </row>
    <row r="1122" spans="1:2" x14ac:dyDescent="0.15">
      <c r="A1122" t="s">
        <v>4128</v>
      </c>
      <c r="B1122" t="s">
        <v>5797</v>
      </c>
    </row>
    <row r="1123" spans="1:2" x14ac:dyDescent="0.15">
      <c r="A1123" t="s">
        <v>4129</v>
      </c>
      <c r="B1123" t="s">
        <v>5798</v>
      </c>
    </row>
    <row r="1124" spans="1:2" x14ac:dyDescent="0.15">
      <c r="A1124" t="s">
        <v>4130</v>
      </c>
      <c r="B1124" t="s">
        <v>5799</v>
      </c>
    </row>
    <row r="1125" spans="1:2" x14ac:dyDescent="0.15">
      <c r="A1125" t="s">
        <v>4131</v>
      </c>
      <c r="B1125" t="s">
        <v>6234</v>
      </c>
    </row>
    <row r="1126" spans="1:2" x14ac:dyDescent="0.15">
      <c r="A1126" t="s">
        <v>4132</v>
      </c>
      <c r="B1126" t="s">
        <v>3422</v>
      </c>
    </row>
    <row r="1127" spans="1:2" x14ac:dyDescent="0.15">
      <c r="A1127" t="s">
        <v>4133</v>
      </c>
      <c r="B1127" t="s">
        <v>5800</v>
      </c>
    </row>
    <row r="1128" spans="1:2" x14ac:dyDescent="0.15">
      <c r="A1128" t="s">
        <v>4134</v>
      </c>
      <c r="B1128" t="s">
        <v>5801</v>
      </c>
    </row>
    <row r="1129" spans="1:2" x14ac:dyDescent="0.15">
      <c r="A1129" t="s">
        <v>4135</v>
      </c>
      <c r="B1129" t="s">
        <v>1797</v>
      </c>
    </row>
    <row r="1130" spans="1:2" x14ac:dyDescent="0.15">
      <c r="A1130" t="s">
        <v>4136</v>
      </c>
      <c r="B1130" t="s">
        <v>1798</v>
      </c>
    </row>
    <row r="1131" spans="1:2" x14ac:dyDescent="0.15">
      <c r="A1131" t="s">
        <v>4137</v>
      </c>
      <c r="B1131" t="s">
        <v>7367</v>
      </c>
    </row>
    <row r="1132" spans="1:2" x14ac:dyDescent="0.15">
      <c r="A1132" t="s">
        <v>4138</v>
      </c>
      <c r="B1132" t="s">
        <v>3428</v>
      </c>
    </row>
    <row r="1133" spans="1:2" x14ac:dyDescent="0.15">
      <c r="A1133" t="s">
        <v>4139</v>
      </c>
      <c r="B1133" t="s">
        <v>3413</v>
      </c>
    </row>
    <row r="1134" spans="1:2" x14ac:dyDescent="0.15">
      <c r="A1134" t="s">
        <v>4140</v>
      </c>
      <c r="B1134" t="s">
        <v>3431</v>
      </c>
    </row>
    <row r="1135" spans="1:2" x14ac:dyDescent="0.15">
      <c r="A1135" t="s">
        <v>4141</v>
      </c>
      <c r="B1135" t="s">
        <v>1799</v>
      </c>
    </row>
    <row r="1136" spans="1:2" x14ac:dyDescent="0.15">
      <c r="A1136" t="s">
        <v>4142</v>
      </c>
      <c r="B1136" t="s">
        <v>860</v>
      </c>
    </row>
    <row r="1137" spans="1:2" x14ac:dyDescent="0.15">
      <c r="A1137" t="s">
        <v>4143</v>
      </c>
      <c r="B1137" t="s">
        <v>3419</v>
      </c>
    </row>
    <row r="1138" spans="1:2" x14ac:dyDescent="0.15">
      <c r="A1138" t="s">
        <v>4144</v>
      </c>
      <c r="B1138" t="s">
        <v>3416</v>
      </c>
    </row>
    <row r="1139" spans="1:2" x14ac:dyDescent="0.15">
      <c r="A1139" t="s">
        <v>4145</v>
      </c>
      <c r="B1139" t="s">
        <v>3407</v>
      </c>
    </row>
    <row r="1140" spans="1:2" x14ac:dyDescent="0.15">
      <c r="A1140" t="s">
        <v>4146</v>
      </c>
      <c r="B1140" t="s">
        <v>3410</v>
      </c>
    </row>
    <row r="1141" spans="1:2" x14ac:dyDescent="0.15">
      <c r="A1141" t="s">
        <v>4147</v>
      </c>
      <c r="B1141" t="s">
        <v>1800</v>
      </c>
    </row>
    <row r="1142" spans="1:2" x14ac:dyDescent="0.15">
      <c r="A1142" t="s">
        <v>4148</v>
      </c>
      <c r="B1142" t="s">
        <v>1801</v>
      </c>
    </row>
    <row r="1143" spans="1:2" x14ac:dyDescent="0.15">
      <c r="A1143" t="s">
        <v>4149</v>
      </c>
      <c r="B1143" t="s">
        <v>1802</v>
      </c>
    </row>
    <row r="1144" spans="1:2" x14ac:dyDescent="0.15">
      <c r="A1144" t="s">
        <v>4150</v>
      </c>
      <c r="B1144" t="s">
        <v>3506</v>
      </c>
    </row>
    <row r="1145" spans="1:2" x14ac:dyDescent="0.15">
      <c r="A1145" t="s">
        <v>4151</v>
      </c>
      <c r="B1145" t="s">
        <v>1803</v>
      </c>
    </row>
    <row r="1146" spans="1:2" x14ac:dyDescent="0.15">
      <c r="A1146" t="s">
        <v>4152</v>
      </c>
      <c r="B1146" t="s">
        <v>1804</v>
      </c>
    </row>
    <row r="1147" spans="1:2" x14ac:dyDescent="0.15">
      <c r="A1147" t="s">
        <v>4153</v>
      </c>
      <c r="B1147" t="s">
        <v>1805</v>
      </c>
    </row>
    <row r="1148" spans="1:2" x14ac:dyDescent="0.15">
      <c r="A1148" t="s">
        <v>4154</v>
      </c>
      <c r="B1148" t="s">
        <v>1806</v>
      </c>
    </row>
    <row r="1149" spans="1:2" x14ac:dyDescent="0.15">
      <c r="A1149" t="s">
        <v>4155</v>
      </c>
      <c r="B1149" t="s">
        <v>1807</v>
      </c>
    </row>
    <row r="1150" spans="1:2" x14ac:dyDescent="0.15">
      <c r="A1150" t="s">
        <v>4156</v>
      </c>
      <c r="B1150" t="s">
        <v>1808</v>
      </c>
    </row>
    <row r="1151" spans="1:2" x14ac:dyDescent="0.15">
      <c r="A1151" t="s">
        <v>4157</v>
      </c>
      <c r="B1151" t="s">
        <v>3522</v>
      </c>
    </row>
    <row r="1152" spans="1:2" x14ac:dyDescent="0.15">
      <c r="A1152" t="s">
        <v>4158</v>
      </c>
      <c r="B1152" t="s">
        <v>1809</v>
      </c>
    </row>
    <row r="1153" spans="1:2" x14ac:dyDescent="0.15">
      <c r="A1153" t="s">
        <v>4159</v>
      </c>
      <c r="B1153" t="s">
        <v>3369</v>
      </c>
    </row>
    <row r="1154" spans="1:2" x14ac:dyDescent="0.15">
      <c r="A1154" t="s">
        <v>4160</v>
      </c>
      <c r="B1154" t="s">
        <v>1810</v>
      </c>
    </row>
    <row r="1155" spans="1:2" x14ac:dyDescent="0.15">
      <c r="A1155" t="s">
        <v>4161</v>
      </c>
      <c r="B1155" t="s">
        <v>1811</v>
      </c>
    </row>
    <row r="1156" spans="1:2" x14ac:dyDescent="0.15">
      <c r="A1156" t="s">
        <v>4162</v>
      </c>
      <c r="B1156" t="s">
        <v>1812</v>
      </c>
    </row>
    <row r="1157" spans="1:2" x14ac:dyDescent="0.15">
      <c r="A1157" t="s">
        <v>4163</v>
      </c>
      <c r="B1157" t="s">
        <v>1813</v>
      </c>
    </row>
    <row r="1158" spans="1:2" x14ac:dyDescent="0.15">
      <c r="A1158" t="s">
        <v>4164</v>
      </c>
      <c r="B1158" t="s">
        <v>1814</v>
      </c>
    </row>
    <row r="1159" spans="1:2" x14ac:dyDescent="0.15">
      <c r="A1159" t="s">
        <v>4165</v>
      </c>
      <c r="B1159" t="s">
        <v>1815</v>
      </c>
    </row>
    <row r="1160" spans="1:2" x14ac:dyDescent="0.15">
      <c r="A1160" t="s">
        <v>4166</v>
      </c>
      <c r="B1160" t="s">
        <v>1816</v>
      </c>
    </row>
    <row r="1161" spans="1:2" x14ac:dyDescent="0.15">
      <c r="A1161" t="s">
        <v>4167</v>
      </c>
      <c r="B1161" t="s">
        <v>1817</v>
      </c>
    </row>
    <row r="1162" spans="1:2" x14ac:dyDescent="0.15">
      <c r="A1162" t="s">
        <v>4168</v>
      </c>
      <c r="B1162" t="s">
        <v>1818</v>
      </c>
    </row>
    <row r="1163" spans="1:2" x14ac:dyDescent="0.15">
      <c r="A1163" t="s">
        <v>4315</v>
      </c>
      <c r="B1163" t="s">
        <v>1819</v>
      </c>
    </row>
    <row r="1164" spans="1:2" x14ac:dyDescent="0.15">
      <c r="A1164" t="s">
        <v>4316</v>
      </c>
      <c r="B1164" t="s">
        <v>1820</v>
      </c>
    </row>
    <row r="1165" spans="1:2" x14ac:dyDescent="0.15">
      <c r="A1165" t="s">
        <v>4317</v>
      </c>
      <c r="B1165" t="s">
        <v>1821</v>
      </c>
    </row>
    <row r="1166" spans="1:2" x14ac:dyDescent="0.15">
      <c r="A1166" t="s">
        <v>4318</v>
      </c>
      <c r="B1166" t="s">
        <v>1822</v>
      </c>
    </row>
    <row r="1167" spans="1:2" x14ac:dyDescent="0.15">
      <c r="A1167" t="s">
        <v>4319</v>
      </c>
      <c r="B1167" t="s">
        <v>1823</v>
      </c>
    </row>
    <row r="1168" spans="1:2" x14ac:dyDescent="0.15">
      <c r="A1168" t="s">
        <v>4320</v>
      </c>
      <c r="B1168" t="s">
        <v>1824</v>
      </c>
    </row>
    <row r="1169" spans="1:2" x14ac:dyDescent="0.15">
      <c r="A1169" t="s">
        <v>4321</v>
      </c>
      <c r="B1169" t="s">
        <v>1825</v>
      </c>
    </row>
    <row r="1170" spans="1:2" x14ac:dyDescent="0.15">
      <c r="A1170" t="s">
        <v>4322</v>
      </c>
      <c r="B1170" t="s">
        <v>1826</v>
      </c>
    </row>
    <row r="1171" spans="1:2" x14ac:dyDescent="0.15">
      <c r="A1171" t="s">
        <v>4323</v>
      </c>
      <c r="B1171" t="s">
        <v>1827</v>
      </c>
    </row>
    <row r="1172" spans="1:2" x14ac:dyDescent="0.15">
      <c r="A1172" t="s">
        <v>4324</v>
      </c>
      <c r="B1172" t="s">
        <v>1828</v>
      </c>
    </row>
    <row r="1173" spans="1:2" x14ac:dyDescent="0.15">
      <c r="A1173" t="s">
        <v>4325</v>
      </c>
      <c r="B1173" t="s">
        <v>1829</v>
      </c>
    </row>
    <row r="1174" spans="1:2" x14ac:dyDescent="0.15">
      <c r="A1174" t="s">
        <v>4326</v>
      </c>
      <c r="B1174" t="s">
        <v>1830</v>
      </c>
    </row>
    <row r="1175" spans="1:2" x14ac:dyDescent="0.15">
      <c r="A1175" t="s">
        <v>4327</v>
      </c>
      <c r="B1175" t="s">
        <v>1831</v>
      </c>
    </row>
    <row r="1176" spans="1:2" x14ac:dyDescent="0.15">
      <c r="A1176" t="s">
        <v>4328</v>
      </c>
      <c r="B1176" t="s">
        <v>1832</v>
      </c>
    </row>
    <row r="1177" spans="1:2" x14ac:dyDescent="0.15">
      <c r="A1177" t="s">
        <v>4329</v>
      </c>
      <c r="B1177" t="s">
        <v>1833</v>
      </c>
    </row>
    <row r="1178" spans="1:2" x14ac:dyDescent="0.15">
      <c r="A1178" t="s">
        <v>4330</v>
      </c>
      <c r="B1178" t="s">
        <v>1834</v>
      </c>
    </row>
    <row r="1179" spans="1:2" x14ac:dyDescent="0.15">
      <c r="A1179" t="s">
        <v>4331</v>
      </c>
      <c r="B1179" t="s">
        <v>7203</v>
      </c>
    </row>
    <row r="1180" spans="1:2" x14ac:dyDescent="0.15">
      <c r="A1180" t="s">
        <v>4332</v>
      </c>
      <c r="B1180" t="s">
        <v>1835</v>
      </c>
    </row>
    <row r="1181" spans="1:2" x14ac:dyDescent="0.15">
      <c r="A1181" t="s">
        <v>4333</v>
      </c>
      <c r="B1181" t="s">
        <v>1836</v>
      </c>
    </row>
    <row r="1182" spans="1:2" x14ac:dyDescent="0.15">
      <c r="A1182" t="s">
        <v>4334</v>
      </c>
      <c r="B1182" t="s">
        <v>1837</v>
      </c>
    </row>
    <row r="1183" spans="1:2" x14ac:dyDescent="0.15">
      <c r="A1183" t="s">
        <v>4335</v>
      </c>
      <c r="B1183" t="s">
        <v>1838</v>
      </c>
    </row>
    <row r="1184" spans="1:2" x14ac:dyDescent="0.15">
      <c r="A1184" t="s">
        <v>4336</v>
      </c>
      <c r="B1184" t="s">
        <v>1839</v>
      </c>
    </row>
    <row r="1185" spans="1:2" x14ac:dyDescent="0.15">
      <c r="A1185" t="s">
        <v>4337</v>
      </c>
      <c r="B1185" t="s">
        <v>3515</v>
      </c>
    </row>
    <row r="1186" spans="1:2" x14ac:dyDescent="0.15">
      <c r="A1186" t="s">
        <v>4338</v>
      </c>
      <c r="B1186" t="s">
        <v>6984</v>
      </c>
    </row>
    <row r="1187" spans="1:2" x14ac:dyDescent="0.15">
      <c r="A1187" t="s">
        <v>4339</v>
      </c>
      <c r="B1187" t="s">
        <v>2003</v>
      </c>
    </row>
    <row r="1188" spans="1:2" x14ac:dyDescent="0.15">
      <c r="A1188" t="s">
        <v>4340</v>
      </c>
      <c r="B1188" t="s">
        <v>1840</v>
      </c>
    </row>
    <row r="1189" spans="1:2" x14ac:dyDescent="0.15">
      <c r="A1189" t="s">
        <v>4341</v>
      </c>
      <c r="B1189" t="s">
        <v>7288</v>
      </c>
    </row>
    <row r="1190" spans="1:2" x14ac:dyDescent="0.15">
      <c r="A1190" t="s">
        <v>4342</v>
      </c>
      <c r="B1190" t="s">
        <v>6093</v>
      </c>
    </row>
    <row r="1191" spans="1:2" x14ac:dyDescent="0.15">
      <c r="A1191" t="s">
        <v>4343</v>
      </c>
      <c r="B1191" t="s">
        <v>1841</v>
      </c>
    </row>
    <row r="1192" spans="1:2" x14ac:dyDescent="0.15">
      <c r="A1192" t="s">
        <v>4344</v>
      </c>
      <c r="B1192" t="s">
        <v>1842</v>
      </c>
    </row>
    <row r="1193" spans="1:2" x14ac:dyDescent="0.15">
      <c r="A1193" t="s">
        <v>4345</v>
      </c>
      <c r="B1193" t="s">
        <v>3366</v>
      </c>
    </row>
    <row r="1194" spans="1:2" x14ac:dyDescent="0.15">
      <c r="A1194" t="s">
        <v>4346</v>
      </c>
      <c r="B1194" t="s">
        <v>1843</v>
      </c>
    </row>
    <row r="1195" spans="1:2" x14ac:dyDescent="0.15">
      <c r="A1195" t="s">
        <v>4347</v>
      </c>
      <c r="B1195" t="s">
        <v>1844</v>
      </c>
    </row>
    <row r="1196" spans="1:2" x14ac:dyDescent="0.15">
      <c r="A1196" t="s">
        <v>4348</v>
      </c>
      <c r="B1196" t="s">
        <v>1845</v>
      </c>
    </row>
    <row r="1197" spans="1:2" x14ac:dyDescent="0.15">
      <c r="A1197" t="s">
        <v>4349</v>
      </c>
      <c r="B1197" t="s">
        <v>1846</v>
      </c>
    </row>
    <row r="1198" spans="1:2" x14ac:dyDescent="0.15">
      <c r="A1198" t="s">
        <v>4350</v>
      </c>
      <c r="B1198" t="s">
        <v>1847</v>
      </c>
    </row>
    <row r="1199" spans="1:2" x14ac:dyDescent="0.15">
      <c r="A1199" t="s">
        <v>4351</v>
      </c>
      <c r="B1199" t="s">
        <v>1848</v>
      </c>
    </row>
    <row r="1200" spans="1:2" x14ac:dyDescent="0.15">
      <c r="A1200" t="s">
        <v>4352</v>
      </c>
      <c r="B1200" t="s">
        <v>1849</v>
      </c>
    </row>
    <row r="1201" spans="1:2" x14ac:dyDescent="0.15">
      <c r="A1201" t="s">
        <v>4353</v>
      </c>
      <c r="B1201" t="s">
        <v>1850</v>
      </c>
    </row>
    <row r="1202" spans="1:2" x14ac:dyDescent="0.15">
      <c r="A1202" t="s">
        <v>4354</v>
      </c>
      <c r="B1202" t="s">
        <v>8482</v>
      </c>
    </row>
    <row r="1203" spans="1:2" x14ac:dyDescent="0.15">
      <c r="A1203" t="s">
        <v>4355</v>
      </c>
      <c r="B1203" t="s">
        <v>1851</v>
      </c>
    </row>
    <row r="1204" spans="1:2" x14ac:dyDescent="0.15">
      <c r="A1204" t="s">
        <v>4356</v>
      </c>
      <c r="B1204" t="s">
        <v>1578</v>
      </c>
    </row>
    <row r="1205" spans="1:2" x14ac:dyDescent="0.15">
      <c r="A1205" t="s">
        <v>4357</v>
      </c>
      <c r="B1205" t="s">
        <v>1579</v>
      </c>
    </row>
    <row r="1206" spans="1:2" x14ac:dyDescent="0.15">
      <c r="A1206" t="s">
        <v>4358</v>
      </c>
      <c r="B1206" t="s">
        <v>1580</v>
      </c>
    </row>
    <row r="1207" spans="1:2" x14ac:dyDescent="0.15">
      <c r="A1207" t="s">
        <v>4565</v>
      </c>
      <c r="B1207" t="s">
        <v>4565</v>
      </c>
    </row>
    <row r="1208" spans="1:2" x14ac:dyDescent="0.15">
      <c r="A1208" t="s">
        <v>4359</v>
      </c>
      <c r="B1208" t="s">
        <v>8486</v>
      </c>
    </row>
    <row r="1209" spans="1:2" x14ac:dyDescent="0.15">
      <c r="A1209" t="s">
        <v>4360</v>
      </c>
      <c r="B1209" t="s">
        <v>8495</v>
      </c>
    </row>
    <row r="1210" spans="1:2" x14ac:dyDescent="0.15">
      <c r="A1210" t="s">
        <v>4361</v>
      </c>
      <c r="B1210" t="s">
        <v>8498</v>
      </c>
    </row>
    <row r="1211" spans="1:2" x14ac:dyDescent="0.15">
      <c r="A1211" t="s">
        <v>4362</v>
      </c>
      <c r="B1211" t="s">
        <v>8332</v>
      </c>
    </row>
    <row r="1212" spans="1:2" x14ac:dyDescent="0.15">
      <c r="A1212" t="s">
        <v>4363</v>
      </c>
      <c r="B1212" t="s">
        <v>8335</v>
      </c>
    </row>
    <row r="1213" spans="1:2" x14ac:dyDescent="0.15">
      <c r="A1213" t="s">
        <v>4364</v>
      </c>
      <c r="B1213" t="s">
        <v>8338</v>
      </c>
    </row>
    <row r="1214" spans="1:2" x14ac:dyDescent="0.15">
      <c r="A1214" t="s">
        <v>4365</v>
      </c>
      <c r="B1214" t="s">
        <v>8340</v>
      </c>
    </row>
    <row r="1215" spans="1:2" x14ac:dyDescent="0.15">
      <c r="A1215" t="s">
        <v>4366</v>
      </c>
      <c r="B1215" t="s">
        <v>8344</v>
      </c>
    </row>
    <row r="1216" spans="1:2" x14ac:dyDescent="0.15">
      <c r="A1216" t="s">
        <v>4367</v>
      </c>
      <c r="B1216" t="s">
        <v>8347</v>
      </c>
    </row>
    <row r="1217" spans="1:2" x14ac:dyDescent="0.15">
      <c r="A1217" t="s">
        <v>4368</v>
      </c>
      <c r="B1217" t="s">
        <v>1581</v>
      </c>
    </row>
    <row r="1218" spans="1:2" x14ac:dyDescent="0.15">
      <c r="A1218" t="s">
        <v>4107</v>
      </c>
      <c r="B1218" t="s">
        <v>1582</v>
      </c>
    </row>
    <row r="1219" spans="1:2" x14ac:dyDescent="0.15">
      <c r="A1219" t="s">
        <v>4108</v>
      </c>
      <c r="B1219" t="s">
        <v>8832</v>
      </c>
    </row>
    <row r="1220" spans="1:2" x14ac:dyDescent="0.15">
      <c r="A1220" t="s">
        <v>4109</v>
      </c>
      <c r="B1220" t="s">
        <v>1583</v>
      </c>
    </row>
    <row r="1221" spans="1:2" x14ac:dyDescent="0.15">
      <c r="A1221" t="s">
        <v>4110</v>
      </c>
      <c r="B1221" t="s">
        <v>1584</v>
      </c>
    </row>
    <row r="1222" spans="1:2" x14ac:dyDescent="0.15">
      <c r="A1222" t="s">
        <v>4111</v>
      </c>
      <c r="B1222" t="s">
        <v>8351</v>
      </c>
    </row>
    <row r="1223" spans="1:2" x14ac:dyDescent="0.15">
      <c r="A1223" t="s">
        <v>4112</v>
      </c>
      <c r="B1223" t="s">
        <v>8374</v>
      </c>
    </row>
    <row r="1224" spans="1:2" x14ac:dyDescent="0.15">
      <c r="A1224" t="s">
        <v>4113</v>
      </c>
      <c r="B1224" t="s">
        <v>8380</v>
      </c>
    </row>
    <row r="1225" spans="1:2" x14ac:dyDescent="0.15">
      <c r="A1225" t="s">
        <v>4114</v>
      </c>
      <c r="B1225" t="s">
        <v>8383</v>
      </c>
    </row>
    <row r="1226" spans="1:2" x14ac:dyDescent="0.15">
      <c r="A1226" t="s">
        <v>4115</v>
      </c>
      <c r="B1226" t="s">
        <v>8386</v>
      </c>
    </row>
    <row r="1227" spans="1:2" x14ac:dyDescent="0.15">
      <c r="A1227" t="s">
        <v>4116</v>
      </c>
      <c r="B1227" t="s">
        <v>8389</v>
      </c>
    </row>
    <row r="1228" spans="1:2" x14ac:dyDescent="0.15">
      <c r="A1228" t="s">
        <v>4117</v>
      </c>
      <c r="B1228" t="s">
        <v>8392</v>
      </c>
    </row>
    <row r="1229" spans="1:2" x14ac:dyDescent="0.15">
      <c r="A1229" t="s">
        <v>4118</v>
      </c>
      <c r="B1229" t="s">
        <v>8240</v>
      </c>
    </row>
    <row r="1230" spans="1:2" x14ac:dyDescent="0.15">
      <c r="A1230" t="s">
        <v>4119</v>
      </c>
      <c r="B1230" t="s">
        <v>8243</v>
      </c>
    </row>
    <row r="1231" spans="1:2" x14ac:dyDescent="0.15">
      <c r="A1231" t="s">
        <v>4120</v>
      </c>
      <c r="B1231" t="s">
        <v>1585</v>
      </c>
    </row>
    <row r="1232" spans="1:2" x14ac:dyDescent="0.15">
      <c r="A1232" t="s">
        <v>4121</v>
      </c>
      <c r="B1232" t="s">
        <v>1586</v>
      </c>
    </row>
    <row r="1233" spans="1:2" x14ac:dyDescent="0.15">
      <c r="A1233" t="s">
        <v>4122</v>
      </c>
      <c r="B1233" t="s">
        <v>6731</v>
      </c>
    </row>
    <row r="1234" spans="1:2" x14ac:dyDescent="0.15">
      <c r="A1234" t="s">
        <v>4123</v>
      </c>
      <c r="B1234" t="s">
        <v>1587</v>
      </c>
    </row>
    <row r="1235" spans="1:2" x14ac:dyDescent="0.15">
      <c r="A1235" t="s">
        <v>4124</v>
      </c>
      <c r="B1235" t="s">
        <v>1588</v>
      </c>
    </row>
    <row r="1236" spans="1:2" x14ac:dyDescent="0.15">
      <c r="A1236" t="s">
        <v>4125</v>
      </c>
      <c r="B1236" t="s">
        <v>8360</v>
      </c>
    </row>
    <row r="1237" spans="1:2" x14ac:dyDescent="0.15">
      <c r="A1237" t="s">
        <v>4126</v>
      </c>
      <c r="B1237" t="s">
        <v>1589</v>
      </c>
    </row>
    <row r="1238" spans="1:2" x14ac:dyDescent="0.15">
      <c r="A1238" t="s">
        <v>4127</v>
      </c>
      <c r="B1238" t="s">
        <v>8366</v>
      </c>
    </row>
    <row r="1239" spans="1:2" x14ac:dyDescent="0.15">
      <c r="A1239" t="s">
        <v>7883</v>
      </c>
      <c r="B1239" t="s">
        <v>1590</v>
      </c>
    </row>
    <row r="1240" spans="1:2" x14ac:dyDescent="0.15">
      <c r="A1240" t="s">
        <v>7884</v>
      </c>
      <c r="B1240" t="s">
        <v>8370</v>
      </c>
    </row>
    <row r="1241" spans="1:2" x14ac:dyDescent="0.15">
      <c r="A1241" t="s">
        <v>7885</v>
      </c>
      <c r="B1241" t="s">
        <v>1591</v>
      </c>
    </row>
    <row r="1242" spans="1:2" x14ac:dyDescent="0.15">
      <c r="A1242" t="s">
        <v>7886</v>
      </c>
      <c r="B1242" t="s">
        <v>8354</v>
      </c>
    </row>
    <row r="1243" spans="1:2" x14ac:dyDescent="0.15">
      <c r="A1243" t="s">
        <v>7887</v>
      </c>
      <c r="B1243" t="s">
        <v>1592</v>
      </c>
    </row>
    <row r="1244" spans="1:2" x14ac:dyDescent="0.15">
      <c r="A1244" t="s">
        <v>7888</v>
      </c>
      <c r="B1244" t="s">
        <v>5226</v>
      </c>
    </row>
    <row r="1245" spans="1:2" x14ac:dyDescent="0.15">
      <c r="A1245" t="s">
        <v>7889</v>
      </c>
      <c r="B1245" t="s">
        <v>8377</v>
      </c>
    </row>
    <row r="1246" spans="1:2" x14ac:dyDescent="0.15">
      <c r="A1246" t="s">
        <v>7890</v>
      </c>
      <c r="B1246" t="s">
        <v>1593</v>
      </c>
    </row>
    <row r="1247" spans="1:2" x14ac:dyDescent="0.15">
      <c r="A1247" t="s">
        <v>7891</v>
      </c>
      <c r="B1247" t="s">
        <v>8246</v>
      </c>
    </row>
    <row r="1248" spans="1:2" x14ac:dyDescent="0.15">
      <c r="A1248" t="s">
        <v>7892</v>
      </c>
      <c r="B1248" t="s">
        <v>8259</v>
      </c>
    </row>
    <row r="1249" spans="1:2" x14ac:dyDescent="0.15">
      <c r="A1249" t="s">
        <v>7893</v>
      </c>
      <c r="B1249" t="s">
        <v>1594</v>
      </c>
    </row>
    <row r="1250" spans="1:2" x14ac:dyDescent="0.15">
      <c r="A1250" t="s">
        <v>7894</v>
      </c>
      <c r="B1250" t="s">
        <v>8265</v>
      </c>
    </row>
    <row r="1251" spans="1:2" x14ac:dyDescent="0.15">
      <c r="A1251" t="s">
        <v>7895</v>
      </c>
      <c r="B1251" t="s">
        <v>8268</v>
      </c>
    </row>
    <row r="1252" spans="1:2" x14ac:dyDescent="0.15">
      <c r="A1252" t="s">
        <v>7896</v>
      </c>
      <c r="B1252" t="s">
        <v>8271</v>
      </c>
    </row>
    <row r="1253" spans="1:2" x14ac:dyDescent="0.15">
      <c r="A1253" t="s">
        <v>7897</v>
      </c>
      <c r="B1253" t="s">
        <v>8274</v>
      </c>
    </row>
    <row r="1254" spans="1:2" x14ac:dyDescent="0.15">
      <c r="A1254" t="s">
        <v>7898</v>
      </c>
      <c r="B1254" t="s">
        <v>8278</v>
      </c>
    </row>
    <row r="1255" spans="1:2" x14ac:dyDescent="0.15">
      <c r="A1255" t="s">
        <v>7899</v>
      </c>
      <c r="B1255" t="s">
        <v>8250</v>
      </c>
    </row>
    <row r="1256" spans="1:2" x14ac:dyDescent="0.15">
      <c r="A1256" t="s">
        <v>7900</v>
      </c>
      <c r="B1256" t="s">
        <v>1595</v>
      </c>
    </row>
    <row r="1257" spans="1:2" x14ac:dyDescent="0.15">
      <c r="A1257" t="s">
        <v>7901</v>
      </c>
      <c r="B1257" t="s">
        <v>8256</v>
      </c>
    </row>
    <row r="1258" spans="1:2" x14ac:dyDescent="0.15">
      <c r="A1258" t="s">
        <v>7902</v>
      </c>
      <c r="B1258" t="s">
        <v>1596</v>
      </c>
    </row>
    <row r="1259" spans="1:2" x14ac:dyDescent="0.15">
      <c r="A1259" t="s">
        <v>7903</v>
      </c>
      <c r="B1259" t="s">
        <v>1597</v>
      </c>
    </row>
    <row r="1260" spans="1:2" x14ac:dyDescent="0.15">
      <c r="A1260" t="s">
        <v>7904</v>
      </c>
      <c r="B1260" t="s">
        <v>1598</v>
      </c>
    </row>
    <row r="1261" spans="1:2" x14ac:dyDescent="0.15">
      <c r="A1261" t="s">
        <v>7905</v>
      </c>
      <c r="B1261" t="s">
        <v>1599</v>
      </c>
    </row>
    <row r="1262" spans="1:2" x14ac:dyDescent="0.15">
      <c r="A1262" t="s">
        <v>7906</v>
      </c>
      <c r="B1262" t="s">
        <v>1600</v>
      </c>
    </row>
    <row r="1263" spans="1:2" x14ac:dyDescent="0.15">
      <c r="A1263" t="s">
        <v>7907</v>
      </c>
      <c r="B1263" t="s">
        <v>1601</v>
      </c>
    </row>
    <row r="1264" spans="1:2" x14ac:dyDescent="0.15">
      <c r="A1264" t="s">
        <v>7908</v>
      </c>
      <c r="B1264" t="s">
        <v>1602</v>
      </c>
    </row>
    <row r="1265" spans="1:2" x14ac:dyDescent="0.15">
      <c r="A1265" t="s">
        <v>7909</v>
      </c>
      <c r="B1265" t="s">
        <v>1603</v>
      </c>
    </row>
    <row r="1266" spans="1:2" x14ac:dyDescent="0.15">
      <c r="A1266" t="s">
        <v>7910</v>
      </c>
      <c r="B1266" t="s">
        <v>1604</v>
      </c>
    </row>
    <row r="1267" spans="1:2" x14ac:dyDescent="0.15">
      <c r="A1267" t="s">
        <v>7911</v>
      </c>
      <c r="B1267" t="s">
        <v>1605</v>
      </c>
    </row>
    <row r="1268" spans="1:2" x14ac:dyDescent="0.15">
      <c r="A1268" t="s">
        <v>7912</v>
      </c>
      <c r="B1268" t="s">
        <v>1606</v>
      </c>
    </row>
    <row r="1269" spans="1:2" x14ac:dyDescent="0.15">
      <c r="A1269" t="s">
        <v>7913</v>
      </c>
      <c r="B1269" t="s">
        <v>1607</v>
      </c>
    </row>
    <row r="1270" spans="1:2" x14ac:dyDescent="0.15">
      <c r="A1270" t="s">
        <v>7914</v>
      </c>
      <c r="B1270" t="s">
        <v>1608</v>
      </c>
    </row>
    <row r="1271" spans="1:2" x14ac:dyDescent="0.15">
      <c r="A1271" t="s">
        <v>7915</v>
      </c>
      <c r="B1271" t="s">
        <v>1609</v>
      </c>
    </row>
    <row r="1272" spans="1:2" x14ac:dyDescent="0.15">
      <c r="A1272" t="s">
        <v>7916</v>
      </c>
      <c r="B1272" t="s">
        <v>1610</v>
      </c>
    </row>
    <row r="1273" spans="1:2" x14ac:dyDescent="0.15">
      <c r="A1273" t="s">
        <v>7917</v>
      </c>
      <c r="B1273" t="s">
        <v>1611</v>
      </c>
    </row>
    <row r="1274" spans="1:2" x14ac:dyDescent="0.15">
      <c r="A1274" t="s">
        <v>7918</v>
      </c>
      <c r="B1274" t="s">
        <v>1612</v>
      </c>
    </row>
    <row r="1275" spans="1:2" x14ac:dyDescent="0.15">
      <c r="A1275" t="s">
        <v>7919</v>
      </c>
      <c r="B1275" t="s">
        <v>1613</v>
      </c>
    </row>
    <row r="1276" spans="1:2" x14ac:dyDescent="0.15">
      <c r="A1276" t="s">
        <v>7920</v>
      </c>
      <c r="B1276" t="s">
        <v>1614</v>
      </c>
    </row>
    <row r="1277" spans="1:2" x14ac:dyDescent="0.15">
      <c r="A1277" t="s">
        <v>7921</v>
      </c>
      <c r="B1277" t="s">
        <v>1615</v>
      </c>
    </row>
    <row r="1278" spans="1:2" x14ac:dyDescent="0.15">
      <c r="A1278" t="s">
        <v>7922</v>
      </c>
      <c r="B1278" t="s">
        <v>1616</v>
      </c>
    </row>
    <row r="1279" spans="1:2" x14ac:dyDescent="0.15">
      <c r="A1279" t="s">
        <v>7923</v>
      </c>
      <c r="B1279" t="s">
        <v>1617</v>
      </c>
    </row>
    <row r="1280" spans="1:2" x14ac:dyDescent="0.15">
      <c r="A1280" t="s">
        <v>7924</v>
      </c>
      <c r="B1280" t="s">
        <v>1618</v>
      </c>
    </row>
    <row r="1281" spans="1:2" x14ac:dyDescent="0.15">
      <c r="A1281" t="s">
        <v>7925</v>
      </c>
      <c r="B1281" t="s">
        <v>1619</v>
      </c>
    </row>
    <row r="1282" spans="1:2" x14ac:dyDescent="0.15">
      <c r="A1282" t="s">
        <v>7926</v>
      </c>
      <c r="B1282" t="s">
        <v>1620</v>
      </c>
    </row>
    <row r="1283" spans="1:2" x14ac:dyDescent="0.15">
      <c r="A1283" t="s">
        <v>7927</v>
      </c>
      <c r="B1283" t="s">
        <v>1621</v>
      </c>
    </row>
    <row r="1284" spans="1:2" x14ac:dyDescent="0.15">
      <c r="A1284" t="s">
        <v>7928</v>
      </c>
      <c r="B1284" t="s">
        <v>1622</v>
      </c>
    </row>
    <row r="1285" spans="1:2" x14ac:dyDescent="0.15">
      <c r="A1285" t="s">
        <v>7929</v>
      </c>
      <c r="B1285" t="s">
        <v>1623</v>
      </c>
    </row>
    <row r="1286" spans="1:2" x14ac:dyDescent="0.15">
      <c r="A1286" t="s">
        <v>7930</v>
      </c>
      <c r="B1286" t="s">
        <v>1624</v>
      </c>
    </row>
    <row r="1287" spans="1:2" x14ac:dyDescent="0.15">
      <c r="A1287" t="s">
        <v>7931</v>
      </c>
      <c r="B1287" t="s">
        <v>1625</v>
      </c>
    </row>
    <row r="1288" spans="1:2" x14ac:dyDescent="0.15">
      <c r="A1288" t="s">
        <v>7932</v>
      </c>
      <c r="B1288" t="s">
        <v>1626</v>
      </c>
    </row>
    <row r="1289" spans="1:2" x14ac:dyDescent="0.15">
      <c r="A1289" t="s">
        <v>7933</v>
      </c>
      <c r="B1289" t="s">
        <v>1627</v>
      </c>
    </row>
    <row r="1290" spans="1:2" x14ac:dyDescent="0.15">
      <c r="A1290" t="s">
        <v>7934</v>
      </c>
      <c r="B1290" t="s">
        <v>1628</v>
      </c>
    </row>
    <row r="1291" spans="1:2" x14ac:dyDescent="0.15">
      <c r="A1291" t="s">
        <v>7935</v>
      </c>
      <c r="B1291" t="s">
        <v>1629</v>
      </c>
    </row>
    <row r="1292" spans="1:2" x14ac:dyDescent="0.15">
      <c r="A1292" t="s">
        <v>4566</v>
      </c>
      <c r="B1292" t="s">
        <v>4566</v>
      </c>
    </row>
    <row r="1293" spans="1:2" x14ac:dyDescent="0.15">
      <c r="A1293" t="s">
        <v>4567</v>
      </c>
      <c r="B1293" t="s">
        <v>4567</v>
      </c>
    </row>
    <row r="1294" spans="1:2" x14ac:dyDescent="0.15">
      <c r="A1294" t="s">
        <v>7936</v>
      </c>
      <c r="B1294" t="s">
        <v>1630</v>
      </c>
    </row>
    <row r="1295" spans="1:2" x14ac:dyDescent="0.15">
      <c r="A1295" t="s">
        <v>7937</v>
      </c>
      <c r="B1295" t="s">
        <v>1631</v>
      </c>
    </row>
    <row r="1296" spans="1:2" x14ac:dyDescent="0.15">
      <c r="A1296" t="s">
        <v>7938</v>
      </c>
      <c r="B1296" t="s">
        <v>1632</v>
      </c>
    </row>
    <row r="1297" spans="1:2" x14ac:dyDescent="0.15">
      <c r="A1297" t="s">
        <v>7939</v>
      </c>
      <c r="B1297" t="s">
        <v>1633</v>
      </c>
    </row>
    <row r="1298" spans="1:2" x14ac:dyDescent="0.15">
      <c r="A1298" t="s">
        <v>7940</v>
      </c>
      <c r="B1298" t="s">
        <v>1634</v>
      </c>
    </row>
    <row r="1299" spans="1:2" x14ac:dyDescent="0.15">
      <c r="A1299" t="s">
        <v>7941</v>
      </c>
      <c r="B1299" t="s">
        <v>3374</v>
      </c>
    </row>
    <row r="1300" spans="1:2" x14ac:dyDescent="0.15">
      <c r="A1300" t="s">
        <v>7942</v>
      </c>
      <c r="B1300" t="s">
        <v>1635</v>
      </c>
    </row>
    <row r="1301" spans="1:2" x14ac:dyDescent="0.15">
      <c r="A1301" t="s">
        <v>7943</v>
      </c>
      <c r="B1301" t="s">
        <v>1636</v>
      </c>
    </row>
    <row r="1302" spans="1:2" x14ac:dyDescent="0.15">
      <c r="A1302" t="s">
        <v>7944</v>
      </c>
      <c r="B1302" t="s">
        <v>1637</v>
      </c>
    </row>
    <row r="1303" spans="1:2" x14ac:dyDescent="0.15">
      <c r="A1303" t="s">
        <v>7945</v>
      </c>
      <c r="B1303" t="s">
        <v>1638</v>
      </c>
    </row>
    <row r="1304" spans="1:2" x14ac:dyDescent="0.15">
      <c r="A1304" t="s">
        <v>7946</v>
      </c>
      <c r="B1304" t="s">
        <v>1639</v>
      </c>
    </row>
    <row r="1305" spans="1:2" x14ac:dyDescent="0.15">
      <c r="A1305" t="s">
        <v>7947</v>
      </c>
      <c r="B1305" t="s">
        <v>3389</v>
      </c>
    </row>
    <row r="1306" spans="1:2" x14ac:dyDescent="0.15">
      <c r="A1306" t="s">
        <v>7948</v>
      </c>
      <c r="B1306" t="s">
        <v>1640</v>
      </c>
    </row>
    <row r="1307" spans="1:2" x14ac:dyDescent="0.15">
      <c r="A1307" t="s">
        <v>7949</v>
      </c>
      <c r="B1307" t="s">
        <v>1641</v>
      </c>
    </row>
    <row r="1308" spans="1:2" x14ac:dyDescent="0.15">
      <c r="A1308" t="s">
        <v>7950</v>
      </c>
      <c r="B1308" t="s">
        <v>1642</v>
      </c>
    </row>
    <row r="1309" spans="1:2" x14ac:dyDescent="0.15">
      <c r="A1309" t="s">
        <v>7951</v>
      </c>
      <c r="B1309" t="s">
        <v>1643</v>
      </c>
    </row>
    <row r="1310" spans="1:2" x14ac:dyDescent="0.15">
      <c r="A1310" t="s">
        <v>7952</v>
      </c>
      <c r="B1310" t="s">
        <v>1644</v>
      </c>
    </row>
    <row r="1311" spans="1:2" x14ac:dyDescent="0.15">
      <c r="A1311" t="s">
        <v>7953</v>
      </c>
      <c r="B1311" t="s">
        <v>1645</v>
      </c>
    </row>
    <row r="1312" spans="1:2" x14ac:dyDescent="0.15">
      <c r="A1312" t="s">
        <v>7954</v>
      </c>
      <c r="B1312" t="s">
        <v>1646</v>
      </c>
    </row>
    <row r="1313" spans="1:2" x14ac:dyDescent="0.15">
      <c r="A1313" t="s">
        <v>7955</v>
      </c>
      <c r="B1313" t="s">
        <v>1647</v>
      </c>
    </row>
    <row r="1314" spans="1:2" x14ac:dyDescent="0.15">
      <c r="A1314" t="s">
        <v>7956</v>
      </c>
      <c r="B1314" t="s">
        <v>4855</v>
      </c>
    </row>
    <row r="1315" spans="1:2" x14ac:dyDescent="0.15">
      <c r="A1315" t="s">
        <v>4568</v>
      </c>
      <c r="B1315" t="s">
        <v>4568</v>
      </c>
    </row>
    <row r="1316" spans="1:2" x14ac:dyDescent="0.15">
      <c r="A1316" t="s">
        <v>7957</v>
      </c>
      <c r="B1316" t="s">
        <v>1648</v>
      </c>
    </row>
    <row r="1317" spans="1:2" x14ac:dyDescent="0.15">
      <c r="A1317" t="s">
        <v>6941</v>
      </c>
      <c r="B1317" t="s">
        <v>1649</v>
      </c>
    </row>
    <row r="1318" spans="1:2" x14ac:dyDescent="0.15">
      <c r="A1318" t="s">
        <v>6942</v>
      </c>
      <c r="B1318" t="s">
        <v>3503</v>
      </c>
    </row>
    <row r="1319" spans="1:2" x14ac:dyDescent="0.15">
      <c r="A1319" t="s">
        <v>6943</v>
      </c>
      <c r="B1319" t="s">
        <v>1650</v>
      </c>
    </row>
    <row r="1320" spans="1:2" x14ac:dyDescent="0.15">
      <c r="A1320" t="s">
        <v>6944</v>
      </c>
      <c r="B1320" t="s">
        <v>1651</v>
      </c>
    </row>
    <row r="1321" spans="1:2" x14ac:dyDescent="0.15">
      <c r="A1321" t="s">
        <v>6945</v>
      </c>
      <c r="B1321" t="s">
        <v>1652</v>
      </c>
    </row>
    <row r="1322" spans="1:2" x14ac:dyDescent="0.15">
      <c r="A1322" t="s">
        <v>6946</v>
      </c>
      <c r="B1322" t="s">
        <v>1653</v>
      </c>
    </row>
    <row r="1323" spans="1:2" x14ac:dyDescent="0.15">
      <c r="A1323" t="s">
        <v>6947</v>
      </c>
      <c r="B1323" t="s">
        <v>1654</v>
      </c>
    </row>
    <row r="1324" spans="1:2" x14ac:dyDescent="0.15">
      <c r="A1324" t="s">
        <v>6948</v>
      </c>
      <c r="B1324" t="s">
        <v>1655</v>
      </c>
    </row>
    <row r="1325" spans="1:2" x14ac:dyDescent="0.15">
      <c r="A1325" t="s">
        <v>6949</v>
      </c>
      <c r="B1325" t="s">
        <v>1656</v>
      </c>
    </row>
    <row r="1326" spans="1:2" x14ac:dyDescent="0.15">
      <c r="A1326" t="s">
        <v>6950</v>
      </c>
      <c r="B1326" t="s">
        <v>1657</v>
      </c>
    </row>
    <row r="1327" spans="1:2" x14ac:dyDescent="0.15">
      <c r="A1327" t="s">
        <v>6951</v>
      </c>
      <c r="B1327" t="s">
        <v>1658</v>
      </c>
    </row>
    <row r="1328" spans="1:2" x14ac:dyDescent="0.15">
      <c r="A1328" t="s">
        <v>6952</v>
      </c>
      <c r="B1328" t="s">
        <v>1659</v>
      </c>
    </row>
    <row r="1329" spans="1:2" x14ac:dyDescent="0.15">
      <c r="A1329" t="s">
        <v>6953</v>
      </c>
      <c r="B1329" t="s">
        <v>1660</v>
      </c>
    </row>
    <row r="1330" spans="1:2" x14ac:dyDescent="0.15">
      <c r="A1330" t="s">
        <v>6954</v>
      </c>
      <c r="B1330" t="s">
        <v>1661</v>
      </c>
    </row>
    <row r="1331" spans="1:2" x14ac:dyDescent="0.15">
      <c r="A1331" t="s">
        <v>6955</v>
      </c>
      <c r="B1331" t="s">
        <v>3396</v>
      </c>
    </row>
    <row r="1332" spans="1:2" x14ac:dyDescent="0.15">
      <c r="A1332" t="s">
        <v>6956</v>
      </c>
      <c r="B1332" t="s">
        <v>3390</v>
      </c>
    </row>
    <row r="1333" spans="1:2" x14ac:dyDescent="0.15">
      <c r="A1333" t="s">
        <v>6957</v>
      </c>
      <c r="B1333" t="s">
        <v>1662</v>
      </c>
    </row>
    <row r="1334" spans="1:2" x14ac:dyDescent="0.15">
      <c r="A1334" t="s">
        <v>6958</v>
      </c>
      <c r="B1334" t="s">
        <v>1663</v>
      </c>
    </row>
    <row r="1335" spans="1:2" x14ac:dyDescent="0.15">
      <c r="A1335" t="s">
        <v>6959</v>
      </c>
      <c r="B1335" t="s">
        <v>1664</v>
      </c>
    </row>
    <row r="1336" spans="1:2" x14ac:dyDescent="0.15">
      <c r="A1336" t="s">
        <v>6960</v>
      </c>
      <c r="B1336" t="s">
        <v>1665</v>
      </c>
    </row>
    <row r="1337" spans="1:2" x14ac:dyDescent="0.15">
      <c r="A1337" t="s">
        <v>6961</v>
      </c>
      <c r="B1337" t="s">
        <v>3509</v>
      </c>
    </row>
    <row r="1338" spans="1:2" x14ac:dyDescent="0.15">
      <c r="A1338" t="s">
        <v>6962</v>
      </c>
      <c r="B1338" t="s">
        <v>1666</v>
      </c>
    </row>
    <row r="1339" spans="1:2" x14ac:dyDescent="0.15">
      <c r="A1339" t="s">
        <v>6963</v>
      </c>
      <c r="B1339" t="s">
        <v>3371</v>
      </c>
    </row>
    <row r="1340" spans="1:2" x14ac:dyDescent="0.15">
      <c r="A1340" t="s">
        <v>6964</v>
      </c>
      <c r="B1340" t="s">
        <v>1667</v>
      </c>
    </row>
    <row r="1341" spans="1:2" x14ac:dyDescent="0.15">
      <c r="A1341" t="s">
        <v>6965</v>
      </c>
      <c r="B1341" t="s">
        <v>1668</v>
      </c>
    </row>
    <row r="1342" spans="1:2" x14ac:dyDescent="0.15">
      <c r="A1342" t="s">
        <v>6966</v>
      </c>
      <c r="B1342" t="s">
        <v>1669</v>
      </c>
    </row>
    <row r="1343" spans="1:2" x14ac:dyDescent="0.15">
      <c r="A1343" t="s">
        <v>6967</v>
      </c>
      <c r="B1343" t="s">
        <v>3519</v>
      </c>
    </row>
    <row r="1344" spans="1:2" x14ac:dyDescent="0.15">
      <c r="A1344" t="s">
        <v>6968</v>
      </c>
      <c r="B1344" t="s">
        <v>1670</v>
      </c>
    </row>
    <row r="1345" spans="1:2" x14ac:dyDescent="0.15">
      <c r="A1345" t="s">
        <v>6969</v>
      </c>
      <c r="B1345" t="s">
        <v>1671</v>
      </c>
    </row>
    <row r="1346" spans="1:2" x14ac:dyDescent="0.15">
      <c r="A1346" t="s">
        <v>6970</v>
      </c>
      <c r="B1346" t="s">
        <v>1672</v>
      </c>
    </row>
    <row r="1347" spans="1:2" x14ac:dyDescent="0.15">
      <c r="A1347" t="s">
        <v>6971</v>
      </c>
      <c r="B1347" t="s">
        <v>1673</v>
      </c>
    </row>
    <row r="1348" spans="1:2" x14ac:dyDescent="0.15">
      <c r="A1348" t="s">
        <v>6972</v>
      </c>
      <c r="B1348" t="s">
        <v>1674</v>
      </c>
    </row>
    <row r="1349" spans="1:2" x14ac:dyDescent="0.15">
      <c r="A1349" t="s">
        <v>6973</v>
      </c>
      <c r="B1349" t="s">
        <v>1675</v>
      </c>
    </row>
    <row r="1350" spans="1:2" x14ac:dyDescent="0.15">
      <c r="A1350" t="s">
        <v>6974</v>
      </c>
      <c r="B1350" t="s">
        <v>1676</v>
      </c>
    </row>
    <row r="1351" spans="1:2" x14ac:dyDescent="0.15">
      <c r="A1351" t="s">
        <v>6975</v>
      </c>
      <c r="B1351" t="s">
        <v>1677</v>
      </c>
    </row>
    <row r="1352" spans="1:2" x14ac:dyDescent="0.15">
      <c r="A1352" t="s">
        <v>6976</v>
      </c>
      <c r="B1352" t="s">
        <v>1678</v>
      </c>
    </row>
    <row r="1353" spans="1:2" x14ac:dyDescent="0.15">
      <c r="A1353" t="s">
        <v>6977</v>
      </c>
      <c r="B1353" t="s">
        <v>1679</v>
      </c>
    </row>
    <row r="1354" spans="1:2" x14ac:dyDescent="0.15">
      <c r="A1354" t="s">
        <v>6978</v>
      </c>
      <c r="B1354" t="s">
        <v>1680</v>
      </c>
    </row>
    <row r="1355" spans="1:2" x14ac:dyDescent="0.15">
      <c r="A1355" t="s">
        <v>6979</v>
      </c>
      <c r="B1355" t="s">
        <v>3383</v>
      </c>
    </row>
    <row r="1356" spans="1:2" x14ac:dyDescent="0.15">
      <c r="A1356" t="s">
        <v>816</v>
      </c>
      <c r="B1356" t="s">
        <v>1681</v>
      </c>
    </row>
    <row r="1357" spans="1:2" x14ac:dyDescent="0.15">
      <c r="A1357" t="s">
        <v>817</v>
      </c>
      <c r="B1357" t="s">
        <v>1682</v>
      </c>
    </row>
    <row r="1358" spans="1:2" x14ac:dyDescent="0.15">
      <c r="A1358" t="s">
        <v>818</v>
      </c>
      <c r="B1358" t="s">
        <v>1683</v>
      </c>
    </row>
    <row r="1359" spans="1:2" x14ac:dyDescent="0.15">
      <c r="A1359" t="s">
        <v>819</v>
      </c>
      <c r="B1359" t="s">
        <v>7184</v>
      </c>
    </row>
    <row r="1360" spans="1:2" x14ac:dyDescent="0.15">
      <c r="A1360" t="s">
        <v>820</v>
      </c>
      <c r="B1360" t="s">
        <v>1684</v>
      </c>
    </row>
    <row r="1361" spans="1:2" x14ac:dyDescent="0.15">
      <c r="A1361" t="s">
        <v>821</v>
      </c>
      <c r="B1361" t="s">
        <v>1685</v>
      </c>
    </row>
    <row r="1362" spans="1:2" x14ac:dyDescent="0.15">
      <c r="A1362" t="s">
        <v>822</v>
      </c>
      <c r="B1362" t="s">
        <v>3512</v>
      </c>
    </row>
    <row r="1363" spans="1:2" x14ac:dyDescent="0.15">
      <c r="A1363" t="s">
        <v>823</v>
      </c>
      <c r="B1363" t="s">
        <v>1686</v>
      </c>
    </row>
    <row r="1364" spans="1:2" x14ac:dyDescent="0.15">
      <c r="A1364" t="s">
        <v>824</v>
      </c>
      <c r="B1364" t="s">
        <v>1687</v>
      </c>
    </row>
    <row r="1365" spans="1:2" x14ac:dyDescent="0.15">
      <c r="A1365" t="s">
        <v>825</v>
      </c>
      <c r="B1365" t="s">
        <v>3496</v>
      </c>
    </row>
    <row r="1366" spans="1:2" x14ac:dyDescent="0.15">
      <c r="A1366" t="s">
        <v>826</v>
      </c>
      <c r="B1366" t="s">
        <v>1688</v>
      </c>
    </row>
    <row r="1367" spans="1:2" x14ac:dyDescent="0.15">
      <c r="A1367" t="s">
        <v>827</v>
      </c>
      <c r="B1367" t="s">
        <v>1689</v>
      </c>
    </row>
    <row r="1368" spans="1:2" x14ac:dyDescent="0.15">
      <c r="A1368" t="s">
        <v>828</v>
      </c>
      <c r="B1368" t="s">
        <v>1690</v>
      </c>
    </row>
    <row r="1369" spans="1:2" x14ac:dyDescent="0.15">
      <c r="A1369" t="s">
        <v>829</v>
      </c>
      <c r="B1369" t="s">
        <v>1691</v>
      </c>
    </row>
    <row r="1370" spans="1:2" x14ac:dyDescent="0.15">
      <c r="A1370" t="s">
        <v>830</v>
      </c>
      <c r="B1370" t="s">
        <v>1692</v>
      </c>
    </row>
    <row r="1371" spans="1:2" x14ac:dyDescent="0.15">
      <c r="A1371" t="s">
        <v>831</v>
      </c>
      <c r="B1371" t="s">
        <v>1693</v>
      </c>
    </row>
    <row r="1372" spans="1:2" x14ac:dyDescent="0.15">
      <c r="A1372" t="s">
        <v>832</v>
      </c>
      <c r="B1372" t="s">
        <v>1694</v>
      </c>
    </row>
    <row r="1373" spans="1:2" x14ac:dyDescent="0.15">
      <c r="A1373" t="s">
        <v>833</v>
      </c>
      <c r="B1373" t="s">
        <v>1695</v>
      </c>
    </row>
    <row r="1374" spans="1:2" x14ac:dyDescent="0.15">
      <c r="A1374" t="s">
        <v>834</v>
      </c>
      <c r="B1374" t="s">
        <v>7388</v>
      </c>
    </row>
    <row r="1375" spans="1:2" x14ac:dyDescent="0.15">
      <c r="A1375" t="s">
        <v>835</v>
      </c>
      <c r="B1375" t="s">
        <v>3364</v>
      </c>
    </row>
    <row r="1376" spans="1:2" x14ac:dyDescent="0.15">
      <c r="A1376" t="s">
        <v>836</v>
      </c>
      <c r="B1376" t="s">
        <v>1696</v>
      </c>
    </row>
    <row r="1377" spans="1:2" x14ac:dyDescent="0.15">
      <c r="A1377" t="s">
        <v>837</v>
      </c>
      <c r="B1377" t="s">
        <v>1697</v>
      </c>
    </row>
    <row r="1378" spans="1:2" x14ac:dyDescent="0.15">
      <c r="A1378" t="s">
        <v>838</v>
      </c>
      <c r="B1378" t="s">
        <v>1698</v>
      </c>
    </row>
    <row r="1379" spans="1:2" x14ac:dyDescent="0.15">
      <c r="A1379" t="s">
        <v>839</v>
      </c>
      <c r="B1379" t="s">
        <v>5378</v>
      </c>
    </row>
    <row r="1380" spans="1:2" x14ac:dyDescent="0.15">
      <c r="A1380" t="s">
        <v>840</v>
      </c>
      <c r="B1380" t="s">
        <v>1699</v>
      </c>
    </row>
    <row r="1381" spans="1:2" x14ac:dyDescent="0.15">
      <c r="A1381" t="s">
        <v>841</v>
      </c>
      <c r="B1381" t="s">
        <v>1700</v>
      </c>
    </row>
    <row r="1382" spans="1:2" x14ac:dyDescent="0.15">
      <c r="A1382" t="s">
        <v>842</v>
      </c>
      <c r="B1382" t="s">
        <v>6085</v>
      </c>
    </row>
    <row r="1383" spans="1:2" x14ac:dyDescent="0.15">
      <c r="A1383" t="s">
        <v>843</v>
      </c>
      <c r="B1383" t="s">
        <v>7293</v>
      </c>
    </row>
    <row r="1384" spans="1:2" x14ac:dyDescent="0.15">
      <c r="A1384" t="s">
        <v>844</v>
      </c>
      <c r="B1384" t="s">
        <v>1701</v>
      </c>
    </row>
    <row r="1385" spans="1:2" x14ac:dyDescent="0.15">
      <c r="A1385" t="s">
        <v>845</v>
      </c>
      <c r="B1385" t="s">
        <v>1702</v>
      </c>
    </row>
    <row r="1386" spans="1:2" x14ac:dyDescent="0.15">
      <c r="A1386" t="s">
        <v>846</v>
      </c>
      <c r="B1386" t="s">
        <v>7296</v>
      </c>
    </row>
    <row r="1387" spans="1:2" x14ac:dyDescent="0.15">
      <c r="A1387" t="s">
        <v>847</v>
      </c>
      <c r="B1387" t="s">
        <v>3488</v>
      </c>
    </row>
    <row r="1388" spans="1:2" x14ac:dyDescent="0.15">
      <c r="A1388" t="s">
        <v>848</v>
      </c>
      <c r="B1388" t="s">
        <v>7296</v>
      </c>
    </row>
    <row r="1389" spans="1:2" x14ac:dyDescent="0.15">
      <c r="A1389" t="s">
        <v>849</v>
      </c>
      <c r="B1389" t="s">
        <v>1703</v>
      </c>
    </row>
    <row r="1390" spans="1:2" x14ac:dyDescent="0.15">
      <c r="A1390" t="s">
        <v>850</v>
      </c>
      <c r="B1390" t="s">
        <v>6090</v>
      </c>
    </row>
    <row r="1391" spans="1:2" x14ac:dyDescent="0.15">
      <c r="A1391" t="s">
        <v>4569</v>
      </c>
      <c r="B1391" t="s">
        <v>4569</v>
      </c>
    </row>
    <row r="1392" spans="1:2" x14ac:dyDescent="0.15">
      <c r="A1392" t="s">
        <v>851</v>
      </c>
      <c r="B1392" t="s">
        <v>1443</v>
      </c>
    </row>
    <row r="1393" spans="1:2" x14ac:dyDescent="0.15">
      <c r="A1393" t="s">
        <v>852</v>
      </c>
      <c r="B1393" t="s">
        <v>5226</v>
      </c>
    </row>
    <row r="1394" spans="1:2" x14ac:dyDescent="0.15">
      <c r="A1394" t="s">
        <v>853</v>
      </c>
      <c r="B1394" t="s">
        <v>1444</v>
      </c>
    </row>
    <row r="1395" spans="1:2" x14ac:dyDescent="0.15">
      <c r="A1395" t="s">
        <v>4570</v>
      </c>
      <c r="B1395" t="s">
        <v>4570</v>
      </c>
    </row>
    <row r="1396" spans="1:2" x14ac:dyDescent="0.15">
      <c r="A1396" t="s">
        <v>854</v>
      </c>
      <c r="B1396" t="s">
        <v>1445</v>
      </c>
    </row>
    <row r="1397" spans="1:2" x14ac:dyDescent="0.15">
      <c r="A1397" t="s">
        <v>855</v>
      </c>
      <c r="B1397" t="s">
        <v>1446</v>
      </c>
    </row>
    <row r="1398" spans="1:2" x14ac:dyDescent="0.15">
      <c r="A1398" t="s">
        <v>856</v>
      </c>
      <c r="B1398" t="s">
        <v>7304</v>
      </c>
    </row>
    <row r="1399" spans="1:2" x14ac:dyDescent="0.15">
      <c r="A1399" t="s">
        <v>857</v>
      </c>
      <c r="B1399" t="s">
        <v>1447</v>
      </c>
    </row>
    <row r="1400" spans="1:2" x14ac:dyDescent="0.15">
      <c r="A1400" t="s">
        <v>3973</v>
      </c>
      <c r="B1400" t="s">
        <v>7306</v>
      </c>
    </row>
    <row r="1401" spans="1:2" x14ac:dyDescent="0.15">
      <c r="A1401" t="s">
        <v>3974</v>
      </c>
      <c r="B1401" t="s">
        <v>7302</v>
      </c>
    </row>
    <row r="1402" spans="1:2" x14ac:dyDescent="0.15">
      <c r="A1402" t="s">
        <v>3975</v>
      </c>
      <c r="B1402" t="s">
        <v>7308</v>
      </c>
    </row>
    <row r="1403" spans="1:2" x14ac:dyDescent="0.15">
      <c r="A1403" t="s">
        <v>3976</v>
      </c>
      <c r="B1403" t="s">
        <v>1448</v>
      </c>
    </row>
    <row r="1404" spans="1:2" x14ac:dyDescent="0.15">
      <c r="A1404" t="s">
        <v>3977</v>
      </c>
      <c r="B1404" t="s">
        <v>1449</v>
      </c>
    </row>
    <row r="1405" spans="1:2" x14ac:dyDescent="0.15">
      <c r="A1405" t="s">
        <v>3978</v>
      </c>
      <c r="B1405" t="s">
        <v>1450</v>
      </c>
    </row>
    <row r="1406" spans="1:2" x14ac:dyDescent="0.15">
      <c r="A1406" t="s">
        <v>3979</v>
      </c>
      <c r="B1406" t="s">
        <v>1451</v>
      </c>
    </row>
    <row r="1407" spans="1:2" x14ac:dyDescent="0.15">
      <c r="A1407" t="s">
        <v>3980</v>
      </c>
      <c r="B1407" t="s">
        <v>1452</v>
      </c>
    </row>
    <row r="1408" spans="1:2" x14ac:dyDescent="0.15">
      <c r="A1408" t="s">
        <v>3981</v>
      </c>
      <c r="B1408" t="s">
        <v>8374</v>
      </c>
    </row>
    <row r="1409" spans="1:2" x14ac:dyDescent="0.15">
      <c r="A1409" t="s">
        <v>3982</v>
      </c>
      <c r="B1409" t="s">
        <v>3481</v>
      </c>
    </row>
    <row r="1410" spans="1:2" x14ac:dyDescent="0.15">
      <c r="A1410" t="s">
        <v>3983</v>
      </c>
      <c r="B1410" t="s">
        <v>8282</v>
      </c>
    </row>
    <row r="1411" spans="1:2" x14ac:dyDescent="0.15">
      <c r="A1411" t="s">
        <v>3984</v>
      </c>
      <c r="B1411" t="s">
        <v>1453</v>
      </c>
    </row>
    <row r="1412" spans="1:2" x14ac:dyDescent="0.15">
      <c r="A1412" t="s">
        <v>3985</v>
      </c>
      <c r="B1412" t="s">
        <v>6087</v>
      </c>
    </row>
    <row r="1413" spans="1:2" x14ac:dyDescent="0.15">
      <c r="A1413" t="s">
        <v>3986</v>
      </c>
      <c r="B1413" t="s">
        <v>7182</v>
      </c>
    </row>
    <row r="1414" spans="1:2" x14ac:dyDescent="0.15">
      <c r="A1414" t="s">
        <v>3987</v>
      </c>
      <c r="B1414" t="s">
        <v>1454</v>
      </c>
    </row>
    <row r="1415" spans="1:2" x14ac:dyDescent="0.15">
      <c r="A1415" t="s">
        <v>3988</v>
      </c>
      <c r="B1415" t="s">
        <v>1455</v>
      </c>
    </row>
    <row r="1416" spans="1:2" x14ac:dyDescent="0.15">
      <c r="A1416" t="s">
        <v>3989</v>
      </c>
      <c r="B1416" t="s">
        <v>1456</v>
      </c>
    </row>
    <row r="1417" spans="1:2" x14ac:dyDescent="0.15">
      <c r="A1417" t="s">
        <v>3990</v>
      </c>
      <c r="B1417" t="s">
        <v>1457</v>
      </c>
    </row>
    <row r="1418" spans="1:2" x14ac:dyDescent="0.15">
      <c r="A1418" t="s">
        <v>3991</v>
      </c>
      <c r="B1418" t="s">
        <v>2148</v>
      </c>
    </row>
    <row r="1419" spans="1:2" x14ac:dyDescent="0.15">
      <c r="A1419" t="s">
        <v>3992</v>
      </c>
      <c r="B1419" t="s">
        <v>8289</v>
      </c>
    </row>
    <row r="1420" spans="1:2" x14ac:dyDescent="0.15">
      <c r="A1420" t="s">
        <v>3993</v>
      </c>
      <c r="B1420" t="s">
        <v>5363</v>
      </c>
    </row>
    <row r="1421" spans="1:2" x14ac:dyDescent="0.15">
      <c r="A1421" t="s">
        <v>3994</v>
      </c>
      <c r="B1421" t="s">
        <v>5366</v>
      </c>
    </row>
    <row r="1422" spans="1:2" x14ac:dyDescent="0.15">
      <c r="A1422" t="s">
        <v>3995</v>
      </c>
      <c r="B1422" t="s">
        <v>5369</v>
      </c>
    </row>
    <row r="1423" spans="1:2" x14ac:dyDescent="0.15">
      <c r="A1423" t="s">
        <v>3996</v>
      </c>
      <c r="B1423" t="s">
        <v>5374</v>
      </c>
    </row>
    <row r="1424" spans="1:2" x14ac:dyDescent="0.15">
      <c r="A1424" t="s">
        <v>3997</v>
      </c>
      <c r="B1424" t="s">
        <v>5378</v>
      </c>
    </row>
    <row r="1425" spans="1:2" x14ac:dyDescent="0.15">
      <c r="A1425" t="s">
        <v>3998</v>
      </c>
      <c r="B1425" t="s">
        <v>5381</v>
      </c>
    </row>
    <row r="1426" spans="1:2" x14ac:dyDescent="0.15">
      <c r="A1426" t="s">
        <v>3999</v>
      </c>
      <c r="B1426" t="s">
        <v>1458</v>
      </c>
    </row>
    <row r="1427" spans="1:2" x14ac:dyDescent="0.15">
      <c r="A1427" t="s">
        <v>4000</v>
      </c>
      <c r="B1427" t="s">
        <v>1459</v>
      </c>
    </row>
    <row r="1428" spans="1:2" x14ac:dyDescent="0.15">
      <c r="A1428" t="s">
        <v>4001</v>
      </c>
      <c r="B1428" t="s">
        <v>1460</v>
      </c>
    </row>
    <row r="1429" spans="1:2" x14ac:dyDescent="0.15">
      <c r="A1429" t="s">
        <v>4002</v>
      </c>
      <c r="B1429" t="s">
        <v>1461</v>
      </c>
    </row>
    <row r="1430" spans="1:2" x14ac:dyDescent="0.15">
      <c r="A1430" t="s">
        <v>4003</v>
      </c>
      <c r="B1430" t="s">
        <v>1462</v>
      </c>
    </row>
    <row r="1431" spans="1:2" x14ac:dyDescent="0.15">
      <c r="A1431" t="s">
        <v>4004</v>
      </c>
      <c r="B1431" t="s">
        <v>1463</v>
      </c>
    </row>
    <row r="1432" spans="1:2" x14ac:dyDescent="0.15">
      <c r="A1432" t="s">
        <v>4005</v>
      </c>
      <c r="B1432" t="s">
        <v>1464</v>
      </c>
    </row>
    <row r="1433" spans="1:2" x14ac:dyDescent="0.15">
      <c r="A1433" t="s">
        <v>4006</v>
      </c>
      <c r="B1433" t="s">
        <v>1465</v>
      </c>
    </row>
    <row r="1434" spans="1:2" x14ac:dyDescent="0.15">
      <c r="A1434" t="s">
        <v>4007</v>
      </c>
      <c r="B1434" t="s">
        <v>1466</v>
      </c>
    </row>
    <row r="1435" spans="1:2" x14ac:dyDescent="0.15">
      <c r="A1435" t="s">
        <v>4008</v>
      </c>
      <c r="B1435" t="s">
        <v>1467</v>
      </c>
    </row>
    <row r="1436" spans="1:2" x14ac:dyDescent="0.15">
      <c r="A1436" t="s">
        <v>4009</v>
      </c>
      <c r="B1436" t="s">
        <v>1468</v>
      </c>
    </row>
    <row r="1437" spans="1:2" x14ac:dyDescent="0.15">
      <c r="A1437" t="s">
        <v>4010</v>
      </c>
      <c r="B1437" t="s">
        <v>5266</v>
      </c>
    </row>
    <row r="1438" spans="1:2" x14ac:dyDescent="0.15">
      <c r="A1438" t="s">
        <v>4011</v>
      </c>
      <c r="B1438" t="s">
        <v>5269</v>
      </c>
    </row>
    <row r="1439" spans="1:2" x14ac:dyDescent="0.15">
      <c r="A1439" t="s">
        <v>4012</v>
      </c>
      <c r="B1439" t="s">
        <v>1469</v>
      </c>
    </row>
    <row r="1440" spans="1:2" x14ac:dyDescent="0.15">
      <c r="A1440" t="s">
        <v>4013</v>
      </c>
      <c r="B1440" t="s">
        <v>5275</v>
      </c>
    </row>
    <row r="1441" spans="1:2" x14ac:dyDescent="0.15">
      <c r="A1441" t="s">
        <v>4014</v>
      </c>
      <c r="B1441" t="s">
        <v>1470</v>
      </c>
    </row>
    <row r="1442" spans="1:2" x14ac:dyDescent="0.15">
      <c r="A1442" t="s">
        <v>4015</v>
      </c>
      <c r="B1442" t="s">
        <v>5278</v>
      </c>
    </row>
    <row r="1443" spans="1:2" x14ac:dyDescent="0.15">
      <c r="A1443" t="s">
        <v>4016</v>
      </c>
      <c r="B1443" t="s">
        <v>5281</v>
      </c>
    </row>
    <row r="1444" spans="1:2" x14ac:dyDescent="0.15">
      <c r="A1444" t="s">
        <v>4017</v>
      </c>
      <c r="B1444" t="s">
        <v>5387</v>
      </c>
    </row>
    <row r="1445" spans="1:2" x14ac:dyDescent="0.15">
      <c r="A1445" t="s">
        <v>4018</v>
      </c>
      <c r="B1445" t="s">
        <v>5390</v>
      </c>
    </row>
    <row r="1446" spans="1:2" x14ac:dyDescent="0.15">
      <c r="A1446" t="s">
        <v>4019</v>
      </c>
      <c r="B1446" t="s">
        <v>5393</v>
      </c>
    </row>
    <row r="1447" spans="1:2" x14ac:dyDescent="0.15">
      <c r="A1447" t="s">
        <v>4020</v>
      </c>
      <c r="B1447" t="s">
        <v>1471</v>
      </c>
    </row>
    <row r="1448" spans="1:2" x14ac:dyDescent="0.15">
      <c r="A1448" t="s">
        <v>4021</v>
      </c>
      <c r="B1448" t="s">
        <v>1472</v>
      </c>
    </row>
    <row r="1449" spans="1:2" x14ac:dyDescent="0.15">
      <c r="A1449" t="s">
        <v>4022</v>
      </c>
      <c r="B1449" t="s">
        <v>5403</v>
      </c>
    </row>
    <row r="1450" spans="1:2" x14ac:dyDescent="0.15">
      <c r="A1450" t="s">
        <v>4023</v>
      </c>
      <c r="B1450" t="s">
        <v>1473</v>
      </c>
    </row>
    <row r="1451" spans="1:2" x14ac:dyDescent="0.15">
      <c r="A1451" t="s">
        <v>4024</v>
      </c>
      <c r="B1451" t="s">
        <v>5409</v>
      </c>
    </row>
    <row r="1452" spans="1:2" x14ac:dyDescent="0.15">
      <c r="A1452" t="s">
        <v>4025</v>
      </c>
      <c r="B1452" t="s">
        <v>5412</v>
      </c>
    </row>
    <row r="1453" spans="1:2" x14ac:dyDescent="0.15">
      <c r="A1453" t="s">
        <v>4026</v>
      </c>
      <c r="B1453" t="s">
        <v>5415</v>
      </c>
    </row>
    <row r="1454" spans="1:2" x14ac:dyDescent="0.15">
      <c r="A1454" t="s">
        <v>4027</v>
      </c>
      <c r="B1454" t="s">
        <v>5418</v>
      </c>
    </row>
    <row r="1455" spans="1:2" x14ac:dyDescent="0.15">
      <c r="A1455" t="s">
        <v>4028</v>
      </c>
      <c r="B1455" t="s">
        <v>5421</v>
      </c>
    </row>
    <row r="1456" spans="1:2" x14ac:dyDescent="0.15">
      <c r="A1456" t="s">
        <v>4029</v>
      </c>
      <c r="B1456" t="s">
        <v>1474</v>
      </c>
    </row>
    <row r="1457" spans="1:2" x14ac:dyDescent="0.15">
      <c r="A1457" t="s">
        <v>4030</v>
      </c>
      <c r="B1457" t="s">
        <v>1475</v>
      </c>
    </row>
    <row r="1458" spans="1:2" x14ac:dyDescent="0.15">
      <c r="A1458" t="s">
        <v>4031</v>
      </c>
      <c r="B1458" t="s">
        <v>1476</v>
      </c>
    </row>
    <row r="1459" spans="1:2" x14ac:dyDescent="0.15">
      <c r="A1459" t="s">
        <v>4032</v>
      </c>
      <c r="B1459" t="s">
        <v>1477</v>
      </c>
    </row>
    <row r="1460" spans="1:2" x14ac:dyDescent="0.15">
      <c r="A1460" t="s">
        <v>4033</v>
      </c>
      <c r="B1460" t="s">
        <v>1478</v>
      </c>
    </row>
    <row r="1461" spans="1:2" x14ac:dyDescent="0.15">
      <c r="A1461" t="s">
        <v>4034</v>
      </c>
      <c r="B1461" t="s">
        <v>1479</v>
      </c>
    </row>
    <row r="1462" spans="1:2" x14ac:dyDescent="0.15">
      <c r="A1462" t="s">
        <v>4035</v>
      </c>
      <c r="B1462" t="s">
        <v>1480</v>
      </c>
    </row>
    <row r="1463" spans="1:2" x14ac:dyDescent="0.15">
      <c r="A1463" t="s">
        <v>4036</v>
      </c>
      <c r="B1463" t="s">
        <v>1481</v>
      </c>
    </row>
    <row r="1464" spans="1:2" x14ac:dyDescent="0.15">
      <c r="A1464" t="s">
        <v>4037</v>
      </c>
      <c r="B1464" t="s">
        <v>1482</v>
      </c>
    </row>
    <row r="1465" spans="1:2" x14ac:dyDescent="0.15">
      <c r="A1465" t="s">
        <v>4038</v>
      </c>
      <c r="B1465" t="s">
        <v>1483</v>
      </c>
    </row>
    <row r="1466" spans="1:2" x14ac:dyDescent="0.15">
      <c r="A1466" t="s">
        <v>4039</v>
      </c>
      <c r="B1466" t="s">
        <v>1484</v>
      </c>
    </row>
    <row r="1467" spans="1:2" x14ac:dyDescent="0.15">
      <c r="A1467" t="s">
        <v>4040</v>
      </c>
      <c r="B1467" t="s">
        <v>1485</v>
      </c>
    </row>
    <row r="1468" spans="1:2" x14ac:dyDescent="0.15">
      <c r="A1468" t="s">
        <v>4041</v>
      </c>
      <c r="B1468" t="s">
        <v>2235</v>
      </c>
    </row>
    <row r="1469" spans="1:2" x14ac:dyDescent="0.15">
      <c r="A1469" t="s">
        <v>4042</v>
      </c>
      <c r="B1469" t="s">
        <v>1486</v>
      </c>
    </row>
    <row r="1470" spans="1:2" x14ac:dyDescent="0.15">
      <c r="A1470" t="s">
        <v>4571</v>
      </c>
      <c r="B1470" t="s">
        <v>4571</v>
      </c>
    </row>
    <row r="1471" spans="1:2" x14ac:dyDescent="0.15">
      <c r="A1471" t="s">
        <v>4043</v>
      </c>
      <c r="B1471" t="s">
        <v>1487</v>
      </c>
    </row>
    <row r="1472" spans="1:2" x14ac:dyDescent="0.15">
      <c r="A1472" t="s">
        <v>4044</v>
      </c>
      <c r="B1472" t="s">
        <v>1488</v>
      </c>
    </row>
    <row r="1473" spans="1:2" x14ac:dyDescent="0.15">
      <c r="A1473" t="s">
        <v>4045</v>
      </c>
      <c r="B1473" t="s">
        <v>1489</v>
      </c>
    </row>
    <row r="1474" spans="1:2" x14ac:dyDescent="0.15">
      <c r="A1474" t="s">
        <v>4046</v>
      </c>
      <c r="B1474" t="s">
        <v>1490</v>
      </c>
    </row>
    <row r="1475" spans="1:2" x14ac:dyDescent="0.15">
      <c r="A1475" t="s">
        <v>4047</v>
      </c>
      <c r="B1475" t="s">
        <v>1491</v>
      </c>
    </row>
    <row r="1476" spans="1:2" x14ac:dyDescent="0.15">
      <c r="A1476" t="s">
        <v>4048</v>
      </c>
      <c r="B1476" t="s">
        <v>1492</v>
      </c>
    </row>
    <row r="1477" spans="1:2" x14ac:dyDescent="0.15">
      <c r="A1477" t="s">
        <v>4049</v>
      </c>
      <c r="B1477" t="s">
        <v>1493</v>
      </c>
    </row>
    <row r="1478" spans="1:2" x14ac:dyDescent="0.15">
      <c r="A1478" t="s">
        <v>4050</v>
      </c>
      <c r="B1478" t="s">
        <v>1494</v>
      </c>
    </row>
    <row r="1479" spans="1:2" x14ac:dyDescent="0.15">
      <c r="A1479" t="s">
        <v>4051</v>
      </c>
      <c r="B1479" t="s">
        <v>1495</v>
      </c>
    </row>
    <row r="1480" spans="1:2" x14ac:dyDescent="0.15">
      <c r="A1480" t="s">
        <v>4052</v>
      </c>
      <c r="B1480" t="s">
        <v>1496</v>
      </c>
    </row>
    <row r="1481" spans="1:2" x14ac:dyDescent="0.15">
      <c r="A1481" t="s">
        <v>4053</v>
      </c>
      <c r="B1481" t="s">
        <v>1497</v>
      </c>
    </row>
    <row r="1482" spans="1:2" x14ac:dyDescent="0.15">
      <c r="A1482" t="s">
        <v>4054</v>
      </c>
      <c r="B1482" t="s">
        <v>1498</v>
      </c>
    </row>
    <row r="1483" spans="1:2" x14ac:dyDescent="0.15">
      <c r="A1483" t="s">
        <v>4055</v>
      </c>
      <c r="B1483" t="s">
        <v>1499</v>
      </c>
    </row>
    <row r="1484" spans="1:2" x14ac:dyDescent="0.15">
      <c r="A1484" t="s">
        <v>4056</v>
      </c>
      <c r="B1484" t="s">
        <v>1500</v>
      </c>
    </row>
    <row r="1485" spans="1:2" x14ac:dyDescent="0.15">
      <c r="A1485" t="s">
        <v>4057</v>
      </c>
      <c r="B1485" t="s">
        <v>1501</v>
      </c>
    </row>
    <row r="1486" spans="1:2" x14ac:dyDescent="0.15">
      <c r="A1486" t="s">
        <v>4058</v>
      </c>
      <c r="B1486" t="s">
        <v>7413</v>
      </c>
    </row>
    <row r="1487" spans="1:2" x14ac:dyDescent="0.15">
      <c r="A1487" t="s">
        <v>4059</v>
      </c>
      <c r="B1487" t="s">
        <v>1502</v>
      </c>
    </row>
    <row r="1488" spans="1:2" x14ac:dyDescent="0.15">
      <c r="A1488" t="s">
        <v>4060</v>
      </c>
      <c r="B1488" t="s">
        <v>1503</v>
      </c>
    </row>
    <row r="1489" spans="1:2" x14ac:dyDescent="0.15">
      <c r="A1489" t="s">
        <v>4061</v>
      </c>
      <c r="B1489" t="s">
        <v>1504</v>
      </c>
    </row>
    <row r="1490" spans="1:2" x14ac:dyDescent="0.15">
      <c r="A1490" t="s">
        <v>4062</v>
      </c>
      <c r="B1490" t="s">
        <v>1505</v>
      </c>
    </row>
    <row r="1491" spans="1:2" x14ac:dyDescent="0.15">
      <c r="A1491" t="s">
        <v>4063</v>
      </c>
      <c r="B1491" t="s">
        <v>1506</v>
      </c>
    </row>
    <row r="1492" spans="1:2" x14ac:dyDescent="0.15">
      <c r="A1492" t="s">
        <v>4064</v>
      </c>
      <c r="B1492" t="s">
        <v>3542</v>
      </c>
    </row>
    <row r="1493" spans="1:2" x14ac:dyDescent="0.15">
      <c r="A1493" t="s">
        <v>4065</v>
      </c>
      <c r="B1493" t="s">
        <v>1507</v>
      </c>
    </row>
    <row r="1494" spans="1:2" x14ac:dyDescent="0.15">
      <c r="A1494" t="s">
        <v>4066</v>
      </c>
      <c r="B1494" t="s">
        <v>1508</v>
      </c>
    </row>
    <row r="1495" spans="1:2" x14ac:dyDescent="0.15">
      <c r="A1495" t="s">
        <v>4067</v>
      </c>
      <c r="B1495" t="s">
        <v>1509</v>
      </c>
    </row>
    <row r="1496" spans="1:2" x14ac:dyDescent="0.15">
      <c r="A1496" t="s">
        <v>4068</v>
      </c>
      <c r="B1496" t="s">
        <v>1510</v>
      </c>
    </row>
    <row r="1497" spans="1:2" x14ac:dyDescent="0.15">
      <c r="A1497" t="s">
        <v>4069</v>
      </c>
      <c r="B1497" t="s">
        <v>1511</v>
      </c>
    </row>
    <row r="1498" spans="1:2" x14ac:dyDescent="0.15">
      <c r="A1498" t="s">
        <v>4070</v>
      </c>
      <c r="B1498" t="s">
        <v>1512</v>
      </c>
    </row>
    <row r="1499" spans="1:2" x14ac:dyDescent="0.15">
      <c r="A1499" t="s">
        <v>4071</v>
      </c>
      <c r="B1499" t="s">
        <v>1513</v>
      </c>
    </row>
    <row r="1500" spans="1:2" x14ac:dyDescent="0.15">
      <c r="A1500" t="s">
        <v>4072</v>
      </c>
      <c r="B1500" t="s">
        <v>1514</v>
      </c>
    </row>
    <row r="1501" spans="1:2" x14ac:dyDescent="0.15">
      <c r="A1501" t="s">
        <v>4073</v>
      </c>
      <c r="B1501" t="s">
        <v>1515</v>
      </c>
    </row>
    <row r="1502" spans="1:2" x14ac:dyDescent="0.15">
      <c r="A1502" t="s">
        <v>4074</v>
      </c>
      <c r="B1502" t="s">
        <v>1516</v>
      </c>
    </row>
    <row r="1503" spans="1:2" x14ac:dyDescent="0.15">
      <c r="A1503" t="s">
        <v>4075</v>
      </c>
      <c r="B1503" t="s">
        <v>1517</v>
      </c>
    </row>
    <row r="1504" spans="1:2" x14ac:dyDescent="0.15">
      <c r="A1504" t="s">
        <v>4076</v>
      </c>
      <c r="B1504" t="s">
        <v>1518</v>
      </c>
    </row>
    <row r="1505" spans="1:2" x14ac:dyDescent="0.15">
      <c r="A1505" t="s">
        <v>4077</v>
      </c>
      <c r="B1505" t="s">
        <v>1519</v>
      </c>
    </row>
    <row r="1506" spans="1:2" x14ac:dyDescent="0.15">
      <c r="A1506" t="s">
        <v>4078</v>
      </c>
      <c r="B1506" t="s">
        <v>1520</v>
      </c>
    </row>
    <row r="1507" spans="1:2" x14ac:dyDescent="0.15">
      <c r="A1507" t="s">
        <v>4079</v>
      </c>
      <c r="B1507" t="s">
        <v>1521</v>
      </c>
    </row>
    <row r="1508" spans="1:2" x14ac:dyDescent="0.15">
      <c r="A1508" t="s">
        <v>4080</v>
      </c>
      <c r="B1508" t="s">
        <v>1522</v>
      </c>
    </row>
    <row r="1509" spans="1:2" x14ac:dyDescent="0.15">
      <c r="A1509" t="s">
        <v>4081</v>
      </c>
      <c r="B1509" t="s">
        <v>1523</v>
      </c>
    </row>
    <row r="1510" spans="1:2" x14ac:dyDescent="0.15">
      <c r="A1510" t="s">
        <v>4082</v>
      </c>
      <c r="B1510" t="s">
        <v>1524</v>
      </c>
    </row>
    <row r="1511" spans="1:2" x14ac:dyDescent="0.15">
      <c r="A1511" t="s">
        <v>4083</v>
      </c>
      <c r="B1511" t="s">
        <v>1525</v>
      </c>
    </row>
    <row r="1512" spans="1:2" x14ac:dyDescent="0.15">
      <c r="A1512" t="s">
        <v>4084</v>
      </c>
      <c r="B1512" t="s">
        <v>1526</v>
      </c>
    </row>
    <row r="1513" spans="1:2" x14ac:dyDescent="0.15">
      <c r="A1513" t="s">
        <v>4085</v>
      </c>
      <c r="B1513" t="s">
        <v>1527</v>
      </c>
    </row>
    <row r="1514" spans="1:2" x14ac:dyDescent="0.15">
      <c r="A1514" t="s">
        <v>4086</v>
      </c>
      <c r="B1514" t="s">
        <v>1528</v>
      </c>
    </row>
    <row r="1515" spans="1:2" x14ac:dyDescent="0.15">
      <c r="A1515" t="s">
        <v>4087</v>
      </c>
      <c r="B1515" t="s">
        <v>1529</v>
      </c>
    </row>
    <row r="1516" spans="1:2" x14ac:dyDescent="0.15">
      <c r="A1516" t="s">
        <v>4088</v>
      </c>
      <c r="B1516" t="s">
        <v>1530</v>
      </c>
    </row>
    <row r="1517" spans="1:2" x14ac:dyDescent="0.15">
      <c r="A1517" t="s">
        <v>4089</v>
      </c>
      <c r="B1517" t="s">
        <v>1531</v>
      </c>
    </row>
    <row r="1518" spans="1:2" x14ac:dyDescent="0.15">
      <c r="A1518" t="s">
        <v>4090</v>
      </c>
      <c r="B1518" t="s">
        <v>1532</v>
      </c>
    </row>
    <row r="1519" spans="1:2" x14ac:dyDescent="0.15">
      <c r="A1519" t="s">
        <v>4091</v>
      </c>
      <c r="B1519" t="s">
        <v>1533</v>
      </c>
    </row>
    <row r="1520" spans="1:2" x14ac:dyDescent="0.15">
      <c r="A1520" t="s">
        <v>4092</v>
      </c>
      <c r="B1520" t="s">
        <v>1534</v>
      </c>
    </row>
    <row r="1521" spans="1:2" x14ac:dyDescent="0.15">
      <c r="A1521" t="s">
        <v>4093</v>
      </c>
      <c r="B1521" t="s">
        <v>1535</v>
      </c>
    </row>
    <row r="1522" spans="1:2" x14ac:dyDescent="0.15">
      <c r="A1522" t="s">
        <v>4094</v>
      </c>
      <c r="B1522" t="s">
        <v>1536</v>
      </c>
    </row>
    <row r="1523" spans="1:2" x14ac:dyDescent="0.15">
      <c r="A1523" t="s">
        <v>4095</v>
      </c>
      <c r="B1523" t="s">
        <v>1537</v>
      </c>
    </row>
    <row r="1524" spans="1:2" x14ac:dyDescent="0.15">
      <c r="A1524" t="s">
        <v>4096</v>
      </c>
      <c r="B1524" t="s">
        <v>1538</v>
      </c>
    </row>
    <row r="1525" spans="1:2" x14ac:dyDescent="0.15">
      <c r="A1525" t="s">
        <v>4097</v>
      </c>
      <c r="B1525" t="s">
        <v>1539</v>
      </c>
    </row>
    <row r="1526" spans="1:2" x14ac:dyDescent="0.15">
      <c r="A1526" t="s">
        <v>4098</v>
      </c>
      <c r="B1526" t="s">
        <v>1540</v>
      </c>
    </row>
    <row r="1527" spans="1:2" x14ac:dyDescent="0.15">
      <c r="A1527" t="s">
        <v>4099</v>
      </c>
      <c r="B1527" t="s">
        <v>1541</v>
      </c>
    </row>
    <row r="1528" spans="1:2" x14ac:dyDescent="0.15">
      <c r="A1528" t="s">
        <v>4100</v>
      </c>
      <c r="B1528" t="s">
        <v>1542</v>
      </c>
    </row>
    <row r="1529" spans="1:2" x14ac:dyDescent="0.15">
      <c r="A1529" t="s">
        <v>4101</v>
      </c>
      <c r="B1529" t="s">
        <v>1543</v>
      </c>
    </row>
    <row r="1530" spans="1:2" x14ac:dyDescent="0.15">
      <c r="A1530" t="s">
        <v>4102</v>
      </c>
      <c r="B1530" t="s">
        <v>5021</v>
      </c>
    </row>
    <row r="1531" spans="1:2" x14ac:dyDescent="0.15">
      <c r="A1531" t="s">
        <v>4103</v>
      </c>
      <c r="B1531" t="s">
        <v>1544</v>
      </c>
    </row>
    <row r="1532" spans="1:2" x14ac:dyDescent="0.15">
      <c r="A1532" t="s">
        <v>4104</v>
      </c>
      <c r="B1532" t="s">
        <v>1545</v>
      </c>
    </row>
    <row r="1533" spans="1:2" x14ac:dyDescent="0.15">
      <c r="A1533" t="s">
        <v>4105</v>
      </c>
      <c r="B1533" t="s">
        <v>1546</v>
      </c>
    </row>
    <row r="1534" spans="1:2" x14ac:dyDescent="0.15">
      <c r="A1534" t="s">
        <v>4106</v>
      </c>
      <c r="B1534" t="s">
        <v>1547</v>
      </c>
    </row>
    <row r="1535" spans="1:2" x14ac:dyDescent="0.15">
      <c r="A1535" t="s">
        <v>3824</v>
      </c>
      <c r="B1535" t="s">
        <v>1548</v>
      </c>
    </row>
    <row r="1536" spans="1:2" x14ac:dyDescent="0.15">
      <c r="A1536" t="s">
        <v>4572</v>
      </c>
      <c r="B1536" t="s">
        <v>4572</v>
      </c>
    </row>
    <row r="1537" spans="1:2" x14ac:dyDescent="0.15">
      <c r="A1537" t="s">
        <v>3825</v>
      </c>
      <c r="B1537" t="s">
        <v>1549</v>
      </c>
    </row>
    <row r="1538" spans="1:2" x14ac:dyDescent="0.15">
      <c r="A1538" t="s">
        <v>3826</v>
      </c>
      <c r="B1538" t="s">
        <v>1550</v>
      </c>
    </row>
    <row r="1539" spans="1:2" x14ac:dyDescent="0.15">
      <c r="A1539" t="s">
        <v>3827</v>
      </c>
      <c r="B1539" t="s">
        <v>1551</v>
      </c>
    </row>
    <row r="1540" spans="1:2" x14ac:dyDescent="0.15">
      <c r="A1540" t="s">
        <v>3828</v>
      </c>
      <c r="B1540" t="s">
        <v>1552</v>
      </c>
    </row>
    <row r="1541" spans="1:2" x14ac:dyDescent="0.15">
      <c r="A1541" t="s">
        <v>3829</v>
      </c>
      <c r="B1541" t="s">
        <v>1553</v>
      </c>
    </row>
    <row r="1542" spans="1:2" x14ac:dyDescent="0.15">
      <c r="A1542" t="s">
        <v>3830</v>
      </c>
      <c r="B1542" t="s">
        <v>3435</v>
      </c>
    </row>
    <row r="1543" spans="1:2" x14ac:dyDescent="0.15">
      <c r="A1543" t="s">
        <v>3831</v>
      </c>
      <c r="B1543" t="s">
        <v>1554</v>
      </c>
    </row>
    <row r="1544" spans="1:2" x14ac:dyDescent="0.15">
      <c r="A1544" t="s">
        <v>3832</v>
      </c>
      <c r="B1544" t="s">
        <v>1555</v>
      </c>
    </row>
    <row r="1545" spans="1:2" x14ac:dyDescent="0.15">
      <c r="A1545" t="s">
        <v>3833</v>
      </c>
      <c r="B1545" t="s">
        <v>1556</v>
      </c>
    </row>
    <row r="1546" spans="1:2" x14ac:dyDescent="0.15">
      <c r="A1546" t="s">
        <v>3834</v>
      </c>
      <c r="B1546" t="s">
        <v>1557</v>
      </c>
    </row>
    <row r="1547" spans="1:2" x14ac:dyDescent="0.15">
      <c r="A1547" t="s">
        <v>3835</v>
      </c>
      <c r="B1547" t="s">
        <v>1558</v>
      </c>
    </row>
    <row r="1548" spans="1:2" x14ac:dyDescent="0.15">
      <c r="A1548" t="s">
        <v>3836</v>
      </c>
      <c r="B1548" t="s">
        <v>1559</v>
      </c>
    </row>
    <row r="1549" spans="1:2" x14ac:dyDescent="0.15">
      <c r="A1549" t="s">
        <v>3837</v>
      </c>
      <c r="B1549" t="s">
        <v>1560</v>
      </c>
    </row>
    <row r="1550" spans="1:2" x14ac:dyDescent="0.15">
      <c r="A1550" t="s">
        <v>3838</v>
      </c>
      <c r="B1550" t="s">
        <v>2726</v>
      </c>
    </row>
    <row r="1551" spans="1:2" x14ac:dyDescent="0.15">
      <c r="A1551" t="s">
        <v>3839</v>
      </c>
      <c r="B1551" t="s">
        <v>2727</v>
      </c>
    </row>
    <row r="1552" spans="1:2" x14ac:dyDescent="0.15">
      <c r="A1552" t="s">
        <v>3840</v>
      </c>
      <c r="B1552" t="s">
        <v>2728</v>
      </c>
    </row>
    <row r="1553" spans="1:2" x14ac:dyDescent="0.15">
      <c r="A1553" t="s">
        <v>3841</v>
      </c>
      <c r="B1553" t="s">
        <v>2729</v>
      </c>
    </row>
    <row r="1554" spans="1:2" x14ac:dyDescent="0.15">
      <c r="A1554" t="s">
        <v>3842</v>
      </c>
      <c r="B1554" t="s">
        <v>2730</v>
      </c>
    </row>
    <row r="1555" spans="1:2" x14ac:dyDescent="0.15">
      <c r="A1555" t="s">
        <v>3843</v>
      </c>
      <c r="B1555" t="s">
        <v>2731</v>
      </c>
    </row>
    <row r="1556" spans="1:2" x14ac:dyDescent="0.15">
      <c r="A1556" t="s">
        <v>3844</v>
      </c>
      <c r="B1556" t="s">
        <v>3453</v>
      </c>
    </row>
    <row r="1557" spans="1:2" x14ac:dyDescent="0.15">
      <c r="A1557" t="s">
        <v>3845</v>
      </c>
      <c r="B1557" t="s">
        <v>2732</v>
      </c>
    </row>
    <row r="1558" spans="1:2" x14ac:dyDescent="0.15">
      <c r="A1558" t="s">
        <v>3846</v>
      </c>
      <c r="B1558" t="s">
        <v>2733</v>
      </c>
    </row>
    <row r="1559" spans="1:2" x14ac:dyDescent="0.15">
      <c r="A1559" t="s">
        <v>3847</v>
      </c>
      <c r="B1559" t="s">
        <v>2734</v>
      </c>
    </row>
    <row r="1560" spans="1:2" x14ac:dyDescent="0.15">
      <c r="A1560" t="s">
        <v>3848</v>
      </c>
      <c r="B1560" t="s">
        <v>2735</v>
      </c>
    </row>
    <row r="1561" spans="1:2" x14ac:dyDescent="0.15">
      <c r="A1561" t="s">
        <v>3849</v>
      </c>
      <c r="B1561" t="s">
        <v>2736</v>
      </c>
    </row>
    <row r="1562" spans="1:2" x14ac:dyDescent="0.15">
      <c r="A1562" t="s">
        <v>3850</v>
      </c>
      <c r="B1562" t="s">
        <v>2737</v>
      </c>
    </row>
    <row r="1563" spans="1:2" x14ac:dyDescent="0.15">
      <c r="A1563" t="s">
        <v>3851</v>
      </c>
      <c r="B1563" t="s">
        <v>2738</v>
      </c>
    </row>
    <row r="1564" spans="1:2" x14ac:dyDescent="0.15">
      <c r="A1564" t="s">
        <v>3852</v>
      </c>
      <c r="B1564" t="s">
        <v>2739</v>
      </c>
    </row>
    <row r="1565" spans="1:2" x14ac:dyDescent="0.15">
      <c r="A1565" t="s">
        <v>3853</v>
      </c>
      <c r="B1565" t="s">
        <v>2740</v>
      </c>
    </row>
    <row r="1566" spans="1:2" x14ac:dyDescent="0.15">
      <c r="A1566" t="s">
        <v>3854</v>
      </c>
      <c r="B1566" t="s">
        <v>2741</v>
      </c>
    </row>
    <row r="1567" spans="1:2" x14ac:dyDescent="0.15">
      <c r="A1567" t="s">
        <v>3855</v>
      </c>
      <c r="B1567" t="s">
        <v>2742</v>
      </c>
    </row>
    <row r="1568" spans="1:2" x14ac:dyDescent="0.15">
      <c r="A1568" t="s">
        <v>3856</v>
      </c>
      <c r="B1568" t="s">
        <v>2743</v>
      </c>
    </row>
    <row r="1569" spans="1:2" x14ac:dyDescent="0.15">
      <c r="A1569" t="s">
        <v>3857</v>
      </c>
      <c r="B1569" t="s">
        <v>7320</v>
      </c>
    </row>
    <row r="1570" spans="1:2" x14ac:dyDescent="0.15">
      <c r="A1570" t="s">
        <v>4573</v>
      </c>
      <c r="B1570" t="s">
        <v>4573</v>
      </c>
    </row>
    <row r="1571" spans="1:2" x14ac:dyDescent="0.15">
      <c r="A1571" t="s">
        <v>3858</v>
      </c>
      <c r="B1571" t="s">
        <v>2744</v>
      </c>
    </row>
    <row r="1572" spans="1:2" x14ac:dyDescent="0.15">
      <c r="A1572" t="s">
        <v>3859</v>
      </c>
      <c r="B1572" t="s">
        <v>2745</v>
      </c>
    </row>
    <row r="1573" spans="1:2" x14ac:dyDescent="0.15">
      <c r="A1573" t="s">
        <v>3860</v>
      </c>
      <c r="B1573" t="s">
        <v>5424</v>
      </c>
    </row>
    <row r="1574" spans="1:2" x14ac:dyDescent="0.15">
      <c r="A1574" t="s">
        <v>3861</v>
      </c>
      <c r="B1574" t="s">
        <v>2746</v>
      </c>
    </row>
    <row r="1575" spans="1:2" x14ac:dyDescent="0.15">
      <c r="A1575" t="s">
        <v>3862</v>
      </c>
      <c r="B1575" t="s">
        <v>2747</v>
      </c>
    </row>
    <row r="1576" spans="1:2" x14ac:dyDescent="0.15">
      <c r="A1576" t="s">
        <v>3863</v>
      </c>
      <c r="B1576" t="s">
        <v>2748</v>
      </c>
    </row>
    <row r="1577" spans="1:2" x14ac:dyDescent="0.15">
      <c r="A1577" t="s">
        <v>3864</v>
      </c>
      <c r="B1577" t="s">
        <v>2749</v>
      </c>
    </row>
    <row r="1578" spans="1:2" x14ac:dyDescent="0.15">
      <c r="A1578" t="s">
        <v>3865</v>
      </c>
      <c r="B1578" t="s">
        <v>2750</v>
      </c>
    </row>
    <row r="1579" spans="1:2" x14ac:dyDescent="0.15">
      <c r="A1579" t="s">
        <v>3866</v>
      </c>
      <c r="B1579" t="s">
        <v>5855</v>
      </c>
    </row>
    <row r="1580" spans="1:2" x14ac:dyDescent="0.15">
      <c r="A1580" t="s">
        <v>3867</v>
      </c>
      <c r="B1580" t="s">
        <v>2751</v>
      </c>
    </row>
    <row r="1581" spans="1:2" x14ac:dyDescent="0.15">
      <c r="A1581" t="s">
        <v>3868</v>
      </c>
      <c r="B1581" t="s">
        <v>2752</v>
      </c>
    </row>
    <row r="1582" spans="1:2" x14ac:dyDescent="0.15">
      <c r="A1582" t="s">
        <v>3869</v>
      </c>
      <c r="B1582" t="s">
        <v>2753</v>
      </c>
    </row>
    <row r="1583" spans="1:2" x14ac:dyDescent="0.15">
      <c r="A1583" t="s">
        <v>3870</v>
      </c>
      <c r="B1583" t="s">
        <v>2754</v>
      </c>
    </row>
    <row r="1584" spans="1:2" x14ac:dyDescent="0.15">
      <c r="A1584" t="s">
        <v>3871</v>
      </c>
      <c r="B1584" t="s">
        <v>2755</v>
      </c>
    </row>
    <row r="1585" spans="1:2" x14ac:dyDescent="0.15">
      <c r="A1585" t="s">
        <v>3872</v>
      </c>
      <c r="B1585" t="s">
        <v>2756</v>
      </c>
    </row>
    <row r="1586" spans="1:2" x14ac:dyDescent="0.15">
      <c r="A1586" t="s">
        <v>3873</v>
      </c>
      <c r="B1586" t="s">
        <v>2757</v>
      </c>
    </row>
    <row r="1587" spans="1:2" x14ac:dyDescent="0.15">
      <c r="A1587" t="s">
        <v>3874</v>
      </c>
      <c r="B1587" t="s">
        <v>2758</v>
      </c>
    </row>
    <row r="1588" spans="1:2" x14ac:dyDescent="0.15">
      <c r="A1588" t="s">
        <v>3875</v>
      </c>
      <c r="B1588" t="s">
        <v>2759</v>
      </c>
    </row>
    <row r="1589" spans="1:2" x14ac:dyDescent="0.15">
      <c r="A1589" t="s">
        <v>3876</v>
      </c>
      <c r="B1589" t="s">
        <v>874</v>
      </c>
    </row>
    <row r="1590" spans="1:2" x14ac:dyDescent="0.15">
      <c r="A1590" t="s">
        <v>3877</v>
      </c>
      <c r="B1590" t="s">
        <v>2760</v>
      </c>
    </row>
    <row r="1591" spans="1:2" x14ac:dyDescent="0.15">
      <c r="A1591" t="s">
        <v>3878</v>
      </c>
      <c r="B1591" t="s">
        <v>5378</v>
      </c>
    </row>
    <row r="1592" spans="1:2" x14ac:dyDescent="0.15">
      <c r="A1592" t="s">
        <v>3879</v>
      </c>
      <c r="B1592" t="s">
        <v>2761</v>
      </c>
    </row>
    <row r="1593" spans="1:2" x14ac:dyDescent="0.15">
      <c r="A1593" t="s">
        <v>3880</v>
      </c>
      <c r="B1593" t="s">
        <v>2762</v>
      </c>
    </row>
    <row r="1594" spans="1:2" x14ac:dyDescent="0.15">
      <c r="A1594" t="s">
        <v>3881</v>
      </c>
      <c r="B1594" t="s">
        <v>2763</v>
      </c>
    </row>
    <row r="1595" spans="1:2" x14ac:dyDescent="0.15">
      <c r="A1595" t="s">
        <v>3882</v>
      </c>
      <c r="B1595" t="s">
        <v>7016</v>
      </c>
    </row>
    <row r="1596" spans="1:2" x14ac:dyDescent="0.15">
      <c r="A1596" t="s">
        <v>3883</v>
      </c>
      <c r="B1596" t="s">
        <v>2485</v>
      </c>
    </row>
    <row r="1597" spans="1:2" x14ac:dyDescent="0.15">
      <c r="A1597" t="s">
        <v>3884</v>
      </c>
      <c r="B1597" t="s">
        <v>2486</v>
      </c>
    </row>
    <row r="1598" spans="1:2" x14ac:dyDescent="0.15">
      <c r="A1598" t="s">
        <v>3885</v>
      </c>
      <c r="B1598" t="s">
        <v>2487</v>
      </c>
    </row>
    <row r="1599" spans="1:2" x14ac:dyDescent="0.15">
      <c r="A1599" t="s">
        <v>3886</v>
      </c>
      <c r="B1599" t="s">
        <v>2488</v>
      </c>
    </row>
    <row r="1600" spans="1:2" x14ac:dyDescent="0.15">
      <c r="A1600" t="s">
        <v>3887</v>
      </c>
      <c r="B1600" t="s">
        <v>2489</v>
      </c>
    </row>
    <row r="1601" spans="1:2" x14ac:dyDescent="0.15">
      <c r="A1601" t="s">
        <v>3888</v>
      </c>
      <c r="B1601" t="s">
        <v>2490</v>
      </c>
    </row>
    <row r="1602" spans="1:2" x14ac:dyDescent="0.15">
      <c r="A1602" t="s">
        <v>3889</v>
      </c>
      <c r="B1602" t="s">
        <v>3195</v>
      </c>
    </row>
    <row r="1603" spans="1:2" x14ac:dyDescent="0.15">
      <c r="A1603" t="s">
        <v>3890</v>
      </c>
      <c r="B1603" t="s">
        <v>2491</v>
      </c>
    </row>
    <row r="1604" spans="1:2" x14ac:dyDescent="0.15">
      <c r="A1604" t="s">
        <v>3891</v>
      </c>
      <c r="B1604" t="s">
        <v>7056</v>
      </c>
    </row>
    <row r="1605" spans="1:2" x14ac:dyDescent="0.15">
      <c r="A1605" t="s">
        <v>3892</v>
      </c>
      <c r="B1605" t="s">
        <v>2492</v>
      </c>
    </row>
    <row r="1606" spans="1:2" x14ac:dyDescent="0.15">
      <c r="A1606" t="s">
        <v>3893</v>
      </c>
      <c r="B1606" t="s">
        <v>2493</v>
      </c>
    </row>
    <row r="1607" spans="1:2" x14ac:dyDescent="0.15">
      <c r="A1607" t="s">
        <v>3894</v>
      </c>
      <c r="B1607" t="s">
        <v>2494</v>
      </c>
    </row>
    <row r="1608" spans="1:2" x14ac:dyDescent="0.15">
      <c r="A1608" t="s">
        <v>3895</v>
      </c>
      <c r="B1608" t="s">
        <v>7315</v>
      </c>
    </row>
    <row r="1609" spans="1:2" x14ac:dyDescent="0.15">
      <c r="A1609" t="s">
        <v>3896</v>
      </c>
      <c r="B1609" t="s">
        <v>6079</v>
      </c>
    </row>
    <row r="1610" spans="1:2" x14ac:dyDescent="0.15">
      <c r="A1610" t="s">
        <v>3897</v>
      </c>
      <c r="B1610" t="s">
        <v>7312</v>
      </c>
    </row>
    <row r="1611" spans="1:2" x14ac:dyDescent="0.15">
      <c r="A1611" t="s">
        <v>3898</v>
      </c>
      <c r="B1611" t="s">
        <v>2495</v>
      </c>
    </row>
    <row r="1612" spans="1:2" x14ac:dyDescent="0.15">
      <c r="A1612" t="s">
        <v>3899</v>
      </c>
      <c r="B1612" t="s">
        <v>2496</v>
      </c>
    </row>
    <row r="1613" spans="1:2" x14ac:dyDescent="0.15">
      <c r="A1613" t="s">
        <v>3900</v>
      </c>
      <c r="B1613" t="s">
        <v>4924</v>
      </c>
    </row>
    <row r="1614" spans="1:2" x14ac:dyDescent="0.15">
      <c r="A1614" t="s">
        <v>3901</v>
      </c>
      <c r="B1614" t="s">
        <v>6095</v>
      </c>
    </row>
    <row r="1615" spans="1:2" x14ac:dyDescent="0.15">
      <c r="A1615" t="s">
        <v>3902</v>
      </c>
      <c r="B1615" t="s">
        <v>2497</v>
      </c>
    </row>
    <row r="1616" spans="1:2" x14ac:dyDescent="0.15">
      <c r="A1616" t="s">
        <v>3903</v>
      </c>
      <c r="B1616" t="s">
        <v>2498</v>
      </c>
    </row>
    <row r="1617" spans="1:2" x14ac:dyDescent="0.15">
      <c r="A1617" t="s">
        <v>3904</v>
      </c>
      <c r="B1617" t="s">
        <v>2499</v>
      </c>
    </row>
    <row r="1618" spans="1:2" x14ac:dyDescent="0.15">
      <c r="A1618" t="s">
        <v>3905</v>
      </c>
      <c r="B1618" t="s">
        <v>2500</v>
      </c>
    </row>
    <row r="1619" spans="1:2" x14ac:dyDescent="0.15">
      <c r="A1619" t="s">
        <v>3906</v>
      </c>
      <c r="B1619" t="s">
        <v>2501</v>
      </c>
    </row>
    <row r="1620" spans="1:2" x14ac:dyDescent="0.15">
      <c r="A1620" t="s">
        <v>3907</v>
      </c>
      <c r="B1620" t="s">
        <v>2126</v>
      </c>
    </row>
    <row r="1621" spans="1:2" x14ac:dyDescent="0.15">
      <c r="A1621" t="s">
        <v>3908</v>
      </c>
      <c r="B1621" t="s">
        <v>2502</v>
      </c>
    </row>
    <row r="1622" spans="1:2" x14ac:dyDescent="0.15">
      <c r="A1622" t="s">
        <v>3909</v>
      </c>
      <c r="B1622" t="s">
        <v>2503</v>
      </c>
    </row>
    <row r="1623" spans="1:2" x14ac:dyDescent="0.15">
      <c r="A1623" t="s">
        <v>3910</v>
      </c>
      <c r="B1623" t="s">
        <v>2504</v>
      </c>
    </row>
    <row r="1624" spans="1:2" x14ac:dyDescent="0.15">
      <c r="A1624" t="s">
        <v>3911</v>
      </c>
      <c r="B1624" t="s">
        <v>6416</v>
      </c>
    </row>
    <row r="1625" spans="1:2" x14ac:dyDescent="0.15">
      <c r="A1625" t="s">
        <v>3912</v>
      </c>
      <c r="B1625" t="s">
        <v>2505</v>
      </c>
    </row>
    <row r="1626" spans="1:2" x14ac:dyDescent="0.15">
      <c r="A1626" t="s">
        <v>3913</v>
      </c>
      <c r="B1626" t="s">
        <v>6083</v>
      </c>
    </row>
    <row r="1627" spans="1:2" x14ac:dyDescent="0.15">
      <c r="A1627" t="s">
        <v>3914</v>
      </c>
      <c r="B1627" t="s">
        <v>1122</v>
      </c>
    </row>
    <row r="1628" spans="1:2" x14ac:dyDescent="0.15">
      <c r="A1628" t="s">
        <v>3915</v>
      </c>
      <c r="B1628" t="s">
        <v>2506</v>
      </c>
    </row>
    <row r="1629" spans="1:2" x14ac:dyDescent="0.15">
      <c r="A1629" t="s">
        <v>3916</v>
      </c>
      <c r="B1629" t="s">
        <v>2507</v>
      </c>
    </row>
    <row r="1630" spans="1:2" x14ac:dyDescent="0.15">
      <c r="A1630" t="s">
        <v>3917</v>
      </c>
      <c r="B1630" t="s">
        <v>2508</v>
      </c>
    </row>
    <row r="1631" spans="1:2" x14ac:dyDescent="0.15">
      <c r="A1631" t="s">
        <v>3918</v>
      </c>
      <c r="B1631" t="s">
        <v>5928</v>
      </c>
    </row>
    <row r="1632" spans="1:2" x14ac:dyDescent="0.15">
      <c r="A1632" t="s">
        <v>3919</v>
      </c>
      <c r="B1632" t="s">
        <v>2509</v>
      </c>
    </row>
    <row r="1633" spans="1:2" x14ac:dyDescent="0.15">
      <c r="A1633" t="s">
        <v>3920</v>
      </c>
      <c r="B1633" t="s">
        <v>2510</v>
      </c>
    </row>
    <row r="1634" spans="1:2" x14ac:dyDescent="0.15">
      <c r="A1634" t="s">
        <v>4574</v>
      </c>
      <c r="B1634" t="s">
        <v>4574</v>
      </c>
    </row>
    <row r="1635" spans="1:2" x14ac:dyDescent="0.15">
      <c r="A1635" t="s">
        <v>3921</v>
      </c>
      <c r="B1635" t="s">
        <v>2511</v>
      </c>
    </row>
    <row r="1636" spans="1:2" x14ac:dyDescent="0.15">
      <c r="A1636" t="s">
        <v>3922</v>
      </c>
      <c r="B1636" t="s">
        <v>2512</v>
      </c>
    </row>
    <row r="1637" spans="1:2" x14ac:dyDescent="0.15">
      <c r="A1637" t="s">
        <v>733</v>
      </c>
      <c r="B1637" t="s">
        <v>2513</v>
      </c>
    </row>
    <row r="1638" spans="1:2" x14ac:dyDescent="0.15">
      <c r="A1638" t="s">
        <v>734</v>
      </c>
      <c r="B1638" t="s">
        <v>2514</v>
      </c>
    </row>
    <row r="1639" spans="1:2" x14ac:dyDescent="0.15">
      <c r="A1639" t="s">
        <v>735</v>
      </c>
      <c r="B1639" t="s">
        <v>2515</v>
      </c>
    </row>
    <row r="1640" spans="1:2" x14ac:dyDescent="0.15">
      <c r="A1640" t="s">
        <v>736</v>
      </c>
      <c r="B1640" t="s">
        <v>2748</v>
      </c>
    </row>
    <row r="1641" spans="1:2" x14ac:dyDescent="0.15">
      <c r="A1641" t="s">
        <v>737</v>
      </c>
      <c r="B1641" t="s">
        <v>2516</v>
      </c>
    </row>
    <row r="1642" spans="1:2" x14ac:dyDescent="0.15">
      <c r="A1642" t="s">
        <v>738</v>
      </c>
      <c r="B1642" t="s">
        <v>2517</v>
      </c>
    </row>
    <row r="1643" spans="1:2" x14ac:dyDescent="0.15">
      <c r="A1643" t="s">
        <v>739</v>
      </c>
      <c r="B1643" t="s">
        <v>2518</v>
      </c>
    </row>
    <row r="1644" spans="1:2" x14ac:dyDescent="0.15">
      <c r="A1644" t="s">
        <v>740</v>
      </c>
      <c r="B1644" t="s">
        <v>2519</v>
      </c>
    </row>
    <row r="1645" spans="1:2" x14ac:dyDescent="0.15">
      <c r="A1645" t="s">
        <v>741</v>
      </c>
      <c r="B1645" t="s">
        <v>2520</v>
      </c>
    </row>
    <row r="1646" spans="1:2" x14ac:dyDescent="0.15">
      <c r="A1646" t="s">
        <v>742</v>
      </c>
      <c r="B1646" t="s">
        <v>2521</v>
      </c>
    </row>
    <row r="1647" spans="1:2" x14ac:dyDescent="0.15">
      <c r="A1647" t="s">
        <v>743</v>
      </c>
      <c r="B1647" t="s">
        <v>6915</v>
      </c>
    </row>
    <row r="1648" spans="1:2" x14ac:dyDescent="0.15">
      <c r="A1648" t="s">
        <v>744</v>
      </c>
      <c r="B1648" t="s">
        <v>2522</v>
      </c>
    </row>
    <row r="1649" spans="1:2" x14ac:dyDescent="0.15">
      <c r="A1649" t="s">
        <v>745</v>
      </c>
      <c r="B1649" t="s">
        <v>8880</v>
      </c>
    </row>
    <row r="1650" spans="1:2" x14ac:dyDescent="0.15">
      <c r="A1650" t="s">
        <v>746</v>
      </c>
      <c r="B1650" t="s">
        <v>2523</v>
      </c>
    </row>
    <row r="1651" spans="1:2" x14ac:dyDescent="0.15">
      <c r="A1651" t="s">
        <v>747</v>
      </c>
      <c r="B1651" t="s">
        <v>2524</v>
      </c>
    </row>
    <row r="1652" spans="1:2" x14ac:dyDescent="0.15">
      <c r="A1652" t="s">
        <v>748</v>
      </c>
      <c r="B1652" t="s">
        <v>2525</v>
      </c>
    </row>
    <row r="1653" spans="1:2" x14ac:dyDescent="0.15">
      <c r="A1653" t="s">
        <v>749</v>
      </c>
      <c r="B1653" t="s">
        <v>5024</v>
      </c>
    </row>
    <row r="1654" spans="1:2" x14ac:dyDescent="0.15">
      <c r="A1654" t="s">
        <v>750</v>
      </c>
      <c r="B1654" t="s">
        <v>2526</v>
      </c>
    </row>
    <row r="1655" spans="1:2" x14ac:dyDescent="0.15">
      <c r="A1655" t="s">
        <v>751</v>
      </c>
      <c r="B1655" t="s">
        <v>7136</v>
      </c>
    </row>
    <row r="1656" spans="1:2" x14ac:dyDescent="0.15">
      <c r="A1656" t="s">
        <v>752</v>
      </c>
      <c r="B1656" t="s">
        <v>2527</v>
      </c>
    </row>
    <row r="1657" spans="1:2" x14ac:dyDescent="0.15">
      <c r="A1657" t="s">
        <v>753</v>
      </c>
      <c r="B1657" t="s">
        <v>2528</v>
      </c>
    </row>
    <row r="1658" spans="1:2" x14ac:dyDescent="0.15">
      <c r="A1658" t="s">
        <v>754</v>
      </c>
      <c r="B1658" t="s">
        <v>2529</v>
      </c>
    </row>
    <row r="1659" spans="1:2" x14ac:dyDescent="0.15">
      <c r="A1659" t="s">
        <v>755</v>
      </c>
      <c r="B1659" t="s">
        <v>2530</v>
      </c>
    </row>
    <row r="1660" spans="1:2" x14ac:dyDescent="0.15">
      <c r="A1660" t="s">
        <v>756</v>
      </c>
      <c r="B1660" t="s">
        <v>2531</v>
      </c>
    </row>
    <row r="1661" spans="1:2" x14ac:dyDescent="0.15">
      <c r="A1661" t="s">
        <v>757</v>
      </c>
      <c r="B1661" t="s">
        <v>6100</v>
      </c>
    </row>
    <row r="1662" spans="1:2" x14ac:dyDescent="0.15">
      <c r="A1662" t="s">
        <v>758</v>
      </c>
      <c r="B1662" t="s">
        <v>2532</v>
      </c>
    </row>
    <row r="1663" spans="1:2" x14ac:dyDescent="0.15">
      <c r="A1663" t="s">
        <v>4575</v>
      </c>
      <c r="B1663" t="s">
        <v>4575</v>
      </c>
    </row>
    <row r="1664" spans="1:2" x14ac:dyDescent="0.15">
      <c r="A1664" t="s">
        <v>4576</v>
      </c>
      <c r="B1664" t="s">
        <v>4576</v>
      </c>
    </row>
    <row r="1665" spans="1:2" x14ac:dyDescent="0.15">
      <c r="A1665" t="s">
        <v>759</v>
      </c>
      <c r="B1665" t="s">
        <v>2533</v>
      </c>
    </row>
    <row r="1666" spans="1:2" x14ac:dyDescent="0.15">
      <c r="A1666" t="s">
        <v>760</v>
      </c>
      <c r="B1666" t="s">
        <v>5908</v>
      </c>
    </row>
    <row r="1667" spans="1:2" x14ac:dyDescent="0.15">
      <c r="A1667" t="s">
        <v>761</v>
      </c>
      <c r="B1667" t="s">
        <v>2534</v>
      </c>
    </row>
    <row r="1668" spans="1:2" x14ac:dyDescent="0.15">
      <c r="A1668" t="s">
        <v>762</v>
      </c>
      <c r="B1668" t="s">
        <v>2535</v>
      </c>
    </row>
    <row r="1669" spans="1:2" x14ac:dyDescent="0.15">
      <c r="A1669" t="s">
        <v>763</v>
      </c>
      <c r="B1669" t="s">
        <v>2536</v>
      </c>
    </row>
    <row r="1670" spans="1:2" x14ac:dyDescent="0.15">
      <c r="A1670" t="s">
        <v>764</v>
      </c>
      <c r="B1670" t="s">
        <v>2537</v>
      </c>
    </row>
    <row r="1671" spans="1:2" x14ac:dyDescent="0.15">
      <c r="A1671" t="s">
        <v>765</v>
      </c>
      <c r="B1671" t="s">
        <v>5285</v>
      </c>
    </row>
    <row r="1672" spans="1:2" x14ac:dyDescent="0.15">
      <c r="A1672" t="s">
        <v>766</v>
      </c>
      <c r="B1672" t="s">
        <v>5288</v>
      </c>
    </row>
    <row r="1673" spans="1:2" x14ac:dyDescent="0.15">
      <c r="A1673" t="s">
        <v>767</v>
      </c>
      <c r="B1673" t="s">
        <v>2538</v>
      </c>
    </row>
    <row r="1674" spans="1:2" x14ac:dyDescent="0.15">
      <c r="A1674" t="s">
        <v>768</v>
      </c>
      <c r="B1674" t="s">
        <v>2539</v>
      </c>
    </row>
    <row r="1675" spans="1:2" x14ac:dyDescent="0.15">
      <c r="A1675" t="s">
        <v>769</v>
      </c>
      <c r="B1675" t="s">
        <v>2540</v>
      </c>
    </row>
    <row r="1676" spans="1:2" x14ac:dyDescent="0.15">
      <c r="A1676" t="s">
        <v>770</v>
      </c>
      <c r="B1676" t="s">
        <v>2541</v>
      </c>
    </row>
    <row r="1677" spans="1:2" x14ac:dyDescent="0.15">
      <c r="A1677" t="s">
        <v>771</v>
      </c>
      <c r="B1677" t="s">
        <v>2542</v>
      </c>
    </row>
    <row r="1678" spans="1:2" x14ac:dyDescent="0.15">
      <c r="A1678" t="s">
        <v>772</v>
      </c>
      <c r="B1678" t="s">
        <v>2543</v>
      </c>
    </row>
    <row r="1679" spans="1:2" x14ac:dyDescent="0.15">
      <c r="A1679" t="s">
        <v>773</v>
      </c>
      <c r="B1679" t="s">
        <v>2544</v>
      </c>
    </row>
    <row r="1680" spans="1:2" x14ac:dyDescent="0.15">
      <c r="A1680" t="s">
        <v>774</v>
      </c>
      <c r="B1680" t="s">
        <v>2545</v>
      </c>
    </row>
    <row r="1681" spans="1:2" x14ac:dyDescent="0.15">
      <c r="A1681" t="s">
        <v>775</v>
      </c>
      <c r="B1681" t="s">
        <v>2546</v>
      </c>
    </row>
    <row r="1682" spans="1:2" x14ac:dyDescent="0.15">
      <c r="A1682" t="s">
        <v>776</v>
      </c>
      <c r="B1682" t="s">
        <v>2547</v>
      </c>
    </row>
    <row r="1683" spans="1:2" x14ac:dyDescent="0.15">
      <c r="A1683" t="s">
        <v>777</v>
      </c>
      <c r="B1683" t="s">
        <v>2548</v>
      </c>
    </row>
    <row r="1684" spans="1:2" x14ac:dyDescent="0.15">
      <c r="A1684" t="s">
        <v>778</v>
      </c>
      <c r="B1684" t="s">
        <v>6239</v>
      </c>
    </row>
    <row r="1685" spans="1:2" x14ac:dyDescent="0.15">
      <c r="A1685" t="s">
        <v>779</v>
      </c>
      <c r="B1685" t="s">
        <v>2549</v>
      </c>
    </row>
    <row r="1686" spans="1:2" x14ac:dyDescent="0.15">
      <c r="A1686" t="s">
        <v>780</v>
      </c>
      <c r="B1686" t="s">
        <v>2550</v>
      </c>
    </row>
    <row r="1687" spans="1:2" x14ac:dyDescent="0.15">
      <c r="A1687" t="s">
        <v>781</v>
      </c>
      <c r="B1687" t="s">
        <v>6453</v>
      </c>
    </row>
    <row r="1688" spans="1:2" x14ac:dyDescent="0.15">
      <c r="A1688" t="s">
        <v>782</v>
      </c>
      <c r="B1688" t="s">
        <v>6723</v>
      </c>
    </row>
    <row r="1689" spans="1:2" x14ac:dyDescent="0.15">
      <c r="A1689" t="s">
        <v>783</v>
      </c>
      <c r="B1689" t="s">
        <v>2748</v>
      </c>
    </row>
    <row r="1690" spans="1:2" x14ac:dyDescent="0.15">
      <c r="A1690" t="s">
        <v>784</v>
      </c>
      <c r="B1690" t="s">
        <v>2551</v>
      </c>
    </row>
    <row r="1691" spans="1:2" x14ac:dyDescent="0.15">
      <c r="A1691" t="s">
        <v>785</v>
      </c>
      <c r="B1691" t="s">
        <v>2552</v>
      </c>
    </row>
    <row r="1692" spans="1:2" x14ac:dyDescent="0.15">
      <c r="A1692" t="s">
        <v>786</v>
      </c>
      <c r="B1692" t="s">
        <v>2553</v>
      </c>
    </row>
    <row r="1693" spans="1:2" x14ac:dyDescent="0.15">
      <c r="A1693" t="s">
        <v>787</v>
      </c>
      <c r="B1693" t="s">
        <v>4792</v>
      </c>
    </row>
    <row r="1694" spans="1:2" x14ac:dyDescent="0.15">
      <c r="A1694" t="s">
        <v>788</v>
      </c>
      <c r="B1694" t="s">
        <v>2554</v>
      </c>
    </row>
    <row r="1695" spans="1:2" x14ac:dyDescent="0.15">
      <c r="A1695" t="s">
        <v>789</v>
      </c>
      <c r="B1695" t="s">
        <v>2555</v>
      </c>
    </row>
    <row r="1696" spans="1:2" x14ac:dyDescent="0.15">
      <c r="A1696" t="s">
        <v>790</v>
      </c>
      <c r="B1696" t="s">
        <v>2556</v>
      </c>
    </row>
    <row r="1697" spans="1:2" x14ac:dyDescent="0.15">
      <c r="A1697" t="s">
        <v>791</v>
      </c>
      <c r="B1697" t="s">
        <v>2557</v>
      </c>
    </row>
    <row r="1698" spans="1:2" x14ac:dyDescent="0.15">
      <c r="A1698" t="s">
        <v>792</v>
      </c>
      <c r="B1698" t="s">
        <v>2558</v>
      </c>
    </row>
    <row r="1699" spans="1:2" x14ac:dyDescent="0.15">
      <c r="A1699" t="s">
        <v>793</v>
      </c>
      <c r="B1699" t="s">
        <v>2559</v>
      </c>
    </row>
    <row r="1700" spans="1:2" x14ac:dyDescent="0.15">
      <c r="A1700" t="s">
        <v>794</v>
      </c>
      <c r="B1700" t="s">
        <v>2560</v>
      </c>
    </row>
    <row r="1701" spans="1:2" x14ac:dyDescent="0.15">
      <c r="A1701" t="s">
        <v>795</v>
      </c>
      <c r="B1701" t="s">
        <v>2561</v>
      </c>
    </row>
    <row r="1702" spans="1:2" x14ac:dyDescent="0.15">
      <c r="A1702" t="s">
        <v>796</v>
      </c>
      <c r="B1702" t="s">
        <v>2562</v>
      </c>
    </row>
    <row r="1703" spans="1:2" x14ac:dyDescent="0.15">
      <c r="A1703" t="s">
        <v>797</v>
      </c>
      <c r="B1703" t="s">
        <v>2563</v>
      </c>
    </row>
    <row r="1704" spans="1:2" x14ac:dyDescent="0.15">
      <c r="A1704" t="s">
        <v>798</v>
      </c>
      <c r="B1704" t="s">
        <v>2564</v>
      </c>
    </row>
    <row r="1705" spans="1:2" x14ac:dyDescent="0.15">
      <c r="A1705" t="s">
        <v>799</v>
      </c>
      <c r="B1705" t="s">
        <v>2565</v>
      </c>
    </row>
    <row r="1706" spans="1:2" x14ac:dyDescent="0.15">
      <c r="A1706" t="s">
        <v>800</v>
      </c>
      <c r="B1706" t="s">
        <v>2566</v>
      </c>
    </row>
    <row r="1707" spans="1:2" x14ac:dyDescent="0.15">
      <c r="A1707" t="s">
        <v>801</v>
      </c>
      <c r="B1707" t="s">
        <v>2567</v>
      </c>
    </row>
    <row r="1708" spans="1:2" x14ac:dyDescent="0.15">
      <c r="A1708" t="s">
        <v>802</v>
      </c>
      <c r="B1708" t="s">
        <v>7003</v>
      </c>
    </row>
    <row r="1709" spans="1:2" x14ac:dyDescent="0.15">
      <c r="A1709" t="s">
        <v>803</v>
      </c>
      <c r="B1709" t="s">
        <v>2568</v>
      </c>
    </row>
    <row r="1710" spans="1:2" x14ac:dyDescent="0.15">
      <c r="A1710" t="s">
        <v>804</v>
      </c>
      <c r="B1710" t="s">
        <v>2569</v>
      </c>
    </row>
    <row r="1711" spans="1:2" x14ac:dyDescent="0.15">
      <c r="A1711" t="s">
        <v>805</v>
      </c>
      <c r="B1711" t="s">
        <v>2570</v>
      </c>
    </row>
    <row r="1712" spans="1:2" x14ac:dyDescent="0.15">
      <c r="A1712" t="s">
        <v>806</v>
      </c>
      <c r="B1712" t="s">
        <v>2571</v>
      </c>
    </row>
    <row r="1713" spans="1:2" x14ac:dyDescent="0.15">
      <c r="A1713" t="s">
        <v>547</v>
      </c>
      <c r="B1713" t="s">
        <v>2572</v>
      </c>
    </row>
    <row r="1714" spans="1:2" x14ac:dyDescent="0.15">
      <c r="A1714" t="s">
        <v>548</v>
      </c>
      <c r="B1714" t="s">
        <v>2573</v>
      </c>
    </row>
    <row r="1715" spans="1:2" x14ac:dyDescent="0.15">
      <c r="A1715" t="s">
        <v>549</v>
      </c>
      <c r="B1715" t="s">
        <v>2574</v>
      </c>
    </row>
    <row r="1716" spans="1:2" x14ac:dyDescent="0.15">
      <c r="A1716" t="s">
        <v>550</v>
      </c>
      <c r="B1716" t="s">
        <v>2575</v>
      </c>
    </row>
    <row r="1717" spans="1:2" x14ac:dyDescent="0.15">
      <c r="A1717" t="s">
        <v>551</v>
      </c>
      <c r="B1717" t="s">
        <v>2576</v>
      </c>
    </row>
    <row r="1718" spans="1:2" x14ac:dyDescent="0.15">
      <c r="A1718" t="s">
        <v>552</v>
      </c>
      <c r="B1718" t="s">
        <v>2577</v>
      </c>
    </row>
    <row r="1719" spans="1:2" x14ac:dyDescent="0.15">
      <c r="A1719" t="s">
        <v>553</v>
      </c>
      <c r="B1719" t="s">
        <v>2578</v>
      </c>
    </row>
    <row r="1720" spans="1:2" x14ac:dyDescent="0.15">
      <c r="A1720" t="s">
        <v>554</v>
      </c>
      <c r="B1720" t="s">
        <v>2579</v>
      </c>
    </row>
    <row r="1721" spans="1:2" x14ac:dyDescent="0.15">
      <c r="A1721" t="s">
        <v>555</v>
      </c>
      <c r="B1721" t="s">
        <v>2580</v>
      </c>
    </row>
    <row r="1722" spans="1:2" x14ac:dyDescent="0.15">
      <c r="A1722" t="s">
        <v>556</v>
      </c>
      <c r="B1722" t="s">
        <v>2581</v>
      </c>
    </row>
    <row r="1723" spans="1:2" x14ac:dyDescent="0.15">
      <c r="A1723" t="s">
        <v>557</v>
      </c>
      <c r="B1723" t="s">
        <v>2582</v>
      </c>
    </row>
    <row r="1724" spans="1:2" x14ac:dyDescent="0.15">
      <c r="A1724" t="s">
        <v>558</v>
      </c>
      <c r="B1724" t="s">
        <v>3440</v>
      </c>
    </row>
    <row r="1725" spans="1:2" x14ac:dyDescent="0.15">
      <c r="A1725" t="s">
        <v>559</v>
      </c>
      <c r="B1725" t="s">
        <v>2583</v>
      </c>
    </row>
    <row r="1726" spans="1:2" x14ac:dyDescent="0.15">
      <c r="A1726" t="s">
        <v>560</v>
      </c>
      <c r="B1726" t="s">
        <v>2584</v>
      </c>
    </row>
    <row r="1727" spans="1:2" x14ac:dyDescent="0.15">
      <c r="A1727" t="s">
        <v>561</v>
      </c>
      <c r="B1727" t="s">
        <v>2585</v>
      </c>
    </row>
    <row r="1728" spans="1:2" x14ac:dyDescent="0.15">
      <c r="A1728" t="s">
        <v>562</v>
      </c>
      <c r="B1728" t="s">
        <v>2586</v>
      </c>
    </row>
    <row r="1729" spans="1:2" x14ac:dyDescent="0.15">
      <c r="A1729" t="s">
        <v>563</v>
      </c>
      <c r="B1729" t="s">
        <v>8328</v>
      </c>
    </row>
    <row r="1730" spans="1:2" x14ac:dyDescent="0.15">
      <c r="A1730" t="s">
        <v>564</v>
      </c>
      <c r="B1730" t="s">
        <v>2587</v>
      </c>
    </row>
    <row r="1731" spans="1:2" x14ac:dyDescent="0.15">
      <c r="A1731" t="s">
        <v>565</v>
      </c>
      <c r="B1731" t="s">
        <v>2588</v>
      </c>
    </row>
    <row r="1732" spans="1:2" x14ac:dyDescent="0.15">
      <c r="A1732" t="s">
        <v>566</v>
      </c>
      <c r="B1732" t="s">
        <v>2589</v>
      </c>
    </row>
    <row r="1733" spans="1:2" x14ac:dyDescent="0.15">
      <c r="A1733" t="s">
        <v>567</v>
      </c>
      <c r="B1733" t="s">
        <v>2590</v>
      </c>
    </row>
    <row r="1734" spans="1:2" x14ac:dyDescent="0.15">
      <c r="A1734" t="s">
        <v>568</v>
      </c>
      <c r="B1734" t="s">
        <v>3443</v>
      </c>
    </row>
    <row r="1735" spans="1:2" x14ac:dyDescent="0.15">
      <c r="A1735" t="s">
        <v>569</v>
      </c>
      <c r="B1735" t="s">
        <v>2591</v>
      </c>
    </row>
    <row r="1736" spans="1:2" x14ac:dyDescent="0.15">
      <c r="A1736" t="s">
        <v>570</v>
      </c>
      <c r="B1736" t="s">
        <v>2592</v>
      </c>
    </row>
    <row r="1737" spans="1:2" x14ac:dyDescent="0.15">
      <c r="A1737" t="s">
        <v>571</v>
      </c>
      <c r="B1737" t="s">
        <v>2593</v>
      </c>
    </row>
    <row r="1738" spans="1:2" x14ac:dyDescent="0.15">
      <c r="A1738" t="s">
        <v>572</v>
      </c>
      <c r="B1738" t="s">
        <v>2594</v>
      </c>
    </row>
    <row r="1739" spans="1:2" x14ac:dyDescent="0.15">
      <c r="A1739" t="s">
        <v>573</v>
      </c>
      <c r="B1739" t="s">
        <v>2595</v>
      </c>
    </row>
    <row r="1740" spans="1:2" x14ac:dyDescent="0.15">
      <c r="A1740" t="s">
        <v>574</v>
      </c>
      <c r="B1740" t="s">
        <v>2596</v>
      </c>
    </row>
    <row r="1741" spans="1:2" x14ac:dyDescent="0.15">
      <c r="A1741" t="s">
        <v>575</v>
      </c>
      <c r="B1741" t="s">
        <v>2597</v>
      </c>
    </row>
    <row r="1742" spans="1:2" x14ac:dyDescent="0.15">
      <c r="A1742" t="s">
        <v>576</v>
      </c>
      <c r="B1742" t="s">
        <v>2598</v>
      </c>
    </row>
    <row r="1743" spans="1:2" x14ac:dyDescent="0.15">
      <c r="A1743" t="s">
        <v>577</v>
      </c>
      <c r="B1743" t="s">
        <v>3117</v>
      </c>
    </row>
    <row r="1744" spans="1:2" x14ac:dyDescent="0.15">
      <c r="A1744" t="s">
        <v>578</v>
      </c>
      <c r="B1744" t="s">
        <v>2599</v>
      </c>
    </row>
    <row r="1745" spans="1:2" x14ac:dyDescent="0.15">
      <c r="A1745" t="s">
        <v>579</v>
      </c>
      <c r="B1745" t="s">
        <v>2600</v>
      </c>
    </row>
    <row r="1746" spans="1:2" x14ac:dyDescent="0.15">
      <c r="A1746" t="s">
        <v>580</v>
      </c>
      <c r="B1746" t="s">
        <v>2601</v>
      </c>
    </row>
    <row r="1747" spans="1:2" x14ac:dyDescent="0.15">
      <c r="A1747" t="s">
        <v>581</v>
      </c>
      <c r="B1747" t="s">
        <v>2602</v>
      </c>
    </row>
    <row r="1748" spans="1:2" x14ac:dyDescent="0.15">
      <c r="A1748" t="s">
        <v>582</v>
      </c>
      <c r="B1748" t="s">
        <v>2603</v>
      </c>
    </row>
    <row r="1749" spans="1:2" x14ac:dyDescent="0.15">
      <c r="A1749" t="s">
        <v>583</v>
      </c>
      <c r="B1749" t="s">
        <v>2604</v>
      </c>
    </row>
    <row r="1750" spans="1:2" x14ac:dyDescent="0.15">
      <c r="A1750" t="s">
        <v>584</v>
      </c>
      <c r="B1750" t="s">
        <v>2605</v>
      </c>
    </row>
    <row r="1751" spans="1:2" x14ac:dyDescent="0.15">
      <c r="A1751" t="s">
        <v>585</v>
      </c>
      <c r="B1751" t="s">
        <v>2606</v>
      </c>
    </row>
    <row r="1752" spans="1:2" x14ac:dyDescent="0.15">
      <c r="A1752" t="s">
        <v>586</v>
      </c>
      <c r="B1752" t="s">
        <v>2607</v>
      </c>
    </row>
    <row r="1753" spans="1:2" x14ac:dyDescent="0.15">
      <c r="A1753" t="s">
        <v>587</v>
      </c>
      <c r="B1753" t="s">
        <v>2354</v>
      </c>
    </row>
    <row r="1754" spans="1:2" x14ac:dyDescent="0.15">
      <c r="A1754" t="s">
        <v>588</v>
      </c>
      <c r="B1754" t="s">
        <v>3529</v>
      </c>
    </row>
    <row r="1755" spans="1:2" x14ac:dyDescent="0.15">
      <c r="A1755" t="s">
        <v>589</v>
      </c>
      <c r="B1755" t="s">
        <v>2355</v>
      </c>
    </row>
    <row r="1756" spans="1:2" x14ac:dyDescent="0.15">
      <c r="A1756" t="s">
        <v>590</v>
      </c>
      <c r="B1756" t="s">
        <v>2356</v>
      </c>
    </row>
    <row r="1757" spans="1:2" x14ac:dyDescent="0.15">
      <c r="A1757" t="s">
        <v>591</v>
      </c>
      <c r="B1757" t="s">
        <v>5982</v>
      </c>
    </row>
    <row r="1758" spans="1:2" x14ac:dyDescent="0.15">
      <c r="A1758" t="s">
        <v>592</v>
      </c>
      <c r="B1758" t="s">
        <v>2357</v>
      </c>
    </row>
    <row r="1759" spans="1:2" x14ac:dyDescent="0.15">
      <c r="A1759" t="s">
        <v>593</v>
      </c>
      <c r="B1759" t="s">
        <v>2358</v>
      </c>
    </row>
    <row r="1760" spans="1:2" x14ac:dyDescent="0.15">
      <c r="A1760" t="s">
        <v>594</v>
      </c>
      <c r="B1760" t="s">
        <v>2359</v>
      </c>
    </row>
    <row r="1761" spans="1:2" x14ac:dyDescent="0.15">
      <c r="A1761" t="s">
        <v>595</v>
      </c>
      <c r="B1761" t="s">
        <v>2504</v>
      </c>
    </row>
    <row r="1762" spans="1:2" x14ac:dyDescent="0.15">
      <c r="A1762" t="s">
        <v>596</v>
      </c>
      <c r="B1762" t="s">
        <v>2360</v>
      </c>
    </row>
    <row r="1763" spans="1:2" x14ac:dyDescent="0.15">
      <c r="A1763" t="s">
        <v>597</v>
      </c>
      <c r="B1763" t="s">
        <v>2361</v>
      </c>
    </row>
    <row r="1764" spans="1:2" x14ac:dyDescent="0.15">
      <c r="A1764" t="s">
        <v>598</v>
      </c>
      <c r="B1764" t="s">
        <v>2362</v>
      </c>
    </row>
    <row r="1765" spans="1:2" x14ac:dyDescent="0.15">
      <c r="A1765" t="s">
        <v>599</v>
      </c>
      <c r="B1765" t="s">
        <v>2363</v>
      </c>
    </row>
    <row r="1766" spans="1:2" x14ac:dyDescent="0.15">
      <c r="A1766" t="s">
        <v>600</v>
      </c>
      <c r="B1766" t="s">
        <v>2364</v>
      </c>
    </row>
    <row r="1767" spans="1:2" x14ac:dyDescent="0.15">
      <c r="A1767" t="s">
        <v>601</v>
      </c>
      <c r="B1767" t="s">
        <v>2365</v>
      </c>
    </row>
    <row r="1768" spans="1:2" x14ac:dyDescent="0.15">
      <c r="A1768" t="s">
        <v>602</v>
      </c>
      <c r="B1768" t="s">
        <v>2366</v>
      </c>
    </row>
    <row r="1769" spans="1:2" x14ac:dyDescent="0.15">
      <c r="A1769" t="s">
        <v>603</v>
      </c>
      <c r="B1769" t="s">
        <v>1444</v>
      </c>
    </row>
    <row r="1770" spans="1:2" x14ac:dyDescent="0.15">
      <c r="A1770" t="s">
        <v>604</v>
      </c>
      <c r="B1770" t="s">
        <v>2367</v>
      </c>
    </row>
    <row r="1771" spans="1:2" x14ac:dyDescent="0.15">
      <c r="A1771" t="s">
        <v>605</v>
      </c>
      <c r="B1771" t="s">
        <v>2368</v>
      </c>
    </row>
    <row r="1772" spans="1:2" x14ac:dyDescent="0.15">
      <c r="A1772" t="s">
        <v>606</v>
      </c>
      <c r="B1772" t="s">
        <v>2369</v>
      </c>
    </row>
    <row r="1773" spans="1:2" x14ac:dyDescent="0.15">
      <c r="A1773" t="s">
        <v>607</v>
      </c>
      <c r="B1773" t="s">
        <v>6077</v>
      </c>
    </row>
    <row r="1774" spans="1:2" x14ac:dyDescent="0.15">
      <c r="A1774" t="s">
        <v>608</v>
      </c>
      <c r="B1774" t="s">
        <v>2370</v>
      </c>
    </row>
    <row r="1775" spans="1:2" x14ac:dyDescent="0.15">
      <c r="A1775" t="s">
        <v>609</v>
      </c>
      <c r="B1775" t="s">
        <v>2371</v>
      </c>
    </row>
    <row r="1776" spans="1:2" x14ac:dyDescent="0.15">
      <c r="A1776" t="s">
        <v>610</v>
      </c>
      <c r="B1776" t="s">
        <v>2372</v>
      </c>
    </row>
    <row r="1777" spans="1:2" x14ac:dyDescent="0.15">
      <c r="A1777" t="s">
        <v>611</v>
      </c>
      <c r="B1777" t="s">
        <v>2373</v>
      </c>
    </row>
    <row r="1778" spans="1:2" x14ac:dyDescent="0.15">
      <c r="A1778" t="s">
        <v>612</v>
      </c>
      <c r="B1778" t="s">
        <v>2374</v>
      </c>
    </row>
    <row r="1779" spans="1:2" x14ac:dyDescent="0.15">
      <c r="A1779" t="s">
        <v>613</v>
      </c>
      <c r="B1779" t="s">
        <v>2375</v>
      </c>
    </row>
    <row r="1780" spans="1:2" x14ac:dyDescent="0.15">
      <c r="A1780" t="s">
        <v>614</v>
      </c>
      <c r="B1780" t="s">
        <v>5269</v>
      </c>
    </row>
    <row r="1781" spans="1:2" x14ac:dyDescent="0.15">
      <c r="A1781" t="s">
        <v>615</v>
      </c>
      <c r="B1781" t="s">
        <v>2376</v>
      </c>
    </row>
    <row r="1782" spans="1:2" x14ac:dyDescent="0.15">
      <c r="A1782" t="s">
        <v>616</v>
      </c>
      <c r="B1782" t="s">
        <v>2377</v>
      </c>
    </row>
    <row r="1783" spans="1:2" x14ac:dyDescent="0.15">
      <c r="A1783" t="s">
        <v>617</v>
      </c>
      <c r="B1783" t="s">
        <v>1063</v>
      </c>
    </row>
    <row r="1784" spans="1:2" x14ac:dyDescent="0.15">
      <c r="A1784" t="s">
        <v>618</v>
      </c>
      <c r="B1784" t="s">
        <v>7064</v>
      </c>
    </row>
    <row r="1785" spans="1:2" x14ac:dyDescent="0.15">
      <c r="A1785" t="s">
        <v>619</v>
      </c>
      <c r="B1785" t="s">
        <v>2378</v>
      </c>
    </row>
    <row r="1786" spans="1:2" x14ac:dyDescent="0.15">
      <c r="A1786" t="s">
        <v>620</v>
      </c>
      <c r="B1786" t="s">
        <v>2379</v>
      </c>
    </row>
    <row r="1787" spans="1:2" x14ac:dyDescent="0.15">
      <c r="A1787" t="s">
        <v>621</v>
      </c>
      <c r="B1787" t="s">
        <v>2380</v>
      </c>
    </row>
    <row r="1788" spans="1:2" x14ac:dyDescent="0.15">
      <c r="A1788" t="s">
        <v>622</v>
      </c>
      <c r="B1788" t="s">
        <v>2381</v>
      </c>
    </row>
    <row r="1789" spans="1:2" x14ac:dyDescent="0.15">
      <c r="A1789" t="s">
        <v>623</v>
      </c>
      <c r="B1789" t="s">
        <v>2382</v>
      </c>
    </row>
    <row r="1790" spans="1:2" x14ac:dyDescent="0.15">
      <c r="A1790" t="s">
        <v>624</v>
      </c>
      <c r="B1790" t="s">
        <v>2383</v>
      </c>
    </row>
    <row r="1791" spans="1:2" x14ac:dyDescent="0.15">
      <c r="A1791" t="s">
        <v>4577</v>
      </c>
      <c r="B1791" t="s">
        <v>4577</v>
      </c>
    </row>
    <row r="1792" spans="1:2" x14ac:dyDescent="0.15">
      <c r="A1792" t="s">
        <v>4578</v>
      </c>
      <c r="B1792" t="s">
        <v>4578</v>
      </c>
    </row>
    <row r="1793" spans="1:2" x14ac:dyDescent="0.15">
      <c r="A1793" t="s">
        <v>4579</v>
      </c>
      <c r="B1793" t="s">
        <v>4579</v>
      </c>
    </row>
    <row r="1794" spans="1:2" x14ac:dyDescent="0.15">
      <c r="A1794" t="s">
        <v>625</v>
      </c>
      <c r="B1794" t="s">
        <v>2384</v>
      </c>
    </row>
    <row r="1795" spans="1:2" x14ac:dyDescent="0.15">
      <c r="A1795" t="s">
        <v>626</v>
      </c>
      <c r="B1795" t="s">
        <v>3485</v>
      </c>
    </row>
    <row r="1796" spans="1:2" x14ac:dyDescent="0.15">
      <c r="A1796" t="s">
        <v>627</v>
      </c>
      <c r="B1796" t="s">
        <v>2385</v>
      </c>
    </row>
    <row r="1797" spans="1:2" x14ac:dyDescent="0.15">
      <c r="A1797" t="s">
        <v>628</v>
      </c>
      <c r="B1797" t="s">
        <v>6081</v>
      </c>
    </row>
    <row r="1798" spans="1:2" x14ac:dyDescent="0.15">
      <c r="A1798" t="s">
        <v>629</v>
      </c>
      <c r="B1798" t="s">
        <v>2386</v>
      </c>
    </row>
    <row r="1799" spans="1:2" x14ac:dyDescent="0.15">
      <c r="A1799" t="s">
        <v>630</v>
      </c>
      <c r="B1799" t="s">
        <v>2387</v>
      </c>
    </row>
    <row r="1800" spans="1:2" x14ac:dyDescent="0.15">
      <c r="A1800" t="s">
        <v>631</v>
      </c>
      <c r="B1800" t="s">
        <v>2388</v>
      </c>
    </row>
    <row r="1801" spans="1:2" x14ac:dyDescent="0.15">
      <c r="A1801" t="s">
        <v>632</v>
      </c>
      <c r="B1801" t="s">
        <v>6074</v>
      </c>
    </row>
    <row r="1802" spans="1:2" x14ac:dyDescent="0.15">
      <c r="A1802" t="s">
        <v>633</v>
      </c>
      <c r="B1802" t="s">
        <v>2389</v>
      </c>
    </row>
    <row r="1803" spans="1:2" x14ac:dyDescent="0.15">
      <c r="A1803" t="s">
        <v>634</v>
      </c>
      <c r="B1803" t="s">
        <v>2390</v>
      </c>
    </row>
    <row r="1804" spans="1:2" x14ac:dyDescent="0.15">
      <c r="A1804" t="s">
        <v>635</v>
      </c>
      <c r="B1804" t="s">
        <v>2391</v>
      </c>
    </row>
    <row r="1805" spans="1:2" x14ac:dyDescent="0.15">
      <c r="A1805" t="s">
        <v>636</v>
      </c>
      <c r="B1805" t="s">
        <v>2392</v>
      </c>
    </row>
    <row r="1806" spans="1:2" x14ac:dyDescent="0.15">
      <c r="A1806" t="s">
        <v>637</v>
      </c>
      <c r="B1806" t="s">
        <v>2393</v>
      </c>
    </row>
    <row r="1807" spans="1:2" x14ac:dyDescent="0.15">
      <c r="A1807" t="s">
        <v>638</v>
      </c>
      <c r="B1807" t="s">
        <v>2394</v>
      </c>
    </row>
    <row r="1808" spans="1:2" x14ac:dyDescent="0.15">
      <c r="A1808" t="s">
        <v>639</v>
      </c>
      <c r="B1808" t="s">
        <v>2395</v>
      </c>
    </row>
    <row r="1809" spans="1:2" x14ac:dyDescent="0.15">
      <c r="A1809" t="s">
        <v>640</v>
      </c>
      <c r="B1809" t="s">
        <v>2396</v>
      </c>
    </row>
    <row r="1810" spans="1:2" x14ac:dyDescent="0.15">
      <c r="A1810" t="s">
        <v>641</v>
      </c>
      <c r="B1810" t="s">
        <v>2397</v>
      </c>
    </row>
    <row r="1811" spans="1:2" x14ac:dyDescent="0.15">
      <c r="A1811" t="s">
        <v>642</v>
      </c>
      <c r="B1811" t="s">
        <v>2398</v>
      </c>
    </row>
    <row r="1812" spans="1:2" x14ac:dyDescent="0.15">
      <c r="A1812" t="s">
        <v>643</v>
      </c>
      <c r="B1812" t="s">
        <v>2399</v>
      </c>
    </row>
    <row r="1813" spans="1:2" x14ac:dyDescent="0.15">
      <c r="A1813" t="s">
        <v>644</v>
      </c>
      <c r="B1813" t="s">
        <v>2400</v>
      </c>
    </row>
    <row r="1814" spans="1:2" x14ac:dyDescent="0.15">
      <c r="A1814" t="s">
        <v>645</v>
      </c>
      <c r="B1814" t="s">
        <v>2401</v>
      </c>
    </row>
    <row r="1815" spans="1:2" x14ac:dyDescent="0.15">
      <c r="A1815" t="s">
        <v>646</v>
      </c>
      <c r="B1815" t="s">
        <v>2402</v>
      </c>
    </row>
    <row r="1816" spans="1:2" x14ac:dyDescent="0.15">
      <c r="A1816" t="s">
        <v>647</v>
      </c>
      <c r="B1816" t="s">
        <v>2403</v>
      </c>
    </row>
    <row r="1817" spans="1:2" x14ac:dyDescent="0.15">
      <c r="A1817" t="s">
        <v>648</v>
      </c>
      <c r="B1817" t="s">
        <v>2404</v>
      </c>
    </row>
    <row r="1818" spans="1:2" x14ac:dyDescent="0.15">
      <c r="A1818" t="s">
        <v>649</v>
      </c>
      <c r="B1818" t="s">
        <v>2405</v>
      </c>
    </row>
    <row r="1819" spans="1:2" x14ac:dyDescent="0.15">
      <c r="A1819" t="s">
        <v>650</v>
      </c>
      <c r="B1819" t="s">
        <v>2406</v>
      </c>
    </row>
    <row r="1820" spans="1:2" x14ac:dyDescent="0.15">
      <c r="A1820" t="s">
        <v>651</v>
      </c>
      <c r="B1820" t="s">
        <v>4179</v>
      </c>
    </row>
    <row r="1821" spans="1:2" x14ac:dyDescent="0.15">
      <c r="A1821" t="s">
        <v>652</v>
      </c>
      <c r="B1821" t="s">
        <v>2407</v>
      </c>
    </row>
    <row r="1822" spans="1:2" x14ac:dyDescent="0.15">
      <c r="A1822" t="s">
        <v>653</v>
      </c>
      <c r="B1822" t="s">
        <v>2408</v>
      </c>
    </row>
    <row r="1823" spans="1:2" x14ac:dyDescent="0.15">
      <c r="A1823" t="s">
        <v>654</v>
      </c>
      <c r="B1823" t="s">
        <v>2409</v>
      </c>
    </row>
    <row r="1824" spans="1:2" x14ac:dyDescent="0.15">
      <c r="A1824" t="s">
        <v>655</v>
      </c>
      <c r="B1824" t="s">
        <v>2410</v>
      </c>
    </row>
    <row r="1825" spans="1:2" x14ac:dyDescent="0.15">
      <c r="A1825" t="s">
        <v>656</v>
      </c>
      <c r="B1825" t="s">
        <v>2411</v>
      </c>
    </row>
    <row r="1826" spans="1:2" x14ac:dyDescent="0.15">
      <c r="A1826" t="s">
        <v>657</v>
      </c>
      <c r="B1826" t="s">
        <v>2412</v>
      </c>
    </row>
    <row r="1827" spans="1:2" x14ac:dyDescent="0.15">
      <c r="A1827" t="s">
        <v>658</v>
      </c>
      <c r="B1827" t="s">
        <v>2413</v>
      </c>
    </row>
    <row r="1828" spans="1:2" x14ac:dyDescent="0.15">
      <c r="A1828" t="s">
        <v>659</v>
      </c>
      <c r="B1828" t="s">
        <v>2414</v>
      </c>
    </row>
    <row r="1829" spans="1:2" x14ac:dyDescent="0.15">
      <c r="A1829" t="s">
        <v>660</v>
      </c>
      <c r="B1829" t="s">
        <v>2415</v>
      </c>
    </row>
    <row r="1830" spans="1:2" x14ac:dyDescent="0.15">
      <c r="A1830" t="s">
        <v>661</v>
      </c>
      <c r="B1830" t="s">
        <v>2416</v>
      </c>
    </row>
    <row r="1831" spans="1:2" x14ac:dyDescent="0.15">
      <c r="A1831" t="s">
        <v>662</v>
      </c>
      <c r="B1831" t="s">
        <v>2417</v>
      </c>
    </row>
    <row r="1832" spans="1:2" x14ac:dyDescent="0.15">
      <c r="A1832" t="s">
        <v>663</v>
      </c>
      <c r="B1832" t="s">
        <v>2418</v>
      </c>
    </row>
    <row r="1833" spans="1:2" x14ac:dyDescent="0.15">
      <c r="A1833" t="s">
        <v>664</v>
      </c>
      <c r="B1833" t="s">
        <v>2419</v>
      </c>
    </row>
    <row r="1834" spans="1:2" x14ac:dyDescent="0.15">
      <c r="A1834" t="s">
        <v>665</v>
      </c>
      <c r="B1834" t="s">
        <v>2420</v>
      </c>
    </row>
    <row r="1835" spans="1:2" x14ac:dyDescent="0.15">
      <c r="A1835" t="s">
        <v>666</v>
      </c>
      <c r="B1835" t="s">
        <v>2421</v>
      </c>
    </row>
    <row r="1836" spans="1:2" x14ac:dyDescent="0.15">
      <c r="A1836" t="s">
        <v>667</v>
      </c>
      <c r="B1836" t="s">
        <v>2422</v>
      </c>
    </row>
    <row r="1837" spans="1:2" x14ac:dyDescent="0.15">
      <c r="A1837" t="s">
        <v>668</v>
      </c>
      <c r="B1837" t="s">
        <v>3428</v>
      </c>
    </row>
    <row r="1838" spans="1:2" x14ac:dyDescent="0.15">
      <c r="A1838" t="s">
        <v>669</v>
      </c>
      <c r="B1838" t="s">
        <v>2423</v>
      </c>
    </row>
    <row r="1839" spans="1:2" x14ac:dyDescent="0.15">
      <c r="A1839" t="s">
        <v>670</v>
      </c>
      <c r="B1839" t="s">
        <v>2424</v>
      </c>
    </row>
    <row r="1840" spans="1:2" x14ac:dyDescent="0.15">
      <c r="A1840" t="s">
        <v>671</v>
      </c>
      <c r="B1840" t="s">
        <v>4806</v>
      </c>
    </row>
    <row r="1841" spans="1:2" x14ac:dyDescent="0.15">
      <c r="A1841" t="s">
        <v>672</v>
      </c>
      <c r="B1841" t="s">
        <v>2425</v>
      </c>
    </row>
    <row r="1842" spans="1:2" x14ac:dyDescent="0.15">
      <c r="A1842" t="s">
        <v>673</v>
      </c>
      <c r="B1842" t="s">
        <v>2426</v>
      </c>
    </row>
    <row r="1843" spans="1:2" x14ac:dyDescent="0.15">
      <c r="A1843" t="s">
        <v>674</v>
      </c>
      <c r="B1843" t="s">
        <v>2427</v>
      </c>
    </row>
    <row r="1844" spans="1:2" x14ac:dyDescent="0.15">
      <c r="A1844" t="s">
        <v>675</v>
      </c>
      <c r="B1844" t="s">
        <v>2428</v>
      </c>
    </row>
    <row r="1845" spans="1:2" x14ac:dyDescent="0.15">
      <c r="A1845" t="s">
        <v>676</v>
      </c>
      <c r="B1845" t="s">
        <v>2429</v>
      </c>
    </row>
    <row r="1846" spans="1:2" x14ac:dyDescent="0.15">
      <c r="A1846" t="s">
        <v>677</v>
      </c>
      <c r="B1846" t="s">
        <v>2430</v>
      </c>
    </row>
    <row r="1847" spans="1:2" x14ac:dyDescent="0.15">
      <c r="A1847" t="s">
        <v>678</v>
      </c>
      <c r="B1847" t="s">
        <v>2431</v>
      </c>
    </row>
    <row r="1848" spans="1:2" x14ac:dyDescent="0.15">
      <c r="A1848" t="s">
        <v>679</v>
      </c>
      <c r="B1848" t="s">
        <v>2432</v>
      </c>
    </row>
    <row r="1849" spans="1:2" x14ac:dyDescent="0.15">
      <c r="A1849" t="s">
        <v>680</v>
      </c>
      <c r="B1849" t="s">
        <v>2433</v>
      </c>
    </row>
    <row r="1850" spans="1:2" x14ac:dyDescent="0.15">
      <c r="A1850" t="s">
        <v>681</v>
      </c>
      <c r="B1850" t="s">
        <v>2434</v>
      </c>
    </row>
    <row r="1851" spans="1:2" x14ac:dyDescent="0.15">
      <c r="A1851" t="s">
        <v>682</v>
      </c>
      <c r="B1851" t="s">
        <v>2435</v>
      </c>
    </row>
    <row r="1852" spans="1:2" x14ac:dyDescent="0.15">
      <c r="A1852" t="s">
        <v>683</v>
      </c>
      <c r="B1852" t="s">
        <v>2508</v>
      </c>
    </row>
    <row r="1853" spans="1:2" x14ac:dyDescent="0.15">
      <c r="A1853" t="s">
        <v>684</v>
      </c>
      <c r="B1853" t="s">
        <v>2436</v>
      </c>
    </row>
    <row r="1854" spans="1:2" x14ac:dyDescent="0.15">
      <c r="A1854" t="s">
        <v>685</v>
      </c>
      <c r="B1854" t="s">
        <v>2437</v>
      </c>
    </row>
    <row r="1855" spans="1:2" x14ac:dyDescent="0.15">
      <c r="A1855" t="s">
        <v>686</v>
      </c>
      <c r="B1855" t="s">
        <v>2438</v>
      </c>
    </row>
    <row r="1856" spans="1:2" x14ac:dyDescent="0.15">
      <c r="A1856" t="s">
        <v>687</v>
      </c>
      <c r="B1856" t="s">
        <v>3449</v>
      </c>
    </row>
    <row r="1857" spans="1:2" x14ac:dyDescent="0.15">
      <c r="A1857" t="s">
        <v>688</v>
      </c>
      <c r="B1857" t="s">
        <v>2439</v>
      </c>
    </row>
    <row r="1858" spans="1:2" x14ac:dyDescent="0.15">
      <c r="A1858" t="s">
        <v>689</v>
      </c>
      <c r="B1858" t="s">
        <v>2440</v>
      </c>
    </row>
    <row r="1859" spans="1:2" x14ac:dyDescent="0.15">
      <c r="A1859" t="s">
        <v>690</v>
      </c>
      <c r="B1859" t="s">
        <v>2441</v>
      </c>
    </row>
    <row r="1860" spans="1:2" x14ac:dyDescent="0.15">
      <c r="A1860" t="s">
        <v>691</v>
      </c>
      <c r="B1860" t="s">
        <v>2442</v>
      </c>
    </row>
    <row r="1861" spans="1:2" x14ac:dyDescent="0.15">
      <c r="A1861" t="s">
        <v>692</v>
      </c>
      <c r="B1861" t="s">
        <v>2443</v>
      </c>
    </row>
    <row r="1862" spans="1:2" x14ac:dyDescent="0.15">
      <c r="A1862" t="s">
        <v>407</v>
      </c>
      <c r="B1862" t="s">
        <v>2444</v>
      </c>
    </row>
    <row r="1863" spans="1:2" x14ac:dyDescent="0.15">
      <c r="A1863" t="s">
        <v>408</v>
      </c>
      <c r="B1863" t="s">
        <v>6102</v>
      </c>
    </row>
    <row r="1864" spans="1:2" x14ac:dyDescent="0.15">
      <c r="A1864" t="s">
        <v>409</v>
      </c>
      <c r="B1864" t="s">
        <v>2445</v>
      </c>
    </row>
    <row r="1865" spans="1:2" x14ac:dyDescent="0.15">
      <c r="A1865" t="s">
        <v>410</v>
      </c>
      <c r="B1865" t="s">
        <v>2446</v>
      </c>
    </row>
    <row r="1866" spans="1:2" x14ac:dyDescent="0.15">
      <c r="A1866" t="s">
        <v>4580</v>
      </c>
      <c r="B1866" t="s">
        <v>4580</v>
      </c>
    </row>
    <row r="1867" spans="1:2" x14ac:dyDescent="0.15">
      <c r="A1867" t="s">
        <v>411</v>
      </c>
      <c r="B1867" t="s">
        <v>2447</v>
      </c>
    </row>
    <row r="1868" spans="1:2" x14ac:dyDescent="0.15">
      <c r="A1868" t="s">
        <v>412</v>
      </c>
      <c r="B1868" t="s">
        <v>2448</v>
      </c>
    </row>
    <row r="1869" spans="1:2" x14ac:dyDescent="0.15">
      <c r="A1869" t="s">
        <v>413</v>
      </c>
      <c r="B1869" t="s">
        <v>2449</v>
      </c>
    </row>
    <row r="1870" spans="1:2" x14ac:dyDescent="0.15">
      <c r="A1870" t="s">
        <v>414</v>
      </c>
      <c r="B1870" t="s">
        <v>2450</v>
      </c>
    </row>
    <row r="1871" spans="1:2" x14ac:dyDescent="0.15">
      <c r="A1871" t="s">
        <v>415</v>
      </c>
      <c r="B1871" t="s">
        <v>2451</v>
      </c>
    </row>
    <row r="1872" spans="1:2" x14ac:dyDescent="0.15">
      <c r="A1872" t="s">
        <v>416</v>
      </c>
      <c r="B1872" t="s">
        <v>2452</v>
      </c>
    </row>
    <row r="1873" spans="1:2" x14ac:dyDescent="0.15">
      <c r="A1873" t="s">
        <v>417</v>
      </c>
      <c r="B1873" t="s">
        <v>2453</v>
      </c>
    </row>
    <row r="1874" spans="1:2" x14ac:dyDescent="0.15">
      <c r="A1874" t="s">
        <v>418</v>
      </c>
      <c r="B1874" t="s">
        <v>2454</v>
      </c>
    </row>
    <row r="1875" spans="1:2" x14ac:dyDescent="0.15">
      <c r="A1875" t="s">
        <v>419</v>
      </c>
      <c r="B1875" t="s">
        <v>2455</v>
      </c>
    </row>
    <row r="1876" spans="1:2" x14ac:dyDescent="0.15">
      <c r="A1876" t="s">
        <v>420</v>
      </c>
      <c r="B1876" t="s">
        <v>2456</v>
      </c>
    </row>
    <row r="1877" spans="1:2" x14ac:dyDescent="0.15">
      <c r="A1877" t="s">
        <v>421</v>
      </c>
      <c r="B1877" t="s">
        <v>2457</v>
      </c>
    </row>
    <row r="1878" spans="1:2" x14ac:dyDescent="0.15">
      <c r="A1878" t="s">
        <v>422</v>
      </c>
      <c r="B1878" t="s">
        <v>2458</v>
      </c>
    </row>
    <row r="1879" spans="1:2" x14ac:dyDescent="0.15">
      <c r="A1879" t="s">
        <v>423</v>
      </c>
      <c r="B1879" t="s">
        <v>2459</v>
      </c>
    </row>
    <row r="1880" spans="1:2" x14ac:dyDescent="0.15">
      <c r="A1880" t="s">
        <v>424</v>
      </c>
      <c r="B1880" t="s">
        <v>2460</v>
      </c>
    </row>
    <row r="1881" spans="1:2" x14ac:dyDescent="0.15">
      <c r="A1881" t="s">
        <v>425</v>
      </c>
      <c r="B1881" t="s">
        <v>2461</v>
      </c>
    </row>
    <row r="1882" spans="1:2" x14ac:dyDescent="0.15">
      <c r="A1882" t="s">
        <v>426</v>
      </c>
      <c r="B1882" t="s">
        <v>2462</v>
      </c>
    </row>
    <row r="1883" spans="1:2" x14ac:dyDescent="0.15">
      <c r="A1883" t="s">
        <v>427</v>
      </c>
      <c r="B1883" t="s">
        <v>2463</v>
      </c>
    </row>
    <row r="1884" spans="1:2" x14ac:dyDescent="0.15">
      <c r="A1884" t="s">
        <v>428</v>
      </c>
      <c r="B1884" t="s">
        <v>2464</v>
      </c>
    </row>
    <row r="1885" spans="1:2" x14ac:dyDescent="0.15">
      <c r="A1885" t="s">
        <v>429</v>
      </c>
      <c r="B1885" t="s">
        <v>2465</v>
      </c>
    </row>
    <row r="1886" spans="1:2" x14ac:dyDescent="0.15">
      <c r="A1886" t="s">
        <v>430</v>
      </c>
      <c r="B1886" t="s">
        <v>2466</v>
      </c>
    </row>
    <row r="1887" spans="1:2" x14ac:dyDescent="0.15">
      <c r="A1887" t="s">
        <v>431</v>
      </c>
      <c r="B1887" t="s">
        <v>2467</v>
      </c>
    </row>
    <row r="1888" spans="1:2" x14ac:dyDescent="0.15">
      <c r="A1888" t="s">
        <v>432</v>
      </c>
      <c r="B1888" t="s">
        <v>6105</v>
      </c>
    </row>
    <row r="1889" spans="1:2" x14ac:dyDescent="0.15">
      <c r="A1889" t="s">
        <v>433</v>
      </c>
      <c r="B1889" t="s">
        <v>8663</v>
      </c>
    </row>
    <row r="1890" spans="1:2" x14ac:dyDescent="0.15">
      <c r="A1890" t="s">
        <v>434</v>
      </c>
      <c r="B1890" t="s">
        <v>2468</v>
      </c>
    </row>
    <row r="1891" spans="1:2" x14ac:dyDescent="0.15">
      <c r="A1891" t="s">
        <v>435</v>
      </c>
      <c r="B1891" t="s">
        <v>2469</v>
      </c>
    </row>
    <row r="1892" spans="1:2" x14ac:dyDescent="0.15">
      <c r="A1892" t="s">
        <v>436</v>
      </c>
      <c r="B1892" t="s">
        <v>2470</v>
      </c>
    </row>
    <row r="1893" spans="1:2" x14ac:dyDescent="0.15">
      <c r="A1893" t="s">
        <v>437</v>
      </c>
      <c r="B1893" t="s">
        <v>2471</v>
      </c>
    </row>
    <row r="1894" spans="1:2" x14ac:dyDescent="0.15">
      <c r="A1894" t="s">
        <v>438</v>
      </c>
      <c r="B1894" t="s">
        <v>2472</v>
      </c>
    </row>
    <row r="1895" spans="1:2" x14ac:dyDescent="0.15">
      <c r="A1895" t="s">
        <v>439</v>
      </c>
      <c r="B1895" t="s">
        <v>2473</v>
      </c>
    </row>
    <row r="1896" spans="1:2" x14ac:dyDescent="0.15">
      <c r="A1896" t="s">
        <v>440</v>
      </c>
      <c r="B1896" t="s">
        <v>2474</v>
      </c>
    </row>
    <row r="1897" spans="1:2" x14ac:dyDescent="0.15">
      <c r="A1897" t="s">
        <v>441</v>
      </c>
      <c r="B1897" t="s">
        <v>2475</v>
      </c>
    </row>
    <row r="1898" spans="1:2" x14ac:dyDescent="0.15">
      <c r="A1898" t="s">
        <v>442</v>
      </c>
      <c r="B1898" t="s">
        <v>2476</v>
      </c>
    </row>
    <row r="1899" spans="1:2" x14ac:dyDescent="0.15">
      <c r="A1899" t="s">
        <v>443</v>
      </c>
      <c r="B1899" t="s">
        <v>2477</v>
      </c>
    </row>
    <row r="1900" spans="1:2" x14ac:dyDescent="0.15">
      <c r="A1900" t="s">
        <v>444</v>
      </c>
      <c r="B1900" t="s">
        <v>6499</v>
      </c>
    </row>
    <row r="1901" spans="1:2" x14ac:dyDescent="0.15">
      <c r="A1901" t="s">
        <v>445</v>
      </c>
      <c r="B1901" t="s">
        <v>2191</v>
      </c>
    </row>
    <row r="1902" spans="1:2" x14ac:dyDescent="0.15">
      <c r="A1902" t="s">
        <v>446</v>
      </c>
      <c r="B1902" t="s">
        <v>2478</v>
      </c>
    </row>
    <row r="1903" spans="1:2" x14ac:dyDescent="0.15">
      <c r="A1903" t="s">
        <v>447</v>
      </c>
      <c r="B1903" t="s">
        <v>6419</v>
      </c>
    </row>
    <row r="1904" spans="1:2" x14ac:dyDescent="0.15">
      <c r="A1904" t="s">
        <v>448</v>
      </c>
      <c r="B1904" t="s">
        <v>5223</v>
      </c>
    </row>
    <row r="1905" spans="1:2" x14ac:dyDescent="0.15">
      <c r="A1905" t="s">
        <v>449</v>
      </c>
      <c r="B1905" t="s">
        <v>4886</v>
      </c>
    </row>
    <row r="1906" spans="1:2" x14ac:dyDescent="0.15">
      <c r="A1906" t="s">
        <v>450</v>
      </c>
      <c r="B1906" t="s">
        <v>2479</v>
      </c>
    </row>
    <row r="1907" spans="1:2" x14ac:dyDescent="0.15">
      <c r="A1907" t="s">
        <v>451</v>
      </c>
      <c r="B1907" t="s">
        <v>2480</v>
      </c>
    </row>
    <row r="1908" spans="1:2" x14ac:dyDescent="0.15">
      <c r="A1908" t="s">
        <v>452</v>
      </c>
      <c r="B1908" t="s">
        <v>2481</v>
      </c>
    </row>
    <row r="1909" spans="1:2" x14ac:dyDescent="0.15">
      <c r="A1909" t="s">
        <v>453</v>
      </c>
      <c r="B1909" t="s">
        <v>6244</v>
      </c>
    </row>
    <row r="1910" spans="1:2" x14ac:dyDescent="0.15">
      <c r="A1910" t="s">
        <v>454</v>
      </c>
      <c r="B1910" t="s">
        <v>7203</v>
      </c>
    </row>
    <row r="1911" spans="1:2" x14ac:dyDescent="0.15">
      <c r="A1911" t="s">
        <v>455</v>
      </c>
      <c r="B1911" t="s">
        <v>6245</v>
      </c>
    </row>
    <row r="1912" spans="1:2" x14ac:dyDescent="0.15">
      <c r="A1912" t="s">
        <v>456</v>
      </c>
      <c r="B1912" t="s">
        <v>6246</v>
      </c>
    </row>
    <row r="1913" spans="1:2" x14ac:dyDescent="0.15">
      <c r="A1913" t="s">
        <v>457</v>
      </c>
      <c r="B1913" t="s">
        <v>6247</v>
      </c>
    </row>
    <row r="1914" spans="1:2" x14ac:dyDescent="0.15">
      <c r="A1914" t="s">
        <v>458</v>
      </c>
      <c r="B1914" t="s">
        <v>3535</v>
      </c>
    </row>
    <row r="1915" spans="1:2" x14ac:dyDescent="0.15">
      <c r="A1915" t="s">
        <v>459</v>
      </c>
      <c r="B1915" t="s">
        <v>6248</v>
      </c>
    </row>
    <row r="1916" spans="1:2" x14ac:dyDescent="0.15">
      <c r="A1916" t="s">
        <v>460</v>
      </c>
      <c r="B1916" t="s">
        <v>2191</v>
      </c>
    </row>
    <row r="1917" spans="1:2" x14ac:dyDescent="0.15">
      <c r="A1917" t="s">
        <v>461</v>
      </c>
      <c r="B1917" t="s">
        <v>6249</v>
      </c>
    </row>
    <row r="1918" spans="1:2" x14ac:dyDescent="0.15">
      <c r="A1918" t="s">
        <v>462</v>
      </c>
      <c r="B1918" t="s">
        <v>6250</v>
      </c>
    </row>
    <row r="1919" spans="1:2" x14ac:dyDescent="0.15">
      <c r="A1919" t="s">
        <v>463</v>
      </c>
      <c r="B1919" t="s">
        <v>6251</v>
      </c>
    </row>
    <row r="1920" spans="1:2" x14ac:dyDescent="0.15">
      <c r="A1920" t="s">
        <v>464</v>
      </c>
      <c r="B1920" t="s">
        <v>3065</v>
      </c>
    </row>
    <row r="1921" spans="1:2" x14ac:dyDescent="0.15">
      <c r="A1921" t="s">
        <v>465</v>
      </c>
      <c r="B1921" t="s">
        <v>6252</v>
      </c>
    </row>
    <row r="1922" spans="1:2" x14ac:dyDescent="0.15">
      <c r="A1922" t="s">
        <v>466</v>
      </c>
      <c r="B1922" t="s">
        <v>6253</v>
      </c>
    </row>
    <row r="1923" spans="1:2" x14ac:dyDescent="0.15">
      <c r="A1923" t="s">
        <v>467</v>
      </c>
      <c r="B1923" t="s">
        <v>7421</v>
      </c>
    </row>
    <row r="1924" spans="1:2" x14ac:dyDescent="0.15">
      <c r="A1924" t="s">
        <v>468</v>
      </c>
      <c r="B1924" t="s">
        <v>6254</v>
      </c>
    </row>
    <row r="1925" spans="1:2" x14ac:dyDescent="0.15">
      <c r="A1925" t="s">
        <v>4581</v>
      </c>
      <c r="B1925" t="s">
        <v>4581</v>
      </c>
    </row>
    <row r="1926" spans="1:2" x14ac:dyDescent="0.15">
      <c r="A1926" t="s">
        <v>4582</v>
      </c>
      <c r="B1926" t="s">
        <v>4582</v>
      </c>
    </row>
    <row r="1927" spans="1:2" x14ac:dyDescent="0.15">
      <c r="A1927" t="s">
        <v>469</v>
      </c>
      <c r="B1927" t="s">
        <v>6255</v>
      </c>
    </row>
    <row r="1928" spans="1:2" x14ac:dyDescent="0.15">
      <c r="A1928" t="s">
        <v>470</v>
      </c>
      <c r="B1928" t="s">
        <v>6256</v>
      </c>
    </row>
    <row r="1929" spans="1:2" x14ac:dyDescent="0.15">
      <c r="A1929" t="s">
        <v>471</v>
      </c>
      <c r="B1929" t="s">
        <v>6257</v>
      </c>
    </row>
    <row r="1930" spans="1:2" x14ac:dyDescent="0.15">
      <c r="A1930" t="s">
        <v>472</v>
      </c>
      <c r="B1930" t="s">
        <v>6258</v>
      </c>
    </row>
    <row r="1931" spans="1:2" x14ac:dyDescent="0.15">
      <c r="A1931" t="s">
        <v>473</v>
      </c>
      <c r="B1931" t="s">
        <v>6259</v>
      </c>
    </row>
    <row r="1932" spans="1:2" x14ac:dyDescent="0.15">
      <c r="A1932" t="s">
        <v>474</v>
      </c>
      <c r="B1932" t="s">
        <v>6260</v>
      </c>
    </row>
    <row r="1933" spans="1:2" x14ac:dyDescent="0.15">
      <c r="A1933" t="s">
        <v>475</v>
      </c>
      <c r="B1933" t="s">
        <v>6261</v>
      </c>
    </row>
    <row r="1934" spans="1:2" x14ac:dyDescent="0.15">
      <c r="A1934" t="s">
        <v>476</v>
      </c>
      <c r="B1934" t="s">
        <v>6262</v>
      </c>
    </row>
    <row r="1935" spans="1:2" x14ac:dyDescent="0.15">
      <c r="A1935" t="s">
        <v>477</v>
      </c>
      <c r="B1935" t="s">
        <v>6263</v>
      </c>
    </row>
    <row r="1936" spans="1:2" x14ac:dyDescent="0.15">
      <c r="A1936" t="s">
        <v>478</v>
      </c>
      <c r="B1936" t="s">
        <v>6264</v>
      </c>
    </row>
    <row r="1937" spans="1:2" x14ac:dyDescent="0.15">
      <c r="A1937" t="s">
        <v>479</v>
      </c>
      <c r="B1937" t="s">
        <v>1862</v>
      </c>
    </row>
    <row r="1938" spans="1:2" x14ac:dyDescent="0.15">
      <c r="A1938" t="s">
        <v>480</v>
      </c>
      <c r="B1938" t="s">
        <v>6265</v>
      </c>
    </row>
    <row r="1939" spans="1:2" x14ac:dyDescent="0.15">
      <c r="A1939" t="s">
        <v>481</v>
      </c>
      <c r="B1939" t="s">
        <v>6266</v>
      </c>
    </row>
    <row r="1940" spans="1:2" x14ac:dyDescent="0.15">
      <c r="A1940" t="s">
        <v>482</v>
      </c>
      <c r="B1940" t="s">
        <v>6267</v>
      </c>
    </row>
    <row r="1941" spans="1:2" x14ac:dyDescent="0.15">
      <c r="A1941" t="s">
        <v>483</v>
      </c>
      <c r="B1941" t="s">
        <v>6268</v>
      </c>
    </row>
    <row r="1942" spans="1:2" x14ac:dyDescent="0.15">
      <c r="A1942" t="s">
        <v>484</v>
      </c>
      <c r="B1942" t="s">
        <v>6269</v>
      </c>
    </row>
    <row r="1943" spans="1:2" x14ac:dyDescent="0.15">
      <c r="A1943" t="s">
        <v>485</v>
      </c>
      <c r="B1943" t="s">
        <v>6270</v>
      </c>
    </row>
    <row r="1944" spans="1:2" x14ac:dyDescent="0.15">
      <c r="A1944" t="s">
        <v>486</v>
      </c>
      <c r="B1944" t="s">
        <v>6271</v>
      </c>
    </row>
    <row r="1945" spans="1:2" x14ac:dyDescent="0.15">
      <c r="A1945" t="s">
        <v>487</v>
      </c>
      <c r="B1945" t="s">
        <v>6272</v>
      </c>
    </row>
    <row r="1946" spans="1:2" x14ac:dyDescent="0.15">
      <c r="A1946" t="s">
        <v>488</v>
      </c>
      <c r="B1946" t="s">
        <v>6273</v>
      </c>
    </row>
    <row r="1947" spans="1:2" x14ac:dyDescent="0.15">
      <c r="A1947" t="s">
        <v>489</v>
      </c>
      <c r="B1947" t="s">
        <v>6274</v>
      </c>
    </row>
    <row r="1948" spans="1:2" x14ac:dyDescent="0.15">
      <c r="A1948" t="s">
        <v>490</v>
      </c>
      <c r="B1948" t="s">
        <v>6275</v>
      </c>
    </row>
    <row r="1949" spans="1:2" x14ac:dyDescent="0.15">
      <c r="A1949" t="s">
        <v>491</v>
      </c>
      <c r="B1949" t="s">
        <v>6696</v>
      </c>
    </row>
    <row r="1950" spans="1:2" x14ac:dyDescent="0.15">
      <c r="A1950" t="s">
        <v>492</v>
      </c>
      <c r="B1950" t="s">
        <v>6276</v>
      </c>
    </row>
    <row r="1951" spans="1:2" x14ac:dyDescent="0.15">
      <c r="A1951" t="s">
        <v>493</v>
      </c>
      <c r="B1951" t="s">
        <v>6277</v>
      </c>
    </row>
    <row r="1952" spans="1:2" x14ac:dyDescent="0.15">
      <c r="A1952" t="s">
        <v>494</v>
      </c>
      <c r="B1952" t="s">
        <v>5186</v>
      </c>
    </row>
    <row r="1953" spans="1:2" x14ac:dyDescent="0.15">
      <c r="A1953" t="s">
        <v>495</v>
      </c>
      <c r="B1953" t="s">
        <v>6278</v>
      </c>
    </row>
    <row r="1954" spans="1:2" x14ac:dyDescent="0.15">
      <c r="A1954" t="s">
        <v>496</v>
      </c>
      <c r="B1954" t="s">
        <v>6279</v>
      </c>
    </row>
    <row r="1955" spans="1:2" x14ac:dyDescent="0.15">
      <c r="A1955" t="s">
        <v>497</v>
      </c>
      <c r="B1955" t="s">
        <v>1502</v>
      </c>
    </row>
    <row r="1956" spans="1:2" x14ac:dyDescent="0.15">
      <c r="A1956" t="s">
        <v>498</v>
      </c>
      <c r="B1956" t="s">
        <v>6280</v>
      </c>
    </row>
    <row r="1957" spans="1:2" x14ac:dyDescent="0.15">
      <c r="A1957" t="s">
        <v>499</v>
      </c>
      <c r="B1957" t="s">
        <v>6281</v>
      </c>
    </row>
    <row r="1958" spans="1:2" x14ac:dyDescent="0.15">
      <c r="A1958" t="s">
        <v>500</v>
      </c>
      <c r="B1958" t="s">
        <v>6282</v>
      </c>
    </row>
    <row r="1959" spans="1:2" x14ac:dyDescent="0.15">
      <c r="A1959" t="s">
        <v>501</v>
      </c>
      <c r="B1959" t="s">
        <v>6283</v>
      </c>
    </row>
    <row r="1960" spans="1:2" x14ac:dyDescent="0.15">
      <c r="A1960" t="s">
        <v>502</v>
      </c>
      <c r="B1960" t="s">
        <v>6284</v>
      </c>
    </row>
    <row r="1961" spans="1:2" x14ac:dyDescent="0.15">
      <c r="A1961" t="s">
        <v>503</v>
      </c>
      <c r="B1961" t="s">
        <v>6070</v>
      </c>
    </row>
    <row r="1962" spans="1:2" x14ac:dyDescent="0.15">
      <c r="A1962" t="s">
        <v>504</v>
      </c>
      <c r="B1962" t="s">
        <v>6285</v>
      </c>
    </row>
    <row r="1963" spans="1:2" x14ac:dyDescent="0.15">
      <c r="A1963" t="s">
        <v>505</v>
      </c>
      <c r="B1963" t="s">
        <v>6286</v>
      </c>
    </row>
    <row r="1964" spans="1:2" x14ac:dyDescent="0.15">
      <c r="A1964" t="s">
        <v>506</v>
      </c>
      <c r="B1964" t="s">
        <v>1862</v>
      </c>
    </row>
    <row r="1965" spans="1:2" x14ac:dyDescent="0.15">
      <c r="A1965" t="s">
        <v>507</v>
      </c>
      <c r="B1965" t="s">
        <v>6287</v>
      </c>
    </row>
    <row r="1966" spans="1:2" x14ac:dyDescent="0.15">
      <c r="A1966" t="s">
        <v>4583</v>
      </c>
      <c r="B1966" t="s">
        <v>4583</v>
      </c>
    </row>
    <row r="1967" spans="1:2" x14ac:dyDescent="0.15">
      <c r="A1967" t="s">
        <v>508</v>
      </c>
      <c r="B1967" t="s">
        <v>6288</v>
      </c>
    </row>
    <row r="1968" spans="1:2" x14ac:dyDescent="0.15">
      <c r="A1968" t="s">
        <v>509</v>
      </c>
      <c r="B1968" t="s">
        <v>6289</v>
      </c>
    </row>
    <row r="1969" spans="1:2" x14ac:dyDescent="0.15">
      <c r="A1969" t="s">
        <v>510</v>
      </c>
      <c r="B1969" t="s">
        <v>6290</v>
      </c>
    </row>
    <row r="1970" spans="1:2" x14ac:dyDescent="0.15">
      <c r="A1970" t="s">
        <v>511</v>
      </c>
      <c r="B1970" t="s">
        <v>6291</v>
      </c>
    </row>
    <row r="1971" spans="1:2" x14ac:dyDescent="0.15">
      <c r="A1971" t="s">
        <v>512</v>
      </c>
      <c r="B1971" t="s">
        <v>6292</v>
      </c>
    </row>
    <row r="1972" spans="1:2" x14ac:dyDescent="0.15">
      <c r="A1972" t="s">
        <v>513</v>
      </c>
      <c r="B1972" t="s">
        <v>7191</v>
      </c>
    </row>
    <row r="1973" spans="1:2" x14ac:dyDescent="0.15">
      <c r="A1973" t="s">
        <v>514</v>
      </c>
      <c r="B1973" t="s">
        <v>6293</v>
      </c>
    </row>
    <row r="1974" spans="1:2" x14ac:dyDescent="0.15">
      <c r="A1974" t="s">
        <v>515</v>
      </c>
      <c r="B1974" t="s">
        <v>6066</v>
      </c>
    </row>
    <row r="1975" spans="1:2" x14ac:dyDescent="0.15">
      <c r="A1975" t="s">
        <v>516</v>
      </c>
      <c r="B1975" t="s">
        <v>6294</v>
      </c>
    </row>
    <row r="1976" spans="1:2" x14ac:dyDescent="0.15">
      <c r="A1976" t="s">
        <v>517</v>
      </c>
      <c r="B1976" t="s">
        <v>6295</v>
      </c>
    </row>
    <row r="1977" spans="1:2" x14ac:dyDescent="0.15">
      <c r="A1977" t="s">
        <v>518</v>
      </c>
      <c r="B1977" t="s">
        <v>2734</v>
      </c>
    </row>
    <row r="1978" spans="1:2" x14ac:dyDescent="0.15">
      <c r="A1978" t="s">
        <v>519</v>
      </c>
      <c r="B1978" t="s">
        <v>6296</v>
      </c>
    </row>
    <row r="1979" spans="1:2" x14ac:dyDescent="0.15">
      <c r="A1979" t="s">
        <v>520</v>
      </c>
      <c r="B1979" t="s">
        <v>6297</v>
      </c>
    </row>
    <row r="1980" spans="1:2" x14ac:dyDescent="0.15">
      <c r="A1980" t="s">
        <v>521</v>
      </c>
      <c r="B1980" t="s">
        <v>6298</v>
      </c>
    </row>
    <row r="1981" spans="1:2" x14ac:dyDescent="0.15">
      <c r="A1981" t="s">
        <v>522</v>
      </c>
      <c r="B1981" t="s">
        <v>6919</v>
      </c>
    </row>
    <row r="1982" spans="1:2" x14ac:dyDescent="0.15">
      <c r="A1982" t="s">
        <v>523</v>
      </c>
      <c r="B1982" t="s">
        <v>6299</v>
      </c>
    </row>
    <row r="1983" spans="1:2" x14ac:dyDescent="0.15">
      <c r="A1983" t="s">
        <v>524</v>
      </c>
      <c r="B1983" t="s">
        <v>6300</v>
      </c>
    </row>
    <row r="1984" spans="1:2" x14ac:dyDescent="0.15">
      <c r="A1984" t="s">
        <v>525</v>
      </c>
      <c r="B1984" t="s">
        <v>6068</v>
      </c>
    </row>
    <row r="1985" spans="1:2" x14ac:dyDescent="0.15">
      <c r="A1985" t="s">
        <v>526</v>
      </c>
      <c r="B1985" t="s">
        <v>6301</v>
      </c>
    </row>
    <row r="1986" spans="1:2" x14ac:dyDescent="0.15">
      <c r="A1986" t="s">
        <v>527</v>
      </c>
      <c r="B1986" t="s">
        <v>6302</v>
      </c>
    </row>
    <row r="1987" spans="1:2" x14ac:dyDescent="0.15">
      <c r="A1987" t="s">
        <v>528</v>
      </c>
      <c r="B1987" t="s">
        <v>6303</v>
      </c>
    </row>
    <row r="1988" spans="1:2" x14ac:dyDescent="0.15">
      <c r="A1988" t="s">
        <v>4816</v>
      </c>
      <c r="B1988" t="s">
        <v>6304</v>
      </c>
    </row>
    <row r="1989" spans="1:2" x14ac:dyDescent="0.15">
      <c r="A1989" t="s">
        <v>4817</v>
      </c>
      <c r="B1989" t="s">
        <v>6305</v>
      </c>
    </row>
    <row r="1990" spans="1:2" x14ac:dyDescent="0.15">
      <c r="A1990" t="s">
        <v>4818</v>
      </c>
      <c r="B1990" t="s">
        <v>6306</v>
      </c>
    </row>
    <row r="1991" spans="1:2" x14ac:dyDescent="0.15">
      <c r="A1991" t="s">
        <v>4819</v>
      </c>
      <c r="B1991" t="s">
        <v>6307</v>
      </c>
    </row>
    <row r="1992" spans="1:2" x14ac:dyDescent="0.15">
      <c r="A1992" t="s">
        <v>4820</v>
      </c>
      <c r="B1992" t="s">
        <v>6308</v>
      </c>
    </row>
    <row r="1993" spans="1:2" x14ac:dyDescent="0.15">
      <c r="A1993" t="s">
        <v>4821</v>
      </c>
      <c r="B1993" t="s">
        <v>6309</v>
      </c>
    </row>
    <row r="1994" spans="1:2" x14ac:dyDescent="0.15">
      <c r="A1994" t="s">
        <v>4822</v>
      </c>
      <c r="B1994" t="s">
        <v>3204</v>
      </c>
    </row>
    <row r="1995" spans="1:2" x14ac:dyDescent="0.15">
      <c r="A1995" t="s">
        <v>4823</v>
      </c>
      <c r="B1995" t="s">
        <v>6310</v>
      </c>
    </row>
    <row r="1996" spans="1:2" x14ac:dyDescent="0.15">
      <c r="A1996" t="s">
        <v>4824</v>
      </c>
      <c r="B1996" t="s">
        <v>6311</v>
      </c>
    </row>
    <row r="1997" spans="1:2" x14ac:dyDescent="0.15">
      <c r="A1997" t="s">
        <v>4825</v>
      </c>
      <c r="B1997" t="s">
        <v>6312</v>
      </c>
    </row>
    <row r="1998" spans="1:2" x14ac:dyDescent="0.15">
      <c r="A1998" t="s">
        <v>4826</v>
      </c>
      <c r="B1998" t="s">
        <v>6313</v>
      </c>
    </row>
    <row r="1999" spans="1:2" x14ac:dyDescent="0.15">
      <c r="A1999" t="s">
        <v>4827</v>
      </c>
      <c r="B1999" t="s">
        <v>6314</v>
      </c>
    </row>
    <row r="2000" spans="1:2" x14ac:dyDescent="0.15">
      <c r="A2000" t="s">
        <v>4828</v>
      </c>
      <c r="B2000" t="s">
        <v>6315</v>
      </c>
    </row>
    <row r="2001" spans="1:2" x14ac:dyDescent="0.15">
      <c r="A2001" t="s">
        <v>4829</v>
      </c>
      <c r="B2001" t="s">
        <v>6316</v>
      </c>
    </row>
    <row r="2002" spans="1:2" x14ac:dyDescent="0.15">
      <c r="A2002" t="s">
        <v>4830</v>
      </c>
      <c r="B2002" t="s">
        <v>6317</v>
      </c>
    </row>
    <row r="2003" spans="1:2" x14ac:dyDescent="0.15">
      <c r="A2003" t="s">
        <v>4831</v>
      </c>
      <c r="B2003" t="s">
        <v>6318</v>
      </c>
    </row>
    <row r="2004" spans="1:2" x14ac:dyDescent="0.15">
      <c r="A2004" t="s">
        <v>4832</v>
      </c>
      <c r="B2004" t="s">
        <v>6319</v>
      </c>
    </row>
    <row r="2005" spans="1:2" x14ac:dyDescent="0.15">
      <c r="A2005" t="s">
        <v>4833</v>
      </c>
      <c r="B2005" t="s">
        <v>6320</v>
      </c>
    </row>
    <row r="2006" spans="1:2" x14ac:dyDescent="0.15">
      <c r="A2006" t="s">
        <v>4834</v>
      </c>
      <c r="B2006" t="s">
        <v>6321</v>
      </c>
    </row>
    <row r="2007" spans="1:2" x14ac:dyDescent="0.15">
      <c r="A2007" t="s">
        <v>4835</v>
      </c>
      <c r="B2007" t="s">
        <v>6322</v>
      </c>
    </row>
    <row r="2008" spans="1:2" x14ac:dyDescent="0.15">
      <c r="A2008" t="s">
        <v>4836</v>
      </c>
      <c r="B2008" t="s">
        <v>6323</v>
      </c>
    </row>
    <row r="2009" spans="1:2" x14ac:dyDescent="0.15">
      <c r="A2009" t="s">
        <v>4837</v>
      </c>
      <c r="B2009" t="s">
        <v>6324</v>
      </c>
    </row>
    <row r="2010" spans="1:2" x14ac:dyDescent="0.15">
      <c r="A2010" t="s">
        <v>4838</v>
      </c>
      <c r="B2010" t="s">
        <v>6325</v>
      </c>
    </row>
    <row r="2011" spans="1:2" x14ac:dyDescent="0.15">
      <c r="A2011" t="s">
        <v>4839</v>
      </c>
      <c r="B2011" t="s">
        <v>6326</v>
      </c>
    </row>
    <row r="2012" spans="1:2" x14ac:dyDescent="0.15">
      <c r="A2012" t="s">
        <v>4840</v>
      </c>
      <c r="B2012" t="s">
        <v>6327</v>
      </c>
    </row>
    <row r="2013" spans="1:2" x14ac:dyDescent="0.15">
      <c r="A2013" t="s">
        <v>4841</v>
      </c>
      <c r="B2013" t="s">
        <v>6328</v>
      </c>
    </row>
    <row r="2014" spans="1:2" x14ac:dyDescent="0.15">
      <c r="A2014" t="s">
        <v>4842</v>
      </c>
      <c r="B2014" t="s">
        <v>8655</v>
      </c>
    </row>
    <row r="2015" spans="1:2" x14ac:dyDescent="0.15">
      <c r="A2015" t="s">
        <v>4616</v>
      </c>
      <c r="B2015" t="s">
        <v>6329</v>
      </c>
    </row>
    <row r="2016" spans="1:2" x14ac:dyDescent="0.15">
      <c r="A2016" t="s">
        <v>4617</v>
      </c>
      <c r="B2016" t="s">
        <v>7252</v>
      </c>
    </row>
    <row r="2017" spans="1:2" x14ac:dyDescent="0.15">
      <c r="A2017" t="s">
        <v>4618</v>
      </c>
      <c r="B2017" t="s">
        <v>6330</v>
      </c>
    </row>
    <row r="2018" spans="1:2" x14ac:dyDescent="0.15">
      <c r="A2018" t="s">
        <v>4619</v>
      </c>
      <c r="B2018" t="s">
        <v>6331</v>
      </c>
    </row>
    <row r="2019" spans="1:2" x14ac:dyDescent="0.15">
      <c r="A2019" t="s">
        <v>4620</v>
      </c>
      <c r="B2019" t="s">
        <v>6332</v>
      </c>
    </row>
    <row r="2020" spans="1:2" x14ac:dyDescent="0.15">
      <c r="A2020" t="s">
        <v>4621</v>
      </c>
      <c r="B2020" t="s">
        <v>2739</v>
      </c>
    </row>
    <row r="2021" spans="1:2" x14ac:dyDescent="0.15">
      <c r="A2021" t="s">
        <v>4622</v>
      </c>
      <c r="B2021" t="s">
        <v>6333</v>
      </c>
    </row>
    <row r="2022" spans="1:2" x14ac:dyDescent="0.15">
      <c r="A2022" t="s">
        <v>4623</v>
      </c>
      <c r="B2022" t="s">
        <v>6334</v>
      </c>
    </row>
    <row r="2023" spans="1:2" x14ac:dyDescent="0.15">
      <c r="A2023" t="s">
        <v>4624</v>
      </c>
      <c r="B2023" t="s">
        <v>6335</v>
      </c>
    </row>
    <row r="2024" spans="1:2" x14ac:dyDescent="0.15">
      <c r="A2024" t="s">
        <v>4625</v>
      </c>
      <c r="B2024" t="s">
        <v>6336</v>
      </c>
    </row>
    <row r="2025" spans="1:2" x14ac:dyDescent="0.15">
      <c r="A2025" t="s">
        <v>4626</v>
      </c>
      <c r="B2025" t="s">
        <v>6337</v>
      </c>
    </row>
    <row r="2026" spans="1:2" x14ac:dyDescent="0.15">
      <c r="A2026" t="s">
        <v>4627</v>
      </c>
      <c r="B2026" t="s">
        <v>6338</v>
      </c>
    </row>
    <row r="2027" spans="1:2" x14ac:dyDescent="0.15">
      <c r="A2027" t="s">
        <v>4628</v>
      </c>
      <c r="B2027" t="s">
        <v>6339</v>
      </c>
    </row>
    <row r="2028" spans="1:2" x14ac:dyDescent="0.15">
      <c r="A2028" t="s">
        <v>4629</v>
      </c>
      <c r="B2028" t="s">
        <v>6340</v>
      </c>
    </row>
    <row r="2029" spans="1:2" x14ac:dyDescent="0.15">
      <c r="A2029" t="s">
        <v>4630</v>
      </c>
      <c r="B2029" t="s">
        <v>6341</v>
      </c>
    </row>
    <row r="2030" spans="1:2" x14ac:dyDescent="0.15">
      <c r="A2030" t="s">
        <v>4631</v>
      </c>
      <c r="B2030" t="s">
        <v>6342</v>
      </c>
    </row>
    <row r="2031" spans="1:2" x14ac:dyDescent="0.15">
      <c r="A2031" t="s">
        <v>4632</v>
      </c>
      <c r="B2031" t="s">
        <v>6343</v>
      </c>
    </row>
    <row r="2032" spans="1:2" x14ac:dyDescent="0.15">
      <c r="A2032" t="s">
        <v>4633</v>
      </c>
      <c r="B2032" t="s">
        <v>6344</v>
      </c>
    </row>
    <row r="2033" spans="1:2" x14ac:dyDescent="0.15">
      <c r="A2033" t="s">
        <v>4634</v>
      </c>
      <c r="B2033" t="s">
        <v>6345</v>
      </c>
    </row>
    <row r="2034" spans="1:2" x14ac:dyDescent="0.15">
      <c r="A2034" t="s">
        <v>4635</v>
      </c>
      <c r="B2034" t="s">
        <v>6346</v>
      </c>
    </row>
    <row r="2035" spans="1:2" x14ac:dyDescent="0.15">
      <c r="A2035" t="s">
        <v>4636</v>
      </c>
      <c r="B2035" t="s">
        <v>6347</v>
      </c>
    </row>
    <row r="2036" spans="1:2" x14ac:dyDescent="0.15">
      <c r="A2036" t="s">
        <v>4637</v>
      </c>
      <c r="B2036" t="s">
        <v>6348</v>
      </c>
    </row>
    <row r="2037" spans="1:2" x14ac:dyDescent="0.15">
      <c r="A2037" t="s">
        <v>4638</v>
      </c>
      <c r="B2037" t="s">
        <v>6349</v>
      </c>
    </row>
    <row r="2038" spans="1:2" x14ac:dyDescent="0.15">
      <c r="A2038" t="s">
        <v>4639</v>
      </c>
      <c r="B2038" t="s">
        <v>6350</v>
      </c>
    </row>
    <row r="2039" spans="1:2" x14ac:dyDescent="0.15">
      <c r="A2039" t="s">
        <v>4640</v>
      </c>
      <c r="B2039" t="s">
        <v>6351</v>
      </c>
    </row>
    <row r="2040" spans="1:2" x14ac:dyDescent="0.15">
      <c r="A2040" t="s">
        <v>4641</v>
      </c>
      <c r="B2040" t="s">
        <v>6984</v>
      </c>
    </row>
    <row r="2041" spans="1:2" x14ac:dyDescent="0.15">
      <c r="A2041" t="s">
        <v>4642</v>
      </c>
      <c r="B2041" t="s">
        <v>6352</v>
      </c>
    </row>
    <row r="2042" spans="1:2" x14ac:dyDescent="0.15">
      <c r="A2042" t="s">
        <v>4643</v>
      </c>
      <c r="B2042" t="s">
        <v>6353</v>
      </c>
    </row>
    <row r="2043" spans="1:2" x14ac:dyDescent="0.15">
      <c r="A2043" t="s">
        <v>4644</v>
      </c>
      <c r="B2043" t="s">
        <v>6354</v>
      </c>
    </row>
    <row r="2044" spans="1:2" x14ac:dyDescent="0.15">
      <c r="A2044" t="s">
        <v>4645</v>
      </c>
      <c r="B2044" t="s">
        <v>6355</v>
      </c>
    </row>
    <row r="2045" spans="1:2" x14ac:dyDescent="0.15">
      <c r="A2045" t="s">
        <v>4646</v>
      </c>
      <c r="B2045" t="s">
        <v>6356</v>
      </c>
    </row>
    <row r="2046" spans="1:2" x14ac:dyDescent="0.15">
      <c r="A2046" t="s">
        <v>4647</v>
      </c>
      <c r="B2046" t="s">
        <v>5216</v>
      </c>
    </row>
    <row r="2047" spans="1:2" x14ac:dyDescent="0.15">
      <c r="A2047" t="s">
        <v>4648</v>
      </c>
      <c r="B2047" t="s">
        <v>6357</v>
      </c>
    </row>
    <row r="2048" spans="1:2" x14ac:dyDescent="0.15">
      <c r="A2048" t="s">
        <v>4649</v>
      </c>
      <c r="B2048" t="s">
        <v>6358</v>
      </c>
    </row>
    <row r="2049" spans="1:2" x14ac:dyDescent="0.15">
      <c r="A2049" t="s">
        <v>4650</v>
      </c>
      <c r="B2049" t="s">
        <v>6224</v>
      </c>
    </row>
    <row r="2050" spans="1:2" x14ac:dyDescent="0.15">
      <c r="A2050" t="s">
        <v>4651</v>
      </c>
      <c r="B2050" t="s">
        <v>6359</v>
      </c>
    </row>
    <row r="2051" spans="1:2" x14ac:dyDescent="0.15">
      <c r="A2051" t="s">
        <v>4652</v>
      </c>
      <c r="B2051" t="s">
        <v>6109</v>
      </c>
    </row>
    <row r="2052" spans="1:2" x14ac:dyDescent="0.15">
      <c r="A2052" t="s">
        <v>4653</v>
      </c>
      <c r="B2052" t="s">
        <v>6360</v>
      </c>
    </row>
    <row r="2053" spans="1:2" x14ac:dyDescent="0.15">
      <c r="A2053" t="s">
        <v>4654</v>
      </c>
      <c r="B2053" t="s">
        <v>6361</v>
      </c>
    </row>
    <row r="2054" spans="1:2" x14ac:dyDescent="0.15">
      <c r="A2054" t="s">
        <v>4655</v>
      </c>
      <c r="B2054" t="s">
        <v>6362</v>
      </c>
    </row>
    <row r="2055" spans="1:2" x14ac:dyDescent="0.15">
      <c r="A2055" t="s">
        <v>4656</v>
      </c>
      <c r="B2055" t="s">
        <v>6363</v>
      </c>
    </row>
    <row r="2056" spans="1:2" x14ac:dyDescent="0.15">
      <c r="A2056" t="s">
        <v>4657</v>
      </c>
      <c r="B2056" t="s">
        <v>6112</v>
      </c>
    </row>
    <row r="2057" spans="1:2" x14ac:dyDescent="0.15">
      <c r="A2057" t="s">
        <v>4658</v>
      </c>
      <c r="B2057" t="s">
        <v>6113</v>
      </c>
    </row>
    <row r="2058" spans="1:2" x14ac:dyDescent="0.15">
      <c r="A2058" t="s">
        <v>4659</v>
      </c>
      <c r="B2058" t="s">
        <v>6114</v>
      </c>
    </row>
    <row r="2059" spans="1:2" x14ac:dyDescent="0.15">
      <c r="A2059" t="s">
        <v>4660</v>
      </c>
      <c r="B2059" t="s">
        <v>6115</v>
      </c>
    </row>
    <row r="2060" spans="1:2" x14ac:dyDescent="0.15">
      <c r="A2060" t="s">
        <v>4661</v>
      </c>
      <c r="B2060" t="s">
        <v>6116</v>
      </c>
    </row>
    <row r="2061" spans="1:2" x14ac:dyDescent="0.15">
      <c r="A2061" t="s">
        <v>4662</v>
      </c>
      <c r="B2061" t="s">
        <v>6117</v>
      </c>
    </row>
    <row r="2062" spans="1:2" x14ac:dyDescent="0.15">
      <c r="A2062" t="s">
        <v>4663</v>
      </c>
      <c r="B2062" t="s">
        <v>1501</v>
      </c>
    </row>
    <row r="2063" spans="1:2" x14ac:dyDescent="0.15">
      <c r="A2063" t="s">
        <v>4664</v>
      </c>
      <c r="B2063" t="s">
        <v>6118</v>
      </c>
    </row>
    <row r="2064" spans="1:2" x14ac:dyDescent="0.15">
      <c r="A2064" t="s">
        <v>4665</v>
      </c>
      <c r="B2064" t="s">
        <v>6119</v>
      </c>
    </row>
    <row r="2065" spans="1:2" x14ac:dyDescent="0.15">
      <c r="A2065" t="s">
        <v>4666</v>
      </c>
      <c r="B2065" t="s">
        <v>6120</v>
      </c>
    </row>
    <row r="2066" spans="1:2" x14ac:dyDescent="0.15">
      <c r="A2066" t="s">
        <v>4667</v>
      </c>
      <c r="B2066" t="s">
        <v>6121</v>
      </c>
    </row>
    <row r="2067" spans="1:2" x14ac:dyDescent="0.15">
      <c r="A2067" t="s">
        <v>4668</v>
      </c>
      <c r="B2067" t="s">
        <v>6122</v>
      </c>
    </row>
    <row r="2068" spans="1:2" x14ac:dyDescent="0.15">
      <c r="A2068" t="s">
        <v>4669</v>
      </c>
      <c r="B2068" t="s">
        <v>6123</v>
      </c>
    </row>
    <row r="2069" spans="1:2" x14ac:dyDescent="0.15">
      <c r="A2069" t="s">
        <v>4670</v>
      </c>
      <c r="B2069" t="s">
        <v>6124</v>
      </c>
    </row>
    <row r="2070" spans="1:2" x14ac:dyDescent="0.15">
      <c r="A2070" t="s">
        <v>4671</v>
      </c>
      <c r="B2070" t="s">
        <v>6125</v>
      </c>
    </row>
    <row r="2071" spans="1:2" x14ac:dyDescent="0.15">
      <c r="A2071" t="s">
        <v>4672</v>
      </c>
      <c r="B2071" t="s">
        <v>6126</v>
      </c>
    </row>
    <row r="2072" spans="1:2" x14ac:dyDescent="0.15">
      <c r="A2072" t="s">
        <v>4673</v>
      </c>
      <c r="B2072" t="s">
        <v>6300</v>
      </c>
    </row>
    <row r="2073" spans="1:2" x14ac:dyDescent="0.15">
      <c r="A2073" t="s">
        <v>4674</v>
      </c>
      <c r="B2073" t="s">
        <v>6639</v>
      </c>
    </row>
    <row r="2074" spans="1:2" x14ac:dyDescent="0.15">
      <c r="A2074" t="s">
        <v>4675</v>
      </c>
      <c r="B2074" t="s">
        <v>7054</v>
      </c>
    </row>
    <row r="2075" spans="1:2" x14ac:dyDescent="0.15">
      <c r="A2075" t="s">
        <v>4676</v>
      </c>
      <c r="B2075" t="s">
        <v>6127</v>
      </c>
    </row>
    <row r="2076" spans="1:2" x14ac:dyDescent="0.15">
      <c r="A2076" t="s">
        <v>4677</v>
      </c>
      <c r="B2076" t="s">
        <v>6128</v>
      </c>
    </row>
    <row r="2077" spans="1:2" x14ac:dyDescent="0.15">
      <c r="A2077" t="s">
        <v>4678</v>
      </c>
      <c r="B2077" t="s">
        <v>6129</v>
      </c>
    </row>
    <row r="2078" spans="1:2" x14ac:dyDescent="0.15">
      <c r="A2078" t="s">
        <v>4679</v>
      </c>
      <c r="B2078" t="s">
        <v>6130</v>
      </c>
    </row>
    <row r="2079" spans="1:2" x14ac:dyDescent="0.15">
      <c r="A2079" t="s">
        <v>4680</v>
      </c>
      <c r="B2079" t="s">
        <v>6131</v>
      </c>
    </row>
    <row r="2080" spans="1:2" x14ac:dyDescent="0.15">
      <c r="A2080" t="s">
        <v>4681</v>
      </c>
      <c r="B2080" t="s">
        <v>7182</v>
      </c>
    </row>
    <row r="2081" spans="1:2" x14ac:dyDescent="0.15">
      <c r="A2081" t="s">
        <v>4682</v>
      </c>
      <c r="B2081" t="s">
        <v>8829</v>
      </c>
    </row>
    <row r="2082" spans="1:2" x14ac:dyDescent="0.15">
      <c r="A2082" t="s">
        <v>4683</v>
      </c>
      <c r="B2082" t="s">
        <v>6132</v>
      </c>
    </row>
    <row r="2083" spans="1:2" x14ac:dyDescent="0.15">
      <c r="A2083" t="s">
        <v>4684</v>
      </c>
      <c r="B2083" t="s">
        <v>6133</v>
      </c>
    </row>
    <row r="2084" spans="1:2" x14ac:dyDescent="0.15">
      <c r="A2084" t="s">
        <v>4685</v>
      </c>
      <c r="B2084" t="s">
        <v>6134</v>
      </c>
    </row>
    <row r="2085" spans="1:2" x14ac:dyDescent="0.15">
      <c r="A2085" t="s">
        <v>4686</v>
      </c>
      <c r="B2085" t="s">
        <v>6135</v>
      </c>
    </row>
    <row r="2086" spans="1:2" x14ac:dyDescent="0.15">
      <c r="A2086" t="s">
        <v>4687</v>
      </c>
      <c r="B2086" t="s">
        <v>6136</v>
      </c>
    </row>
    <row r="2087" spans="1:2" x14ac:dyDescent="0.15">
      <c r="A2087" t="s">
        <v>4688</v>
      </c>
      <c r="B2087" t="s">
        <v>6137</v>
      </c>
    </row>
    <row r="2088" spans="1:2" x14ac:dyDescent="0.15">
      <c r="A2088" t="s">
        <v>4689</v>
      </c>
      <c r="B2088" t="s">
        <v>6138</v>
      </c>
    </row>
    <row r="2089" spans="1:2" x14ac:dyDescent="0.15">
      <c r="A2089" t="s">
        <v>4690</v>
      </c>
      <c r="B2089" t="s">
        <v>6139</v>
      </c>
    </row>
    <row r="2090" spans="1:2" x14ac:dyDescent="0.15">
      <c r="A2090" t="s">
        <v>4691</v>
      </c>
      <c r="B2090" t="s">
        <v>8822</v>
      </c>
    </row>
    <row r="2091" spans="1:2" x14ac:dyDescent="0.15">
      <c r="A2091" t="s">
        <v>4692</v>
      </c>
      <c r="B2091" t="s">
        <v>6140</v>
      </c>
    </row>
    <row r="2092" spans="1:2" x14ac:dyDescent="0.15">
      <c r="A2092" t="s">
        <v>4693</v>
      </c>
      <c r="B2092" t="s">
        <v>6141</v>
      </c>
    </row>
    <row r="2093" spans="1:2" x14ac:dyDescent="0.15">
      <c r="A2093" t="s">
        <v>4694</v>
      </c>
      <c r="B2093" t="s">
        <v>6142</v>
      </c>
    </row>
    <row r="2094" spans="1:2" x14ac:dyDescent="0.15">
      <c r="A2094" t="s">
        <v>4695</v>
      </c>
      <c r="B2094" t="s">
        <v>6143</v>
      </c>
    </row>
    <row r="2095" spans="1:2" x14ac:dyDescent="0.15">
      <c r="A2095" t="s">
        <v>4696</v>
      </c>
      <c r="B2095" t="s">
        <v>6144</v>
      </c>
    </row>
    <row r="2096" spans="1:2" x14ac:dyDescent="0.15">
      <c r="A2096" t="s">
        <v>4697</v>
      </c>
      <c r="B2096" t="s">
        <v>6145</v>
      </c>
    </row>
    <row r="2097" spans="1:2" x14ac:dyDescent="0.15">
      <c r="A2097" t="s">
        <v>4698</v>
      </c>
      <c r="B2097" t="s">
        <v>6146</v>
      </c>
    </row>
    <row r="2098" spans="1:2" x14ac:dyDescent="0.15">
      <c r="A2098" t="s">
        <v>4699</v>
      </c>
      <c r="B2098" t="s">
        <v>6147</v>
      </c>
    </row>
    <row r="2099" spans="1:2" x14ac:dyDescent="0.15">
      <c r="A2099" t="s">
        <v>4700</v>
      </c>
      <c r="B2099" t="s">
        <v>6148</v>
      </c>
    </row>
    <row r="2100" spans="1:2" x14ac:dyDescent="0.15">
      <c r="A2100" t="s">
        <v>4701</v>
      </c>
      <c r="B2100" t="s">
        <v>6149</v>
      </c>
    </row>
    <row r="2101" spans="1:2" x14ac:dyDescent="0.15">
      <c r="A2101" t="s">
        <v>4702</v>
      </c>
      <c r="B2101" t="s">
        <v>6150</v>
      </c>
    </row>
    <row r="2102" spans="1:2" x14ac:dyDescent="0.15">
      <c r="A2102" t="s">
        <v>4703</v>
      </c>
      <c r="B2102" t="s">
        <v>6151</v>
      </c>
    </row>
    <row r="2103" spans="1:2" x14ac:dyDescent="0.15">
      <c r="A2103" t="s">
        <v>4704</v>
      </c>
      <c r="B2103" t="s">
        <v>6152</v>
      </c>
    </row>
    <row r="2104" spans="1:2" x14ac:dyDescent="0.15">
      <c r="A2104" t="s">
        <v>4705</v>
      </c>
      <c r="B2104" t="s">
        <v>6153</v>
      </c>
    </row>
    <row r="2105" spans="1:2" x14ac:dyDescent="0.15">
      <c r="A2105" t="s">
        <v>4706</v>
      </c>
      <c r="B2105" t="s">
        <v>6154</v>
      </c>
    </row>
    <row r="2106" spans="1:2" x14ac:dyDescent="0.15">
      <c r="A2106" t="s">
        <v>4707</v>
      </c>
      <c r="B2106" t="s">
        <v>6155</v>
      </c>
    </row>
    <row r="2107" spans="1:2" x14ac:dyDescent="0.15">
      <c r="A2107" t="s">
        <v>4708</v>
      </c>
      <c r="B2107" t="s">
        <v>6156</v>
      </c>
    </row>
    <row r="2108" spans="1:2" x14ac:dyDescent="0.15">
      <c r="A2108" t="s">
        <v>4709</v>
      </c>
      <c r="B2108" t="s">
        <v>6157</v>
      </c>
    </row>
    <row r="2109" spans="1:2" x14ac:dyDescent="0.15">
      <c r="A2109" t="s">
        <v>4710</v>
      </c>
      <c r="B2109" t="s">
        <v>6158</v>
      </c>
    </row>
    <row r="2110" spans="1:2" x14ac:dyDescent="0.15">
      <c r="A2110" t="s">
        <v>4711</v>
      </c>
      <c r="B2110" t="s">
        <v>6159</v>
      </c>
    </row>
    <row r="2111" spans="1:2" x14ac:dyDescent="0.15">
      <c r="A2111" t="s">
        <v>4712</v>
      </c>
      <c r="B2111" t="s">
        <v>6160</v>
      </c>
    </row>
    <row r="2112" spans="1:2" x14ac:dyDescent="0.15">
      <c r="A2112" t="s">
        <v>4713</v>
      </c>
      <c r="B2112" t="s">
        <v>6161</v>
      </c>
    </row>
    <row r="2113" spans="1:2" x14ac:dyDescent="0.15">
      <c r="A2113" t="s">
        <v>4714</v>
      </c>
      <c r="B2113" t="s">
        <v>6162</v>
      </c>
    </row>
    <row r="2114" spans="1:2" x14ac:dyDescent="0.15">
      <c r="A2114" t="s">
        <v>4715</v>
      </c>
      <c r="B2114" t="s">
        <v>6163</v>
      </c>
    </row>
    <row r="2115" spans="1:2" x14ac:dyDescent="0.15">
      <c r="A2115" t="s">
        <v>4716</v>
      </c>
      <c r="B2115" t="s">
        <v>6164</v>
      </c>
    </row>
    <row r="2116" spans="1:2" x14ac:dyDescent="0.15">
      <c r="A2116" t="s">
        <v>4717</v>
      </c>
      <c r="B2116" t="s">
        <v>6165</v>
      </c>
    </row>
    <row r="2117" spans="1:2" x14ac:dyDescent="0.15">
      <c r="A2117" t="s">
        <v>4718</v>
      </c>
      <c r="B2117" t="s">
        <v>6166</v>
      </c>
    </row>
    <row r="2118" spans="1:2" x14ac:dyDescent="0.15">
      <c r="A2118" t="s">
        <v>4719</v>
      </c>
      <c r="B2118" t="s">
        <v>8659</v>
      </c>
    </row>
    <row r="2119" spans="1:2" x14ac:dyDescent="0.15">
      <c r="A2119" t="s">
        <v>4720</v>
      </c>
      <c r="B2119" t="s">
        <v>6167</v>
      </c>
    </row>
    <row r="2120" spans="1:2" x14ac:dyDescent="0.15">
      <c r="A2120" t="s">
        <v>4721</v>
      </c>
      <c r="B2120" t="s">
        <v>3438</v>
      </c>
    </row>
    <row r="2121" spans="1:2" x14ac:dyDescent="0.15">
      <c r="A2121" t="s">
        <v>4722</v>
      </c>
      <c r="B2121" t="s">
        <v>6168</v>
      </c>
    </row>
    <row r="2122" spans="1:2" x14ac:dyDescent="0.15">
      <c r="A2122" t="s">
        <v>4723</v>
      </c>
      <c r="B2122" t="s">
        <v>6169</v>
      </c>
    </row>
    <row r="2123" spans="1:2" x14ac:dyDescent="0.15">
      <c r="A2123" t="s">
        <v>4724</v>
      </c>
      <c r="B2123" t="s">
        <v>6170</v>
      </c>
    </row>
    <row r="2124" spans="1:2" x14ac:dyDescent="0.15">
      <c r="A2124" t="s">
        <v>4725</v>
      </c>
      <c r="B2124" t="s">
        <v>6171</v>
      </c>
    </row>
    <row r="2125" spans="1:2" x14ac:dyDescent="0.15">
      <c r="A2125" t="s">
        <v>4726</v>
      </c>
      <c r="B2125" t="s">
        <v>6172</v>
      </c>
    </row>
    <row r="2126" spans="1:2" x14ac:dyDescent="0.15">
      <c r="A2126" t="s">
        <v>4727</v>
      </c>
      <c r="B2126" t="s">
        <v>3419</v>
      </c>
    </row>
    <row r="2127" spans="1:2" x14ac:dyDescent="0.15">
      <c r="A2127" t="s">
        <v>4728</v>
      </c>
      <c r="B2127" t="s">
        <v>6173</v>
      </c>
    </row>
    <row r="2128" spans="1:2" x14ac:dyDescent="0.15">
      <c r="A2128" t="s">
        <v>4729</v>
      </c>
      <c r="B2128" t="s">
        <v>6174</v>
      </c>
    </row>
    <row r="2129" spans="1:2" x14ac:dyDescent="0.15">
      <c r="A2129" t="s">
        <v>4730</v>
      </c>
      <c r="B2129" t="s">
        <v>6175</v>
      </c>
    </row>
    <row r="2130" spans="1:2" x14ac:dyDescent="0.15">
      <c r="A2130" t="s">
        <v>4731</v>
      </c>
      <c r="B2130" t="s">
        <v>6176</v>
      </c>
    </row>
    <row r="2131" spans="1:2" x14ac:dyDescent="0.15">
      <c r="A2131" t="s">
        <v>4732</v>
      </c>
      <c r="B2131" t="s">
        <v>3331</v>
      </c>
    </row>
    <row r="2132" spans="1:2" x14ac:dyDescent="0.15">
      <c r="A2132" t="s">
        <v>4733</v>
      </c>
      <c r="B2132" t="s">
        <v>6177</v>
      </c>
    </row>
    <row r="2133" spans="1:2" x14ac:dyDescent="0.15">
      <c r="A2133" t="s">
        <v>4734</v>
      </c>
      <c r="B2133" t="s">
        <v>6178</v>
      </c>
    </row>
    <row r="2134" spans="1:2" x14ac:dyDescent="0.15">
      <c r="A2134" t="s">
        <v>4735</v>
      </c>
      <c r="B2134" t="s">
        <v>3156</v>
      </c>
    </row>
    <row r="2135" spans="1:2" x14ac:dyDescent="0.15">
      <c r="A2135" t="s">
        <v>4736</v>
      </c>
      <c r="B2135" t="s">
        <v>6179</v>
      </c>
    </row>
    <row r="2136" spans="1:2" x14ac:dyDescent="0.15">
      <c r="A2136" t="s">
        <v>4737</v>
      </c>
      <c r="B2136" t="s">
        <v>6180</v>
      </c>
    </row>
    <row r="2137" spans="1:2" x14ac:dyDescent="0.15">
      <c r="A2137" t="s">
        <v>4738</v>
      </c>
      <c r="B2137" t="s">
        <v>6181</v>
      </c>
    </row>
    <row r="2138" spans="1:2" x14ac:dyDescent="0.15">
      <c r="A2138" t="s">
        <v>4739</v>
      </c>
      <c r="B2138" t="s">
        <v>6182</v>
      </c>
    </row>
    <row r="2139" spans="1:2" x14ac:dyDescent="0.15">
      <c r="A2139" t="s">
        <v>4740</v>
      </c>
      <c r="B2139" t="s">
        <v>6183</v>
      </c>
    </row>
    <row r="2140" spans="1:2" x14ac:dyDescent="0.15">
      <c r="A2140" t="s">
        <v>4741</v>
      </c>
      <c r="B2140" t="s">
        <v>7064</v>
      </c>
    </row>
    <row r="2141" spans="1:2" x14ac:dyDescent="0.15">
      <c r="A2141" t="s">
        <v>4742</v>
      </c>
      <c r="B2141" t="s">
        <v>6184</v>
      </c>
    </row>
    <row r="2142" spans="1:2" x14ac:dyDescent="0.15">
      <c r="A2142" t="s">
        <v>4743</v>
      </c>
      <c r="B2142" t="s">
        <v>6185</v>
      </c>
    </row>
    <row r="2143" spans="1:2" x14ac:dyDescent="0.15">
      <c r="A2143" t="s">
        <v>4744</v>
      </c>
      <c r="B2143" t="s">
        <v>6186</v>
      </c>
    </row>
    <row r="2144" spans="1:2" x14ac:dyDescent="0.15">
      <c r="A2144" t="s">
        <v>4745</v>
      </c>
      <c r="B2144" t="s">
        <v>6187</v>
      </c>
    </row>
    <row r="2145" spans="1:2" x14ac:dyDescent="0.15">
      <c r="A2145" t="s">
        <v>4746</v>
      </c>
      <c r="B2145" t="s">
        <v>6188</v>
      </c>
    </row>
    <row r="2146" spans="1:2" x14ac:dyDescent="0.15">
      <c r="A2146" t="s">
        <v>4747</v>
      </c>
      <c r="B2146" t="s">
        <v>6189</v>
      </c>
    </row>
    <row r="2147" spans="1:2" x14ac:dyDescent="0.15">
      <c r="A2147" t="s">
        <v>4748</v>
      </c>
      <c r="B2147" t="s">
        <v>6190</v>
      </c>
    </row>
    <row r="2148" spans="1:2" x14ac:dyDescent="0.15">
      <c r="A2148" t="s">
        <v>4749</v>
      </c>
      <c r="B2148" t="s">
        <v>6191</v>
      </c>
    </row>
    <row r="2149" spans="1:2" x14ac:dyDescent="0.15">
      <c r="A2149" t="s">
        <v>4750</v>
      </c>
      <c r="B2149" t="s">
        <v>6192</v>
      </c>
    </row>
    <row r="2150" spans="1:2" x14ac:dyDescent="0.15">
      <c r="A2150" t="s">
        <v>4751</v>
      </c>
      <c r="B2150" t="s">
        <v>6193</v>
      </c>
    </row>
    <row r="2151" spans="1:2" x14ac:dyDescent="0.15">
      <c r="A2151" t="s">
        <v>4752</v>
      </c>
      <c r="B2151" t="s">
        <v>6194</v>
      </c>
    </row>
    <row r="2152" spans="1:2" x14ac:dyDescent="0.15">
      <c r="A2152" t="s">
        <v>4753</v>
      </c>
      <c r="B2152" t="s">
        <v>6195</v>
      </c>
    </row>
    <row r="2153" spans="1:2" x14ac:dyDescent="0.15">
      <c r="A2153" t="s">
        <v>4754</v>
      </c>
      <c r="B2153" t="s">
        <v>6196</v>
      </c>
    </row>
    <row r="2154" spans="1:2" x14ac:dyDescent="0.15">
      <c r="A2154" t="s">
        <v>4755</v>
      </c>
      <c r="B2154" t="s">
        <v>6197</v>
      </c>
    </row>
    <row r="2155" spans="1:2" x14ac:dyDescent="0.15">
      <c r="A2155" t="s">
        <v>4756</v>
      </c>
      <c r="B2155" t="s">
        <v>3923</v>
      </c>
    </row>
    <row r="2156" spans="1:2" x14ac:dyDescent="0.15">
      <c r="A2156" t="s">
        <v>4757</v>
      </c>
      <c r="B2156" t="s">
        <v>3924</v>
      </c>
    </row>
    <row r="2157" spans="1:2" x14ac:dyDescent="0.15">
      <c r="A2157" t="s">
        <v>4758</v>
      </c>
      <c r="B2157" t="s">
        <v>3925</v>
      </c>
    </row>
    <row r="2158" spans="1:2" x14ac:dyDescent="0.15">
      <c r="A2158" t="s">
        <v>4759</v>
      </c>
      <c r="B2158" t="s">
        <v>3926</v>
      </c>
    </row>
    <row r="2159" spans="1:2" x14ac:dyDescent="0.15">
      <c r="A2159" t="s">
        <v>4760</v>
      </c>
      <c r="B2159" t="s">
        <v>3927</v>
      </c>
    </row>
    <row r="2160" spans="1:2" x14ac:dyDescent="0.15">
      <c r="A2160" t="s">
        <v>4761</v>
      </c>
      <c r="B2160" t="s">
        <v>3928</v>
      </c>
    </row>
    <row r="2161" spans="1:2" x14ac:dyDescent="0.15">
      <c r="A2161" t="s">
        <v>4762</v>
      </c>
      <c r="B2161" t="s">
        <v>3929</v>
      </c>
    </row>
    <row r="2162" spans="1:2" x14ac:dyDescent="0.15">
      <c r="A2162" t="s">
        <v>4763</v>
      </c>
      <c r="B2162" t="s">
        <v>3930</v>
      </c>
    </row>
    <row r="2163" spans="1:2" x14ac:dyDescent="0.15">
      <c r="A2163" t="s">
        <v>4478</v>
      </c>
      <c r="B2163" t="s">
        <v>3931</v>
      </c>
    </row>
    <row r="2164" spans="1:2" x14ac:dyDescent="0.15">
      <c r="A2164" t="s">
        <v>4479</v>
      </c>
      <c r="B2164" t="s">
        <v>3932</v>
      </c>
    </row>
    <row r="2165" spans="1:2" x14ac:dyDescent="0.15">
      <c r="A2165" t="s">
        <v>4480</v>
      </c>
      <c r="B2165" t="s">
        <v>3933</v>
      </c>
    </row>
    <row r="2166" spans="1:2" x14ac:dyDescent="0.15">
      <c r="A2166" t="s">
        <v>4481</v>
      </c>
      <c r="B2166" t="s">
        <v>3934</v>
      </c>
    </row>
    <row r="2167" spans="1:2" x14ac:dyDescent="0.15">
      <c r="A2167" t="s">
        <v>4482</v>
      </c>
      <c r="B2167" t="s">
        <v>8119</v>
      </c>
    </row>
    <row r="2168" spans="1:2" x14ac:dyDescent="0.15">
      <c r="A2168" t="s">
        <v>4483</v>
      </c>
      <c r="B2168" t="s">
        <v>3935</v>
      </c>
    </row>
    <row r="2169" spans="1:2" x14ac:dyDescent="0.15">
      <c r="A2169" t="s">
        <v>4484</v>
      </c>
      <c r="B2169" t="s">
        <v>3936</v>
      </c>
    </row>
    <row r="2170" spans="1:2" x14ac:dyDescent="0.15">
      <c r="A2170" t="s">
        <v>4485</v>
      </c>
      <c r="B2170" t="s">
        <v>3937</v>
      </c>
    </row>
    <row r="2171" spans="1:2" x14ac:dyDescent="0.15">
      <c r="A2171" t="s">
        <v>4486</v>
      </c>
      <c r="B2171" t="s">
        <v>3938</v>
      </c>
    </row>
    <row r="2172" spans="1:2" x14ac:dyDescent="0.15">
      <c r="A2172" t="s">
        <v>4487</v>
      </c>
      <c r="B2172" t="s">
        <v>3939</v>
      </c>
    </row>
    <row r="2173" spans="1:2" x14ac:dyDescent="0.15">
      <c r="A2173" t="s">
        <v>4488</v>
      </c>
      <c r="B2173" t="s">
        <v>3940</v>
      </c>
    </row>
    <row r="2174" spans="1:2" x14ac:dyDescent="0.15">
      <c r="A2174" t="s">
        <v>4489</v>
      </c>
      <c r="B2174" t="s">
        <v>3941</v>
      </c>
    </row>
    <row r="2175" spans="1:2" x14ac:dyDescent="0.15">
      <c r="A2175" t="s">
        <v>4490</v>
      </c>
      <c r="B2175" t="s">
        <v>3942</v>
      </c>
    </row>
    <row r="2176" spans="1:2" x14ac:dyDescent="0.15">
      <c r="A2176" t="s">
        <v>4491</v>
      </c>
      <c r="B2176" t="s">
        <v>5864</v>
      </c>
    </row>
    <row r="2177" spans="1:2" x14ac:dyDescent="0.15">
      <c r="A2177" t="s">
        <v>4492</v>
      </c>
      <c r="B2177" t="s">
        <v>3943</v>
      </c>
    </row>
    <row r="2178" spans="1:2" x14ac:dyDescent="0.15">
      <c r="A2178" t="s">
        <v>4493</v>
      </c>
      <c r="B2178" t="s">
        <v>2361</v>
      </c>
    </row>
    <row r="2179" spans="1:2" x14ac:dyDescent="0.15">
      <c r="A2179" t="s">
        <v>4494</v>
      </c>
      <c r="B2179" t="s">
        <v>3944</v>
      </c>
    </row>
    <row r="2180" spans="1:2" x14ac:dyDescent="0.15">
      <c r="A2180" t="s">
        <v>4495</v>
      </c>
      <c r="B2180" t="s">
        <v>3945</v>
      </c>
    </row>
    <row r="2181" spans="1:2" x14ac:dyDescent="0.15">
      <c r="A2181" t="s">
        <v>4496</v>
      </c>
      <c r="B2181" t="s">
        <v>3946</v>
      </c>
    </row>
    <row r="2182" spans="1:2" x14ac:dyDescent="0.15">
      <c r="A2182" t="s">
        <v>4497</v>
      </c>
      <c r="B2182" t="s">
        <v>3947</v>
      </c>
    </row>
    <row r="2183" spans="1:2" x14ac:dyDescent="0.15">
      <c r="A2183" t="s">
        <v>4498</v>
      </c>
      <c r="B2183" t="s">
        <v>3948</v>
      </c>
    </row>
    <row r="2184" spans="1:2" x14ac:dyDescent="0.15">
      <c r="A2184" t="s">
        <v>4499</v>
      </c>
      <c r="B2184" t="s">
        <v>3949</v>
      </c>
    </row>
    <row r="2185" spans="1:2" x14ac:dyDescent="0.15">
      <c r="A2185" t="s">
        <v>4500</v>
      </c>
      <c r="B2185" t="s">
        <v>3950</v>
      </c>
    </row>
    <row r="2186" spans="1:2" x14ac:dyDescent="0.15">
      <c r="A2186" t="s">
        <v>4501</v>
      </c>
      <c r="B2186" t="s">
        <v>3951</v>
      </c>
    </row>
    <row r="2187" spans="1:2" x14ac:dyDescent="0.15">
      <c r="A2187" t="s">
        <v>4502</v>
      </c>
      <c r="B2187" t="s">
        <v>3952</v>
      </c>
    </row>
    <row r="2188" spans="1:2" x14ac:dyDescent="0.15">
      <c r="A2188" t="s">
        <v>4503</v>
      </c>
      <c r="B2188" t="s">
        <v>3953</v>
      </c>
    </row>
    <row r="2189" spans="1:2" x14ac:dyDescent="0.15">
      <c r="A2189" t="s">
        <v>4504</v>
      </c>
      <c r="B2189" t="s">
        <v>3954</v>
      </c>
    </row>
    <row r="2190" spans="1:2" x14ac:dyDescent="0.15">
      <c r="A2190" t="s">
        <v>4505</v>
      </c>
      <c r="B2190" t="s">
        <v>3955</v>
      </c>
    </row>
    <row r="2191" spans="1:2" x14ac:dyDescent="0.15">
      <c r="A2191" t="s">
        <v>4506</v>
      </c>
      <c r="B2191" t="s">
        <v>3956</v>
      </c>
    </row>
    <row r="2192" spans="1:2" x14ac:dyDescent="0.15">
      <c r="A2192" t="s">
        <v>4507</v>
      </c>
      <c r="B2192" t="s">
        <v>3957</v>
      </c>
    </row>
    <row r="2193" spans="1:2" x14ac:dyDescent="0.15">
      <c r="A2193" t="s">
        <v>8057</v>
      </c>
      <c r="B2193" t="s">
        <v>3958</v>
      </c>
    </row>
    <row r="2194" spans="1:2" x14ac:dyDescent="0.15">
      <c r="A2194" t="s">
        <v>8058</v>
      </c>
      <c r="B2194" t="s">
        <v>3959</v>
      </c>
    </row>
    <row r="2195" spans="1:2" x14ac:dyDescent="0.15">
      <c r="A2195" t="s">
        <v>8059</v>
      </c>
      <c r="B2195" t="s">
        <v>3960</v>
      </c>
    </row>
    <row r="2196" spans="1:2" x14ac:dyDescent="0.15">
      <c r="A2196" t="s">
        <v>8060</v>
      </c>
      <c r="B2196" t="s">
        <v>3961</v>
      </c>
    </row>
    <row r="2197" spans="1:2" x14ac:dyDescent="0.15">
      <c r="A2197" t="s">
        <v>8061</v>
      </c>
      <c r="B2197" t="s">
        <v>3962</v>
      </c>
    </row>
    <row r="2198" spans="1:2" x14ac:dyDescent="0.15">
      <c r="A2198" t="s">
        <v>8062</v>
      </c>
      <c r="B2198" t="s">
        <v>3963</v>
      </c>
    </row>
    <row r="2199" spans="1:2" x14ac:dyDescent="0.15">
      <c r="A2199" t="s">
        <v>8063</v>
      </c>
      <c r="B2199" t="s">
        <v>3964</v>
      </c>
    </row>
    <row r="2200" spans="1:2" x14ac:dyDescent="0.15">
      <c r="A2200" t="s">
        <v>8064</v>
      </c>
      <c r="B2200" t="s">
        <v>3965</v>
      </c>
    </row>
    <row r="2201" spans="1:2" x14ac:dyDescent="0.15">
      <c r="A2201" t="s">
        <v>8065</v>
      </c>
      <c r="B2201" t="s">
        <v>3966</v>
      </c>
    </row>
    <row r="2202" spans="1:2" x14ac:dyDescent="0.15">
      <c r="A2202" t="s">
        <v>8066</v>
      </c>
      <c r="B2202" t="s">
        <v>3967</v>
      </c>
    </row>
    <row r="2203" spans="1:2" x14ac:dyDescent="0.15">
      <c r="A2203" t="s">
        <v>8067</v>
      </c>
      <c r="B2203" t="s">
        <v>3968</v>
      </c>
    </row>
    <row r="2204" spans="1:2" x14ac:dyDescent="0.15">
      <c r="A2204" t="s">
        <v>8068</v>
      </c>
      <c r="B2204" t="s">
        <v>3687</v>
      </c>
    </row>
    <row r="2205" spans="1:2" x14ac:dyDescent="0.15">
      <c r="A2205" t="s">
        <v>8069</v>
      </c>
      <c r="B2205" t="s">
        <v>3688</v>
      </c>
    </row>
    <row r="2206" spans="1:2" x14ac:dyDescent="0.15">
      <c r="A2206" t="s">
        <v>8070</v>
      </c>
      <c r="B2206" t="s">
        <v>3689</v>
      </c>
    </row>
    <row r="2207" spans="1:2" x14ac:dyDescent="0.15">
      <c r="A2207" t="s">
        <v>8071</v>
      </c>
      <c r="B2207" t="s">
        <v>3690</v>
      </c>
    </row>
    <row r="2208" spans="1:2" x14ac:dyDescent="0.15">
      <c r="A2208" t="s">
        <v>8072</v>
      </c>
      <c r="B2208" t="s">
        <v>3691</v>
      </c>
    </row>
    <row r="2209" spans="1:2" x14ac:dyDescent="0.15">
      <c r="A2209" t="s">
        <v>8073</v>
      </c>
      <c r="B2209" t="s">
        <v>3692</v>
      </c>
    </row>
    <row r="2210" spans="1:2" x14ac:dyDescent="0.15">
      <c r="A2210" t="s">
        <v>8074</v>
      </c>
      <c r="B2210" t="s">
        <v>3693</v>
      </c>
    </row>
    <row r="2211" spans="1:2" x14ac:dyDescent="0.15">
      <c r="A2211" t="s">
        <v>8075</v>
      </c>
      <c r="B2211" t="s">
        <v>3694</v>
      </c>
    </row>
    <row r="2212" spans="1:2" x14ac:dyDescent="0.15">
      <c r="A2212" t="s">
        <v>8076</v>
      </c>
      <c r="B2212" t="s">
        <v>2509</v>
      </c>
    </row>
    <row r="2213" spans="1:2" x14ac:dyDescent="0.15">
      <c r="A2213" t="s">
        <v>8077</v>
      </c>
      <c r="B2213" t="s">
        <v>1063</v>
      </c>
    </row>
    <row r="2214" spans="1:2" x14ac:dyDescent="0.15">
      <c r="A2214" t="s">
        <v>8078</v>
      </c>
      <c r="B2214" t="s">
        <v>3695</v>
      </c>
    </row>
    <row r="2215" spans="1:2" x14ac:dyDescent="0.15">
      <c r="A2215" t="s">
        <v>8079</v>
      </c>
      <c r="B2215" t="s">
        <v>3696</v>
      </c>
    </row>
    <row r="2216" spans="1:2" x14ac:dyDescent="0.15">
      <c r="A2216" t="s">
        <v>8080</v>
      </c>
      <c r="B2216" t="s">
        <v>3697</v>
      </c>
    </row>
    <row r="2217" spans="1:2" x14ac:dyDescent="0.15">
      <c r="A2217" t="s">
        <v>8081</v>
      </c>
      <c r="B2217" t="s">
        <v>3698</v>
      </c>
    </row>
    <row r="2218" spans="1:2" x14ac:dyDescent="0.15">
      <c r="A2218" t="s">
        <v>8082</v>
      </c>
      <c r="B2218" t="s">
        <v>3699</v>
      </c>
    </row>
    <row r="2219" spans="1:2" x14ac:dyDescent="0.15">
      <c r="A2219" t="s">
        <v>8083</v>
      </c>
      <c r="B2219" t="s">
        <v>3700</v>
      </c>
    </row>
    <row r="2220" spans="1:2" x14ac:dyDescent="0.15">
      <c r="A2220" t="s">
        <v>8084</v>
      </c>
      <c r="B2220" t="s">
        <v>3701</v>
      </c>
    </row>
    <row r="2221" spans="1:2" x14ac:dyDescent="0.15">
      <c r="A2221" t="s">
        <v>8085</v>
      </c>
      <c r="B2221" t="s">
        <v>3702</v>
      </c>
    </row>
    <row r="2222" spans="1:2" x14ac:dyDescent="0.15">
      <c r="A2222" t="s">
        <v>8086</v>
      </c>
      <c r="B2222" t="s">
        <v>3703</v>
      </c>
    </row>
    <row r="2223" spans="1:2" x14ac:dyDescent="0.15">
      <c r="A2223" t="s">
        <v>8087</v>
      </c>
      <c r="B2223" t="s">
        <v>3965</v>
      </c>
    </row>
    <row r="2224" spans="1:2" x14ac:dyDescent="0.15">
      <c r="A2224" t="s">
        <v>8088</v>
      </c>
      <c r="B2224" t="s">
        <v>3704</v>
      </c>
    </row>
    <row r="2225" spans="1:2" x14ac:dyDescent="0.15">
      <c r="A2225" t="s">
        <v>7848</v>
      </c>
      <c r="B2225" t="s">
        <v>3705</v>
      </c>
    </row>
    <row r="2226" spans="1:2" x14ac:dyDescent="0.15">
      <c r="A2226" t="s">
        <v>7849</v>
      </c>
      <c r="B2226" t="s">
        <v>3706</v>
      </c>
    </row>
    <row r="2227" spans="1:2" x14ac:dyDescent="0.15">
      <c r="A2227" t="s">
        <v>7850</v>
      </c>
      <c r="B2227" t="s">
        <v>3707</v>
      </c>
    </row>
    <row r="2228" spans="1:2" x14ac:dyDescent="0.15">
      <c r="A2228" t="s">
        <v>7851</v>
      </c>
      <c r="B2228" t="s">
        <v>3708</v>
      </c>
    </row>
    <row r="2229" spans="1:2" x14ac:dyDescent="0.15">
      <c r="A2229" t="s">
        <v>7852</v>
      </c>
      <c r="B2229" t="s">
        <v>3709</v>
      </c>
    </row>
    <row r="2230" spans="1:2" x14ac:dyDescent="0.15">
      <c r="A2230" t="s">
        <v>7853</v>
      </c>
      <c r="B2230" t="s">
        <v>3710</v>
      </c>
    </row>
    <row r="2231" spans="1:2" x14ac:dyDescent="0.15">
      <c r="A2231" t="s">
        <v>7854</v>
      </c>
      <c r="B2231" t="s">
        <v>3711</v>
      </c>
    </row>
    <row r="2232" spans="1:2" x14ac:dyDescent="0.15">
      <c r="A2232" t="s">
        <v>7855</v>
      </c>
      <c r="B2232" t="s">
        <v>3712</v>
      </c>
    </row>
    <row r="2233" spans="1:2" x14ac:dyDescent="0.15">
      <c r="A2233" t="s">
        <v>7856</v>
      </c>
      <c r="B2233" t="s">
        <v>3713</v>
      </c>
    </row>
    <row r="2234" spans="1:2" x14ac:dyDescent="0.15">
      <c r="A2234" t="s">
        <v>7857</v>
      </c>
      <c r="B2234" t="s">
        <v>3714</v>
      </c>
    </row>
    <row r="2235" spans="1:2" x14ac:dyDescent="0.15">
      <c r="A2235" t="s">
        <v>7858</v>
      </c>
      <c r="B2235" t="s">
        <v>3715</v>
      </c>
    </row>
    <row r="2236" spans="1:2" x14ac:dyDescent="0.15">
      <c r="A2236" t="s">
        <v>7859</v>
      </c>
      <c r="B2236" t="s">
        <v>3716</v>
      </c>
    </row>
    <row r="2237" spans="1:2" x14ac:dyDescent="0.15">
      <c r="A2237" t="s">
        <v>7860</v>
      </c>
      <c r="B2237" t="s">
        <v>3717</v>
      </c>
    </row>
    <row r="2238" spans="1:2" x14ac:dyDescent="0.15">
      <c r="A2238" t="s">
        <v>7861</v>
      </c>
      <c r="B2238" t="s">
        <v>3351</v>
      </c>
    </row>
    <row r="2239" spans="1:2" x14ac:dyDescent="0.15">
      <c r="A2239" t="s">
        <v>7862</v>
      </c>
      <c r="B2239" t="s">
        <v>3718</v>
      </c>
    </row>
    <row r="2240" spans="1:2" x14ac:dyDescent="0.15">
      <c r="A2240" t="s">
        <v>7863</v>
      </c>
      <c r="B2240" t="s">
        <v>7448</v>
      </c>
    </row>
    <row r="2241" spans="1:2" x14ac:dyDescent="0.15">
      <c r="A2241" t="s">
        <v>7864</v>
      </c>
      <c r="B2241" t="s">
        <v>3719</v>
      </c>
    </row>
    <row r="2242" spans="1:2" x14ac:dyDescent="0.15">
      <c r="A2242" t="s">
        <v>7865</v>
      </c>
      <c r="B2242" t="s">
        <v>3453</v>
      </c>
    </row>
    <row r="2243" spans="1:2" x14ac:dyDescent="0.15">
      <c r="A2243" t="s">
        <v>7866</v>
      </c>
      <c r="B2243" t="s">
        <v>6109</v>
      </c>
    </row>
    <row r="2244" spans="1:2" x14ac:dyDescent="0.15">
      <c r="A2244" t="s">
        <v>7867</v>
      </c>
      <c r="B2244" t="s">
        <v>3720</v>
      </c>
    </row>
    <row r="2245" spans="1:2" x14ac:dyDescent="0.15">
      <c r="A2245" t="s">
        <v>7868</v>
      </c>
      <c r="B2245" t="s">
        <v>3721</v>
      </c>
    </row>
    <row r="2246" spans="1:2" x14ac:dyDescent="0.15">
      <c r="A2246" t="s">
        <v>7869</v>
      </c>
      <c r="B2246" t="s">
        <v>882</v>
      </c>
    </row>
    <row r="2247" spans="1:2" x14ac:dyDescent="0.15">
      <c r="A2247" t="s">
        <v>7870</v>
      </c>
      <c r="B2247" t="s">
        <v>5230</v>
      </c>
    </row>
    <row r="2248" spans="1:2" x14ac:dyDescent="0.15">
      <c r="A2248" t="s">
        <v>7871</v>
      </c>
      <c r="B2248" t="s">
        <v>5234</v>
      </c>
    </row>
    <row r="2249" spans="1:2" x14ac:dyDescent="0.15">
      <c r="A2249" t="s">
        <v>7872</v>
      </c>
      <c r="B2249" t="s">
        <v>3722</v>
      </c>
    </row>
    <row r="2250" spans="1:2" x14ac:dyDescent="0.15">
      <c r="A2250" t="s">
        <v>7873</v>
      </c>
      <c r="B2250" t="s">
        <v>3723</v>
      </c>
    </row>
    <row r="2251" spans="1:2" x14ac:dyDescent="0.15">
      <c r="A2251" t="s">
        <v>7874</v>
      </c>
      <c r="B2251" t="s">
        <v>3724</v>
      </c>
    </row>
    <row r="2252" spans="1:2" x14ac:dyDescent="0.15">
      <c r="A2252" t="s">
        <v>7875</v>
      </c>
      <c r="B2252" t="s">
        <v>3725</v>
      </c>
    </row>
    <row r="2253" spans="1:2" x14ac:dyDescent="0.15">
      <c r="A2253" t="s">
        <v>7876</v>
      </c>
      <c r="B2253" t="s">
        <v>3726</v>
      </c>
    </row>
    <row r="2254" spans="1:2" x14ac:dyDescent="0.15">
      <c r="A2254" t="s">
        <v>7877</v>
      </c>
      <c r="B2254" t="s">
        <v>3363</v>
      </c>
    </row>
    <row r="2255" spans="1:2" x14ac:dyDescent="0.15">
      <c r="A2255" t="s">
        <v>7878</v>
      </c>
      <c r="B2255" t="s">
        <v>3727</v>
      </c>
    </row>
    <row r="2256" spans="1:2" x14ac:dyDescent="0.15">
      <c r="A2256" t="s">
        <v>7879</v>
      </c>
      <c r="B2256" t="s">
        <v>3727</v>
      </c>
    </row>
    <row r="2257" spans="1:2" x14ac:dyDescent="0.15">
      <c r="A2257" t="s">
        <v>7880</v>
      </c>
      <c r="B2257" t="s">
        <v>3728</v>
      </c>
    </row>
    <row r="2258" spans="1:2" x14ac:dyDescent="0.15">
      <c r="A2258" t="s">
        <v>7881</v>
      </c>
      <c r="B2258" t="s">
        <v>3729</v>
      </c>
    </row>
    <row r="2259" spans="1:2" x14ac:dyDescent="0.15">
      <c r="A2259" t="s">
        <v>7882</v>
      </c>
      <c r="B2259" t="s">
        <v>3730</v>
      </c>
    </row>
    <row r="2260" spans="1:2" x14ac:dyDescent="0.15">
      <c r="A2260" t="s">
        <v>5089</v>
      </c>
      <c r="B2260" t="s">
        <v>3731</v>
      </c>
    </row>
    <row r="2261" spans="1:2" x14ac:dyDescent="0.15">
      <c r="A2261" t="s">
        <v>5090</v>
      </c>
      <c r="B2261" t="s">
        <v>3732</v>
      </c>
    </row>
    <row r="2262" spans="1:2" x14ac:dyDescent="0.15">
      <c r="A2262" t="s">
        <v>5091</v>
      </c>
      <c r="B2262" t="s">
        <v>3733</v>
      </c>
    </row>
    <row r="2263" spans="1:2" x14ac:dyDescent="0.15">
      <c r="A2263" t="s">
        <v>5092</v>
      </c>
      <c r="B2263" t="s">
        <v>3734</v>
      </c>
    </row>
    <row r="2264" spans="1:2" x14ac:dyDescent="0.15">
      <c r="A2264" t="s">
        <v>5093</v>
      </c>
      <c r="B2264" t="s">
        <v>3735</v>
      </c>
    </row>
    <row r="2265" spans="1:2" x14ac:dyDescent="0.15">
      <c r="A2265" t="s">
        <v>5094</v>
      </c>
      <c r="B2265" t="s">
        <v>1542</v>
      </c>
    </row>
    <row r="2266" spans="1:2" x14ac:dyDescent="0.15">
      <c r="A2266" t="s">
        <v>5095</v>
      </c>
      <c r="B2266" t="s">
        <v>3736</v>
      </c>
    </row>
    <row r="2267" spans="1:2" x14ac:dyDescent="0.15">
      <c r="A2267" t="s">
        <v>5096</v>
      </c>
      <c r="B2267" t="s">
        <v>3737</v>
      </c>
    </row>
    <row r="2268" spans="1:2" x14ac:dyDescent="0.15">
      <c r="A2268" t="s">
        <v>5097</v>
      </c>
      <c r="B2268" t="s">
        <v>3738</v>
      </c>
    </row>
    <row r="2269" spans="1:2" x14ac:dyDescent="0.15">
      <c r="A2269" t="s">
        <v>5098</v>
      </c>
      <c r="B2269" t="s">
        <v>3739</v>
      </c>
    </row>
    <row r="2270" spans="1:2" x14ac:dyDescent="0.15">
      <c r="A2270" t="s">
        <v>5099</v>
      </c>
      <c r="B2270" t="s">
        <v>3740</v>
      </c>
    </row>
    <row r="2271" spans="1:2" x14ac:dyDescent="0.15">
      <c r="A2271" t="s">
        <v>5100</v>
      </c>
      <c r="B2271" t="s">
        <v>3741</v>
      </c>
    </row>
    <row r="2272" spans="1:2" x14ac:dyDescent="0.15">
      <c r="A2272" t="s">
        <v>5101</v>
      </c>
      <c r="B2272" t="s">
        <v>3742</v>
      </c>
    </row>
    <row r="2273" spans="1:2" x14ac:dyDescent="0.15">
      <c r="A2273" t="s">
        <v>5102</v>
      </c>
      <c r="B2273" t="s">
        <v>3743</v>
      </c>
    </row>
    <row r="2274" spans="1:2" x14ac:dyDescent="0.15">
      <c r="A2274" t="s">
        <v>5103</v>
      </c>
      <c r="B2274" t="s">
        <v>3744</v>
      </c>
    </row>
    <row r="2275" spans="1:2" x14ac:dyDescent="0.15">
      <c r="A2275" t="s">
        <v>5104</v>
      </c>
      <c r="B2275" t="s">
        <v>2118</v>
      </c>
    </row>
    <row r="2276" spans="1:2" x14ac:dyDescent="0.15">
      <c r="A2276" t="s">
        <v>5105</v>
      </c>
      <c r="B2276" t="s">
        <v>3745</v>
      </c>
    </row>
    <row r="2277" spans="1:2" x14ac:dyDescent="0.15">
      <c r="A2277" t="s">
        <v>5106</v>
      </c>
      <c r="B2277" t="s">
        <v>3746</v>
      </c>
    </row>
    <row r="2278" spans="1:2" x14ac:dyDescent="0.15">
      <c r="A2278" t="s">
        <v>5107</v>
      </c>
      <c r="B2278" t="s">
        <v>3747</v>
      </c>
    </row>
    <row r="2279" spans="1:2" x14ac:dyDescent="0.15">
      <c r="A2279" t="s">
        <v>5108</v>
      </c>
      <c r="B2279" t="s">
        <v>3748</v>
      </c>
    </row>
    <row r="2280" spans="1:2" x14ac:dyDescent="0.15">
      <c r="A2280" t="s">
        <v>5109</v>
      </c>
      <c r="B2280" t="s">
        <v>7325</v>
      </c>
    </row>
    <row r="2281" spans="1:2" x14ac:dyDescent="0.15">
      <c r="A2281" t="s">
        <v>5110</v>
      </c>
      <c r="B2281" t="s">
        <v>3749</v>
      </c>
    </row>
    <row r="2282" spans="1:2" x14ac:dyDescent="0.15">
      <c r="A2282" t="s">
        <v>5111</v>
      </c>
      <c r="B2282" t="s">
        <v>3750</v>
      </c>
    </row>
    <row r="2283" spans="1:2" x14ac:dyDescent="0.15">
      <c r="A2283" t="s">
        <v>5112</v>
      </c>
      <c r="B2283" t="s">
        <v>3751</v>
      </c>
    </row>
    <row r="2284" spans="1:2" x14ac:dyDescent="0.15">
      <c r="A2284" t="s">
        <v>5113</v>
      </c>
      <c r="B2284" t="s">
        <v>3752</v>
      </c>
    </row>
    <row r="2285" spans="1:2" x14ac:dyDescent="0.15">
      <c r="A2285" t="s">
        <v>5114</v>
      </c>
      <c r="B2285" t="s">
        <v>3753</v>
      </c>
    </row>
    <row r="2286" spans="1:2" x14ac:dyDescent="0.15">
      <c r="A2286" t="s">
        <v>5115</v>
      </c>
      <c r="B2286" t="s">
        <v>3754</v>
      </c>
    </row>
    <row r="2287" spans="1:2" x14ac:dyDescent="0.15">
      <c r="A2287" t="s">
        <v>5116</v>
      </c>
      <c r="B2287" t="s">
        <v>3755</v>
      </c>
    </row>
    <row r="2288" spans="1:2" x14ac:dyDescent="0.15">
      <c r="A2288" t="s">
        <v>5117</v>
      </c>
      <c r="B2288" t="s">
        <v>3756</v>
      </c>
    </row>
    <row r="2289" spans="1:2" x14ac:dyDescent="0.15">
      <c r="A2289" t="s">
        <v>5118</v>
      </c>
      <c r="B2289" t="s">
        <v>3757</v>
      </c>
    </row>
    <row r="2290" spans="1:2" x14ac:dyDescent="0.15">
      <c r="A2290" t="s">
        <v>4584</v>
      </c>
      <c r="B2290" t="s">
        <v>4584</v>
      </c>
    </row>
    <row r="2291" spans="1:2" x14ac:dyDescent="0.15">
      <c r="A2291" t="s">
        <v>4585</v>
      </c>
      <c r="B2291" t="s">
        <v>4585</v>
      </c>
    </row>
    <row r="2292" spans="1:2" x14ac:dyDescent="0.15">
      <c r="A2292" t="s">
        <v>5119</v>
      </c>
      <c r="B2292" t="s">
        <v>3758</v>
      </c>
    </row>
    <row r="2293" spans="1:2" x14ac:dyDescent="0.15">
      <c r="A2293" t="s">
        <v>5120</v>
      </c>
      <c r="B2293" t="s">
        <v>3759</v>
      </c>
    </row>
    <row r="2294" spans="1:2" x14ac:dyDescent="0.15">
      <c r="A2294" t="s">
        <v>5121</v>
      </c>
      <c r="B2294" t="s">
        <v>7428</v>
      </c>
    </row>
    <row r="2295" spans="1:2" x14ac:dyDescent="0.15">
      <c r="A2295" t="s">
        <v>5122</v>
      </c>
      <c r="B2295" t="s">
        <v>3760</v>
      </c>
    </row>
    <row r="2296" spans="1:2" x14ac:dyDescent="0.15">
      <c r="A2296" t="s">
        <v>5123</v>
      </c>
      <c r="B2296" t="s">
        <v>3761</v>
      </c>
    </row>
    <row r="2297" spans="1:2" x14ac:dyDescent="0.15">
      <c r="A2297" t="s">
        <v>5124</v>
      </c>
      <c r="B2297" t="s">
        <v>3762</v>
      </c>
    </row>
    <row r="2298" spans="1:2" x14ac:dyDescent="0.15">
      <c r="A2298" t="s">
        <v>5125</v>
      </c>
      <c r="B2298" t="s">
        <v>3763</v>
      </c>
    </row>
    <row r="2299" spans="1:2" x14ac:dyDescent="0.15">
      <c r="A2299" t="s">
        <v>5126</v>
      </c>
      <c r="B2299" t="s">
        <v>3764</v>
      </c>
    </row>
    <row r="2300" spans="1:2" x14ac:dyDescent="0.15">
      <c r="A2300" t="s">
        <v>5127</v>
      </c>
      <c r="B2300" t="s">
        <v>3765</v>
      </c>
    </row>
    <row r="2301" spans="1:2" x14ac:dyDescent="0.15">
      <c r="A2301" t="s">
        <v>5128</v>
      </c>
      <c r="B2301" t="s">
        <v>6111</v>
      </c>
    </row>
    <row r="2302" spans="1:2" x14ac:dyDescent="0.15">
      <c r="A2302" t="s">
        <v>5129</v>
      </c>
      <c r="B2302" t="s">
        <v>3766</v>
      </c>
    </row>
    <row r="2303" spans="1:2" x14ac:dyDescent="0.15">
      <c r="A2303" t="s">
        <v>5130</v>
      </c>
      <c r="B2303" t="s">
        <v>5846</v>
      </c>
    </row>
    <row r="2304" spans="1:2" x14ac:dyDescent="0.15">
      <c r="A2304" t="s">
        <v>5131</v>
      </c>
      <c r="B2304" t="s">
        <v>3767</v>
      </c>
    </row>
    <row r="2305" spans="1:2" x14ac:dyDescent="0.15">
      <c r="A2305" t="s">
        <v>5132</v>
      </c>
      <c r="B2305" t="s">
        <v>7451</v>
      </c>
    </row>
    <row r="2306" spans="1:2" x14ac:dyDescent="0.15">
      <c r="A2306" t="s">
        <v>5133</v>
      </c>
      <c r="B2306" t="s">
        <v>3768</v>
      </c>
    </row>
    <row r="2307" spans="1:2" x14ac:dyDescent="0.15">
      <c r="A2307" t="s">
        <v>5134</v>
      </c>
      <c r="B2307" t="s">
        <v>5842</v>
      </c>
    </row>
    <row r="2308" spans="1:2" x14ac:dyDescent="0.15">
      <c r="A2308" t="s">
        <v>5135</v>
      </c>
      <c r="B2308" t="s">
        <v>3769</v>
      </c>
    </row>
    <row r="2309" spans="1:2" x14ac:dyDescent="0.15">
      <c r="A2309" t="s">
        <v>5136</v>
      </c>
      <c r="B2309" t="s">
        <v>3770</v>
      </c>
    </row>
    <row r="2310" spans="1:2" x14ac:dyDescent="0.15">
      <c r="A2310" t="s">
        <v>5137</v>
      </c>
      <c r="B2310" t="s">
        <v>1501</v>
      </c>
    </row>
    <row r="2311" spans="1:2" x14ac:dyDescent="0.15">
      <c r="A2311" t="s">
        <v>5138</v>
      </c>
      <c r="B2311" t="s">
        <v>2385</v>
      </c>
    </row>
    <row r="2312" spans="1:2" x14ac:dyDescent="0.15">
      <c r="A2312" t="s">
        <v>5139</v>
      </c>
      <c r="B2312" t="s">
        <v>3771</v>
      </c>
    </row>
    <row r="2313" spans="1:2" x14ac:dyDescent="0.15">
      <c r="A2313" t="s">
        <v>5140</v>
      </c>
      <c r="B2313" t="s">
        <v>939</v>
      </c>
    </row>
    <row r="2314" spans="1:2" x14ac:dyDescent="0.15">
      <c r="A2314" t="s">
        <v>5141</v>
      </c>
      <c r="B2314" t="s">
        <v>3772</v>
      </c>
    </row>
    <row r="2315" spans="1:2" x14ac:dyDescent="0.15">
      <c r="A2315" t="s">
        <v>5142</v>
      </c>
      <c r="B2315" t="s">
        <v>2418</v>
      </c>
    </row>
    <row r="2316" spans="1:2" x14ac:dyDescent="0.15">
      <c r="A2316" t="s">
        <v>5143</v>
      </c>
      <c r="B2316" t="s">
        <v>3773</v>
      </c>
    </row>
    <row r="2317" spans="1:2" x14ac:dyDescent="0.15">
      <c r="A2317" t="s">
        <v>5144</v>
      </c>
      <c r="B2317" t="s">
        <v>3774</v>
      </c>
    </row>
    <row r="2318" spans="1:2" x14ac:dyDescent="0.15">
      <c r="A2318" t="s">
        <v>5145</v>
      </c>
      <c r="B2318" t="s">
        <v>3775</v>
      </c>
    </row>
    <row r="2319" spans="1:2" x14ac:dyDescent="0.15">
      <c r="A2319" t="s">
        <v>5146</v>
      </c>
      <c r="B2319" t="s">
        <v>3776</v>
      </c>
    </row>
    <row r="2320" spans="1:2" x14ac:dyDescent="0.15">
      <c r="A2320" t="s">
        <v>5147</v>
      </c>
      <c r="B2320" t="s">
        <v>3777</v>
      </c>
    </row>
    <row r="2321" spans="1:2" x14ac:dyDescent="0.15">
      <c r="A2321" t="s">
        <v>5148</v>
      </c>
      <c r="B2321" t="s">
        <v>3778</v>
      </c>
    </row>
    <row r="2322" spans="1:2" x14ac:dyDescent="0.15">
      <c r="A2322" t="s">
        <v>5149</v>
      </c>
      <c r="B2322" t="s">
        <v>3779</v>
      </c>
    </row>
    <row r="2323" spans="1:2" x14ac:dyDescent="0.15">
      <c r="A2323" t="s">
        <v>5150</v>
      </c>
      <c r="B2323" t="s">
        <v>3780</v>
      </c>
    </row>
    <row r="2324" spans="1:2" x14ac:dyDescent="0.15">
      <c r="A2324" t="s">
        <v>5151</v>
      </c>
      <c r="B2324" t="s">
        <v>3781</v>
      </c>
    </row>
    <row r="2325" spans="1:2" x14ac:dyDescent="0.15">
      <c r="A2325" t="s">
        <v>5152</v>
      </c>
      <c r="B2325" t="s">
        <v>7246</v>
      </c>
    </row>
    <row r="2326" spans="1:2" x14ac:dyDescent="0.15">
      <c r="A2326" t="s">
        <v>5153</v>
      </c>
      <c r="B2326" t="s">
        <v>3782</v>
      </c>
    </row>
    <row r="2327" spans="1:2" x14ac:dyDescent="0.15">
      <c r="A2327" t="s">
        <v>5154</v>
      </c>
      <c r="B2327" t="s">
        <v>3783</v>
      </c>
    </row>
    <row r="2328" spans="1:2" x14ac:dyDescent="0.15">
      <c r="A2328" t="s">
        <v>5155</v>
      </c>
      <c r="B2328" t="s">
        <v>3784</v>
      </c>
    </row>
    <row r="2329" spans="1:2" x14ac:dyDescent="0.15">
      <c r="A2329" t="s">
        <v>5156</v>
      </c>
      <c r="B2329" t="s">
        <v>3785</v>
      </c>
    </row>
    <row r="2330" spans="1:2" x14ac:dyDescent="0.15">
      <c r="A2330" t="s">
        <v>5157</v>
      </c>
      <c r="B2330" t="s">
        <v>3786</v>
      </c>
    </row>
    <row r="2331" spans="1:2" x14ac:dyDescent="0.15">
      <c r="A2331" t="s">
        <v>5158</v>
      </c>
      <c r="B2331" t="s">
        <v>3787</v>
      </c>
    </row>
    <row r="2332" spans="1:2" x14ac:dyDescent="0.15">
      <c r="A2332" t="s">
        <v>5159</v>
      </c>
      <c r="B2332" t="s">
        <v>3788</v>
      </c>
    </row>
    <row r="2333" spans="1:2" x14ac:dyDescent="0.15">
      <c r="A2333" t="s">
        <v>5160</v>
      </c>
      <c r="B2333" t="s">
        <v>3789</v>
      </c>
    </row>
    <row r="2334" spans="1:2" x14ac:dyDescent="0.15">
      <c r="A2334" t="s">
        <v>5161</v>
      </c>
      <c r="B2334" t="s">
        <v>3790</v>
      </c>
    </row>
    <row r="2335" spans="1:2" x14ac:dyDescent="0.15">
      <c r="A2335" t="s">
        <v>5162</v>
      </c>
      <c r="B2335" t="s">
        <v>3791</v>
      </c>
    </row>
    <row r="2336" spans="1:2" x14ac:dyDescent="0.15">
      <c r="A2336" t="s">
        <v>5163</v>
      </c>
      <c r="B2336" t="s">
        <v>6785</v>
      </c>
    </row>
    <row r="2337" spans="1:2" x14ac:dyDescent="0.15">
      <c r="A2337" t="s">
        <v>5164</v>
      </c>
      <c r="B2337" t="s">
        <v>3792</v>
      </c>
    </row>
    <row r="2338" spans="1:2" x14ac:dyDescent="0.15">
      <c r="A2338" t="s">
        <v>1017</v>
      </c>
      <c r="B2338" t="s">
        <v>2402</v>
      </c>
    </row>
    <row r="2339" spans="1:2" x14ac:dyDescent="0.15">
      <c r="A2339" t="s">
        <v>1018</v>
      </c>
      <c r="B2339" t="s">
        <v>3793</v>
      </c>
    </row>
    <row r="2340" spans="1:2" x14ac:dyDescent="0.15">
      <c r="A2340" t="s">
        <v>1019</v>
      </c>
      <c r="B2340" t="s">
        <v>3794</v>
      </c>
    </row>
    <row r="2341" spans="1:2" x14ac:dyDescent="0.15">
      <c r="A2341" t="s">
        <v>1020</v>
      </c>
      <c r="B2341" t="s">
        <v>3795</v>
      </c>
    </row>
    <row r="2342" spans="1:2" x14ac:dyDescent="0.15">
      <c r="A2342" t="s">
        <v>1021</v>
      </c>
      <c r="B2342" t="s">
        <v>3796</v>
      </c>
    </row>
    <row r="2343" spans="1:2" x14ac:dyDescent="0.15">
      <c r="A2343" t="s">
        <v>1022</v>
      </c>
      <c r="B2343" t="s">
        <v>3797</v>
      </c>
    </row>
    <row r="2344" spans="1:2" x14ac:dyDescent="0.15">
      <c r="A2344" t="s">
        <v>1023</v>
      </c>
      <c r="B2344" t="s">
        <v>3798</v>
      </c>
    </row>
    <row r="2345" spans="1:2" x14ac:dyDescent="0.15">
      <c r="A2345" t="s">
        <v>1024</v>
      </c>
      <c r="B2345" t="s">
        <v>3396</v>
      </c>
    </row>
    <row r="2346" spans="1:2" x14ac:dyDescent="0.15">
      <c r="A2346" t="s">
        <v>1025</v>
      </c>
      <c r="B2346" t="s">
        <v>3799</v>
      </c>
    </row>
    <row r="2347" spans="1:2" x14ac:dyDescent="0.15">
      <c r="A2347" t="s">
        <v>1026</v>
      </c>
      <c r="B2347" t="s">
        <v>3800</v>
      </c>
    </row>
    <row r="2348" spans="1:2" x14ac:dyDescent="0.15">
      <c r="A2348" t="s">
        <v>1027</v>
      </c>
      <c r="B2348" t="s">
        <v>3801</v>
      </c>
    </row>
    <row r="2349" spans="1:2" x14ac:dyDescent="0.15">
      <c r="A2349" t="s">
        <v>1028</v>
      </c>
      <c r="B2349" t="s">
        <v>3802</v>
      </c>
    </row>
    <row r="2350" spans="1:2" x14ac:dyDescent="0.15">
      <c r="A2350" t="s">
        <v>1029</v>
      </c>
      <c r="B2350" t="s">
        <v>3803</v>
      </c>
    </row>
    <row r="2351" spans="1:2" x14ac:dyDescent="0.15">
      <c r="A2351" t="s">
        <v>1030</v>
      </c>
      <c r="B2351" t="s">
        <v>939</v>
      </c>
    </row>
    <row r="2352" spans="1:2" x14ac:dyDescent="0.15">
      <c r="A2352" t="s">
        <v>1031</v>
      </c>
      <c r="B2352" t="s">
        <v>3804</v>
      </c>
    </row>
    <row r="2353" spans="1:2" x14ac:dyDescent="0.15">
      <c r="A2353" t="s">
        <v>1032</v>
      </c>
      <c r="B2353" t="s">
        <v>3805</v>
      </c>
    </row>
    <row r="2354" spans="1:2" x14ac:dyDescent="0.15">
      <c r="A2354" t="s">
        <v>1033</v>
      </c>
      <c r="B2354" t="s">
        <v>3806</v>
      </c>
    </row>
    <row r="2355" spans="1:2" x14ac:dyDescent="0.15">
      <c r="A2355" t="s">
        <v>1034</v>
      </c>
      <c r="B2355" t="s">
        <v>3807</v>
      </c>
    </row>
    <row r="2356" spans="1:2" x14ac:dyDescent="0.15">
      <c r="A2356" t="s">
        <v>1035</v>
      </c>
      <c r="B2356" t="s">
        <v>3454</v>
      </c>
    </row>
    <row r="2357" spans="1:2" x14ac:dyDescent="0.15">
      <c r="A2357" t="s">
        <v>1036</v>
      </c>
      <c r="B2357" t="s">
        <v>3808</v>
      </c>
    </row>
    <row r="2358" spans="1:2" x14ac:dyDescent="0.15">
      <c r="A2358" t="s">
        <v>1037</v>
      </c>
      <c r="B2358" t="s">
        <v>3809</v>
      </c>
    </row>
    <row r="2359" spans="1:2" x14ac:dyDescent="0.15">
      <c r="A2359" t="s">
        <v>1038</v>
      </c>
      <c r="B2359" t="s">
        <v>3810</v>
      </c>
    </row>
    <row r="2360" spans="1:2" x14ac:dyDescent="0.15">
      <c r="A2360" t="s">
        <v>807</v>
      </c>
      <c r="B2360" t="s">
        <v>3811</v>
      </c>
    </row>
    <row r="2361" spans="1:2" x14ac:dyDescent="0.15">
      <c r="A2361" t="s">
        <v>808</v>
      </c>
      <c r="B2361" t="s">
        <v>3812</v>
      </c>
    </row>
    <row r="2362" spans="1:2" x14ac:dyDescent="0.15">
      <c r="A2362" t="s">
        <v>809</v>
      </c>
      <c r="B2362" t="s">
        <v>3813</v>
      </c>
    </row>
    <row r="2363" spans="1:2" x14ac:dyDescent="0.15">
      <c r="A2363" t="s">
        <v>810</v>
      </c>
      <c r="B2363" t="s">
        <v>3814</v>
      </c>
    </row>
    <row r="2364" spans="1:2" x14ac:dyDescent="0.15">
      <c r="A2364" t="s">
        <v>811</v>
      </c>
      <c r="B2364" t="s">
        <v>3815</v>
      </c>
    </row>
    <row r="2365" spans="1:2" x14ac:dyDescent="0.15">
      <c r="A2365" t="s">
        <v>812</v>
      </c>
      <c r="B2365" t="s">
        <v>3816</v>
      </c>
    </row>
    <row r="2366" spans="1:2" x14ac:dyDescent="0.15">
      <c r="A2366" t="s">
        <v>813</v>
      </c>
      <c r="B2366" t="s">
        <v>3817</v>
      </c>
    </row>
    <row r="2367" spans="1:2" x14ac:dyDescent="0.15">
      <c r="A2367" t="s">
        <v>814</v>
      </c>
      <c r="B2367" t="s">
        <v>3818</v>
      </c>
    </row>
    <row r="2368" spans="1:2" x14ac:dyDescent="0.15">
      <c r="A2368" t="s">
        <v>815</v>
      </c>
      <c r="B2368" t="s">
        <v>3819</v>
      </c>
    </row>
    <row r="2369" spans="1:2" x14ac:dyDescent="0.15">
      <c r="A2369" t="s">
        <v>7792</v>
      </c>
      <c r="B2369" t="s">
        <v>3820</v>
      </c>
    </row>
    <row r="2370" spans="1:2" x14ac:dyDescent="0.15">
      <c r="A2370" t="s">
        <v>7793</v>
      </c>
      <c r="B2370" t="s">
        <v>3821</v>
      </c>
    </row>
    <row r="2371" spans="1:2" x14ac:dyDescent="0.15">
      <c r="A2371" t="s">
        <v>7794</v>
      </c>
      <c r="B2371" t="s">
        <v>3822</v>
      </c>
    </row>
    <row r="2372" spans="1:2" x14ac:dyDescent="0.15">
      <c r="A2372" t="s">
        <v>7795</v>
      </c>
      <c r="B2372" t="s">
        <v>3823</v>
      </c>
    </row>
    <row r="2373" spans="1:2" x14ac:dyDescent="0.15">
      <c r="A2373" t="s">
        <v>7796</v>
      </c>
      <c r="B2373" t="s">
        <v>3439</v>
      </c>
    </row>
    <row r="2374" spans="1:2" x14ac:dyDescent="0.15">
      <c r="A2374" t="s">
        <v>7797</v>
      </c>
      <c r="B2374" t="s">
        <v>3578</v>
      </c>
    </row>
    <row r="2375" spans="1:2" x14ac:dyDescent="0.15">
      <c r="A2375" t="s">
        <v>7798</v>
      </c>
      <c r="B2375" t="s">
        <v>3579</v>
      </c>
    </row>
    <row r="2376" spans="1:2" x14ac:dyDescent="0.15">
      <c r="A2376" t="s">
        <v>7799</v>
      </c>
      <c r="B2376" t="s">
        <v>7252</v>
      </c>
    </row>
    <row r="2377" spans="1:2" x14ac:dyDescent="0.15">
      <c r="A2377" t="s">
        <v>7800</v>
      </c>
      <c r="B2377" t="s">
        <v>3580</v>
      </c>
    </row>
    <row r="2378" spans="1:2" x14ac:dyDescent="0.15">
      <c r="A2378" t="s">
        <v>7801</v>
      </c>
      <c r="B2378" t="s">
        <v>3581</v>
      </c>
    </row>
    <row r="2379" spans="1:2" x14ac:dyDescent="0.15">
      <c r="A2379" t="s">
        <v>7802</v>
      </c>
      <c r="B2379" t="s">
        <v>3582</v>
      </c>
    </row>
    <row r="2380" spans="1:2" x14ac:dyDescent="0.15">
      <c r="A2380" t="s">
        <v>7803</v>
      </c>
      <c r="B2380" t="s">
        <v>3583</v>
      </c>
    </row>
    <row r="2381" spans="1:2" x14ac:dyDescent="0.15">
      <c r="A2381" t="s">
        <v>7804</v>
      </c>
      <c r="B2381" t="s">
        <v>3584</v>
      </c>
    </row>
    <row r="2382" spans="1:2" x14ac:dyDescent="0.15">
      <c r="A2382" t="s">
        <v>7805</v>
      </c>
      <c r="B2382" t="s">
        <v>3585</v>
      </c>
    </row>
    <row r="2383" spans="1:2" x14ac:dyDescent="0.15">
      <c r="A2383" t="s">
        <v>7806</v>
      </c>
      <c r="B2383" t="s">
        <v>3586</v>
      </c>
    </row>
    <row r="2384" spans="1:2" x14ac:dyDescent="0.15">
      <c r="A2384" t="s">
        <v>7807</v>
      </c>
      <c r="B2384" t="s">
        <v>3587</v>
      </c>
    </row>
    <row r="2385" spans="1:2" x14ac:dyDescent="0.15">
      <c r="A2385" t="s">
        <v>7808</v>
      </c>
      <c r="B2385" t="s">
        <v>3588</v>
      </c>
    </row>
    <row r="2386" spans="1:2" x14ac:dyDescent="0.15">
      <c r="A2386" t="s">
        <v>7809</v>
      </c>
      <c r="B2386" t="s">
        <v>3589</v>
      </c>
    </row>
    <row r="2387" spans="1:2" x14ac:dyDescent="0.15">
      <c r="A2387" t="s">
        <v>7810</v>
      </c>
      <c r="B2387" t="s">
        <v>3590</v>
      </c>
    </row>
    <row r="2388" spans="1:2" x14ac:dyDescent="0.15">
      <c r="A2388" t="s">
        <v>7811</v>
      </c>
      <c r="B2388" t="s">
        <v>3591</v>
      </c>
    </row>
    <row r="2389" spans="1:2" x14ac:dyDescent="0.15">
      <c r="A2389" t="s">
        <v>7812</v>
      </c>
      <c r="B2389" t="s">
        <v>3592</v>
      </c>
    </row>
    <row r="2390" spans="1:2" x14ac:dyDescent="0.15">
      <c r="A2390" t="s">
        <v>7813</v>
      </c>
      <c r="B2390" t="s">
        <v>3726</v>
      </c>
    </row>
    <row r="2391" spans="1:2" x14ac:dyDescent="0.15">
      <c r="A2391" t="s">
        <v>7814</v>
      </c>
      <c r="B2391" t="s">
        <v>3593</v>
      </c>
    </row>
    <row r="2392" spans="1:2" x14ac:dyDescent="0.15">
      <c r="A2392" t="s">
        <v>4508</v>
      </c>
      <c r="B2392" t="s">
        <v>4508</v>
      </c>
    </row>
    <row r="2393" spans="1:2" x14ac:dyDescent="0.15">
      <c r="A2393" t="s">
        <v>7815</v>
      </c>
      <c r="B2393" t="s">
        <v>3594</v>
      </c>
    </row>
    <row r="2394" spans="1:2" x14ac:dyDescent="0.15">
      <c r="A2394" t="s">
        <v>7816</v>
      </c>
      <c r="B2394" t="s">
        <v>3438</v>
      </c>
    </row>
    <row r="2395" spans="1:2" x14ac:dyDescent="0.15">
      <c r="A2395" t="s">
        <v>7817</v>
      </c>
      <c r="B2395" t="s">
        <v>7203</v>
      </c>
    </row>
    <row r="2396" spans="1:2" x14ac:dyDescent="0.15">
      <c r="A2396" t="s">
        <v>7818</v>
      </c>
      <c r="B2396" t="s">
        <v>3595</v>
      </c>
    </row>
    <row r="2397" spans="1:2" x14ac:dyDescent="0.15">
      <c r="A2397" t="s">
        <v>7819</v>
      </c>
      <c r="B2397" t="s">
        <v>3596</v>
      </c>
    </row>
    <row r="2398" spans="1:2" x14ac:dyDescent="0.15">
      <c r="A2398" t="s">
        <v>7820</v>
      </c>
      <c r="B2398" t="s">
        <v>3597</v>
      </c>
    </row>
    <row r="2399" spans="1:2" x14ac:dyDescent="0.15">
      <c r="A2399" t="s">
        <v>7821</v>
      </c>
      <c r="B2399" t="s">
        <v>3598</v>
      </c>
    </row>
    <row r="2400" spans="1:2" x14ac:dyDescent="0.15">
      <c r="A2400" t="s">
        <v>7822</v>
      </c>
      <c r="B2400" t="s">
        <v>3599</v>
      </c>
    </row>
    <row r="2401" spans="1:2" x14ac:dyDescent="0.15">
      <c r="A2401" t="s">
        <v>7823</v>
      </c>
      <c r="B2401" t="s">
        <v>3600</v>
      </c>
    </row>
    <row r="2402" spans="1:2" x14ac:dyDescent="0.15">
      <c r="A2402" t="s">
        <v>7824</v>
      </c>
      <c r="B2402" t="s">
        <v>3601</v>
      </c>
    </row>
    <row r="2403" spans="1:2" x14ac:dyDescent="0.15">
      <c r="A2403" t="s">
        <v>7825</v>
      </c>
      <c r="B2403" t="s">
        <v>3602</v>
      </c>
    </row>
    <row r="2404" spans="1:2" x14ac:dyDescent="0.15">
      <c r="A2404" t="s">
        <v>7826</v>
      </c>
      <c r="B2404" t="s">
        <v>3603</v>
      </c>
    </row>
    <row r="2405" spans="1:2" x14ac:dyDescent="0.15">
      <c r="A2405" t="s">
        <v>7827</v>
      </c>
      <c r="B2405" t="s">
        <v>3604</v>
      </c>
    </row>
    <row r="2406" spans="1:2" x14ac:dyDescent="0.15">
      <c r="A2406" t="s">
        <v>7828</v>
      </c>
      <c r="B2406" t="s">
        <v>3605</v>
      </c>
    </row>
    <row r="2407" spans="1:2" x14ac:dyDescent="0.15">
      <c r="A2407" t="s">
        <v>7829</v>
      </c>
      <c r="B2407" t="s">
        <v>1137</v>
      </c>
    </row>
    <row r="2408" spans="1:2" x14ac:dyDescent="0.15">
      <c r="A2408" t="s">
        <v>4509</v>
      </c>
      <c r="B2408" t="s">
        <v>4509</v>
      </c>
    </row>
    <row r="2409" spans="1:2" x14ac:dyDescent="0.15">
      <c r="A2409" t="s">
        <v>7830</v>
      </c>
      <c r="B2409" t="s">
        <v>6224</v>
      </c>
    </row>
    <row r="2410" spans="1:2" x14ac:dyDescent="0.15">
      <c r="A2410" t="s">
        <v>4510</v>
      </c>
      <c r="B2410" t="s">
        <v>4510</v>
      </c>
    </row>
    <row r="2411" spans="1:2" x14ac:dyDescent="0.15">
      <c r="A2411" t="s">
        <v>4511</v>
      </c>
      <c r="B2411" t="s">
        <v>4511</v>
      </c>
    </row>
    <row r="2412" spans="1:2" x14ac:dyDescent="0.15">
      <c r="A2412" t="s">
        <v>4512</v>
      </c>
      <c r="B2412" t="s">
        <v>4512</v>
      </c>
    </row>
    <row r="2413" spans="1:2" x14ac:dyDescent="0.15">
      <c r="A2413" t="s">
        <v>4513</v>
      </c>
      <c r="B2413" t="s">
        <v>4513</v>
      </c>
    </row>
    <row r="2414" spans="1:2" x14ac:dyDescent="0.15">
      <c r="A2414" t="s">
        <v>4514</v>
      </c>
      <c r="B2414" t="s">
        <v>4514</v>
      </c>
    </row>
    <row r="2415" spans="1:2" x14ac:dyDescent="0.15">
      <c r="A2415" t="s">
        <v>4515</v>
      </c>
      <c r="B2415" t="s">
        <v>4515</v>
      </c>
    </row>
    <row r="2416" spans="1:2" x14ac:dyDescent="0.15">
      <c r="A2416" t="s">
        <v>4516</v>
      </c>
      <c r="B2416" t="s">
        <v>4516</v>
      </c>
    </row>
    <row r="2417" spans="1:2" x14ac:dyDescent="0.15">
      <c r="A2417" t="s">
        <v>4517</v>
      </c>
      <c r="B2417" t="s">
        <v>4517</v>
      </c>
    </row>
    <row r="2418" spans="1:2" x14ac:dyDescent="0.15">
      <c r="A2418" t="s">
        <v>4518</v>
      </c>
      <c r="B2418" t="s">
        <v>4518</v>
      </c>
    </row>
    <row r="2419" spans="1:2" x14ac:dyDescent="0.15">
      <c r="A2419" t="s">
        <v>4519</v>
      </c>
      <c r="B2419" t="s">
        <v>4519</v>
      </c>
    </row>
    <row r="2420" spans="1:2" x14ac:dyDescent="0.15">
      <c r="A2420" t="s">
        <v>4520</v>
      </c>
      <c r="B2420" t="s">
        <v>4520</v>
      </c>
    </row>
    <row r="2421" spans="1:2" x14ac:dyDescent="0.15">
      <c r="A2421" t="s">
        <v>4521</v>
      </c>
      <c r="B2421" t="s">
        <v>4521</v>
      </c>
    </row>
    <row r="2422" spans="1:2" x14ac:dyDescent="0.15">
      <c r="A2422" t="s">
        <v>4522</v>
      </c>
      <c r="B2422" t="s">
        <v>4522</v>
      </c>
    </row>
    <row r="2423" spans="1:2" x14ac:dyDescent="0.15">
      <c r="A2423" t="s">
        <v>4523</v>
      </c>
      <c r="B2423" t="s">
        <v>4523</v>
      </c>
    </row>
    <row r="2424" spans="1:2" x14ac:dyDescent="0.15">
      <c r="A2424" t="s">
        <v>4524</v>
      </c>
      <c r="B2424" t="s">
        <v>4524</v>
      </c>
    </row>
    <row r="2425" spans="1:2" x14ac:dyDescent="0.15">
      <c r="A2425" t="s">
        <v>4525</v>
      </c>
      <c r="B2425" t="s">
        <v>4525</v>
      </c>
    </row>
    <row r="2426" spans="1:2" x14ac:dyDescent="0.15">
      <c r="A2426" t="s">
        <v>4526</v>
      </c>
      <c r="B2426" t="s">
        <v>4526</v>
      </c>
    </row>
    <row r="2427" spans="1:2" x14ac:dyDescent="0.15">
      <c r="A2427" t="s">
        <v>4527</v>
      </c>
      <c r="B2427" t="s">
        <v>4527</v>
      </c>
    </row>
    <row r="2428" spans="1:2" x14ac:dyDescent="0.15">
      <c r="A2428" t="s">
        <v>4528</v>
      </c>
      <c r="B2428" t="s">
        <v>4528</v>
      </c>
    </row>
    <row r="2429" spans="1:2" x14ac:dyDescent="0.15">
      <c r="A2429" t="s">
        <v>4529</v>
      </c>
      <c r="B2429" t="s">
        <v>4529</v>
      </c>
    </row>
    <row r="2430" spans="1:2" x14ac:dyDescent="0.15">
      <c r="A2430" t="s">
        <v>4530</v>
      </c>
      <c r="B2430" t="s">
        <v>4530</v>
      </c>
    </row>
    <row r="2431" spans="1:2" x14ac:dyDescent="0.15">
      <c r="A2431" t="s">
        <v>4531</v>
      </c>
      <c r="B2431" t="s">
        <v>4531</v>
      </c>
    </row>
    <row r="2432" spans="1:2" x14ac:dyDescent="0.15">
      <c r="A2432" t="s">
        <v>7831</v>
      </c>
      <c r="B2432" t="s">
        <v>3606</v>
      </c>
    </row>
    <row r="2433" spans="1:2" x14ac:dyDescent="0.15">
      <c r="A2433" t="s">
        <v>7832</v>
      </c>
      <c r="B2433" t="s">
        <v>3607</v>
      </c>
    </row>
    <row r="2434" spans="1:2" x14ac:dyDescent="0.15">
      <c r="A2434" t="s">
        <v>7833</v>
      </c>
      <c r="B2434" t="s">
        <v>3608</v>
      </c>
    </row>
    <row r="2435" spans="1:2" x14ac:dyDescent="0.15">
      <c r="A2435" t="s">
        <v>7834</v>
      </c>
      <c r="B2435" t="s">
        <v>3609</v>
      </c>
    </row>
    <row r="2436" spans="1:2" x14ac:dyDescent="0.15">
      <c r="A2436" t="s">
        <v>7835</v>
      </c>
      <c r="B2436" t="s">
        <v>3610</v>
      </c>
    </row>
    <row r="2437" spans="1:2" x14ac:dyDescent="0.15">
      <c r="A2437" t="s">
        <v>7836</v>
      </c>
      <c r="B2437" t="s">
        <v>3611</v>
      </c>
    </row>
    <row r="2438" spans="1:2" x14ac:dyDescent="0.15">
      <c r="A2438" t="s">
        <v>4532</v>
      </c>
      <c r="B2438" t="s">
        <v>4532</v>
      </c>
    </row>
    <row r="2439" spans="1:2" x14ac:dyDescent="0.15">
      <c r="A2439" t="s">
        <v>4533</v>
      </c>
      <c r="B2439" t="s">
        <v>4533</v>
      </c>
    </row>
    <row r="2440" spans="1:2" x14ac:dyDescent="0.15">
      <c r="A2440" t="s">
        <v>4534</v>
      </c>
      <c r="B2440" t="s">
        <v>4534</v>
      </c>
    </row>
    <row r="2441" spans="1:2" x14ac:dyDescent="0.15">
      <c r="A2441" t="s">
        <v>7837</v>
      </c>
      <c r="B2441" t="s">
        <v>3612</v>
      </c>
    </row>
    <row r="2442" spans="1:2" x14ac:dyDescent="0.15">
      <c r="A2442" t="s">
        <v>7838</v>
      </c>
      <c r="B2442" t="s">
        <v>3613</v>
      </c>
    </row>
    <row r="2443" spans="1:2" x14ac:dyDescent="0.15">
      <c r="A2443" t="s">
        <v>4535</v>
      </c>
      <c r="B2443" t="s">
        <v>4535</v>
      </c>
    </row>
    <row r="2444" spans="1:2" x14ac:dyDescent="0.15">
      <c r="A2444" t="s">
        <v>7839</v>
      </c>
      <c r="B2444" t="s">
        <v>7424</v>
      </c>
    </row>
    <row r="2445" spans="1:2" x14ac:dyDescent="0.15">
      <c r="A2445" t="s">
        <v>7840</v>
      </c>
      <c r="B2445" t="s">
        <v>3614</v>
      </c>
    </row>
    <row r="2446" spans="1:2" x14ac:dyDescent="0.15">
      <c r="A2446" t="s">
        <v>7841</v>
      </c>
      <c r="B2446" t="s">
        <v>3615</v>
      </c>
    </row>
    <row r="2447" spans="1:2" x14ac:dyDescent="0.15">
      <c r="A2447" t="s">
        <v>4536</v>
      </c>
      <c r="B2447" t="s">
        <v>4536</v>
      </c>
    </row>
    <row r="2448" spans="1:2" x14ac:dyDescent="0.15">
      <c r="A2448" t="s">
        <v>4537</v>
      </c>
      <c r="B2448" t="s">
        <v>4537</v>
      </c>
    </row>
    <row r="2449" spans="1:2" x14ac:dyDescent="0.15">
      <c r="A2449" t="s">
        <v>4538</v>
      </c>
      <c r="B2449" t="s">
        <v>4538</v>
      </c>
    </row>
    <row r="2450" spans="1:2" x14ac:dyDescent="0.15">
      <c r="A2450" t="s">
        <v>4539</v>
      </c>
      <c r="B2450" t="s">
        <v>4539</v>
      </c>
    </row>
    <row r="2451" spans="1:2" x14ac:dyDescent="0.15">
      <c r="A2451" t="s">
        <v>7842</v>
      </c>
      <c r="B2451" t="s">
        <v>3616</v>
      </c>
    </row>
    <row r="2452" spans="1:2" x14ac:dyDescent="0.15">
      <c r="A2452" t="s">
        <v>7843</v>
      </c>
      <c r="B2452" t="s">
        <v>3617</v>
      </c>
    </row>
    <row r="2453" spans="1:2" x14ac:dyDescent="0.15">
      <c r="A2453" t="s">
        <v>7844</v>
      </c>
      <c r="B2453" t="s">
        <v>1513</v>
      </c>
    </row>
    <row r="2454" spans="1:2" x14ac:dyDescent="0.15">
      <c r="A2454" t="s">
        <v>7845</v>
      </c>
      <c r="B2454" t="s">
        <v>3618</v>
      </c>
    </row>
    <row r="2455" spans="1:2" x14ac:dyDescent="0.15">
      <c r="A2455" t="s">
        <v>4540</v>
      </c>
      <c r="B2455" t="s">
        <v>4540</v>
      </c>
    </row>
    <row r="2456" spans="1:2" x14ac:dyDescent="0.15">
      <c r="A2456" t="s">
        <v>4541</v>
      </c>
      <c r="B2456" t="s">
        <v>4541</v>
      </c>
    </row>
    <row r="2457" spans="1:2" x14ac:dyDescent="0.15">
      <c r="A2457" t="s">
        <v>4542</v>
      </c>
      <c r="B2457" t="s">
        <v>4542</v>
      </c>
    </row>
    <row r="2458" spans="1:2" x14ac:dyDescent="0.15">
      <c r="A2458" t="s">
        <v>4543</v>
      </c>
      <c r="B2458" t="s">
        <v>4543</v>
      </c>
    </row>
    <row r="2459" spans="1:2" x14ac:dyDescent="0.15">
      <c r="A2459" t="s">
        <v>4544</v>
      </c>
      <c r="B2459" t="s">
        <v>4544</v>
      </c>
    </row>
    <row r="2460" spans="1:2" x14ac:dyDescent="0.15">
      <c r="A2460" t="s">
        <v>7846</v>
      </c>
      <c r="B2460" t="s">
        <v>3619</v>
      </c>
    </row>
    <row r="2461" spans="1:2" x14ac:dyDescent="0.15">
      <c r="A2461" t="s">
        <v>4545</v>
      </c>
      <c r="B2461" t="s">
        <v>4545</v>
      </c>
    </row>
    <row r="2462" spans="1:2" x14ac:dyDescent="0.15">
      <c r="A2462" t="s">
        <v>4546</v>
      </c>
      <c r="B2462" t="s">
        <v>4546</v>
      </c>
    </row>
    <row r="2463" spans="1:2" x14ac:dyDescent="0.15">
      <c r="A2463" t="s">
        <v>4547</v>
      </c>
      <c r="B2463" t="s">
        <v>4547</v>
      </c>
    </row>
    <row r="2464" spans="1:2" x14ac:dyDescent="0.15">
      <c r="A2464" t="s">
        <v>4548</v>
      </c>
      <c r="B2464" t="s">
        <v>4548</v>
      </c>
    </row>
    <row r="2465" spans="1:2" x14ac:dyDescent="0.15">
      <c r="A2465" t="s">
        <v>4549</v>
      </c>
      <c r="B2465" t="s">
        <v>4549</v>
      </c>
    </row>
    <row r="2466" spans="1:2" x14ac:dyDescent="0.15">
      <c r="A2466" t="s">
        <v>4550</v>
      </c>
      <c r="B2466" t="s">
        <v>4550</v>
      </c>
    </row>
    <row r="2467" spans="1:2" x14ac:dyDescent="0.15">
      <c r="A2467" t="s">
        <v>4551</v>
      </c>
      <c r="B2467" t="s">
        <v>4551</v>
      </c>
    </row>
    <row r="2468" spans="1:2" x14ac:dyDescent="0.15">
      <c r="A2468" t="s">
        <v>7847</v>
      </c>
      <c r="B2468" t="s">
        <v>3620</v>
      </c>
    </row>
    <row r="2469" spans="1:2" x14ac:dyDescent="0.15">
      <c r="A2469" t="s">
        <v>4552</v>
      </c>
      <c r="B2469" t="s">
        <v>4552</v>
      </c>
    </row>
    <row r="2470" spans="1:2" x14ac:dyDescent="0.15">
      <c r="A2470" t="s">
        <v>4553</v>
      </c>
      <c r="B2470" t="s">
        <v>4553</v>
      </c>
    </row>
    <row r="2471" spans="1:2" x14ac:dyDescent="0.15">
      <c r="A2471" t="s">
        <v>4554</v>
      </c>
      <c r="B2471" t="s">
        <v>4554</v>
      </c>
    </row>
    <row r="2472" spans="1:2" x14ac:dyDescent="0.15">
      <c r="A2472" t="s">
        <v>4555</v>
      </c>
      <c r="B2472" t="s">
        <v>4555</v>
      </c>
    </row>
    <row r="2473" spans="1:2" x14ac:dyDescent="0.15">
      <c r="A2473" t="s">
        <v>4556</v>
      </c>
      <c r="B2473" t="s">
        <v>4556</v>
      </c>
    </row>
    <row r="2474" spans="1:2" x14ac:dyDescent="0.15">
      <c r="A2474" t="s">
        <v>4557</v>
      </c>
      <c r="B2474" t="s">
        <v>4557</v>
      </c>
    </row>
    <row r="2475" spans="1:2" x14ac:dyDescent="0.15">
      <c r="A2475" t="s">
        <v>4558</v>
      </c>
      <c r="B2475" t="s">
        <v>4558</v>
      </c>
    </row>
    <row r="2476" spans="1:2" x14ac:dyDescent="0.15">
      <c r="A2476" t="s">
        <v>4559</v>
      </c>
      <c r="B2476" t="s">
        <v>4559</v>
      </c>
    </row>
    <row r="2477" spans="1:2" x14ac:dyDescent="0.15">
      <c r="A2477" t="s">
        <v>7579</v>
      </c>
      <c r="B2477" t="s">
        <v>3621</v>
      </c>
    </row>
    <row r="2478" spans="1:2" x14ac:dyDescent="0.15">
      <c r="A2478" t="s">
        <v>7580</v>
      </c>
      <c r="B2478" t="s">
        <v>3622</v>
      </c>
    </row>
    <row r="2479" spans="1:2" x14ac:dyDescent="0.15">
      <c r="A2479" t="s">
        <v>7581</v>
      </c>
      <c r="B2479" t="s">
        <v>3623</v>
      </c>
    </row>
    <row r="2480" spans="1:2" x14ac:dyDescent="0.15">
      <c r="A2480" t="s">
        <v>7582</v>
      </c>
      <c r="B2480" t="s">
        <v>3622</v>
      </c>
    </row>
    <row r="2481" spans="1:2" x14ac:dyDescent="0.15">
      <c r="A2481" t="s">
        <v>7583</v>
      </c>
      <c r="B2481" t="s">
        <v>3622</v>
      </c>
    </row>
    <row r="2482" spans="1:2" x14ac:dyDescent="0.15">
      <c r="A2482" t="s">
        <v>7584</v>
      </c>
      <c r="B2482" t="s">
        <v>3624</v>
      </c>
    </row>
    <row r="2483" spans="1:2" x14ac:dyDescent="0.15">
      <c r="A2483" t="s">
        <v>7585</v>
      </c>
      <c r="B2483" t="s">
        <v>3625</v>
      </c>
    </row>
    <row r="2484" spans="1:2" x14ac:dyDescent="0.15">
      <c r="A2484" t="s">
        <v>7586</v>
      </c>
      <c r="B2484" t="s">
        <v>3626</v>
      </c>
    </row>
    <row r="2485" spans="1:2" x14ac:dyDescent="0.15">
      <c r="A2485" t="s">
        <v>7587</v>
      </c>
      <c r="B2485" t="s">
        <v>3625</v>
      </c>
    </row>
    <row r="2486" spans="1:2" x14ac:dyDescent="0.15">
      <c r="A2486" t="s">
        <v>7588</v>
      </c>
      <c r="B2486" t="s">
        <v>6300</v>
      </c>
    </row>
    <row r="2487" spans="1:2" x14ac:dyDescent="0.15">
      <c r="A2487" t="s">
        <v>7589</v>
      </c>
      <c r="B2487" t="s">
        <v>3627</v>
      </c>
    </row>
    <row r="2488" spans="1:2" x14ac:dyDescent="0.15">
      <c r="A2488" t="s">
        <v>7590</v>
      </c>
      <c r="B2488" t="s">
        <v>5190</v>
      </c>
    </row>
    <row r="2489" spans="1:2" x14ac:dyDescent="0.15">
      <c r="A2489" t="s">
        <v>7591</v>
      </c>
      <c r="B2489" t="s">
        <v>3628</v>
      </c>
    </row>
    <row r="2490" spans="1:2" x14ac:dyDescent="0.15">
      <c r="A2490" t="s">
        <v>7592</v>
      </c>
      <c r="B2490" t="s">
        <v>3629</v>
      </c>
    </row>
    <row r="2491" spans="1:2" x14ac:dyDescent="0.15">
      <c r="A2491" t="s">
        <v>7593</v>
      </c>
      <c r="B2491" t="s">
        <v>3630</v>
      </c>
    </row>
    <row r="2492" spans="1:2" x14ac:dyDescent="0.15">
      <c r="A2492" t="s">
        <v>7594</v>
      </c>
      <c r="B2492" t="s">
        <v>3628</v>
      </c>
    </row>
    <row r="2493" spans="1:2" x14ac:dyDescent="0.15">
      <c r="A2493" t="s">
        <v>7595</v>
      </c>
      <c r="B2493" t="s">
        <v>3631</v>
      </c>
    </row>
    <row r="2494" spans="1:2" x14ac:dyDescent="0.15">
      <c r="A2494" t="s">
        <v>7596</v>
      </c>
      <c r="B2494" t="s">
        <v>3632</v>
      </c>
    </row>
    <row r="2495" spans="1:2" x14ac:dyDescent="0.15">
      <c r="A2495" t="s">
        <v>7597</v>
      </c>
      <c r="B2495" t="s">
        <v>3633</v>
      </c>
    </row>
    <row r="2496" spans="1:2" x14ac:dyDescent="0.15">
      <c r="A2496" t="s">
        <v>7598</v>
      </c>
      <c r="B2496" t="s">
        <v>3634</v>
      </c>
    </row>
    <row r="2497" spans="1:2" x14ac:dyDescent="0.15">
      <c r="A2497" t="s">
        <v>7599</v>
      </c>
      <c r="B2497" t="s">
        <v>3635</v>
      </c>
    </row>
    <row r="2498" spans="1:2" x14ac:dyDescent="0.15">
      <c r="A2498" t="s">
        <v>7600</v>
      </c>
      <c r="B2498" t="s">
        <v>3636</v>
      </c>
    </row>
    <row r="2499" spans="1:2" x14ac:dyDescent="0.15">
      <c r="A2499" t="s">
        <v>7601</v>
      </c>
      <c r="B2499" t="s">
        <v>3637</v>
      </c>
    </row>
    <row r="2500" spans="1:2" x14ac:dyDescent="0.15">
      <c r="A2500" t="s">
        <v>7602</v>
      </c>
      <c r="B2500" t="s">
        <v>3638</v>
      </c>
    </row>
    <row r="2501" spans="1:2" x14ac:dyDescent="0.15">
      <c r="A2501" t="s">
        <v>7603</v>
      </c>
      <c r="B2501" t="s">
        <v>3639</v>
      </c>
    </row>
    <row r="2502" spans="1:2" x14ac:dyDescent="0.15">
      <c r="A2502" t="s">
        <v>7604</v>
      </c>
      <c r="B2502" t="s">
        <v>3640</v>
      </c>
    </row>
    <row r="2503" spans="1:2" x14ac:dyDescent="0.15">
      <c r="A2503" t="s">
        <v>7605</v>
      </c>
      <c r="B2503" t="s">
        <v>3641</v>
      </c>
    </row>
    <row r="2504" spans="1:2" x14ac:dyDescent="0.15">
      <c r="A2504" t="s">
        <v>7606</v>
      </c>
      <c r="B2504" t="s">
        <v>3642</v>
      </c>
    </row>
    <row r="2505" spans="1:2" x14ac:dyDescent="0.15">
      <c r="A2505" t="s">
        <v>7607</v>
      </c>
      <c r="B2505" t="s">
        <v>3643</v>
      </c>
    </row>
    <row r="2506" spans="1:2" x14ac:dyDescent="0.15">
      <c r="A2506" t="s">
        <v>7608</v>
      </c>
      <c r="B2506" t="s">
        <v>3644</v>
      </c>
    </row>
    <row r="2507" spans="1:2" x14ac:dyDescent="0.15">
      <c r="A2507" t="s">
        <v>7609</v>
      </c>
      <c r="B2507" t="s">
        <v>3645</v>
      </c>
    </row>
    <row r="2508" spans="1:2" x14ac:dyDescent="0.15">
      <c r="A2508" t="s">
        <v>7610</v>
      </c>
      <c r="B2508" t="s">
        <v>3644</v>
      </c>
    </row>
    <row r="2509" spans="1:2" x14ac:dyDescent="0.15">
      <c r="A2509" t="s">
        <v>7611</v>
      </c>
      <c r="B2509" t="s">
        <v>3646</v>
      </c>
    </row>
    <row r="2510" spans="1:2" x14ac:dyDescent="0.15">
      <c r="A2510" t="s">
        <v>7612</v>
      </c>
      <c r="B2510" t="s">
        <v>3647</v>
      </c>
    </row>
    <row r="2511" spans="1:2" x14ac:dyDescent="0.15">
      <c r="A2511" t="s">
        <v>7613</v>
      </c>
      <c r="B2511" t="s">
        <v>3648</v>
      </c>
    </row>
    <row r="2512" spans="1:2" x14ac:dyDescent="0.15">
      <c r="A2512" t="s">
        <v>7614</v>
      </c>
      <c r="B2512" t="s">
        <v>3649</v>
      </c>
    </row>
    <row r="2513" spans="1:2" x14ac:dyDescent="0.15">
      <c r="A2513" t="s">
        <v>7615</v>
      </c>
      <c r="B2513" t="s">
        <v>3650</v>
      </c>
    </row>
    <row r="2514" spans="1:2" x14ac:dyDescent="0.15">
      <c r="A2514" t="s">
        <v>7616</v>
      </c>
      <c r="B2514" t="s">
        <v>3651</v>
      </c>
    </row>
    <row r="2515" spans="1:2" x14ac:dyDescent="0.15">
      <c r="A2515" t="s">
        <v>7617</v>
      </c>
      <c r="B2515" t="s">
        <v>3652</v>
      </c>
    </row>
    <row r="2516" spans="1:2" x14ac:dyDescent="0.15">
      <c r="A2516" t="s">
        <v>7618</v>
      </c>
      <c r="B2516" t="s">
        <v>3653</v>
      </c>
    </row>
    <row r="2517" spans="1:2" x14ac:dyDescent="0.15">
      <c r="A2517" t="s">
        <v>7619</v>
      </c>
      <c r="B2517" t="s">
        <v>3654</v>
      </c>
    </row>
    <row r="2518" spans="1:2" x14ac:dyDescent="0.15">
      <c r="A2518" t="s">
        <v>7620</v>
      </c>
      <c r="B2518" t="s">
        <v>3655</v>
      </c>
    </row>
    <row r="2519" spans="1:2" x14ac:dyDescent="0.15">
      <c r="A2519" t="s">
        <v>7621</v>
      </c>
      <c r="B2519" t="s">
        <v>3656</v>
      </c>
    </row>
    <row r="2520" spans="1:2" x14ac:dyDescent="0.15">
      <c r="A2520" t="s">
        <v>7622</v>
      </c>
      <c r="B2520" t="s">
        <v>3657</v>
      </c>
    </row>
    <row r="2521" spans="1:2" x14ac:dyDescent="0.15">
      <c r="A2521" t="s">
        <v>7623</v>
      </c>
      <c r="B2521" t="s">
        <v>3658</v>
      </c>
    </row>
    <row r="2522" spans="1:2" x14ac:dyDescent="0.15">
      <c r="A2522" t="s">
        <v>7624</v>
      </c>
      <c r="B2522" t="s">
        <v>3658</v>
      </c>
    </row>
    <row r="2523" spans="1:2" x14ac:dyDescent="0.15">
      <c r="A2523" t="s">
        <v>7625</v>
      </c>
      <c r="B2523" t="s">
        <v>3659</v>
      </c>
    </row>
    <row r="2524" spans="1:2" x14ac:dyDescent="0.15">
      <c r="A2524" t="s">
        <v>7626</v>
      </c>
      <c r="B2524" t="s">
        <v>3660</v>
      </c>
    </row>
    <row r="2525" spans="1:2" x14ac:dyDescent="0.15">
      <c r="A2525" t="s">
        <v>7627</v>
      </c>
      <c r="B2525" t="s">
        <v>8380</v>
      </c>
    </row>
    <row r="2526" spans="1:2" x14ac:dyDescent="0.15">
      <c r="A2526" t="s">
        <v>7628</v>
      </c>
      <c r="B2526" t="s">
        <v>3661</v>
      </c>
    </row>
    <row r="2527" spans="1:2" x14ac:dyDescent="0.15">
      <c r="A2527" t="s">
        <v>7629</v>
      </c>
      <c r="B2527" t="s">
        <v>3662</v>
      </c>
    </row>
    <row r="2528" spans="1:2" x14ac:dyDescent="0.15">
      <c r="A2528" t="s">
        <v>7630</v>
      </c>
      <c r="B2528" t="s">
        <v>3663</v>
      </c>
    </row>
    <row r="2529" spans="1:2" x14ac:dyDescent="0.15">
      <c r="A2529" t="s">
        <v>7631</v>
      </c>
      <c r="B2529" t="s">
        <v>3664</v>
      </c>
    </row>
    <row r="2530" spans="1:2" x14ac:dyDescent="0.15">
      <c r="A2530" t="s">
        <v>7632</v>
      </c>
      <c r="B2530" t="s">
        <v>3665</v>
      </c>
    </row>
    <row r="2531" spans="1:2" x14ac:dyDescent="0.15">
      <c r="A2531" t="s">
        <v>7633</v>
      </c>
      <c r="B2531" t="s">
        <v>3666</v>
      </c>
    </row>
    <row r="2532" spans="1:2" x14ac:dyDescent="0.15">
      <c r="A2532" t="s">
        <v>7634</v>
      </c>
      <c r="B2532" t="s">
        <v>3667</v>
      </c>
    </row>
    <row r="2533" spans="1:2" x14ac:dyDescent="0.15">
      <c r="A2533" t="s">
        <v>7635</v>
      </c>
      <c r="B2533" t="s">
        <v>3668</v>
      </c>
    </row>
    <row r="2534" spans="1:2" x14ac:dyDescent="0.15">
      <c r="A2534" t="s">
        <v>7636</v>
      </c>
      <c r="B2534" t="s">
        <v>3669</v>
      </c>
    </row>
    <row r="2535" spans="1:2" x14ac:dyDescent="0.15">
      <c r="A2535" t="s">
        <v>7637</v>
      </c>
      <c r="B2535" t="s">
        <v>3670</v>
      </c>
    </row>
    <row r="2536" spans="1:2" x14ac:dyDescent="0.15">
      <c r="A2536" t="s">
        <v>7638</v>
      </c>
      <c r="B2536" t="s">
        <v>3671</v>
      </c>
    </row>
    <row r="2537" spans="1:2" x14ac:dyDescent="0.15">
      <c r="A2537" t="s">
        <v>7639</v>
      </c>
      <c r="B2537" t="s">
        <v>3672</v>
      </c>
    </row>
    <row r="2538" spans="1:2" x14ac:dyDescent="0.15">
      <c r="A2538" t="s">
        <v>7640</v>
      </c>
      <c r="B2538" t="s">
        <v>3673</v>
      </c>
    </row>
    <row r="2539" spans="1:2" x14ac:dyDescent="0.15">
      <c r="A2539" t="s">
        <v>7641</v>
      </c>
      <c r="B2539" t="s">
        <v>3674</v>
      </c>
    </row>
    <row r="2540" spans="1:2" x14ac:dyDescent="0.15">
      <c r="A2540" t="s">
        <v>7642</v>
      </c>
      <c r="B2540" t="s">
        <v>3675</v>
      </c>
    </row>
    <row r="2541" spans="1:2" x14ac:dyDescent="0.15">
      <c r="A2541" t="s">
        <v>7643</v>
      </c>
      <c r="B2541" t="s">
        <v>3676</v>
      </c>
    </row>
    <row r="2542" spans="1:2" x14ac:dyDescent="0.15">
      <c r="A2542" t="s">
        <v>7644</v>
      </c>
      <c r="B2542" t="s">
        <v>3677</v>
      </c>
    </row>
    <row r="2543" spans="1:2" x14ac:dyDescent="0.15">
      <c r="A2543" t="s">
        <v>7645</v>
      </c>
      <c r="B2543" t="s">
        <v>3675</v>
      </c>
    </row>
    <row r="2544" spans="1:2" x14ac:dyDescent="0.15">
      <c r="A2544" t="s">
        <v>7646</v>
      </c>
      <c r="B2544" t="s">
        <v>3675</v>
      </c>
    </row>
    <row r="2545" spans="1:2" x14ac:dyDescent="0.15">
      <c r="A2545" t="s">
        <v>7647</v>
      </c>
      <c r="B2545" t="s">
        <v>3675</v>
      </c>
    </row>
    <row r="2546" spans="1:2" x14ac:dyDescent="0.15">
      <c r="A2546" t="s">
        <v>7648</v>
      </c>
      <c r="B2546" t="s">
        <v>3675</v>
      </c>
    </row>
    <row r="2547" spans="1:2" x14ac:dyDescent="0.15">
      <c r="A2547" t="s">
        <v>7649</v>
      </c>
      <c r="B2547" t="s">
        <v>3678</v>
      </c>
    </row>
    <row r="2548" spans="1:2" x14ac:dyDescent="0.15">
      <c r="A2548" t="s">
        <v>7650</v>
      </c>
      <c r="B2548" t="s">
        <v>3675</v>
      </c>
    </row>
    <row r="2549" spans="1:2" x14ac:dyDescent="0.15">
      <c r="A2549" t="s">
        <v>7651</v>
      </c>
      <c r="B2549" t="s">
        <v>3679</v>
      </c>
    </row>
    <row r="2550" spans="1:2" x14ac:dyDescent="0.15">
      <c r="A2550" t="s">
        <v>7652</v>
      </c>
      <c r="B2550" t="s">
        <v>3680</v>
      </c>
    </row>
    <row r="2551" spans="1:2" x14ac:dyDescent="0.15">
      <c r="A2551" t="s">
        <v>7653</v>
      </c>
      <c r="B2551" t="s">
        <v>3681</v>
      </c>
    </row>
    <row r="2552" spans="1:2" x14ac:dyDescent="0.15">
      <c r="A2552" t="s">
        <v>7654</v>
      </c>
      <c r="B2552" t="s">
        <v>3682</v>
      </c>
    </row>
    <row r="2553" spans="1:2" x14ac:dyDescent="0.15">
      <c r="A2553" t="s">
        <v>7655</v>
      </c>
      <c r="B2553" t="s">
        <v>3683</v>
      </c>
    </row>
    <row r="2554" spans="1:2" x14ac:dyDescent="0.15">
      <c r="A2554" t="s">
        <v>7656</v>
      </c>
      <c r="B2554" t="s">
        <v>3684</v>
      </c>
    </row>
    <row r="2555" spans="1:2" x14ac:dyDescent="0.15">
      <c r="A2555" t="s">
        <v>7657</v>
      </c>
      <c r="B2555" t="s">
        <v>3685</v>
      </c>
    </row>
    <row r="2556" spans="1:2" x14ac:dyDescent="0.15">
      <c r="A2556" t="s">
        <v>7658</v>
      </c>
      <c r="B2556" t="s">
        <v>529</v>
      </c>
    </row>
    <row r="2557" spans="1:2" x14ac:dyDescent="0.15">
      <c r="A2557" t="s">
        <v>7659</v>
      </c>
      <c r="B2557" t="s">
        <v>530</v>
      </c>
    </row>
    <row r="2558" spans="1:2" x14ac:dyDescent="0.15">
      <c r="A2558" t="s">
        <v>7660</v>
      </c>
      <c r="B2558" t="s">
        <v>531</v>
      </c>
    </row>
    <row r="2559" spans="1:2" x14ac:dyDescent="0.15">
      <c r="A2559" t="s">
        <v>7661</v>
      </c>
      <c r="B2559" t="s">
        <v>532</v>
      </c>
    </row>
    <row r="2560" spans="1:2" x14ac:dyDescent="0.15">
      <c r="A2560" t="s">
        <v>7662</v>
      </c>
      <c r="B2560" t="s">
        <v>533</v>
      </c>
    </row>
    <row r="2561" spans="1:2" x14ac:dyDescent="0.15">
      <c r="A2561" t="s">
        <v>7663</v>
      </c>
      <c r="B2561" t="s">
        <v>534</v>
      </c>
    </row>
    <row r="2562" spans="1:2" x14ac:dyDescent="0.15">
      <c r="A2562" t="s">
        <v>7664</v>
      </c>
      <c r="B2562" t="s">
        <v>533</v>
      </c>
    </row>
    <row r="2563" spans="1:2" x14ac:dyDescent="0.15">
      <c r="A2563" t="s">
        <v>7665</v>
      </c>
      <c r="B2563" t="s">
        <v>535</v>
      </c>
    </row>
    <row r="2564" spans="1:2" x14ac:dyDescent="0.15">
      <c r="A2564" t="s">
        <v>7666</v>
      </c>
      <c r="B2564" t="s">
        <v>536</v>
      </c>
    </row>
    <row r="2565" spans="1:2" x14ac:dyDescent="0.15">
      <c r="A2565" t="s">
        <v>7667</v>
      </c>
      <c r="B2565" t="s">
        <v>537</v>
      </c>
    </row>
    <row r="2566" spans="1:2" x14ac:dyDescent="0.15">
      <c r="A2566" t="s">
        <v>7668</v>
      </c>
      <c r="B2566" t="s">
        <v>538</v>
      </c>
    </row>
    <row r="2567" spans="1:2" x14ac:dyDescent="0.15">
      <c r="A2567" t="s">
        <v>7669</v>
      </c>
      <c r="B2567" t="s">
        <v>539</v>
      </c>
    </row>
    <row r="2568" spans="1:2" x14ac:dyDescent="0.15">
      <c r="A2568" t="s">
        <v>7670</v>
      </c>
      <c r="B2568" t="s">
        <v>540</v>
      </c>
    </row>
    <row r="2569" spans="1:2" x14ac:dyDescent="0.15">
      <c r="A2569" t="s">
        <v>7671</v>
      </c>
      <c r="B2569" t="s">
        <v>541</v>
      </c>
    </row>
    <row r="2570" spans="1:2" x14ac:dyDescent="0.15">
      <c r="A2570" t="s">
        <v>7672</v>
      </c>
      <c r="B2570" t="s">
        <v>542</v>
      </c>
    </row>
    <row r="2571" spans="1:2" x14ac:dyDescent="0.15">
      <c r="A2571" t="s">
        <v>7673</v>
      </c>
      <c r="B2571" t="s">
        <v>543</v>
      </c>
    </row>
    <row r="2572" spans="1:2" x14ac:dyDescent="0.15">
      <c r="A2572" t="s">
        <v>7674</v>
      </c>
      <c r="B2572" t="s">
        <v>540</v>
      </c>
    </row>
    <row r="2573" spans="1:2" x14ac:dyDescent="0.15">
      <c r="A2573" t="s">
        <v>7675</v>
      </c>
      <c r="B2573" t="s">
        <v>544</v>
      </c>
    </row>
    <row r="2574" spans="1:2" x14ac:dyDescent="0.15">
      <c r="A2574" t="s">
        <v>7676</v>
      </c>
      <c r="B2574" t="s">
        <v>545</v>
      </c>
    </row>
    <row r="2575" spans="1:2" x14ac:dyDescent="0.15">
      <c r="A2575" t="s">
        <v>7677</v>
      </c>
      <c r="B2575" t="s">
        <v>546</v>
      </c>
    </row>
    <row r="2576" spans="1:2" x14ac:dyDescent="0.15">
      <c r="A2576" t="s">
        <v>7678</v>
      </c>
      <c r="B2576" t="s">
        <v>2592</v>
      </c>
    </row>
    <row r="2577" spans="1:2" x14ac:dyDescent="0.15">
      <c r="A2577" t="s">
        <v>7679</v>
      </c>
      <c r="B2577" t="s">
        <v>6337</v>
      </c>
    </row>
    <row r="2578" spans="1:2" x14ac:dyDescent="0.15">
      <c r="A2578" t="s">
        <v>7680</v>
      </c>
      <c r="B2578" t="s">
        <v>295</v>
      </c>
    </row>
    <row r="2579" spans="1:2" x14ac:dyDescent="0.15">
      <c r="A2579" t="s">
        <v>7681</v>
      </c>
      <c r="B2579" t="s">
        <v>296</v>
      </c>
    </row>
    <row r="2580" spans="1:2" x14ac:dyDescent="0.15">
      <c r="A2580" t="s">
        <v>7682</v>
      </c>
      <c r="B2580" t="s">
        <v>297</v>
      </c>
    </row>
    <row r="2581" spans="1:2" x14ac:dyDescent="0.15">
      <c r="A2581" t="s">
        <v>7683</v>
      </c>
      <c r="B2581" t="s">
        <v>3622</v>
      </c>
    </row>
    <row r="2582" spans="1:2" x14ac:dyDescent="0.15">
      <c r="A2582" t="s">
        <v>7684</v>
      </c>
      <c r="B2582" t="s">
        <v>298</v>
      </c>
    </row>
    <row r="2583" spans="1:2" x14ac:dyDescent="0.15">
      <c r="A2583" t="s">
        <v>7685</v>
      </c>
      <c r="B2583" t="s">
        <v>298</v>
      </c>
    </row>
    <row r="2584" spans="1:2" x14ac:dyDescent="0.15">
      <c r="A2584" t="s">
        <v>7686</v>
      </c>
      <c r="B2584" t="s">
        <v>299</v>
      </c>
    </row>
    <row r="2585" spans="1:2" x14ac:dyDescent="0.15">
      <c r="A2585" t="s">
        <v>7687</v>
      </c>
      <c r="B2585" t="s">
        <v>3622</v>
      </c>
    </row>
    <row r="2586" spans="1:2" x14ac:dyDescent="0.15">
      <c r="A2586" t="s">
        <v>7688</v>
      </c>
      <c r="B2586" t="s">
        <v>300</v>
      </c>
    </row>
    <row r="2587" spans="1:2" x14ac:dyDescent="0.15">
      <c r="A2587" t="s">
        <v>7689</v>
      </c>
      <c r="B2587" t="s">
        <v>301</v>
      </c>
    </row>
    <row r="2588" spans="1:2" x14ac:dyDescent="0.15">
      <c r="A2588" t="s">
        <v>7690</v>
      </c>
      <c r="B2588" t="s">
        <v>302</v>
      </c>
    </row>
    <row r="2589" spans="1:2" x14ac:dyDescent="0.15">
      <c r="A2589" t="s">
        <v>7691</v>
      </c>
      <c r="B2589" t="s">
        <v>303</v>
      </c>
    </row>
    <row r="2590" spans="1:2" x14ac:dyDescent="0.15">
      <c r="A2590" t="s">
        <v>7692</v>
      </c>
      <c r="B2590" t="s">
        <v>304</v>
      </c>
    </row>
    <row r="2591" spans="1:2" x14ac:dyDescent="0.15">
      <c r="A2591" t="s">
        <v>7693</v>
      </c>
      <c r="B2591" t="s">
        <v>305</v>
      </c>
    </row>
    <row r="2592" spans="1:2" x14ac:dyDescent="0.15">
      <c r="A2592" t="s">
        <v>7694</v>
      </c>
      <c r="B2592" t="s">
        <v>306</v>
      </c>
    </row>
    <row r="2593" spans="1:2" x14ac:dyDescent="0.15">
      <c r="A2593" t="s">
        <v>7695</v>
      </c>
      <c r="B2593" t="s">
        <v>307</v>
      </c>
    </row>
    <row r="2594" spans="1:2" x14ac:dyDescent="0.15">
      <c r="A2594" t="s">
        <v>7696</v>
      </c>
      <c r="B2594" t="s">
        <v>308</v>
      </c>
    </row>
    <row r="2595" spans="1:2" x14ac:dyDescent="0.15">
      <c r="A2595" t="s">
        <v>7697</v>
      </c>
      <c r="B2595" t="s">
        <v>309</v>
      </c>
    </row>
    <row r="2596" spans="1:2" x14ac:dyDescent="0.15">
      <c r="A2596" t="s">
        <v>7698</v>
      </c>
      <c r="B2596" t="s">
        <v>310</v>
      </c>
    </row>
    <row r="2597" spans="1:2" x14ac:dyDescent="0.15">
      <c r="A2597" t="s">
        <v>7699</v>
      </c>
      <c r="B2597" t="s">
        <v>311</v>
      </c>
    </row>
    <row r="2598" spans="1:2" x14ac:dyDescent="0.15">
      <c r="A2598" t="s">
        <v>7700</v>
      </c>
      <c r="B2598" t="s">
        <v>312</v>
      </c>
    </row>
    <row r="2599" spans="1:2" x14ac:dyDescent="0.15">
      <c r="A2599" t="s">
        <v>7701</v>
      </c>
      <c r="B2599" t="s">
        <v>313</v>
      </c>
    </row>
    <row r="2600" spans="1:2" x14ac:dyDescent="0.15">
      <c r="A2600" t="s">
        <v>7702</v>
      </c>
      <c r="B2600" t="s">
        <v>314</v>
      </c>
    </row>
    <row r="2601" spans="1:2" x14ac:dyDescent="0.15">
      <c r="A2601" t="s">
        <v>7703</v>
      </c>
      <c r="B2601" t="s">
        <v>315</v>
      </c>
    </row>
    <row r="2602" spans="1:2" x14ac:dyDescent="0.15">
      <c r="A2602" t="s">
        <v>7704</v>
      </c>
      <c r="B2602" t="s">
        <v>316</v>
      </c>
    </row>
    <row r="2603" spans="1:2" x14ac:dyDescent="0.15">
      <c r="A2603" t="s">
        <v>7705</v>
      </c>
      <c r="B2603" t="s">
        <v>317</v>
      </c>
    </row>
    <row r="2604" spans="1:2" x14ac:dyDescent="0.15">
      <c r="A2604" t="s">
        <v>7706</v>
      </c>
      <c r="B2604" t="s">
        <v>318</v>
      </c>
    </row>
    <row r="2605" spans="1:2" x14ac:dyDescent="0.15">
      <c r="A2605" t="s">
        <v>7707</v>
      </c>
      <c r="B2605" t="s">
        <v>319</v>
      </c>
    </row>
    <row r="2606" spans="1:2" x14ac:dyDescent="0.15">
      <c r="A2606" t="s">
        <v>7708</v>
      </c>
      <c r="B2606" t="s">
        <v>320</v>
      </c>
    </row>
    <row r="2607" spans="1:2" x14ac:dyDescent="0.15">
      <c r="A2607" t="s">
        <v>7709</v>
      </c>
      <c r="B2607" t="s">
        <v>321</v>
      </c>
    </row>
    <row r="2608" spans="1:2" x14ac:dyDescent="0.15">
      <c r="A2608" t="s">
        <v>7710</v>
      </c>
      <c r="B2608" t="s">
        <v>322</v>
      </c>
    </row>
    <row r="2609" spans="1:2" x14ac:dyDescent="0.15">
      <c r="A2609" t="s">
        <v>7711</v>
      </c>
      <c r="B2609" t="s">
        <v>323</v>
      </c>
    </row>
    <row r="2610" spans="1:2" x14ac:dyDescent="0.15">
      <c r="A2610" t="s">
        <v>7712</v>
      </c>
      <c r="B2610" t="s">
        <v>6116</v>
      </c>
    </row>
    <row r="2611" spans="1:2" x14ac:dyDescent="0.15">
      <c r="A2611" t="s">
        <v>7713</v>
      </c>
      <c r="B2611" t="s">
        <v>324</v>
      </c>
    </row>
    <row r="2612" spans="1:2" x14ac:dyDescent="0.15">
      <c r="A2612" t="s">
        <v>7714</v>
      </c>
      <c r="B2612" t="s">
        <v>325</v>
      </c>
    </row>
    <row r="2613" spans="1:2" x14ac:dyDescent="0.15">
      <c r="A2613" t="s">
        <v>7715</v>
      </c>
      <c r="B2613" t="s">
        <v>326</v>
      </c>
    </row>
    <row r="2614" spans="1:2" x14ac:dyDescent="0.15">
      <c r="A2614" t="s">
        <v>7716</v>
      </c>
      <c r="B2614" t="s">
        <v>327</v>
      </c>
    </row>
    <row r="2615" spans="1:2" x14ac:dyDescent="0.15">
      <c r="A2615" t="s">
        <v>7717</v>
      </c>
      <c r="B2615" t="s">
        <v>328</v>
      </c>
    </row>
    <row r="2616" spans="1:2" x14ac:dyDescent="0.15">
      <c r="A2616" t="s">
        <v>7718</v>
      </c>
      <c r="B2616" t="s">
        <v>329</v>
      </c>
    </row>
    <row r="2617" spans="1:2" x14ac:dyDescent="0.15">
      <c r="A2617" t="s">
        <v>7719</v>
      </c>
      <c r="B2617" t="s">
        <v>330</v>
      </c>
    </row>
    <row r="2618" spans="1:2" x14ac:dyDescent="0.15">
      <c r="A2618" t="s">
        <v>7720</v>
      </c>
      <c r="B2618" t="s">
        <v>330</v>
      </c>
    </row>
    <row r="2619" spans="1:2" x14ac:dyDescent="0.15">
      <c r="A2619" t="s">
        <v>7721</v>
      </c>
      <c r="B2619" t="s">
        <v>331</v>
      </c>
    </row>
    <row r="2620" spans="1:2" x14ac:dyDescent="0.15">
      <c r="A2620" t="s">
        <v>7722</v>
      </c>
      <c r="B2620" t="s">
        <v>332</v>
      </c>
    </row>
    <row r="2621" spans="1:2" x14ac:dyDescent="0.15">
      <c r="A2621" t="s">
        <v>7723</v>
      </c>
      <c r="B2621" t="s">
        <v>333</v>
      </c>
    </row>
    <row r="2622" spans="1:2" x14ac:dyDescent="0.15">
      <c r="A2622" t="s">
        <v>7724</v>
      </c>
      <c r="B2622" t="s">
        <v>334</v>
      </c>
    </row>
    <row r="2623" spans="1:2" x14ac:dyDescent="0.15">
      <c r="A2623" t="s">
        <v>7452</v>
      </c>
      <c r="B2623" t="s">
        <v>335</v>
      </c>
    </row>
    <row r="2624" spans="1:2" x14ac:dyDescent="0.15">
      <c r="A2624" t="s">
        <v>7453</v>
      </c>
      <c r="B2624" t="s">
        <v>3629</v>
      </c>
    </row>
    <row r="2625" spans="1:2" x14ac:dyDescent="0.15">
      <c r="A2625" t="s">
        <v>7454</v>
      </c>
      <c r="B2625" t="s">
        <v>336</v>
      </c>
    </row>
    <row r="2626" spans="1:2" x14ac:dyDescent="0.15">
      <c r="A2626" t="s">
        <v>7455</v>
      </c>
      <c r="B2626" t="s">
        <v>337</v>
      </c>
    </row>
    <row r="2627" spans="1:2" x14ac:dyDescent="0.15">
      <c r="A2627" t="s">
        <v>7456</v>
      </c>
      <c r="B2627" t="s">
        <v>338</v>
      </c>
    </row>
    <row r="2628" spans="1:2" x14ac:dyDescent="0.15">
      <c r="A2628" t="s">
        <v>7457</v>
      </c>
      <c r="B2628" t="s">
        <v>339</v>
      </c>
    </row>
    <row r="2629" spans="1:2" x14ac:dyDescent="0.15">
      <c r="A2629" t="s">
        <v>7458</v>
      </c>
      <c r="B2629" t="s">
        <v>340</v>
      </c>
    </row>
    <row r="2630" spans="1:2" x14ac:dyDescent="0.15">
      <c r="A2630" t="s">
        <v>7459</v>
      </c>
      <c r="B2630" t="s">
        <v>341</v>
      </c>
    </row>
    <row r="2631" spans="1:2" x14ac:dyDescent="0.15">
      <c r="A2631" t="s">
        <v>7460</v>
      </c>
      <c r="B2631" t="s">
        <v>342</v>
      </c>
    </row>
    <row r="2632" spans="1:2" x14ac:dyDescent="0.15">
      <c r="A2632" t="s">
        <v>7461</v>
      </c>
      <c r="B2632" t="s">
        <v>343</v>
      </c>
    </row>
    <row r="2633" spans="1:2" x14ac:dyDescent="0.15">
      <c r="A2633" t="s">
        <v>7462</v>
      </c>
      <c r="B2633" t="s">
        <v>342</v>
      </c>
    </row>
    <row r="2634" spans="1:2" x14ac:dyDescent="0.15">
      <c r="A2634" t="s">
        <v>7463</v>
      </c>
      <c r="B2634" t="s">
        <v>344</v>
      </c>
    </row>
    <row r="2635" spans="1:2" x14ac:dyDescent="0.15">
      <c r="A2635" t="s">
        <v>7464</v>
      </c>
      <c r="B2635" t="s">
        <v>345</v>
      </c>
    </row>
    <row r="2636" spans="1:2" x14ac:dyDescent="0.15">
      <c r="A2636" t="s">
        <v>4560</v>
      </c>
      <c r="B2636" t="s">
        <v>4560</v>
      </c>
    </row>
    <row r="2637" spans="1:2" x14ac:dyDescent="0.15">
      <c r="A2637" t="s">
        <v>7465</v>
      </c>
      <c r="B2637" t="s">
        <v>346</v>
      </c>
    </row>
    <row r="2638" spans="1:2" x14ac:dyDescent="0.15">
      <c r="A2638" t="s">
        <v>7466</v>
      </c>
      <c r="B2638" t="s">
        <v>347</v>
      </c>
    </row>
    <row r="2639" spans="1:2" x14ac:dyDescent="0.15">
      <c r="A2639" t="s">
        <v>7467</v>
      </c>
      <c r="B2639" t="s">
        <v>348</v>
      </c>
    </row>
    <row r="2640" spans="1:2" x14ac:dyDescent="0.15">
      <c r="A2640" t="s">
        <v>7468</v>
      </c>
      <c r="B2640" t="s">
        <v>349</v>
      </c>
    </row>
    <row r="2641" spans="1:2" x14ac:dyDescent="0.15">
      <c r="A2641" t="s">
        <v>7469</v>
      </c>
      <c r="B2641" t="s">
        <v>350</v>
      </c>
    </row>
    <row r="2642" spans="1:2" x14ac:dyDescent="0.15">
      <c r="A2642" t="s">
        <v>7470</v>
      </c>
      <c r="B2642" t="s">
        <v>351</v>
      </c>
    </row>
    <row r="2643" spans="1:2" x14ac:dyDescent="0.15">
      <c r="A2643" t="s">
        <v>7471</v>
      </c>
      <c r="B2643" t="s">
        <v>352</v>
      </c>
    </row>
    <row r="2644" spans="1:2" x14ac:dyDescent="0.15">
      <c r="A2644" t="s">
        <v>7472</v>
      </c>
      <c r="B2644" t="s">
        <v>353</v>
      </c>
    </row>
    <row r="2645" spans="1:2" x14ac:dyDescent="0.15">
      <c r="A2645" t="s">
        <v>7473</v>
      </c>
      <c r="B2645" t="s">
        <v>354</v>
      </c>
    </row>
    <row r="2646" spans="1:2" x14ac:dyDescent="0.15">
      <c r="A2646" t="s">
        <v>7474</v>
      </c>
      <c r="B2646" t="s">
        <v>355</v>
      </c>
    </row>
    <row r="2647" spans="1:2" x14ac:dyDescent="0.15">
      <c r="A2647" t="s">
        <v>7475</v>
      </c>
      <c r="B2647" t="s">
        <v>356</v>
      </c>
    </row>
    <row r="2648" spans="1:2" x14ac:dyDescent="0.15">
      <c r="A2648" t="s">
        <v>7476</v>
      </c>
      <c r="B2648" t="s">
        <v>357</v>
      </c>
    </row>
    <row r="2649" spans="1:2" x14ac:dyDescent="0.15">
      <c r="A2649" t="s">
        <v>7477</v>
      </c>
      <c r="B2649" t="s">
        <v>358</v>
      </c>
    </row>
    <row r="2650" spans="1:2" x14ac:dyDescent="0.15">
      <c r="A2650" t="s">
        <v>7478</v>
      </c>
      <c r="B2650" t="s">
        <v>359</v>
      </c>
    </row>
    <row r="2651" spans="1:2" x14ac:dyDescent="0.15">
      <c r="A2651" t="s">
        <v>7479</v>
      </c>
      <c r="B2651" t="s">
        <v>6265</v>
      </c>
    </row>
    <row r="2652" spans="1:2" x14ac:dyDescent="0.15">
      <c r="A2652" t="s">
        <v>7480</v>
      </c>
      <c r="B2652" t="s">
        <v>360</v>
      </c>
    </row>
    <row r="2653" spans="1:2" x14ac:dyDescent="0.15">
      <c r="A2653" t="s">
        <v>7481</v>
      </c>
      <c r="B2653" t="s">
        <v>361</v>
      </c>
    </row>
    <row r="2654" spans="1:2" x14ac:dyDescent="0.15">
      <c r="A2654" t="s">
        <v>7482</v>
      </c>
      <c r="B2654" t="s">
        <v>362</v>
      </c>
    </row>
    <row r="2655" spans="1:2" x14ac:dyDescent="0.15">
      <c r="A2655" t="s">
        <v>7483</v>
      </c>
      <c r="B2655" t="s">
        <v>363</v>
      </c>
    </row>
    <row r="2656" spans="1:2" x14ac:dyDescent="0.15">
      <c r="A2656" t="s">
        <v>7484</v>
      </c>
      <c r="B2656" t="s">
        <v>2424</v>
      </c>
    </row>
    <row r="2657" spans="1:2" x14ac:dyDescent="0.15">
      <c r="A2657" t="s">
        <v>7485</v>
      </c>
      <c r="B2657" t="s">
        <v>364</v>
      </c>
    </row>
    <row r="2658" spans="1:2" x14ac:dyDescent="0.15">
      <c r="A2658" t="s">
        <v>7486</v>
      </c>
      <c r="B2658" t="s">
        <v>365</v>
      </c>
    </row>
    <row r="2659" spans="1:2" x14ac:dyDescent="0.15">
      <c r="A2659" t="s">
        <v>7487</v>
      </c>
      <c r="B2659" t="s">
        <v>366</v>
      </c>
    </row>
    <row r="2660" spans="1:2" x14ac:dyDescent="0.15">
      <c r="A2660" t="s">
        <v>7488</v>
      </c>
      <c r="B2660" t="s">
        <v>367</v>
      </c>
    </row>
    <row r="2661" spans="1:2" x14ac:dyDescent="0.15">
      <c r="A2661" t="s">
        <v>7489</v>
      </c>
      <c r="B2661" t="s">
        <v>368</v>
      </c>
    </row>
    <row r="2662" spans="1:2" x14ac:dyDescent="0.15">
      <c r="A2662" t="s">
        <v>7490</v>
      </c>
      <c r="B2662" t="s">
        <v>369</v>
      </c>
    </row>
    <row r="2663" spans="1:2" x14ac:dyDescent="0.15">
      <c r="A2663" t="s">
        <v>7491</v>
      </c>
      <c r="B2663" t="s">
        <v>370</v>
      </c>
    </row>
    <row r="2664" spans="1:2" x14ac:dyDescent="0.15">
      <c r="A2664" t="s">
        <v>7492</v>
      </c>
      <c r="B2664" t="s">
        <v>371</v>
      </c>
    </row>
    <row r="2665" spans="1:2" x14ac:dyDescent="0.15">
      <c r="A2665" t="s">
        <v>7493</v>
      </c>
      <c r="B2665" t="s">
        <v>372</v>
      </c>
    </row>
    <row r="2666" spans="1:2" x14ac:dyDescent="0.15">
      <c r="A2666" t="s">
        <v>7494</v>
      </c>
      <c r="B2666" t="s">
        <v>373</v>
      </c>
    </row>
    <row r="2667" spans="1:2" x14ac:dyDescent="0.15">
      <c r="A2667" t="s">
        <v>7495</v>
      </c>
      <c r="B2667" t="s">
        <v>374</v>
      </c>
    </row>
    <row r="2668" spans="1:2" x14ac:dyDescent="0.15">
      <c r="A2668" t="s">
        <v>7496</v>
      </c>
      <c r="B2668" t="s">
        <v>375</v>
      </c>
    </row>
    <row r="2669" spans="1:2" x14ac:dyDescent="0.15">
      <c r="A2669" t="s">
        <v>7497</v>
      </c>
      <c r="B2669" t="s">
        <v>376</v>
      </c>
    </row>
    <row r="2670" spans="1:2" x14ac:dyDescent="0.15">
      <c r="A2670" t="s">
        <v>7498</v>
      </c>
      <c r="B2670" t="s">
        <v>377</v>
      </c>
    </row>
    <row r="2671" spans="1:2" x14ac:dyDescent="0.15">
      <c r="A2671" t="s">
        <v>7499</v>
      </c>
      <c r="B2671" t="s">
        <v>378</v>
      </c>
    </row>
    <row r="2672" spans="1:2" x14ac:dyDescent="0.15">
      <c r="A2672" t="s">
        <v>7500</v>
      </c>
      <c r="B2672" t="s">
        <v>379</v>
      </c>
    </row>
    <row r="2673" spans="1:2" x14ac:dyDescent="0.15">
      <c r="A2673" t="s">
        <v>7501</v>
      </c>
      <c r="B2673" t="s">
        <v>380</v>
      </c>
    </row>
    <row r="2674" spans="1:2" x14ac:dyDescent="0.15">
      <c r="A2674" t="s">
        <v>7502</v>
      </c>
      <c r="B2674" t="s">
        <v>381</v>
      </c>
    </row>
    <row r="2675" spans="1:2" x14ac:dyDescent="0.15">
      <c r="A2675" t="s">
        <v>7503</v>
      </c>
      <c r="B2675" t="s">
        <v>382</v>
      </c>
    </row>
    <row r="2676" spans="1:2" x14ac:dyDescent="0.15">
      <c r="A2676" t="s">
        <v>7504</v>
      </c>
      <c r="B2676" t="s">
        <v>383</v>
      </c>
    </row>
    <row r="2677" spans="1:2" x14ac:dyDescent="0.15">
      <c r="A2677" t="s">
        <v>7505</v>
      </c>
      <c r="B2677" t="s">
        <v>384</v>
      </c>
    </row>
    <row r="2678" spans="1:2" x14ac:dyDescent="0.15">
      <c r="A2678" t="s">
        <v>7506</v>
      </c>
      <c r="B2678" t="s">
        <v>6317</v>
      </c>
    </row>
    <row r="2679" spans="1:2" x14ac:dyDescent="0.15">
      <c r="A2679" t="s">
        <v>7507</v>
      </c>
      <c r="B2679" t="s">
        <v>385</v>
      </c>
    </row>
    <row r="2680" spans="1:2" x14ac:dyDescent="0.15">
      <c r="A2680" t="s">
        <v>7508</v>
      </c>
      <c r="B2680" t="s">
        <v>386</v>
      </c>
    </row>
    <row r="2681" spans="1:2" x14ac:dyDescent="0.15">
      <c r="A2681" t="s">
        <v>7509</v>
      </c>
      <c r="B2681" t="s">
        <v>387</v>
      </c>
    </row>
    <row r="2682" spans="1:2" x14ac:dyDescent="0.15">
      <c r="A2682" t="s">
        <v>7510</v>
      </c>
      <c r="B2682" t="s">
        <v>388</v>
      </c>
    </row>
    <row r="2683" spans="1:2" x14ac:dyDescent="0.15">
      <c r="A2683" t="s">
        <v>7511</v>
      </c>
      <c r="B2683" t="s">
        <v>389</v>
      </c>
    </row>
    <row r="2684" spans="1:2" x14ac:dyDescent="0.15">
      <c r="A2684" t="s">
        <v>7512</v>
      </c>
      <c r="B2684" t="s">
        <v>390</v>
      </c>
    </row>
    <row r="2685" spans="1:2" x14ac:dyDescent="0.15">
      <c r="A2685" t="s">
        <v>7513</v>
      </c>
      <c r="B2685" t="s">
        <v>391</v>
      </c>
    </row>
    <row r="2686" spans="1:2" x14ac:dyDescent="0.15">
      <c r="A2686" t="s">
        <v>7514</v>
      </c>
      <c r="B2686" t="s">
        <v>392</v>
      </c>
    </row>
    <row r="2687" spans="1:2" x14ac:dyDescent="0.15">
      <c r="A2687" t="s">
        <v>7515</v>
      </c>
      <c r="B2687" t="s">
        <v>393</v>
      </c>
    </row>
    <row r="2688" spans="1:2" x14ac:dyDescent="0.15">
      <c r="A2688" t="s">
        <v>7516</v>
      </c>
      <c r="B2688" t="s">
        <v>394</v>
      </c>
    </row>
    <row r="2689" spans="1:2" x14ac:dyDescent="0.15">
      <c r="A2689" t="s">
        <v>7517</v>
      </c>
      <c r="B2689" t="s">
        <v>395</v>
      </c>
    </row>
    <row r="2690" spans="1:2" x14ac:dyDescent="0.15">
      <c r="A2690" t="s">
        <v>7518</v>
      </c>
      <c r="B2690" t="s">
        <v>396</v>
      </c>
    </row>
    <row r="2691" spans="1:2" x14ac:dyDescent="0.15">
      <c r="A2691" t="s">
        <v>7519</v>
      </c>
      <c r="B2691" t="s">
        <v>397</v>
      </c>
    </row>
    <row r="2692" spans="1:2" x14ac:dyDescent="0.15">
      <c r="A2692" t="s">
        <v>7520</v>
      </c>
      <c r="B2692" t="s">
        <v>398</v>
      </c>
    </row>
    <row r="2693" spans="1:2" x14ac:dyDescent="0.15">
      <c r="A2693" t="s">
        <v>7521</v>
      </c>
      <c r="B2693" t="s">
        <v>399</v>
      </c>
    </row>
    <row r="2694" spans="1:2" x14ac:dyDescent="0.15">
      <c r="A2694" t="s">
        <v>7522</v>
      </c>
      <c r="B2694" t="s">
        <v>400</v>
      </c>
    </row>
    <row r="2695" spans="1:2" x14ac:dyDescent="0.15">
      <c r="A2695" t="s">
        <v>7523</v>
      </c>
      <c r="B2695" t="s">
        <v>401</v>
      </c>
    </row>
    <row r="2696" spans="1:2" x14ac:dyDescent="0.15">
      <c r="A2696" t="s">
        <v>7524</v>
      </c>
      <c r="B2696" t="s">
        <v>402</v>
      </c>
    </row>
    <row r="2697" spans="1:2" x14ac:dyDescent="0.15">
      <c r="A2697" t="s">
        <v>7525</v>
      </c>
      <c r="B2697" t="s">
        <v>403</v>
      </c>
    </row>
    <row r="2698" spans="1:2" x14ac:dyDescent="0.15">
      <c r="A2698" t="s">
        <v>7526</v>
      </c>
      <c r="B2698" t="s">
        <v>404</v>
      </c>
    </row>
    <row r="2699" spans="1:2" x14ac:dyDescent="0.15">
      <c r="A2699" t="s">
        <v>7527</v>
      </c>
      <c r="B2699" t="s">
        <v>405</v>
      </c>
    </row>
    <row r="2700" spans="1:2" x14ac:dyDescent="0.15">
      <c r="A2700" t="s">
        <v>7528</v>
      </c>
      <c r="B2700" t="s">
        <v>406</v>
      </c>
    </row>
    <row r="2701" spans="1:2" x14ac:dyDescent="0.15">
      <c r="A2701" t="s">
        <v>7529</v>
      </c>
      <c r="B2701" t="s">
        <v>180</v>
      </c>
    </row>
    <row r="2702" spans="1:2" x14ac:dyDescent="0.15">
      <c r="A2702" t="s">
        <v>7530</v>
      </c>
      <c r="B2702" t="s">
        <v>181</v>
      </c>
    </row>
    <row r="2703" spans="1:2" x14ac:dyDescent="0.15">
      <c r="A2703" t="s">
        <v>7531</v>
      </c>
      <c r="B2703" t="s">
        <v>182</v>
      </c>
    </row>
    <row r="2704" spans="1:2" x14ac:dyDescent="0.15">
      <c r="A2704" t="s">
        <v>7532</v>
      </c>
      <c r="B2704" t="s">
        <v>183</v>
      </c>
    </row>
    <row r="2705" spans="1:2" x14ac:dyDescent="0.15">
      <c r="A2705" t="s">
        <v>7533</v>
      </c>
      <c r="B2705" t="s">
        <v>184</v>
      </c>
    </row>
    <row r="2706" spans="1:2" x14ac:dyDescent="0.15">
      <c r="A2706" t="s">
        <v>7534</v>
      </c>
      <c r="B2706" t="s">
        <v>3631</v>
      </c>
    </row>
    <row r="2707" spans="1:2" x14ac:dyDescent="0.15">
      <c r="A2707" t="s">
        <v>7535</v>
      </c>
      <c r="B2707" t="s">
        <v>185</v>
      </c>
    </row>
    <row r="2708" spans="1:2" x14ac:dyDescent="0.15">
      <c r="A2708" t="s">
        <v>1561</v>
      </c>
      <c r="B2708" t="s">
        <v>186</v>
      </c>
    </row>
    <row r="2709" spans="1:2" x14ac:dyDescent="0.15">
      <c r="A2709" t="s">
        <v>1562</v>
      </c>
      <c r="B2709" t="s">
        <v>187</v>
      </c>
    </row>
    <row r="2710" spans="1:2" x14ac:dyDescent="0.15">
      <c r="A2710" t="s">
        <v>1563</v>
      </c>
      <c r="B2710" t="s">
        <v>188</v>
      </c>
    </row>
    <row r="2711" spans="1:2" x14ac:dyDescent="0.15">
      <c r="A2711" t="s">
        <v>1564</v>
      </c>
      <c r="B2711" t="s">
        <v>189</v>
      </c>
    </row>
    <row r="2712" spans="1:2" x14ac:dyDescent="0.15">
      <c r="A2712" t="s">
        <v>1565</v>
      </c>
      <c r="B2712" t="s">
        <v>190</v>
      </c>
    </row>
    <row r="2713" spans="1:2" x14ac:dyDescent="0.15">
      <c r="A2713" t="s">
        <v>1566</v>
      </c>
      <c r="B2713" t="s">
        <v>191</v>
      </c>
    </row>
    <row r="2714" spans="1:2" x14ac:dyDescent="0.15">
      <c r="A2714" t="s">
        <v>1567</v>
      </c>
      <c r="B2714" t="s">
        <v>192</v>
      </c>
    </row>
    <row r="2715" spans="1:2" x14ac:dyDescent="0.15">
      <c r="A2715" t="s">
        <v>1568</v>
      </c>
      <c r="B2715" t="s">
        <v>193</v>
      </c>
    </row>
    <row r="2716" spans="1:2" x14ac:dyDescent="0.15">
      <c r="A2716" t="s">
        <v>1569</v>
      </c>
      <c r="B2716" t="s">
        <v>3644</v>
      </c>
    </row>
    <row r="2717" spans="1:2" x14ac:dyDescent="0.15">
      <c r="A2717" t="s">
        <v>1570</v>
      </c>
      <c r="B2717" t="s">
        <v>194</v>
      </c>
    </row>
    <row r="2718" spans="1:2" x14ac:dyDescent="0.15">
      <c r="A2718" t="s">
        <v>1571</v>
      </c>
      <c r="B2718" t="s">
        <v>195</v>
      </c>
    </row>
    <row r="2719" spans="1:2" x14ac:dyDescent="0.15">
      <c r="A2719" t="s">
        <v>1572</v>
      </c>
      <c r="B2719" t="s">
        <v>196</v>
      </c>
    </row>
    <row r="2720" spans="1:2" x14ac:dyDescent="0.15">
      <c r="A2720" t="s">
        <v>1573</v>
      </c>
      <c r="B2720" t="s">
        <v>197</v>
      </c>
    </row>
    <row r="2721" spans="1:2" x14ac:dyDescent="0.15">
      <c r="A2721" t="s">
        <v>1574</v>
      </c>
      <c r="B2721" t="s">
        <v>198</v>
      </c>
    </row>
    <row r="2722" spans="1:2" x14ac:dyDescent="0.15">
      <c r="A2722" t="s">
        <v>1575</v>
      </c>
      <c r="B2722" t="s">
        <v>199</v>
      </c>
    </row>
    <row r="2723" spans="1:2" x14ac:dyDescent="0.15">
      <c r="A2723" t="s">
        <v>1576</v>
      </c>
      <c r="B2723" t="s">
        <v>198</v>
      </c>
    </row>
    <row r="2724" spans="1:2" x14ac:dyDescent="0.15">
      <c r="A2724" t="s">
        <v>1577</v>
      </c>
      <c r="B2724" t="s">
        <v>200</v>
      </c>
    </row>
    <row r="2725" spans="1:2" x14ac:dyDescent="0.15">
      <c r="A2725" t="s">
        <v>1291</v>
      </c>
      <c r="B2725" t="s">
        <v>201</v>
      </c>
    </row>
    <row r="2726" spans="1:2" x14ac:dyDescent="0.15">
      <c r="A2726" t="s">
        <v>1292</v>
      </c>
      <c r="B2726" t="s">
        <v>202</v>
      </c>
    </row>
    <row r="2727" spans="1:2" x14ac:dyDescent="0.15">
      <c r="A2727" t="s">
        <v>1293</v>
      </c>
      <c r="B2727" t="s">
        <v>203</v>
      </c>
    </row>
    <row r="2728" spans="1:2" x14ac:dyDescent="0.15">
      <c r="A2728" t="s">
        <v>1294</v>
      </c>
      <c r="B2728" t="s">
        <v>204</v>
      </c>
    </row>
    <row r="2729" spans="1:2" x14ac:dyDescent="0.15">
      <c r="A2729" t="s">
        <v>1295</v>
      </c>
      <c r="B2729" t="s">
        <v>205</v>
      </c>
    </row>
    <row r="2730" spans="1:2" x14ac:dyDescent="0.15">
      <c r="A2730" t="s">
        <v>1296</v>
      </c>
      <c r="B2730" t="s">
        <v>206</v>
      </c>
    </row>
    <row r="2731" spans="1:2" x14ac:dyDescent="0.15">
      <c r="A2731" t="s">
        <v>1297</v>
      </c>
      <c r="B2731" t="s">
        <v>198</v>
      </c>
    </row>
    <row r="2732" spans="1:2" x14ac:dyDescent="0.15">
      <c r="A2732" t="s">
        <v>1298</v>
      </c>
      <c r="B2732" t="s">
        <v>6391</v>
      </c>
    </row>
    <row r="2733" spans="1:2" x14ac:dyDescent="0.15">
      <c r="A2733" t="s">
        <v>1299</v>
      </c>
      <c r="B2733" t="s">
        <v>207</v>
      </c>
    </row>
    <row r="2734" spans="1:2" x14ac:dyDescent="0.15">
      <c r="A2734" t="s">
        <v>1300</v>
      </c>
      <c r="B2734" t="s">
        <v>208</v>
      </c>
    </row>
    <row r="2735" spans="1:2" x14ac:dyDescent="0.15">
      <c r="A2735" t="s">
        <v>1301</v>
      </c>
      <c r="B2735" t="s">
        <v>308</v>
      </c>
    </row>
    <row r="2736" spans="1:2" x14ac:dyDescent="0.15">
      <c r="A2736" t="s">
        <v>1302</v>
      </c>
      <c r="B2736" t="s">
        <v>209</v>
      </c>
    </row>
    <row r="2737" spans="1:2" x14ac:dyDescent="0.15">
      <c r="A2737" t="s">
        <v>1303</v>
      </c>
      <c r="B2737" t="s">
        <v>210</v>
      </c>
    </row>
    <row r="2738" spans="1:2" x14ac:dyDescent="0.15">
      <c r="A2738" t="s">
        <v>1304</v>
      </c>
      <c r="B2738" t="s">
        <v>211</v>
      </c>
    </row>
    <row r="2739" spans="1:2" x14ac:dyDescent="0.15">
      <c r="A2739" t="s">
        <v>1305</v>
      </c>
      <c r="B2739" t="s">
        <v>212</v>
      </c>
    </row>
    <row r="2740" spans="1:2" x14ac:dyDescent="0.15">
      <c r="A2740" t="s">
        <v>1306</v>
      </c>
      <c r="B2740" t="s">
        <v>213</v>
      </c>
    </row>
    <row r="2741" spans="1:2" x14ac:dyDescent="0.15">
      <c r="A2741" t="s">
        <v>1307</v>
      </c>
      <c r="B2741" t="s">
        <v>214</v>
      </c>
    </row>
    <row r="2742" spans="1:2" x14ac:dyDescent="0.15">
      <c r="A2742" t="s">
        <v>1308</v>
      </c>
      <c r="B2742" t="s">
        <v>215</v>
      </c>
    </row>
    <row r="2743" spans="1:2" x14ac:dyDescent="0.15">
      <c r="A2743" t="s">
        <v>1309</v>
      </c>
      <c r="B2743" t="s">
        <v>2567</v>
      </c>
    </row>
    <row r="2744" spans="1:2" x14ac:dyDescent="0.15">
      <c r="A2744" t="s">
        <v>1310</v>
      </c>
      <c r="B2744" t="s">
        <v>2567</v>
      </c>
    </row>
    <row r="2745" spans="1:2" x14ac:dyDescent="0.15">
      <c r="A2745" t="s">
        <v>1311</v>
      </c>
      <c r="B2745" t="s">
        <v>216</v>
      </c>
    </row>
    <row r="2746" spans="1:2" x14ac:dyDescent="0.15">
      <c r="A2746" t="s">
        <v>1312</v>
      </c>
      <c r="B2746" t="s">
        <v>217</v>
      </c>
    </row>
    <row r="2747" spans="1:2" x14ac:dyDescent="0.15">
      <c r="A2747" t="s">
        <v>1313</v>
      </c>
      <c r="B2747" t="s">
        <v>218</v>
      </c>
    </row>
    <row r="2748" spans="1:2" x14ac:dyDescent="0.15">
      <c r="A2748" t="s">
        <v>1314</v>
      </c>
      <c r="B2748" t="s">
        <v>219</v>
      </c>
    </row>
    <row r="2749" spans="1:2" x14ac:dyDescent="0.15">
      <c r="A2749" t="s">
        <v>1315</v>
      </c>
      <c r="B2749" t="s">
        <v>220</v>
      </c>
    </row>
    <row r="2750" spans="1:2" x14ac:dyDescent="0.15">
      <c r="A2750" t="s">
        <v>1316</v>
      </c>
      <c r="B2750" t="s">
        <v>221</v>
      </c>
    </row>
    <row r="2751" spans="1:2" x14ac:dyDescent="0.15">
      <c r="A2751" t="s">
        <v>1317</v>
      </c>
      <c r="B2751" t="s">
        <v>222</v>
      </c>
    </row>
    <row r="2752" spans="1:2" x14ac:dyDescent="0.15">
      <c r="A2752" t="s">
        <v>1318</v>
      </c>
      <c r="B2752" t="s">
        <v>223</v>
      </c>
    </row>
    <row r="2753" spans="1:2" x14ac:dyDescent="0.15">
      <c r="A2753" t="s">
        <v>1319</v>
      </c>
      <c r="B2753" t="s">
        <v>224</v>
      </c>
    </row>
    <row r="2754" spans="1:2" x14ac:dyDescent="0.15">
      <c r="A2754" t="s">
        <v>1320</v>
      </c>
      <c r="B2754" t="s">
        <v>225</v>
      </c>
    </row>
    <row r="2755" spans="1:2" x14ac:dyDescent="0.15">
      <c r="A2755" t="s">
        <v>1321</v>
      </c>
      <c r="B2755" t="s">
        <v>226</v>
      </c>
    </row>
    <row r="2756" spans="1:2" x14ac:dyDescent="0.15">
      <c r="A2756" t="s">
        <v>1322</v>
      </c>
      <c r="B2756" t="s">
        <v>227</v>
      </c>
    </row>
    <row r="2757" spans="1:2" x14ac:dyDescent="0.15">
      <c r="A2757" t="s">
        <v>1323</v>
      </c>
      <c r="B2757" t="s">
        <v>228</v>
      </c>
    </row>
    <row r="2758" spans="1:2" x14ac:dyDescent="0.15">
      <c r="A2758" t="s">
        <v>1324</v>
      </c>
      <c r="B2758" t="s">
        <v>229</v>
      </c>
    </row>
    <row r="2759" spans="1:2" x14ac:dyDescent="0.15">
      <c r="A2759" t="s">
        <v>1325</v>
      </c>
      <c r="B2759" t="s">
        <v>230</v>
      </c>
    </row>
    <row r="2760" spans="1:2" x14ac:dyDescent="0.15">
      <c r="A2760" t="s">
        <v>1326</v>
      </c>
      <c r="B2760" t="s">
        <v>228</v>
      </c>
    </row>
    <row r="2761" spans="1:2" x14ac:dyDescent="0.15">
      <c r="A2761" t="s">
        <v>1327</v>
      </c>
      <c r="B2761" t="s">
        <v>231</v>
      </c>
    </row>
    <row r="2762" spans="1:2" x14ac:dyDescent="0.15">
      <c r="A2762" t="s">
        <v>1328</v>
      </c>
      <c r="B2762" t="s">
        <v>232</v>
      </c>
    </row>
    <row r="2763" spans="1:2" x14ac:dyDescent="0.15">
      <c r="A2763" t="s">
        <v>1329</v>
      </c>
      <c r="B2763" t="s">
        <v>233</v>
      </c>
    </row>
    <row r="2764" spans="1:2" x14ac:dyDescent="0.15">
      <c r="A2764" t="s">
        <v>1330</v>
      </c>
      <c r="B2764" t="s">
        <v>234</v>
      </c>
    </row>
    <row r="2765" spans="1:2" x14ac:dyDescent="0.15">
      <c r="A2765" t="s">
        <v>1331</v>
      </c>
      <c r="B2765" t="s">
        <v>235</v>
      </c>
    </row>
    <row r="2766" spans="1:2" x14ac:dyDescent="0.15">
      <c r="A2766" t="s">
        <v>1332</v>
      </c>
      <c r="B2766" t="s">
        <v>236</v>
      </c>
    </row>
    <row r="2767" spans="1:2" x14ac:dyDescent="0.15">
      <c r="A2767" t="s">
        <v>1333</v>
      </c>
      <c r="B2767" t="s">
        <v>1502</v>
      </c>
    </row>
    <row r="2768" spans="1:2" x14ac:dyDescent="0.15">
      <c r="A2768" t="s">
        <v>1334</v>
      </c>
      <c r="B2768" t="s">
        <v>231</v>
      </c>
    </row>
    <row r="2769" spans="1:2" x14ac:dyDescent="0.15">
      <c r="A2769" t="s">
        <v>1335</v>
      </c>
      <c r="B2769" t="s">
        <v>308</v>
      </c>
    </row>
    <row r="2770" spans="1:2" x14ac:dyDescent="0.15">
      <c r="A2770" t="s">
        <v>1336</v>
      </c>
      <c r="B2770" t="s">
        <v>237</v>
      </c>
    </row>
    <row r="2771" spans="1:2" x14ac:dyDescent="0.15">
      <c r="A2771" t="s">
        <v>1337</v>
      </c>
      <c r="B2771" t="s">
        <v>237</v>
      </c>
    </row>
    <row r="2772" spans="1:2" x14ac:dyDescent="0.15">
      <c r="A2772" t="s">
        <v>1338</v>
      </c>
      <c r="B2772" t="s">
        <v>238</v>
      </c>
    </row>
    <row r="2773" spans="1:2" x14ac:dyDescent="0.15">
      <c r="A2773" t="s">
        <v>1339</v>
      </c>
      <c r="B2773" t="s">
        <v>239</v>
      </c>
    </row>
    <row r="2774" spans="1:2" x14ac:dyDescent="0.15">
      <c r="A2774" t="s">
        <v>1340</v>
      </c>
      <c r="B2774" t="s">
        <v>240</v>
      </c>
    </row>
    <row r="2775" spans="1:2" x14ac:dyDescent="0.15">
      <c r="A2775" t="s">
        <v>1341</v>
      </c>
      <c r="B2775" t="s">
        <v>241</v>
      </c>
    </row>
    <row r="2776" spans="1:2" x14ac:dyDescent="0.15">
      <c r="A2776" t="s">
        <v>1342</v>
      </c>
      <c r="B2776" t="s">
        <v>242</v>
      </c>
    </row>
    <row r="2777" spans="1:2" x14ac:dyDescent="0.15">
      <c r="A2777" t="s">
        <v>1343</v>
      </c>
      <c r="B2777" t="s">
        <v>243</v>
      </c>
    </row>
    <row r="2778" spans="1:2" x14ac:dyDescent="0.15">
      <c r="A2778" t="s">
        <v>1344</v>
      </c>
      <c r="B2778" t="s">
        <v>244</v>
      </c>
    </row>
    <row r="2779" spans="1:2" x14ac:dyDescent="0.15">
      <c r="A2779" t="s">
        <v>1345</v>
      </c>
      <c r="B2779" t="s">
        <v>245</v>
      </c>
    </row>
    <row r="2780" spans="1:2" x14ac:dyDescent="0.15">
      <c r="A2780" t="s">
        <v>1346</v>
      </c>
      <c r="B2780" t="s">
        <v>246</v>
      </c>
    </row>
    <row r="2781" spans="1:2" x14ac:dyDescent="0.15">
      <c r="A2781" t="s">
        <v>1347</v>
      </c>
      <c r="B2781" t="s">
        <v>245</v>
      </c>
    </row>
    <row r="2782" spans="1:2" x14ac:dyDescent="0.15">
      <c r="A2782" t="s">
        <v>1348</v>
      </c>
      <c r="B2782" t="s">
        <v>4964</v>
      </c>
    </row>
    <row r="2783" spans="1:2" x14ac:dyDescent="0.15">
      <c r="A2783" t="s">
        <v>1349</v>
      </c>
      <c r="B2783" t="s">
        <v>247</v>
      </c>
    </row>
    <row r="2784" spans="1:2" x14ac:dyDescent="0.15">
      <c r="A2784" t="s">
        <v>1350</v>
      </c>
      <c r="B2784" t="s">
        <v>248</v>
      </c>
    </row>
    <row r="2785" spans="1:2" x14ac:dyDescent="0.15">
      <c r="A2785" t="s">
        <v>1351</v>
      </c>
      <c r="B2785" t="s">
        <v>249</v>
      </c>
    </row>
    <row r="2786" spans="1:2" x14ac:dyDescent="0.15">
      <c r="A2786" t="s">
        <v>1352</v>
      </c>
      <c r="B2786" t="s">
        <v>250</v>
      </c>
    </row>
    <row r="2787" spans="1:2" x14ac:dyDescent="0.15">
      <c r="A2787" t="s">
        <v>1353</v>
      </c>
      <c r="B2787" t="s">
        <v>251</v>
      </c>
    </row>
    <row r="2788" spans="1:2" x14ac:dyDescent="0.15">
      <c r="A2788" t="s">
        <v>1354</v>
      </c>
      <c r="B2788" t="s">
        <v>252</v>
      </c>
    </row>
    <row r="2789" spans="1:2" x14ac:dyDescent="0.15">
      <c r="A2789" t="s">
        <v>1355</v>
      </c>
      <c r="B2789" t="s">
        <v>253</v>
      </c>
    </row>
    <row r="2790" spans="1:2" x14ac:dyDescent="0.15">
      <c r="A2790" t="s">
        <v>1356</v>
      </c>
      <c r="B2790" t="s">
        <v>254</v>
      </c>
    </row>
    <row r="2791" spans="1:2" x14ac:dyDescent="0.15">
      <c r="A2791" t="s">
        <v>1357</v>
      </c>
      <c r="B2791" t="s">
        <v>255</v>
      </c>
    </row>
    <row r="2792" spans="1:2" x14ac:dyDescent="0.15">
      <c r="A2792" t="s">
        <v>1358</v>
      </c>
      <c r="B2792" t="s">
        <v>318</v>
      </c>
    </row>
    <row r="2793" spans="1:2" x14ac:dyDescent="0.15">
      <c r="A2793" t="s">
        <v>1359</v>
      </c>
      <c r="B2793" t="s">
        <v>256</v>
      </c>
    </row>
    <row r="2794" spans="1:2" x14ac:dyDescent="0.15">
      <c r="A2794" t="s">
        <v>1360</v>
      </c>
      <c r="B2794" t="s">
        <v>257</v>
      </c>
    </row>
    <row r="2795" spans="1:2" x14ac:dyDescent="0.15">
      <c r="A2795" t="s">
        <v>1361</v>
      </c>
      <c r="B2795" t="s">
        <v>258</v>
      </c>
    </row>
    <row r="2796" spans="1:2" x14ac:dyDescent="0.15">
      <c r="A2796" t="s">
        <v>1362</v>
      </c>
      <c r="B2796" t="s">
        <v>259</v>
      </c>
    </row>
    <row r="2797" spans="1:2" x14ac:dyDescent="0.15">
      <c r="A2797" t="s">
        <v>1363</v>
      </c>
      <c r="B2797" t="s">
        <v>260</v>
      </c>
    </row>
    <row r="2798" spans="1:2" x14ac:dyDescent="0.15">
      <c r="A2798" t="s">
        <v>1364</v>
      </c>
      <c r="B2798" t="s">
        <v>7400</v>
      </c>
    </row>
    <row r="2799" spans="1:2" x14ac:dyDescent="0.15">
      <c r="A2799" t="s">
        <v>1365</v>
      </c>
      <c r="B2799" t="s">
        <v>261</v>
      </c>
    </row>
    <row r="2800" spans="1:2" x14ac:dyDescent="0.15">
      <c r="A2800" t="s">
        <v>1366</v>
      </c>
      <c r="B2800" t="s">
        <v>262</v>
      </c>
    </row>
    <row r="2801" spans="1:2" x14ac:dyDescent="0.15">
      <c r="A2801" t="s">
        <v>1367</v>
      </c>
      <c r="B2801" t="s">
        <v>262</v>
      </c>
    </row>
    <row r="2802" spans="1:2" x14ac:dyDescent="0.15">
      <c r="A2802" t="s">
        <v>1368</v>
      </c>
      <c r="B2802" t="s">
        <v>263</v>
      </c>
    </row>
    <row r="2803" spans="1:2" x14ac:dyDescent="0.15">
      <c r="A2803" t="s">
        <v>1369</v>
      </c>
      <c r="B2803" t="s">
        <v>264</v>
      </c>
    </row>
    <row r="2804" spans="1:2" x14ac:dyDescent="0.15">
      <c r="A2804" t="s">
        <v>1370</v>
      </c>
      <c r="B2804" t="s">
        <v>265</v>
      </c>
    </row>
    <row r="2805" spans="1:2" x14ac:dyDescent="0.15">
      <c r="A2805" t="s">
        <v>1371</v>
      </c>
      <c r="B2805" t="s">
        <v>2353</v>
      </c>
    </row>
    <row r="2806" spans="1:2" x14ac:dyDescent="0.15">
      <c r="A2806" t="s">
        <v>1372</v>
      </c>
      <c r="B2806" t="s">
        <v>266</v>
      </c>
    </row>
    <row r="2807" spans="1:2" x14ac:dyDescent="0.15">
      <c r="A2807" t="s">
        <v>1373</v>
      </c>
      <c r="B2807" t="s">
        <v>267</v>
      </c>
    </row>
    <row r="2808" spans="1:2" x14ac:dyDescent="0.15">
      <c r="A2808" t="s">
        <v>1374</v>
      </c>
      <c r="B2808" t="s">
        <v>268</v>
      </c>
    </row>
    <row r="2809" spans="1:2" x14ac:dyDescent="0.15">
      <c r="A2809" t="s">
        <v>1375</v>
      </c>
      <c r="B2809" t="s">
        <v>269</v>
      </c>
    </row>
    <row r="2810" spans="1:2" x14ac:dyDescent="0.15">
      <c r="A2810" t="s">
        <v>1376</v>
      </c>
      <c r="B2810" t="s">
        <v>268</v>
      </c>
    </row>
    <row r="2811" spans="1:2" x14ac:dyDescent="0.15">
      <c r="A2811" t="s">
        <v>1377</v>
      </c>
      <c r="B2811" t="s">
        <v>320</v>
      </c>
    </row>
    <row r="2812" spans="1:2" x14ac:dyDescent="0.15">
      <c r="A2812" t="s">
        <v>1378</v>
      </c>
      <c r="B2812" t="s">
        <v>270</v>
      </c>
    </row>
    <row r="2813" spans="1:2" x14ac:dyDescent="0.15">
      <c r="A2813" t="s">
        <v>1379</v>
      </c>
      <c r="B2813" t="s">
        <v>271</v>
      </c>
    </row>
    <row r="2814" spans="1:2" x14ac:dyDescent="0.15">
      <c r="A2814" t="s">
        <v>1380</v>
      </c>
      <c r="B2814" t="s">
        <v>272</v>
      </c>
    </row>
    <row r="2815" spans="1:2" x14ac:dyDescent="0.15">
      <c r="A2815" t="s">
        <v>1381</v>
      </c>
      <c r="B2815" t="s">
        <v>273</v>
      </c>
    </row>
    <row r="2816" spans="1:2" x14ac:dyDescent="0.15">
      <c r="A2816" t="s">
        <v>1382</v>
      </c>
      <c r="B2816" t="s">
        <v>274</v>
      </c>
    </row>
    <row r="2817" spans="1:2" x14ac:dyDescent="0.15">
      <c r="A2817" t="s">
        <v>1383</v>
      </c>
      <c r="B2817" t="s">
        <v>275</v>
      </c>
    </row>
    <row r="2818" spans="1:2" x14ac:dyDescent="0.15">
      <c r="A2818" t="s">
        <v>1384</v>
      </c>
      <c r="B2818" t="s">
        <v>276</v>
      </c>
    </row>
    <row r="2819" spans="1:2" x14ac:dyDescent="0.15">
      <c r="A2819" t="s">
        <v>1385</v>
      </c>
      <c r="B2819" t="s">
        <v>277</v>
      </c>
    </row>
    <row r="2820" spans="1:2" x14ac:dyDescent="0.15">
      <c r="A2820" t="s">
        <v>1386</v>
      </c>
      <c r="B2820" t="s">
        <v>278</v>
      </c>
    </row>
    <row r="2821" spans="1:2" x14ac:dyDescent="0.15">
      <c r="A2821" t="s">
        <v>1387</v>
      </c>
      <c r="B2821" t="s">
        <v>279</v>
      </c>
    </row>
    <row r="2822" spans="1:2" x14ac:dyDescent="0.15">
      <c r="A2822" t="s">
        <v>1388</v>
      </c>
      <c r="B2822" t="s">
        <v>280</v>
      </c>
    </row>
    <row r="2823" spans="1:2" x14ac:dyDescent="0.15">
      <c r="A2823" t="s">
        <v>1389</v>
      </c>
      <c r="B2823" t="s">
        <v>281</v>
      </c>
    </row>
    <row r="2824" spans="1:2" x14ac:dyDescent="0.15">
      <c r="A2824" t="s">
        <v>1390</v>
      </c>
      <c r="B2824" t="s">
        <v>282</v>
      </c>
    </row>
    <row r="2825" spans="1:2" x14ac:dyDescent="0.15">
      <c r="A2825" t="s">
        <v>1391</v>
      </c>
      <c r="B2825" t="s">
        <v>283</v>
      </c>
    </row>
    <row r="2826" spans="1:2" x14ac:dyDescent="0.15">
      <c r="A2826" t="s">
        <v>1392</v>
      </c>
      <c r="B2826" t="s">
        <v>284</v>
      </c>
    </row>
    <row r="2827" spans="1:2" x14ac:dyDescent="0.15">
      <c r="A2827" t="s">
        <v>1393</v>
      </c>
      <c r="B2827" t="s">
        <v>285</v>
      </c>
    </row>
    <row r="2828" spans="1:2" x14ac:dyDescent="0.15">
      <c r="A2828" t="s">
        <v>1394</v>
      </c>
      <c r="B2828" t="s">
        <v>286</v>
      </c>
    </row>
    <row r="2829" spans="1:2" x14ac:dyDescent="0.15">
      <c r="A2829" t="s">
        <v>1395</v>
      </c>
      <c r="B2829" t="s">
        <v>287</v>
      </c>
    </row>
    <row r="2830" spans="1:2" x14ac:dyDescent="0.15">
      <c r="A2830" t="s">
        <v>1396</v>
      </c>
      <c r="B2830" t="s">
        <v>3632</v>
      </c>
    </row>
    <row r="2831" spans="1:2" x14ac:dyDescent="0.15">
      <c r="A2831" t="s">
        <v>1397</v>
      </c>
      <c r="B2831" t="s">
        <v>288</v>
      </c>
    </row>
    <row r="2832" spans="1:2" x14ac:dyDescent="0.15">
      <c r="A2832" t="s">
        <v>1398</v>
      </c>
      <c r="B2832" t="s">
        <v>289</v>
      </c>
    </row>
    <row r="2833" spans="1:2" x14ac:dyDescent="0.15">
      <c r="A2833" t="s">
        <v>1399</v>
      </c>
      <c r="B2833" t="s">
        <v>4375</v>
      </c>
    </row>
    <row r="2834" spans="1:2" x14ac:dyDescent="0.15">
      <c r="A2834" t="s">
        <v>1400</v>
      </c>
      <c r="B2834" t="s">
        <v>4376</v>
      </c>
    </row>
    <row r="2835" spans="1:2" x14ac:dyDescent="0.15">
      <c r="A2835" t="s">
        <v>1401</v>
      </c>
      <c r="B2835" t="s">
        <v>4377</v>
      </c>
    </row>
    <row r="2836" spans="1:2" x14ac:dyDescent="0.15">
      <c r="A2836" t="s">
        <v>1402</v>
      </c>
      <c r="B2836" t="s">
        <v>4378</v>
      </c>
    </row>
    <row r="2837" spans="1:2" x14ac:dyDescent="0.15">
      <c r="A2837" t="s">
        <v>1403</v>
      </c>
      <c r="B2837" t="s">
        <v>4379</v>
      </c>
    </row>
    <row r="2838" spans="1:2" x14ac:dyDescent="0.15">
      <c r="A2838" t="s">
        <v>1404</v>
      </c>
      <c r="B2838" t="s">
        <v>4380</v>
      </c>
    </row>
    <row r="2839" spans="1:2" x14ac:dyDescent="0.15">
      <c r="A2839" t="s">
        <v>1405</v>
      </c>
      <c r="B2839" t="s">
        <v>912</v>
      </c>
    </row>
    <row r="2840" spans="1:2" x14ac:dyDescent="0.15">
      <c r="A2840" t="s">
        <v>1406</v>
      </c>
      <c r="B2840" t="s">
        <v>531</v>
      </c>
    </row>
    <row r="2841" spans="1:2" x14ac:dyDescent="0.15">
      <c r="A2841" t="s">
        <v>1407</v>
      </c>
      <c r="B2841" t="s">
        <v>4381</v>
      </c>
    </row>
    <row r="2842" spans="1:2" x14ac:dyDescent="0.15">
      <c r="A2842" t="s">
        <v>1408</v>
      </c>
      <c r="B2842" t="s">
        <v>4382</v>
      </c>
    </row>
    <row r="2843" spans="1:2" x14ac:dyDescent="0.15">
      <c r="A2843" t="s">
        <v>1409</v>
      </c>
      <c r="B2843" t="s">
        <v>4383</v>
      </c>
    </row>
    <row r="2844" spans="1:2" x14ac:dyDescent="0.15">
      <c r="A2844" t="s">
        <v>1410</v>
      </c>
      <c r="B2844" t="s">
        <v>4889</v>
      </c>
    </row>
    <row r="2845" spans="1:2" x14ac:dyDescent="0.15">
      <c r="A2845" t="s">
        <v>1411</v>
      </c>
      <c r="B2845" t="s">
        <v>4384</v>
      </c>
    </row>
    <row r="2846" spans="1:2" x14ac:dyDescent="0.15">
      <c r="A2846" t="s">
        <v>1412</v>
      </c>
      <c r="B2846" t="s">
        <v>4385</v>
      </c>
    </row>
    <row r="2847" spans="1:2" x14ac:dyDescent="0.15">
      <c r="A2847" t="s">
        <v>1413</v>
      </c>
      <c r="B2847" t="s">
        <v>4386</v>
      </c>
    </row>
    <row r="2848" spans="1:2" x14ac:dyDescent="0.15">
      <c r="A2848" t="s">
        <v>1414</v>
      </c>
      <c r="B2848" t="s">
        <v>4387</v>
      </c>
    </row>
    <row r="2849" spans="1:2" x14ac:dyDescent="0.15">
      <c r="A2849" t="s">
        <v>1415</v>
      </c>
      <c r="B2849" t="s">
        <v>4388</v>
      </c>
    </row>
    <row r="2850" spans="1:2" x14ac:dyDescent="0.15">
      <c r="A2850" t="s">
        <v>1416</v>
      </c>
      <c r="B2850" t="s">
        <v>4389</v>
      </c>
    </row>
    <row r="2851" spans="1:2" x14ac:dyDescent="0.15">
      <c r="A2851" t="s">
        <v>1417</v>
      </c>
      <c r="B2851" t="s">
        <v>4390</v>
      </c>
    </row>
    <row r="2852" spans="1:2" x14ac:dyDescent="0.15">
      <c r="A2852" t="s">
        <v>1418</v>
      </c>
      <c r="B2852" t="s">
        <v>4391</v>
      </c>
    </row>
    <row r="2853" spans="1:2" x14ac:dyDescent="0.15">
      <c r="A2853" t="s">
        <v>1419</v>
      </c>
      <c r="B2853" t="s">
        <v>4392</v>
      </c>
    </row>
    <row r="2854" spans="1:2" x14ac:dyDescent="0.15">
      <c r="A2854" t="s">
        <v>1420</v>
      </c>
      <c r="B2854" t="s">
        <v>4393</v>
      </c>
    </row>
    <row r="2855" spans="1:2" x14ac:dyDescent="0.15">
      <c r="A2855" t="s">
        <v>1421</v>
      </c>
      <c r="B2855" t="s">
        <v>4394</v>
      </c>
    </row>
    <row r="2856" spans="1:2" x14ac:dyDescent="0.15">
      <c r="A2856" t="s">
        <v>1422</v>
      </c>
      <c r="B2856" t="s">
        <v>4395</v>
      </c>
    </row>
    <row r="2857" spans="1:2" x14ac:dyDescent="0.15">
      <c r="A2857" t="s">
        <v>1423</v>
      </c>
      <c r="B2857" t="s">
        <v>4396</v>
      </c>
    </row>
    <row r="2858" spans="1:2" x14ac:dyDescent="0.15">
      <c r="A2858" t="s">
        <v>1424</v>
      </c>
      <c r="B2858" t="s">
        <v>1502</v>
      </c>
    </row>
    <row r="2859" spans="1:2" x14ac:dyDescent="0.15">
      <c r="A2859" t="s">
        <v>1425</v>
      </c>
      <c r="B2859" t="s">
        <v>4397</v>
      </c>
    </row>
    <row r="2860" spans="1:2" x14ac:dyDescent="0.15">
      <c r="A2860" t="s">
        <v>1426</v>
      </c>
      <c r="B2860" t="s">
        <v>4398</v>
      </c>
    </row>
    <row r="2861" spans="1:2" x14ac:dyDescent="0.15">
      <c r="A2861" t="s">
        <v>1427</v>
      </c>
      <c r="B2861" t="s">
        <v>4399</v>
      </c>
    </row>
    <row r="2862" spans="1:2" x14ac:dyDescent="0.15">
      <c r="A2862" t="s">
        <v>1428</v>
      </c>
      <c r="B2862" t="s">
        <v>4400</v>
      </c>
    </row>
    <row r="2863" spans="1:2" x14ac:dyDescent="0.15">
      <c r="A2863" t="s">
        <v>1429</v>
      </c>
      <c r="B2863" t="s">
        <v>4401</v>
      </c>
    </row>
    <row r="2864" spans="1:2" x14ac:dyDescent="0.15">
      <c r="A2864" t="s">
        <v>1430</v>
      </c>
      <c r="B2864" t="s">
        <v>4402</v>
      </c>
    </row>
    <row r="2865" spans="1:2" x14ac:dyDescent="0.15">
      <c r="A2865" t="s">
        <v>1431</v>
      </c>
      <c r="B2865" t="s">
        <v>4403</v>
      </c>
    </row>
    <row r="2866" spans="1:2" x14ac:dyDescent="0.15">
      <c r="A2866" t="s">
        <v>1432</v>
      </c>
      <c r="B2866" t="s">
        <v>4404</v>
      </c>
    </row>
    <row r="2867" spans="1:2" x14ac:dyDescent="0.15">
      <c r="A2867" t="s">
        <v>1433</v>
      </c>
      <c r="B2867" t="s">
        <v>4405</v>
      </c>
    </row>
    <row r="2868" spans="1:2" x14ac:dyDescent="0.15">
      <c r="A2868" t="s">
        <v>1434</v>
      </c>
      <c r="B2868" t="s">
        <v>8880</v>
      </c>
    </row>
    <row r="2869" spans="1:2" x14ac:dyDescent="0.15">
      <c r="A2869" t="s">
        <v>1435</v>
      </c>
      <c r="B2869" t="s">
        <v>4406</v>
      </c>
    </row>
    <row r="2870" spans="1:2" x14ac:dyDescent="0.15">
      <c r="A2870" t="s">
        <v>1436</v>
      </c>
      <c r="B2870" t="s">
        <v>4407</v>
      </c>
    </row>
    <row r="2871" spans="1:2" x14ac:dyDescent="0.15">
      <c r="A2871" t="s">
        <v>1437</v>
      </c>
      <c r="B2871" t="s">
        <v>4408</v>
      </c>
    </row>
    <row r="2872" spans="1:2" x14ac:dyDescent="0.15">
      <c r="A2872" t="s">
        <v>1438</v>
      </c>
      <c r="B2872" t="s">
        <v>4409</v>
      </c>
    </row>
    <row r="2873" spans="1:2" x14ac:dyDescent="0.15">
      <c r="A2873" t="s">
        <v>1439</v>
      </c>
      <c r="B2873" t="s">
        <v>4410</v>
      </c>
    </row>
    <row r="2874" spans="1:2" x14ac:dyDescent="0.15">
      <c r="A2874" t="s">
        <v>1440</v>
      </c>
      <c r="B2874" t="s">
        <v>4411</v>
      </c>
    </row>
    <row r="2875" spans="1:2" x14ac:dyDescent="0.15">
      <c r="A2875" t="s">
        <v>1441</v>
      </c>
      <c r="B2875" t="s">
        <v>3632</v>
      </c>
    </row>
    <row r="2876" spans="1:2" x14ac:dyDescent="0.15">
      <c r="A2876" t="s">
        <v>1442</v>
      </c>
      <c r="B2876" t="s">
        <v>4412</v>
      </c>
    </row>
    <row r="2877" spans="1:2" x14ac:dyDescent="0.15">
      <c r="A2877" t="s">
        <v>1146</v>
      </c>
      <c r="B2877" t="s">
        <v>4413</v>
      </c>
    </row>
    <row r="2878" spans="1:2" x14ac:dyDescent="0.15">
      <c r="A2878" t="s">
        <v>1147</v>
      </c>
      <c r="B2878" t="s">
        <v>4414</v>
      </c>
    </row>
    <row r="2879" spans="1:2" x14ac:dyDescent="0.15">
      <c r="A2879" t="s">
        <v>1148</v>
      </c>
      <c r="B2879" t="s">
        <v>4415</v>
      </c>
    </row>
    <row r="2880" spans="1:2" x14ac:dyDescent="0.15">
      <c r="A2880" t="s">
        <v>1149</v>
      </c>
      <c r="B2880" t="s">
        <v>4414</v>
      </c>
    </row>
    <row r="2881" spans="1:2" x14ac:dyDescent="0.15">
      <c r="A2881" t="s">
        <v>1150</v>
      </c>
      <c r="B2881" t="s">
        <v>4416</v>
      </c>
    </row>
    <row r="2882" spans="1:2" x14ac:dyDescent="0.15">
      <c r="A2882" t="s">
        <v>1151</v>
      </c>
      <c r="B2882" t="s">
        <v>2567</v>
      </c>
    </row>
    <row r="2883" spans="1:2" x14ac:dyDescent="0.15">
      <c r="A2883" t="s">
        <v>1152</v>
      </c>
      <c r="B2883" t="s">
        <v>4417</v>
      </c>
    </row>
    <row r="2884" spans="1:2" x14ac:dyDescent="0.15">
      <c r="A2884" t="s">
        <v>1153</v>
      </c>
      <c r="B2884" t="s">
        <v>4418</v>
      </c>
    </row>
    <row r="2885" spans="1:2" x14ac:dyDescent="0.15">
      <c r="A2885" t="s">
        <v>1154</v>
      </c>
      <c r="B2885" t="s">
        <v>4419</v>
      </c>
    </row>
    <row r="2886" spans="1:2" x14ac:dyDescent="0.15">
      <c r="A2886" t="s">
        <v>1155</v>
      </c>
      <c r="B2886" t="s">
        <v>4420</v>
      </c>
    </row>
    <row r="2887" spans="1:2" x14ac:dyDescent="0.15">
      <c r="A2887" t="s">
        <v>1156</v>
      </c>
      <c r="B2887" t="s">
        <v>4421</v>
      </c>
    </row>
    <row r="2888" spans="1:2" x14ac:dyDescent="0.15">
      <c r="A2888" t="s">
        <v>1157</v>
      </c>
      <c r="B2888" t="s">
        <v>2966</v>
      </c>
    </row>
    <row r="2889" spans="1:2" x14ac:dyDescent="0.15">
      <c r="A2889" t="s">
        <v>1158</v>
      </c>
      <c r="B2889" t="s">
        <v>4422</v>
      </c>
    </row>
    <row r="2890" spans="1:2" x14ac:dyDescent="0.15">
      <c r="A2890" t="s">
        <v>1159</v>
      </c>
      <c r="B2890" t="s">
        <v>4423</v>
      </c>
    </row>
    <row r="2891" spans="1:2" x14ac:dyDescent="0.15">
      <c r="A2891" t="s">
        <v>1160</v>
      </c>
      <c r="B2891" t="s">
        <v>4424</v>
      </c>
    </row>
    <row r="2892" spans="1:2" x14ac:dyDescent="0.15">
      <c r="A2892" t="s">
        <v>1161</v>
      </c>
      <c r="B2892" t="s">
        <v>4425</v>
      </c>
    </row>
    <row r="2893" spans="1:2" x14ac:dyDescent="0.15">
      <c r="A2893" t="s">
        <v>1162</v>
      </c>
      <c r="B2893" t="s">
        <v>4426</v>
      </c>
    </row>
    <row r="2894" spans="1:2" x14ac:dyDescent="0.15">
      <c r="A2894" t="s">
        <v>1163</v>
      </c>
      <c r="B2894" t="s">
        <v>4427</v>
      </c>
    </row>
    <row r="2895" spans="1:2" x14ac:dyDescent="0.15">
      <c r="A2895" t="s">
        <v>1164</v>
      </c>
      <c r="B2895" t="s">
        <v>4428</v>
      </c>
    </row>
    <row r="2896" spans="1:2" x14ac:dyDescent="0.15">
      <c r="A2896" t="s">
        <v>1165</v>
      </c>
      <c r="B2896" t="s">
        <v>4429</v>
      </c>
    </row>
    <row r="2897" spans="1:2" x14ac:dyDescent="0.15">
      <c r="A2897" t="s">
        <v>1166</v>
      </c>
      <c r="B2897" t="s">
        <v>4430</v>
      </c>
    </row>
    <row r="2898" spans="1:2" x14ac:dyDescent="0.15">
      <c r="A2898" t="s">
        <v>1167</v>
      </c>
      <c r="B2898" t="s">
        <v>4431</v>
      </c>
    </row>
    <row r="2899" spans="1:2" x14ac:dyDescent="0.15">
      <c r="A2899" t="s">
        <v>1168</v>
      </c>
      <c r="B2899" t="s">
        <v>4432</v>
      </c>
    </row>
    <row r="2900" spans="1:2" x14ac:dyDescent="0.15">
      <c r="A2900" t="s">
        <v>1169</v>
      </c>
      <c r="B2900" t="s">
        <v>4433</v>
      </c>
    </row>
    <row r="2901" spans="1:2" x14ac:dyDescent="0.15">
      <c r="A2901" t="s">
        <v>1170</v>
      </c>
      <c r="B2901" t="s">
        <v>4434</v>
      </c>
    </row>
    <row r="2902" spans="1:2" x14ac:dyDescent="0.15">
      <c r="A2902" t="s">
        <v>1171</v>
      </c>
      <c r="B2902" t="s">
        <v>4435</v>
      </c>
    </row>
    <row r="2903" spans="1:2" x14ac:dyDescent="0.15">
      <c r="A2903" t="s">
        <v>1172</v>
      </c>
      <c r="B2903" t="s">
        <v>4436</v>
      </c>
    </row>
    <row r="2904" spans="1:2" x14ac:dyDescent="0.15">
      <c r="A2904" t="s">
        <v>1173</v>
      </c>
      <c r="B2904" t="s">
        <v>4437</v>
      </c>
    </row>
    <row r="2905" spans="1:2" x14ac:dyDescent="0.15">
      <c r="A2905" t="s">
        <v>1174</v>
      </c>
      <c r="B2905" t="s">
        <v>4424</v>
      </c>
    </row>
    <row r="2906" spans="1:2" x14ac:dyDescent="0.15">
      <c r="A2906" t="s">
        <v>1175</v>
      </c>
      <c r="B2906" t="s">
        <v>4437</v>
      </c>
    </row>
    <row r="2907" spans="1:2" x14ac:dyDescent="0.15">
      <c r="A2907" t="s">
        <v>1176</v>
      </c>
      <c r="B2907" t="s">
        <v>4438</v>
      </c>
    </row>
    <row r="2908" spans="1:2" x14ac:dyDescent="0.15">
      <c r="A2908" t="s">
        <v>1177</v>
      </c>
      <c r="B2908" t="s">
        <v>4439</v>
      </c>
    </row>
    <row r="2909" spans="1:2" x14ac:dyDescent="0.15">
      <c r="A2909" t="s">
        <v>1178</v>
      </c>
      <c r="B2909" t="s">
        <v>4440</v>
      </c>
    </row>
    <row r="2910" spans="1:2" x14ac:dyDescent="0.15">
      <c r="A2910" t="s">
        <v>1179</v>
      </c>
      <c r="B2910" t="s">
        <v>4441</v>
      </c>
    </row>
    <row r="2911" spans="1:2" x14ac:dyDescent="0.15">
      <c r="A2911" t="s">
        <v>1180</v>
      </c>
      <c r="B2911" t="s">
        <v>4442</v>
      </c>
    </row>
    <row r="2912" spans="1:2" x14ac:dyDescent="0.15">
      <c r="A2912" t="s">
        <v>1181</v>
      </c>
      <c r="B2912" t="s">
        <v>4443</v>
      </c>
    </row>
    <row r="2913" spans="1:2" x14ac:dyDescent="0.15">
      <c r="A2913" t="s">
        <v>1182</v>
      </c>
      <c r="B2913" t="s">
        <v>4440</v>
      </c>
    </row>
    <row r="2914" spans="1:2" x14ac:dyDescent="0.15">
      <c r="A2914" t="s">
        <v>1183</v>
      </c>
      <c r="B2914" t="s">
        <v>4444</v>
      </c>
    </row>
    <row r="2915" spans="1:2" x14ac:dyDescent="0.15">
      <c r="A2915" t="s">
        <v>1184</v>
      </c>
      <c r="B2915" t="s">
        <v>4445</v>
      </c>
    </row>
    <row r="2916" spans="1:2" x14ac:dyDescent="0.15">
      <c r="A2916" t="s">
        <v>1185</v>
      </c>
      <c r="B2916" t="s">
        <v>4446</v>
      </c>
    </row>
    <row r="2917" spans="1:2" x14ac:dyDescent="0.15">
      <c r="A2917" t="s">
        <v>1186</v>
      </c>
      <c r="B2917" t="s">
        <v>4447</v>
      </c>
    </row>
    <row r="2918" spans="1:2" x14ac:dyDescent="0.15">
      <c r="A2918" t="s">
        <v>1187</v>
      </c>
      <c r="B2918" t="s">
        <v>4448</v>
      </c>
    </row>
    <row r="2919" spans="1:2" x14ac:dyDescent="0.15">
      <c r="A2919" t="s">
        <v>1188</v>
      </c>
      <c r="B2919" t="s">
        <v>4449</v>
      </c>
    </row>
    <row r="2920" spans="1:2" x14ac:dyDescent="0.15">
      <c r="A2920" t="s">
        <v>1189</v>
      </c>
      <c r="B2920" t="s">
        <v>4450</v>
      </c>
    </row>
    <row r="2921" spans="1:2" x14ac:dyDescent="0.15">
      <c r="A2921" t="s">
        <v>1190</v>
      </c>
      <c r="B2921" t="s">
        <v>4451</v>
      </c>
    </row>
    <row r="2922" spans="1:2" x14ac:dyDescent="0.15">
      <c r="A2922" t="s">
        <v>1191</v>
      </c>
      <c r="B2922" t="s">
        <v>4452</v>
      </c>
    </row>
    <row r="2923" spans="1:2" x14ac:dyDescent="0.15">
      <c r="A2923" t="s">
        <v>1192</v>
      </c>
      <c r="B2923" t="s">
        <v>4453</v>
      </c>
    </row>
    <row r="2924" spans="1:2" x14ac:dyDescent="0.15">
      <c r="A2924" t="s">
        <v>1193</v>
      </c>
      <c r="B2924" t="s">
        <v>4454</v>
      </c>
    </row>
    <row r="2925" spans="1:2" x14ac:dyDescent="0.15">
      <c r="A2925" t="s">
        <v>1194</v>
      </c>
      <c r="B2925" t="s">
        <v>4455</v>
      </c>
    </row>
    <row r="2926" spans="1:2" x14ac:dyDescent="0.15">
      <c r="A2926" t="s">
        <v>1195</v>
      </c>
      <c r="B2926" t="s">
        <v>4456</v>
      </c>
    </row>
    <row r="2927" spans="1:2" x14ac:dyDescent="0.15">
      <c r="A2927" t="s">
        <v>1196</v>
      </c>
      <c r="B2927" t="s">
        <v>4457</v>
      </c>
    </row>
    <row r="2928" spans="1:2" x14ac:dyDescent="0.15">
      <c r="A2928" t="s">
        <v>1197</v>
      </c>
      <c r="B2928" t="s">
        <v>4458</v>
      </c>
    </row>
    <row r="2929" spans="1:2" x14ac:dyDescent="0.15">
      <c r="A2929" t="s">
        <v>1198</v>
      </c>
      <c r="B2929" t="s">
        <v>4459</v>
      </c>
    </row>
    <row r="2930" spans="1:2" x14ac:dyDescent="0.15">
      <c r="A2930" t="s">
        <v>1199</v>
      </c>
      <c r="B2930" t="s">
        <v>4460</v>
      </c>
    </row>
    <row r="2931" spans="1:2" x14ac:dyDescent="0.15">
      <c r="A2931" t="s">
        <v>1200</v>
      </c>
      <c r="B2931" t="s">
        <v>4461</v>
      </c>
    </row>
    <row r="2932" spans="1:2" x14ac:dyDescent="0.15">
      <c r="A2932" t="s">
        <v>1201</v>
      </c>
      <c r="B2932" t="s">
        <v>4461</v>
      </c>
    </row>
    <row r="2933" spans="1:2" x14ac:dyDescent="0.15">
      <c r="A2933" t="s">
        <v>1202</v>
      </c>
      <c r="B2933" t="s">
        <v>3681</v>
      </c>
    </row>
    <row r="2934" spans="1:2" x14ac:dyDescent="0.15">
      <c r="A2934" t="s">
        <v>1203</v>
      </c>
      <c r="B2934" t="s">
        <v>4462</v>
      </c>
    </row>
    <row r="2935" spans="1:2" x14ac:dyDescent="0.15">
      <c r="A2935" t="s">
        <v>1204</v>
      </c>
      <c r="B2935" t="s">
        <v>4463</v>
      </c>
    </row>
    <row r="2936" spans="1:2" x14ac:dyDescent="0.15">
      <c r="A2936" t="s">
        <v>1205</v>
      </c>
      <c r="B2936" t="s">
        <v>4464</v>
      </c>
    </row>
    <row r="2937" spans="1:2" x14ac:dyDescent="0.15">
      <c r="A2937" t="s">
        <v>1206</v>
      </c>
      <c r="B2937" t="s">
        <v>4465</v>
      </c>
    </row>
    <row r="2938" spans="1:2" x14ac:dyDescent="0.15">
      <c r="A2938" t="s">
        <v>1207</v>
      </c>
      <c r="B2938" t="s">
        <v>4466</v>
      </c>
    </row>
    <row r="2939" spans="1:2" x14ac:dyDescent="0.15">
      <c r="A2939" t="s">
        <v>1208</v>
      </c>
      <c r="B2939" t="s">
        <v>4467</v>
      </c>
    </row>
    <row r="2940" spans="1:2" x14ac:dyDescent="0.15">
      <c r="A2940" t="s">
        <v>1209</v>
      </c>
      <c r="B2940" t="s">
        <v>4468</v>
      </c>
    </row>
    <row r="2941" spans="1:2" x14ac:dyDescent="0.15">
      <c r="A2941" t="s">
        <v>1210</v>
      </c>
      <c r="B2941" t="s">
        <v>4469</v>
      </c>
    </row>
    <row r="2942" spans="1:2" x14ac:dyDescent="0.15">
      <c r="A2942" t="s">
        <v>1211</v>
      </c>
      <c r="B2942" t="s">
        <v>4470</v>
      </c>
    </row>
    <row r="2943" spans="1:2" x14ac:dyDescent="0.15">
      <c r="A2943" t="s">
        <v>1212</v>
      </c>
      <c r="B2943" t="s">
        <v>4469</v>
      </c>
    </row>
    <row r="2944" spans="1:2" x14ac:dyDescent="0.15">
      <c r="A2944" t="s">
        <v>1213</v>
      </c>
      <c r="B2944" t="s">
        <v>4471</v>
      </c>
    </row>
    <row r="2945" spans="1:2" x14ac:dyDescent="0.15">
      <c r="A2945" t="s">
        <v>1214</v>
      </c>
      <c r="B2945" t="s">
        <v>4472</v>
      </c>
    </row>
    <row r="2946" spans="1:2" x14ac:dyDescent="0.15">
      <c r="A2946" t="s">
        <v>1215</v>
      </c>
      <c r="B2946" t="s">
        <v>4473</v>
      </c>
    </row>
    <row r="2947" spans="1:2" x14ac:dyDescent="0.15">
      <c r="A2947" t="s">
        <v>1216</v>
      </c>
      <c r="B2947" t="s">
        <v>4474</v>
      </c>
    </row>
    <row r="2948" spans="1:2" x14ac:dyDescent="0.15">
      <c r="A2948" t="s">
        <v>1217</v>
      </c>
      <c r="B2948" t="s">
        <v>4474</v>
      </c>
    </row>
    <row r="2949" spans="1:2" x14ac:dyDescent="0.15">
      <c r="A2949" t="s">
        <v>1218</v>
      </c>
      <c r="B2949" t="s">
        <v>4475</v>
      </c>
    </row>
    <row r="2950" spans="1:2" x14ac:dyDescent="0.15">
      <c r="A2950" t="s">
        <v>4561</v>
      </c>
      <c r="B2950" t="s">
        <v>4561</v>
      </c>
    </row>
    <row r="2951" spans="1:2" x14ac:dyDescent="0.15">
      <c r="A2951" t="s">
        <v>1219</v>
      </c>
      <c r="B2951" t="s">
        <v>4476</v>
      </c>
    </row>
    <row r="2952" spans="1:2" x14ac:dyDescent="0.15">
      <c r="A2952" t="s">
        <v>1220</v>
      </c>
      <c r="B2952" t="s">
        <v>4477</v>
      </c>
    </row>
    <row r="2953" spans="1:2" x14ac:dyDescent="0.15">
      <c r="A2953" t="s">
        <v>1221</v>
      </c>
      <c r="B2953" t="s">
        <v>4247</v>
      </c>
    </row>
    <row r="2954" spans="1:2" x14ac:dyDescent="0.15">
      <c r="A2954" t="s">
        <v>1222</v>
      </c>
      <c r="B2954" t="s">
        <v>4248</v>
      </c>
    </row>
    <row r="2955" spans="1:2" x14ac:dyDescent="0.15">
      <c r="A2955" t="s">
        <v>1223</v>
      </c>
      <c r="B2955" t="s">
        <v>4249</v>
      </c>
    </row>
    <row r="2956" spans="1:2" x14ac:dyDescent="0.15">
      <c r="A2956" t="s">
        <v>1224</v>
      </c>
      <c r="B2956" t="s">
        <v>4250</v>
      </c>
    </row>
    <row r="2957" spans="1:2" x14ac:dyDescent="0.15">
      <c r="A2957" t="s">
        <v>1225</v>
      </c>
      <c r="B2957" t="s">
        <v>4251</v>
      </c>
    </row>
    <row r="2958" spans="1:2" x14ac:dyDescent="0.15">
      <c r="A2958" t="s">
        <v>1226</v>
      </c>
      <c r="B2958" t="s">
        <v>4252</v>
      </c>
    </row>
    <row r="2959" spans="1:2" x14ac:dyDescent="0.15">
      <c r="A2959" t="s">
        <v>1227</v>
      </c>
      <c r="B2959" t="s">
        <v>4253</v>
      </c>
    </row>
    <row r="2960" spans="1:2" x14ac:dyDescent="0.15">
      <c r="A2960" t="s">
        <v>1228</v>
      </c>
      <c r="B2960" t="s">
        <v>4253</v>
      </c>
    </row>
    <row r="2961" spans="1:2" x14ac:dyDescent="0.15">
      <c r="A2961" t="s">
        <v>1229</v>
      </c>
      <c r="B2961" t="s">
        <v>4254</v>
      </c>
    </row>
    <row r="2962" spans="1:2" x14ac:dyDescent="0.15">
      <c r="A2962" t="s">
        <v>1230</v>
      </c>
      <c r="B2962" t="s">
        <v>4254</v>
      </c>
    </row>
    <row r="2963" spans="1:2" x14ac:dyDescent="0.15">
      <c r="A2963" t="s">
        <v>1231</v>
      </c>
      <c r="B2963" t="s">
        <v>4255</v>
      </c>
    </row>
    <row r="2964" spans="1:2" x14ac:dyDescent="0.15">
      <c r="A2964" t="s">
        <v>1232</v>
      </c>
      <c r="B2964" t="s">
        <v>4256</v>
      </c>
    </row>
    <row r="2965" spans="1:2" x14ac:dyDescent="0.15">
      <c r="A2965" t="s">
        <v>1233</v>
      </c>
      <c r="B2965" t="s">
        <v>231</v>
      </c>
    </row>
    <row r="2966" spans="1:2" x14ac:dyDescent="0.15">
      <c r="A2966" t="s">
        <v>1234</v>
      </c>
      <c r="B2966" t="s">
        <v>4257</v>
      </c>
    </row>
    <row r="2967" spans="1:2" x14ac:dyDescent="0.15">
      <c r="A2967" t="s">
        <v>1235</v>
      </c>
      <c r="B2967" t="s">
        <v>4258</v>
      </c>
    </row>
    <row r="2968" spans="1:2" x14ac:dyDescent="0.15">
      <c r="A2968" t="s">
        <v>1236</v>
      </c>
      <c r="B2968" t="s">
        <v>4259</v>
      </c>
    </row>
    <row r="2969" spans="1:2" x14ac:dyDescent="0.15">
      <c r="A2969" t="s">
        <v>1237</v>
      </c>
      <c r="B2969" t="s">
        <v>4260</v>
      </c>
    </row>
    <row r="2970" spans="1:2" x14ac:dyDescent="0.15">
      <c r="A2970" t="s">
        <v>1238</v>
      </c>
      <c r="B2970" t="s">
        <v>4261</v>
      </c>
    </row>
    <row r="2971" spans="1:2" x14ac:dyDescent="0.15">
      <c r="A2971" t="s">
        <v>1239</v>
      </c>
      <c r="B2971" t="s">
        <v>4262</v>
      </c>
    </row>
    <row r="2972" spans="1:2" x14ac:dyDescent="0.15">
      <c r="A2972" t="s">
        <v>1240</v>
      </c>
      <c r="B2972" t="s">
        <v>4256</v>
      </c>
    </row>
    <row r="2973" spans="1:2" x14ac:dyDescent="0.15">
      <c r="A2973" t="s">
        <v>1241</v>
      </c>
      <c r="B2973" t="s">
        <v>4263</v>
      </c>
    </row>
    <row r="2974" spans="1:2" x14ac:dyDescent="0.15">
      <c r="A2974" t="s">
        <v>1242</v>
      </c>
      <c r="B2974" t="s">
        <v>4264</v>
      </c>
    </row>
    <row r="2975" spans="1:2" x14ac:dyDescent="0.15">
      <c r="A2975" t="s">
        <v>1243</v>
      </c>
      <c r="B2975" t="s">
        <v>4265</v>
      </c>
    </row>
    <row r="2976" spans="1:2" x14ac:dyDescent="0.15">
      <c r="A2976" t="s">
        <v>1244</v>
      </c>
      <c r="B2976" t="s">
        <v>4266</v>
      </c>
    </row>
    <row r="2977" spans="1:2" x14ac:dyDescent="0.15">
      <c r="A2977" t="s">
        <v>1245</v>
      </c>
      <c r="B2977" t="s">
        <v>4267</v>
      </c>
    </row>
    <row r="2978" spans="1:2" x14ac:dyDescent="0.15">
      <c r="A2978" t="s">
        <v>1246</v>
      </c>
      <c r="B2978" t="s">
        <v>4268</v>
      </c>
    </row>
    <row r="2979" spans="1:2" x14ac:dyDescent="0.15">
      <c r="A2979" t="s">
        <v>1247</v>
      </c>
      <c r="B2979" t="s">
        <v>4269</v>
      </c>
    </row>
    <row r="2980" spans="1:2" x14ac:dyDescent="0.15">
      <c r="A2980" t="s">
        <v>1248</v>
      </c>
      <c r="B2980" t="s">
        <v>201</v>
      </c>
    </row>
    <row r="2981" spans="1:2" x14ac:dyDescent="0.15">
      <c r="A2981" t="s">
        <v>1249</v>
      </c>
      <c r="B2981" t="s">
        <v>4270</v>
      </c>
    </row>
    <row r="2982" spans="1:2" x14ac:dyDescent="0.15">
      <c r="A2982" t="s">
        <v>1250</v>
      </c>
      <c r="B2982" t="s">
        <v>4271</v>
      </c>
    </row>
    <row r="2983" spans="1:2" x14ac:dyDescent="0.15">
      <c r="A2983" t="s">
        <v>1251</v>
      </c>
      <c r="B2983" t="s">
        <v>4272</v>
      </c>
    </row>
    <row r="2984" spans="1:2" x14ac:dyDescent="0.15">
      <c r="A2984" t="s">
        <v>1252</v>
      </c>
      <c r="B2984" t="s">
        <v>4273</v>
      </c>
    </row>
    <row r="2985" spans="1:2" x14ac:dyDescent="0.15">
      <c r="A2985" t="s">
        <v>1253</v>
      </c>
      <c r="B2985" t="s">
        <v>4274</v>
      </c>
    </row>
    <row r="2986" spans="1:2" x14ac:dyDescent="0.15">
      <c r="A2986" t="s">
        <v>1254</v>
      </c>
      <c r="B2986" t="s">
        <v>4275</v>
      </c>
    </row>
    <row r="2987" spans="1:2" x14ac:dyDescent="0.15">
      <c r="A2987" t="s">
        <v>1255</v>
      </c>
      <c r="B2987" t="s">
        <v>4276</v>
      </c>
    </row>
    <row r="2988" spans="1:2" x14ac:dyDescent="0.15">
      <c r="A2988" t="s">
        <v>1256</v>
      </c>
      <c r="B2988" t="s">
        <v>4275</v>
      </c>
    </row>
    <row r="2989" spans="1:2" x14ac:dyDescent="0.15">
      <c r="A2989" t="s">
        <v>1257</v>
      </c>
      <c r="B2989" t="s">
        <v>4275</v>
      </c>
    </row>
    <row r="2990" spans="1:2" x14ac:dyDescent="0.15">
      <c r="A2990" t="s">
        <v>1258</v>
      </c>
      <c r="B2990" t="s">
        <v>4275</v>
      </c>
    </row>
    <row r="2991" spans="1:2" x14ac:dyDescent="0.15">
      <c r="A2991" t="s">
        <v>1259</v>
      </c>
      <c r="B2991" t="s">
        <v>4275</v>
      </c>
    </row>
    <row r="2992" spans="1:2" x14ac:dyDescent="0.15">
      <c r="A2992" t="s">
        <v>1260</v>
      </c>
      <c r="B2992" t="s">
        <v>5790</v>
      </c>
    </row>
    <row r="2993" spans="1:2" x14ac:dyDescent="0.15">
      <c r="A2993" t="s">
        <v>1261</v>
      </c>
      <c r="B2993" t="s">
        <v>4271</v>
      </c>
    </row>
    <row r="2994" spans="1:2" x14ac:dyDescent="0.15">
      <c r="A2994" t="s">
        <v>1262</v>
      </c>
      <c r="B2994" t="s">
        <v>4277</v>
      </c>
    </row>
    <row r="2995" spans="1:2" x14ac:dyDescent="0.15">
      <c r="A2995" t="s">
        <v>1263</v>
      </c>
      <c r="B2995" t="s">
        <v>4278</v>
      </c>
    </row>
    <row r="2996" spans="1:2" x14ac:dyDescent="0.15">
      <c r="A2996" t="s">
        <v>1264</v>
      </c>
      <c r="B2996" t="s">
        <v>4279</v>
      </c>
    </row>
    <row r="2997" spans="1:2" x14ac:dyDescent="0.15">
      <c r="A2997" t="s">
        <v>1265</v>
      </c>
      <c r="B2997" t="s">
        <v>4420</v>
      </c>
    </row>
    <row r="2998" spans="1:2" x14ac:dyDescent="0.15">
      <c r="A2998" t="s">
        <v>1266</v>
      </c>
      <c r="B2998" t="s">
        <v>4280</v>
      </c>
    </row>
    <row r="2999" spans="1:2" x14ac:dyDescent="0.15">
      <c r="A2999" t="s">
        <v>1267</v>
      </c>
      <c r="B2999" t="s">
        <v>4276</v>
      </c>
    </row>
    <row r="3000" spans="1:2" x14ac:dyDescent="0.15">
      <c r="A3000" t="s">
        <v>1268</v>
      </c>
      <c r="B3000" t="s">
        <v>4281</v>
      </c>
    </row>
    <row r="3001" spans="1:2" x14ac:dyDescent="0.15">
      <c r="A3001" t="s">
        <v>1269</v>
      </c>
      <c r="B3001" t="s">
        <v>4282</v>
      </c>
    </row>
    <row r="3002" spans="1:2" x14ac:dyDescent="0.15">
      <c r="A3002" t="s">
        <v>1270</v>
      </c>
      <c r="B3002" t="s">
        <v>4280</v>
      </c>
    </row>
    <row r="3003" spans="1:2" x14ac:dyDescent="0.15">
      <c r="A3003" t="s">
        <v>1271</v>
      </c>
      <c r="B3003" t="s">
        <v>4276</v>
      </c>
    </row>
    <row r="3004" spans="1:2" x14ac:dyDescent="0.15">
      <c r="A3004" t="s">
        <v>1272</v>
      </c>
      <c r="B3004" t="s">
        <v>4283</v>
      </c>
    </row>
    <row r="3005" spans="1:2" x14ac:dyDescent="0.15">
      <c r="A3005" t="s">
        <v>1273</v>
      </c>
      <c r="B3005" t="s">
        <v>4276</v>
      </c>
    </row>
    <row r="3006" spans="1:2" x14ac:dyDescent="0.15">
      <c r="A3006" t="s">
        <v>1274</v>
      </c>
      <c r="B3006" t="s">
        <v>4284</v>
      </c>
    </row>
    <row r="3007" spans="1:2" x14ac:dyDescent="0.15">
      <c r="A3007" t="s">
        <v>1275</v>
      </c>
      <c r="B3007" t="s">
        <v>4285</v>
      </c>
    </row>
    <row r="3008" spans="1:2" x14ac:dyDescent="0.15">
      <c r="A3008" t="s">
        <v>1276</v>
      </c>
      <c r="B3008" t="s">
        <v>4273</v>
      </c>
    </row>
    <row r="3009" spans="1:2" x14ac:dyDescent="0.15">
      <c r="A3009" t="s">
        <v>1277</v>
      </c>
      <c r="B3009" t="s">
        <v>4273</v>
      </c>
    </row>
    <row r="3010" spans="1:2" x14ac:dyDescent="0.15">
      <c r="A3010" t="s">
        <v>1278</v>
      </c>
      <c r="B3010" t="s">
        <v>4273</v>
      </c>
    </row>
    <row r="3011" spans="1:2" x14ac:dyDescent="0.15">
      <c r="A3011" t="s">
        <v>1279</v>
      </c>
      <c r="B3011" t="s">
        <v>4273</v>
      </c>
    </row>
    <row r="3012" spans="1:2" x14ac:dyDescent="0.15">
      <c r="A3012" t="s">
        <v>1280</v>
      </c>
      <c r="B3012" t="s">
        <v>4286</v>
      </c>
    </row>
    <row r="3013" spans="1:2" x14ac:dyDescent="0.15">
      <c r="A3013" t="s">
        <v>1281</v>
      </c>
      <c r="B3013" t="s">
        <v>4287</v>
      </c>
    </row>
    <row r="3014" spans="1:2" x14ac:dyDescent="0.15">
      <c r="A3014" t="s">
        <v>1282</v>
      </c>
      <c r="B3014" t="s">
        <v>4288</v>
      </c>
    </row>
    <row r="3015" spans="1:2" x14ac:dyDescent="0.15">
      <c r="A3015" t="s">
        <v>4562</v>
      </c>
      <c r="B3015" t="s">
        <v>4562</v>
      </c>
    </row>
    <row r="3016" spans="1:2" x14ac:dyDescent="0.15">
      <c r="A3016" t="s">
        <v>1283</v>
      </c>
      <c r="B3016" t="s">
        <v>4289</v>
      </c>
    </row>
    <row r="3017" spans="1:2" x14ac:dyDescent="0.15">
      <c r="A3017" t="s">
        <v>1284</v>
      </c>
      <c r="B3017" t="s">
        <v>4290</v>
      </c>
    </row>
    <row r="3018" spans="1:2" x14ac:dyDescent="0.15">
      <c r="A3018" t="s">
        <v>1285</v>
      </c>
      <c r="B3018" t="s">
        <v>4291</v>
      </c>
    </row>
    <row r="3019" spans="1:2" x14ac:dyDescent="0.15">
      <c r="A3019" t="s">
        <v>2482</v>
      </c>
      <c r="B3019" t="s">
        <v>4380</v>
      </c>
    </row>
    <row r="3020" spans="1:2" x14ac:dyDescent="0.15">
      <c r="A3020" t="s">
        <v>2483</v>
      </c>
      <c r="B3020" t="s">
        <v>4292</v>
      </c>
    </row>
    <row r="3021" spans="1:2" x14ac:dyDescent="0.15">
      <c r="A3021" t="s">
        <v>2484</v>
      </c>
      <c r="B3021" t="s">
        <v>3725</v>
      </c>
    </row>
    <row r="3022" spans="1:2" x14ac:dyDescent="0.15">
      <c r="A3022" t="s">
        <v>2243</v>
      </c>
      <c r="B3022" t="s">
        <v>4425</v>
      </c>
    </row>
    <row r="3023" spans="1:2" x14ac:dyDescent="0.15">
      <c r="A3023" t="s">
        <v>4563</v>
      </c>
      <c r="B3023" t="s">
        <v>4563</v>
      </c>
    </row>
    <row r="3024" spans="1:2" x14ac:dyDescent="0.15">
      <c r="A3024" t="s">
        <v>2244</v>
      </c>
      <c r="B3024" t="s">
        <v>4293</v>
      </c>
    </row>
    <row r="3025" spans="1:2" x14ac:dyDescent="0.15">
      <c r="A3025" t="s">
        <v>4564</v>
      </c>
      <c r="B3025" t="s">
        <v>4564</v>
      </c>
    </row>
    <row r="3026" spans="1:2" x14ac:dyDescent="0.15">
      <c r="A3026" t="s">
        <v>2245</v>
      </c>
      <c r="B3026" t="s">
        <v>4294</v>
      </c>
    </row>
    <row r="3027" spans="1:2" x14ac:dyDescent="0.15">
      <c r="A3027" t="s">
        <v>2246</v>
      </c>
      <c r="B3027" t="s">
        <v>4295</v>
      </c>
    </row>
    <row r="3028" spans="1:2" x14ac:dyDescent="0.15">
      <c r="A3028" t="s">
        <v>2247</v>
      </c>
      <c r="B3028" t="s">
        <v>4296</v>
      </c>
    </row>
    <row r="3029" spans="1:2" x14ac:dyDescent="0.15">
      <c r="A3029" t="s">
        <v>2248</v>
      </c>
      <c r="B3029" t="s">
        <v>4297</v>
      </c>
    </row>
    <row r="3030" spans="1:2" x14ac:dyDescent="0.15">
      <c r="A3030" t="s">
        <v>2249</v>
      </c>
      <c r="B3030" t="s">
        <v>4473</v>
      </c>
    </row>
    <row r="3031" spans="1:2" x14ac:dyDescent="0.15">
      <c r="A3031" t="s">
        <v>2250</v>
      </c>
      <c r="B3031" t="s">
        <v>4298</v>
      </c>
    </row>
    <row r="3032" spans="1:2" x14ac:dyDescent="0.15">
      <c r="A3032" t="s">
        <v>2251</v>
      </c>
      <c r="B3032" t="s">
        <v>4299</v>
      </c>
    </row>
    <row r="3033" spans="1:2" x14ac:dyDescent="0.15">
      <c r="A3033" t="s">
        <v>2252</v>
      </c>
      <c r="B3033" t="s">
        <v>4300</v>
      </c>
    </row>
    <row r="3034" spans="1:2" x14ac:dyDescent="0.15">
      <c r="A3034" t="s">
        <v>2253</v>
      </c>
      <c r="B3034" t="s">
        <v>4301</v>
      </c>
    </row>
    <row r="3035" spans="1:2" x14ac:dyDescent="0.15">
      <c r="A3035" t="s">
        <v>2254</v>
      </c>
      <c r="B3035" t="s">
        <v>4302</v>
      </c>
    </row>
    <row r="3036" spans="1:2" x14ac:dyDescent="0.15">
      <c r="A3036" t="s">
        <v>2255</v>
      </c>
      <c r="B3036" t="s">
        <v>4303</v>
      </c>
    </row>
    <row r="3037" spans="1:2" x14ac:dyDescent="0.15">
      <c r="A3037" t="s">
        <v>2256</v>
      </c>
      <c r="B3037" t="s">
        <v>4474</v>
      </c>
    </row>
    <row r="3038" spans="1:2" x14ac:dyDescent="0.15">
      <c r="A3038" t="s">
        <v>2257</v>
      </c>
      <c r="B3038" t="s">
        <v>4304</v>
      </c>
    </row>
    <row r="3039" spans="1:2" x14ac:dyDescent="0.15">
      <c r="A3039" t="s">
        <v>2258</v>
      </c>
      <c r="B3039" t="s">
        <v>4305</v>
      </c>
    </row>
    <row r="3040" spans="1:2" x14ac:dyDescent="0.15">
      <c r="A3040" t="s">
        <v>2259</v>
      </c>
      <c r="B3040" t="s">
        <v>4306</v>
      </c>
    </row>
    <row r="3041" spans="1:2" x14ac:dyDescent="0.15">
      <c r="A3041" t="s">
        <v>2260</v>
      </c>
      <c r="B3041" t="s">
        <v>4307</v>
      </c>
    </row>
    <row r="3042" spans="1:2" x14ac:dyDescent="0.15">
      <c r="A3042" t="s">
        <v>2261</v>
      </c>
      <c r="B3042" t="s">
        <v>4308</v>
      </c>
    </row>
    <row r="3043" spans="1:2" x14ac:dyDescent="0.15">
      <c r="A3043" t="s">
        <v>2262</v>
      </c>
      <c r="B3043" t="s">
        <v>4309</v>
      </c>
    </row>
    <row r="3044" spans="1:2" x14ac:dyDescent="0.15">
      <c r="A3044" t="s">
        <v>2263</v>
      </c>
      <c r="B3044" t="s">
        <v>4310</v>
      </c>
    </row>
    <row r="3045" spans="1:2" x14ac:dyDescent="0.15">
      <c r="A3045" t="s">
        <v>2264</v>
      </c>
      <c r="B3045" t="s">
        <v>4311</v>
      </c>
    </row>
    <row r="3046" spans="1:2" x14ac:dyDescent="0.15">
      <c r="A3046" t="s">
        <v>2265</v>
      </c>
      <c r="B3046" t="s">
        <v>4312</v>
      </c>
    </row>
    <row r="3047" spans="1:2" x14ac:dyDescent="0.15">
      <c r="A3047" t="s">
        <v>2266</v>
      </c>
      <c r="B3047" t="s">
        <v>4313</v>
      </c>
    </row>
    <row r="3048" spans="1:2" x14ac:dyDescent="0.15">
      <c r="A3048" t="s">
        <v>2267</v>
      </c>
      <c r="B3048" t="s">
        <v>4380</v>
      </c>
    </row>
    <row r="3049" spans="1:2" x14ac:dyDescent="0.15">
      <c r="A3049" t="s">
        <v>2268</v>
      </c>
      <c r="B3049" t="s">
        <v>4380</v>
      </c>
    </row>
    <row r="3050" spans="1:2" x14ac:dyDescent="0.15">
      <c r="A3050" t="s">
        <v>2269</v>
      </c>
      <c r="B3050" t="s">
        <v>4314</v>
      </c>
    </row>
    <row r="3051" spans="1:2" x14ac:dyDescent="0.15">
      <c r="A3051" t="s">
        <v>2270</v>
      </c>
      <c r="B3051" t="s">
        <v>4314</v>
      </c>
    </row>
    <row r="3052" spans="1:2" x14ac:dyDescent="0.15">
      <c r="A3052" t="s">
        <v>2271</v>
      </c>
      <c r="B3052" t="s">
        <v>4314</v>
      </c>
    </row>
    <row r="3053" spans="1:2" x14ac:dyDescent="0.15">
      <c r="A3053" t="s">
        <v>2272</v>
      </c>
      <c r="B3053" t="s">
        <v>4314</v>
      </c>
    </row>
    <row r="3054" spans="1:2" x14ac:dyDescent="0.15">
      <c r="A3054" t="s">
        <v>2273</v>
      </c>
      <c r="B3054" t="s">
        <v>4314</v>
      </c>
    </row>
    <row r="3055" spans="1:2" x14ac:dyDescent="0.15">
      <c r="A3055" t="s">
        <v>2274</v>
      </c>
      <c r="B3055" t="s">
        <v>4314</v>
      </c>
    </row>
    <row r="3056" spans="1:2" x14ac:dyDescent="0.15">
      <c r="A3056" t="s">
        <v>2275</v>
      </c>
      <c r="B3056" t="s">
        <v>8049</v>
      </c>
    </row>
    <row r="3057" spans="1:2" x14ac:dyDescent="0.15">
      <c r="A3057" t="s">
        <v>2276</v>
      </c>
      <c r="B3057" t="s">
        <v>8050</v>
      </c>
    </row>
    <row r="3058" spans="1:2" x14ac:dyDescent="0.15">
      <c r="A3058" t="s">
        <v>2277</v>
      </c>
      <c r="B3058" t="s">
        <v>8051</v>
      </c>
    </row>
    <row r="3059" spans="1:2" x14ac:dyDescent="0.15">
      <c r="A3059" t="s">
        <v>2278</v>
      </c>
      <c r="B3059" t="s">
        <v>8052</v>
      </c>
    </row>
    <row r="3060" spans="1:2" x14ac:dyDescent="0.15">
      <c r="A3060" t="s">
        <v>2279</v>
      </c>
      <c r="B3060" t="s">
        <v>8053</v>
      </c>
    </row>
    <row r="3061" spans="1:2" x14ac:dyDescent="0.15">
      <c r="A3061" t="s">
        <v>2280</v>
      </c>
      <c r="B3061" t="s">
        <v>8054</v>
      </c>
    </row>
    <row r="3062" spans="1:2" x14ac:dyDescent="0.15">
      <c r="A3062" t="s">
        <v>2281</v>
      </c>
      <c r="B3062" t="s">
        <v>8055</v>
      </c>
    </row>
  </sheetData>
  <autoFilter ref="B1:B3286" xr:uid="{00000000-0009-0000-0000-000001000000}"/>
  <phoneticPr fontId="0" type="noConversion"/>
  <pageMargins left="0.75" right="0.75" top="1" bottom="1" header="0.5" footer="0.5"/>
  <pageSetup scale="50" orientation="portrait" horizontalDpi="4294967293" vertic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1277"/>
  <sheetViews>
    <sheetView topLeftCell="A1239" workbookViewId="0">
      <selection activeCell="E20" sqref="E20"/>
    </sheetView>
  </sheetViews>
  <sheetFormatPr baseColWidth="10" defaultColWidth="8.83203125" defaultRowHeight="13" x14ac:dyDescent="0.15"/>
  <sheetData>
    <row r="1" spans="1:62" s="6" customFormat="1" x14ac:dyDescent="0.15">
      <c r="A1" s="1" t="s">
        <v>4995</v>
      </c>
      <c r="B1" s="1" t="s">
        <v>4996</v>
      </c>
      <c r="C1" s="1" t="s">
        <v>4997</v>
      </c>
      <c r="D1" s="2" t="s">
        <v>4998</v>
      </c>
      <c r="E1" s="3" t="s">
        <v>4999</v>
      </c>
      <c r="F1" s="3" t="s">
        <v>4606</v>
      </c>
      <c r="G1" s="3" t="s">
        <v>4607</v>
      </c>
      <c r="H1" s="3" t="s">
        <v>4608</v>
      </c>
      <c r="I1" s="3" t="s">
        <v>7097</v>
      </c>
      <c r="J1" s="3" t="s">
        <v>4612</v>
      </c>
      <c r="K1" s="3" t="s">
        <v>4613</v>
      </c>
      <c r="L1" s="4" t="s">
        <v>5000</v>
      </c>
      <c r="M1" s="4" t="s">
        <v>5001</v>
      </c>
      <c r="N1" s="4" t="s">
        <v>5002</v>
      </c>
      <c r="O1" s="4" t="s">
        <v>5003</v>
      </c>
      <c r="P1" s="1" t="s">
        <v>5004</v>
      </c>
      <c r="Q1" s="3" t="s">
        <v>5005</v>
      </c>
      <c r="R1" s="3" t="s">
        <v>5006</v>
      </c>
      <c r="S1" s="3" t="s">
        <v>5007</v>
      </c>
      <c r="T1" s="3" t="s">
        <v>5008</v>
      </c>
      <c r="U1" s="5" t="s">
        <v>5009</v>
      </c>
      <c r="V1" s="5" t="s">
        <v>5010</v>
      </c>
      <c r="W1" s="5" t="s">
        <v>5011</v>
      </c>
      <c r="X1" s="5" t="s">
        <v>5012</v>
      </c>
      <c r="Y1" s="5" t="s">
        <v>5013</v>
      </c>
      <c r="Z1" s="4" t="s">
        <v>5014</v>
      </c>
      <c r="AA1" s="4" t="s">
        <v>5015</v>
      </c>
      <c r="AB1" s="4" t="s">
        <v>5016</v>
      </c>
      <c r="AC1" s="4" t="s">
        <v>5017</v>
      </c>
      <c r="AD1" s="4" t="s">
        <v>5018</v>
      </c>
      <c r="AE1" s="4" t="s">
        <v>5019</v>
      </c>
      <c r="AF1" s="4" t="s">
        <v>5020</v>
      </c>
      <c r="AG1" s="4" t="s">
        <v>5021</v>
      </c>
      <c r="AH1" s="3" t="s">
        <v>5022</v>
      </c>
      <c r="AI1" s="4" t="s">
        <v>5023</v>
      </c>
      <c r="AJ1" s="4" t="s">
        <v>5024</v>
      </c>
      <c r="AK1" s="4" t="s">
        <v>5025</v>
      </c>
      <c r="AL1" s="4" t="s">
        <v>4843</v>
      </c>
      <c r="AM1" s="4" t="s">
        <v>6466</v>
      </c>
      <c r="AN1" s="4" t="s">
        <v>4844</v>
      </c>
      <c r="AO1" s="4" t="s">
        <v>4845</v>
      </c>
      <c r="AP1" s="4" t="s">
        <v>4846</v>
      </c>
      <c r="AQ1" s="4" t="s">
        <v>4847</v>
      </c>
      <c r="AR1" s="4" t="s">
        <v>4848</v>
      </c>
      <c r="AS1" s="4" t="s">
        <v>4849</v>
      </c>
      <c r="AT1" s="4" t="s">
        <v>4850</v>
      </c>
      <c r="AU1" s="4" t="s">
        <v>4851</v>
      </c>
      <c r="AV1" s="4" t="s">
        <v>4852</v>
      </c>
      <c r="AW1" s="4" t="s">
        <v>4853</v>
      </c>
      <c r="AX1" s="4" t="s">
        <v>4854</v>
      </c>
      <c r="AY1" s="4" t="s">
        <v>4855</v>
      </c>
      <c r="AZ1" s="5" t="s">
        <v>4856</v>
      </c>
      <c r="BA1" s="5" t="s">
        <v>4857</v>
      </c>
      <c r="BB1" s="5" t="s">
        <v>4858</v>
      </c>
      <c r="BC1" s="5" t="s">
        <v>4859</v>
      </c>
      <c r="BD1" s="5" t="s">
        <v>4860</v>
      </c>
      <c r="BE1" s="5" t="s">
        <v>4861</v>
      </c>
      <c r="BF1" s="5" t="s">
        <v>4862</v>
      </c>
      <c r="BG1" s="5" t="s">
        <v>4863</v>
      </c>
      <c r="BH1" s="5" t="s">
        <v>4864</v>
      </c>
      <c r="BI1" s="6" t="s">
        <v>4865</v>
      </c>
      <c r="BJ1" s="6" t="s">
        <v>4866</v>
      </c>
    </row>
    <row r="2" spans="1:62" x14ac:dyDescent="0.15">
      <c r="A2" s="14" t="s">
        <v>7960</v>
      </c>
      <c r="B2" s="7" t="s">
        <v>6900</v>
      </c>
      <c r="C2" s="14" t="s">
        <v>7961</v>
      </c>
      <c r="D2" s="8" t="s">
        <v>7962</v>
      </c>
      <c r="E2" s="9" t="s">
        <v>7963</v>
      </c>
      <c r="F2" s="9" t="s">
        <v>4609</v>
      </c>
      <c r="G2" s="9" t="s">
        <v>6636</v>
      </c>
      <c r="H2" s="9"/>
      <c r="I2" s="9" t="s">
        <v>6901</v>
      </c>
      <c r="J2" s="9" t="s">
        <v>7117</v>
      </c>
      <c r="K2" s="9" t="s">
        <v>7084</v>
      </c>
      <c r="L2" s="10">
        <v>4107867</v>
      </c>
      <c r="M2" s="10">
        <v>242036</v>
      </c>
      <c r="N2" s="11">
        <v>16</v>
      </c>
      <c r="O2" s="11" t="s">
        <v>4871</v>
      </c>
      <c r="P2" s="14" t="s">
        <v>6902</v>
      </c>
      <c r="Q2" s="9" t="s">
        <v>5311</v>
      </c>
      <c r="R2" s="9"/>
      <c r="S2" s="14" t="s">
        <v>7965</v>
      </c>
      <c r="T2" s="15" t="s">
        <v>8342</v>
      </c>
      <c r="U2" s="12" t="s">
        <v>5019</v>
      </c>
      <c r="V2" s="12" t="s">
        <v>5021</v>
      </c>
      <c r="W2" s="12">
        <v>0</v>
      </c>
      <c r="X2" s="12">
        <v>0</v>
      </c>
      <c r="Y2" s="12">
        <v>0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1</v>
      </c>
      <c r="AF2" s="15">
        <v>1</v>
      </c>
      <c r="AG2" s="15">
        <v>1</v>
      </c>
      <c r="AH2" s="15">
        <v>2</v>
      </c>
      <c r="AI2" s="15">
        <v>2</v>
      </c>
      <c r="AJ2" s="15">
        <v>1</v>
      </c>
      <c r="AK2" s="15">
        <v>1</v>
      </c>
      <c r="AL2" s="15">
        <v>1</v>
      </c>
      <c r="AM2" s="15"/>
      <c r="AN2" s="15">
        <v>0</v>
      </c>
      <c r="AO2" s="15">
        <v>0</v>
      </c>
      <c r="AP2" s="15">
        <v>0</v>
      </c>
      <c r="AQ2" s="15">
        <v>1</v>
      </c>
      <c r="AR2" s="15">
        <v>1</v>
      </c>
      <c r="AS2" s="15">
        <v>0</v>
      </c>
      <c r="AT2" s="15">
        <v>0</v>
      </c>
      <c r="AU2" s="15">
        <v>1</v>
      </c>
      <c r="AV2" s="15">
        <v>0</v>
      </c>
      <c r="AW2" s="15">
        <v>0</v>
      </c>
      <c r="AX2" s="15">
        <v>0</v>
      </c>
      <c r="AY2" s="15">
        <v>0</v>
      </c>
      <c r="AZ2" s="12" t="s">
        <v>4843</v>
      </c>
      <c r="BA2" s="12" t="s">
        <v>4911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I2" s="12">
        <v>0</v>
      </c>
      <c r="BJ2" s="12">
        <v>0</v>
      </c>
    </row>
    <row r="1277" spans="1:58" x14ac:dyDescent="0.15">
      <c r="A1277" s="7"/>
      <c r="B1277" s="7"/>
      <c r="C1277" s="7" t="s">
        <v>2144</v>
      </c>
      <c r="D1277" s="8" t="s">
        <v>3686</v>
      </c>
      <c r="E1277" s="9" t="s">
        <v>2101</v>
      </c>
      <c r="F1277" s="9" t="s">
        <v>2101</v>
      </c>
      <c r="G1277" s="9" t="s">
        <v>3159</v>
      </c>
      <c r="H1277" s="9" t="s">
        <v>4871</v>
      </c>
      <c r="I1277" s="9"/>
      <c r="J1277" s="9"/>
      <c r="K1277" s="9"/>
      <c r="L1277" s="10">
        <v>3978790</v>
      </c>
      <c r="M1277" s="10">
        <v>248371</v>
      </c>
      <c r="N1277" s="11">
        <v>16</v>
      </c>
      <c r="O1277" s="11" t="s">
        <v>4871</v>
      </c>
      <c r="P1277" s="7" t="s">
        <v>25</v>
      </c>
      <c r="Q1277" s="9"/>
      <c r="R1277" s="9"/>
      <c r="S1277" s="9"/>
      <c r="T1277" s="9"/>
      <c r="U1277" s="12"/>
      <c r="V1277" s="12"/>
      <c r="W1277" s="12"/>
      <c r="X1277" s="12"/>
      <c r="Y1277" s="12"/>
      <c r="Z1277" s="11"/>
      <c r="AA1277" s="11"/>
      <c r="AB1277" s="11"/>
      <c r="AC1277" s="11"/>
      <c r="AD1277" s="11"/>
      <c r="AE1277" s="11"/>
      <c r="AF1277" s="11"/>
      <c r="AG1277" s="11"/>
      <c r="AH1277" s="9"/>
      <c r="AI1277" s="11"/>
      <c r="AJ1277" s="11"/>
      <c r="AK1277" s="11"/>
      <c r="AL1277" s="11"/>
      <c r="AM1277" s="11"/>
      <c r="AN1277" s="11"/>
      <c r="AO1277" s="11"/>
      <c r="AP1277" s="11"/>
      <c r="AQ1277" s="11"/>
      <c r="AR1277" s="11"/>
      <c r="AS1277" s="11"/>
      <c r="AT1277" s="11"/>
      <c r="AU1277" s="11"/>
      <c r="AV1277" s="11"/>
      <c r="AW1277" s="11"/>
      <c r="AX1277" s="11"/>
      <c r="AY1277" s="11"/>
      <c r="AZ1277" s="12" t="s">
        <v>4843</v>
      </c>
      <c r="BA1277" s="12" t="s">
        <v>4843</v>
      </c>
      <c r="BB1277" s="12"/>
      <c r="BC1277" s="12"/>
      <c r="BD1277" s="12"/>
      <c r="BE1277" s="12"/>
      <c r="BF1277" s="12"/>
    </row>
  </sheetData>
  <autoFilter ref="A1:BJ1277" xr:uid="{00000000-0009-0000-0000-000002000000}"/>
  <phoneticPr fontId="0" type="noConversion"/>
  <pageMargins left="0.75" right="0.75" top="1" bottom="1" header="0.5" footer="0.5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Locations-Zone-15</vt:lpstr>
      <vt:lpstr>LMS Locations</vt:lpstr>
      <vt:lpstr>Locations-Zone-16</vt:lpstr>
    </vt:vector>
  </TitlesOfParts>
  <Company>CSULB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Lipo</dc:creator>
  <cp:lastModifiedBy>Carl Lipo</cp:lastModifiedBy>
  <cp:lastPrinted>2006-01-01T21:43:26Z</cp:lastPrinted>
  <dcterms:created xsi:type="dcterms:W3CDTF">2005-05-09T22:20:59Z</dcterms:created>
  <dcterms:modified xsi:type="dcterms:W3CDTF">2026-05-22T12:26:28Z</dcterms:modified>
</cp:coreProperties>
</file>