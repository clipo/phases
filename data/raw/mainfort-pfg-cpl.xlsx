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106"/>
  <workbookPr/>
  <mc:AlternateContent xmlns:mc="http://schemas.openxmlformats.org/markup-compatibility/2006">
    <mc:Choice Requires="x15">
      <x15ac:absPath xmlns:x15ac="http://schemas.microsoft.com/office/spreadsheetml/2010/11/ac" url="/Users/carllipo/Documents/hbes-2016-continuity-based-inheritance/data/"/>
    </mc:Choice>
  </mc:AlternateContent>
  <bookViews>
    <workbookView xWindow="9880" yWindow="6560" windowWidth="28160" windowHeight="16880" tabRatio="500" activeTab="7"/>
  </bookViews>
  <sheets>
    <sheet name="mainfort-data-collapsed" sheetId="1" r:id="rId1"/>
    <sheet name="cpl-pfg" sheetId="2" r:id="rId2"/>
    <sheet name="pfg-cpl-mainfort" sheetId="3" r:id="rId3"/>
    <sheet name="PFG" sheetId="4" r:id="rId4"/>
    <sheet name="MainfortXY" sheetId="7" r:id="rId5"/>
    <sheet name="Spatial Data" sheetId="5" r:id="rId6"/>
    <sheet name="pfgXY" sheetId="8" r:id="rId7"/>
    <sheet name="pfg-cpl-mainfortXY" sheetId="6" r:id="rId8"/>
  </sheets>
  <externalReferences>
    <externalReference r:id="rId9"/>
  </externalReferences>
  <definedNames>
    <definedName name="_xlnm._FilterDatabase" localSheetId="2" hidden="1">'pfg-cpl-mainfort'!$A$1:$K$61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6" l="1"/>
  <c r="C3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6" i="6"/>
  <c r="C26" i="6"/>
  <c r="B27" i="6"/>
  <c r="C27" i="6"/>
  <c r="B28" i="6"/>
  <c r="C28" i="6"/>
  <c r="B29" i="6"/>
  <c r="C29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50" i="6"/>
  <c r="C50" i="6"/>
  <c r="B51" i="6"/>
  <c r="C51" i="6"/>
  <c r="B52" i="6"/>
  <c r="C52" i="6"/>
  <c r="B53" i="6"/>
  <c r="C53" i="6"/>
  <c r="B55" i="6"/>
  <c r="C55" i="6"/>
  <c r="B56" i="6"/>
  <c r="C56" i="6"/>
  <c r="C2" i="6"/>
  <c r="B2" i="6"/>
  <c r="BZ235" i="4"/>
  <c r="BZ234" i="4"/>
  <c r="BZ233" i="4"/>
  <c r="BZ232" i="4"/>
  <c r="BZ231" i="4"/>
  <c r="BZ230" i="4"/>
  <c r="BZ229" i="4"/>
  <c r="BZ228" i="4"/>
  <c r="BZ227" i="4"/>
  <c r="BZ226" i="4"/>
  <c r="BZ225" i="4"/>
  <c r="BZ224" i="4"/>
  <c r="BZ223" i="4"/>
  <c r="BZ222" i="4"/>
  <c r="BZ221" i="4"/>
  <c r="BZ220" i="4"/>
  <c r="BZ219" i="4"/>
  <c r="BZ218" i="4"/>
  <c r="BZ217" i="4"/>
  <c r="BZ216" i="4"/>
  <c r="BZ215" i="4"/>
  <c r="BZ214" i="4"/>
  <c r="BZ213" i="4"/>
  <c r="BZ212" i="4"/>
  <c r="BZ211" i="4"/>
  <c r="BZ210" i="4"/>
  <c r="BZ209" i="4"/>
  <c r="BZ208" i="4"/>
  <c r="BZ207" i="4"/>
  <c r="BZ206" i="4"/>
  <c r="BZ205" i="4"/>
  <c r="BZ204" i="4"/>
  <c r="BZ203" i="4"/>
  <c r="BZ202" i="4"/>
  <c r="BZ201" i="4"/>
  <c r="BZ200" i="4"/>
  <c r="BZ199" i="4"/>
  <c r="BZ198" i="4"/>
  <c r="BZ197" i="4"/>
  <c r="BZ196" i="4"/>
  <c r="BZ195" i="4"/>
  <c r="BZ194" i="4"/>
  <c r="BZ193" i="4"/>
  <c r="BZ192" i="4"/>
  <c r="BZ191" i="4"/>
  <c r="BZ190" i="4"/>
  <c r="BZ189" i="4"/>
  <c r="BZ188" i="4"/>
  <c r="BZ187" i="4"/>
  <c r="BZ186" i="4"/>
  <c r="BZ185" i="4"/>
  <c r="BZ184" i="4"/>
  <c r="BZ183" i="4"/>
  <c r="BZ182" i="4"/>
  <c r="BZ181" i="4"/>
  <c r="BZ180" i="4"/>
  <c r="BZ179" i="4"/>
  <c r="BZ178" i="4"/>
  <c r="BZ177" i="4"/>
  <c r="BZ176" i="4"/>
  <c r="BZ175" i="4"/>
  <c r="BZ174" i="4"/>
  <c r="BZ173" i="4"/>
  <c r="BZ172" i="4"/>
  <c r="BZ171" i="4"/>
  <c r="BZ170" i="4"/>
  <c r="BZ169" i="4"/>
  <c r="BZ168" i="4"/>
  <c r="BZ167" i="4"/>
  <c r="BZ166" i="4"/>
  <c r="BZ165" i="4"/>
  <c r="BZ164" i="4"/>
  <c r="BZ163" i="4"/>
  <c r="BZ162" i="4"/>
  <c r="BZ161" i="4"/>
  <c r="BZ160" i="4"/>
  <c r="BZ159" i="4"/>
  <c r="BZ158" i="4"/>
  <c r="BZ157" i="4"/>
  <c r="BZ156" i="4"/>
  <c r="BZ155" i="4"/>
  <c r="BZ154" i="4"/>
  <c r="BZ153" i="4"/>
  <c r="BZ152" i="4"/>
  <c r="BZ151" i="4"/>
  <c r="BZ150" i="4"/>
  <c r="BZ149" i="4"/>
  <c r="BZ148" i="4"/>
  <c r="BZ147" i="4"/>
  <c r="CF146" i="4"/>
  <c r="CE146" i="4"/>
  <c r="CG146" i="4"/>
  <c r="BZ146" i="4"/>
  <c r="CD146" i="4"/>
  <c r="CC146" i="4"/>
  <c r="CF145" i="4"/>
  <c r="CE145" i="4"/>
  <c r="CG145" i="4"/>
  <c r="BZ145" i="4"/>
  <c r="CD145" i="4"/>
  <c r="CC145" i="4"/>
  <c r="CF144" i="4"/>
  <c r="CE144" i="4"/>
  <c r="CG144" i="4"/>
  <c r="BZ144" i="4"/>
  <c r="CD144" i="4"/>
  <c r="CC144" i="4"/>
  <c r="CF143" i="4"/>
  <c r="CE143" i="4"/>
  <c r="CG143" i="4"/>
  <c r="BZ143" i="4"/>
  <c r="CD143" i="4"/>
  <c r="CC143" i="4"/>
  <c r="CF142" i="4"/>
  <c r="CE142" i="4"/>
  <c r="CG142" i="4"/>
  <c r="BZ142" i="4"/>
  <c r="CD142" i="4"/>
  <c r="CC142" i="4"/>
  <c r="CF141" i="4"/>
  <c r="CE141" i="4"/>
  <c r="CG141" i="4"/>
  <c r="BZ141" i="4"/>
  <c r="CD141" i="4"/>
  <c r="CC141" i="4"/>
  <c r="CF140" i="4"/>
  <c r="CE140" i="4"/>
  <c r="CG140" i="4"/>
  <c r="BZ140" i="4"/>
  <c r="CD140" i="4"/>
  <c r="CC140" i="4"/>
  <c r="CF139" i="4"/>
  <c r="CE139" i="4"/>
  <c r="CG139" i="4"/>
  <c r="BZ139" i="4"/>
  <c r="CD139" i="4"/>
  <c r="CC139" i="4"/>
  <c r="CF138" i="4"/>
  <c r="CE138" i="4"/>
  <c r="CG138" i="4"/>
  <c r="BZ138" i="4"/>
  <c r="CD138" i="4"/>
  <c r="CC138" i="4"/>
  <c r="I138" i="4"/>
  <c r="H138" i="4"/>
  <c r="CF137" i="4"/>
  <c r="CE137" i="4"/>
  <c r="CG137" i="4"/>
  <c r="BZ137" i="4"/>
  <c r="CD137" i="4"/>
  <c r="CC137" i="4"/>
  <c r="CF136" i="4"/>
  <c r="CE136" i="4"/>
  <c r="CG136" i="4"/>
  <c r="BZ136" i="4"/>
  <c r="CD136" i="4"/>
  <c r="CC136" i="4"/>
  <c r="CF135" i="4"/>
  <c r="CE135" i="4"/>
  <c r="CG135" i="4"/>
  <c r="BZ135" i="4"/>
  <c r="CD135" i="4"/>
  <c r="CC135" i="4"/>
  <c r="CF134" i="4"/>
  <c r="CE134" i="4"/>
  <c r="CG134" i="4"/>
  <c r="BZ134" i="4"/>
  <c r="CD134" i="4"/>
  <c r="CC134" i="4"/>
  <c r="CF133" i="4"/>
  <c r="CE133" i="4"/>
  <c r="CG133" i="4"/>
  <c r="BZ133" i="4"/>
  <c r="CD133" i="4"/>
  <c r="CC133" i="4"/>
  <c r="I133" i="4"/>
  <c r="H133" i="4"/>
  <c r="CF132" i="4"/>
  <c r="CE132" i="4"/>
  <c r="CG132" i="4"/>
  <c r="BZ132" i="4"/>
  <c r="CD132" i="4"/>
  <c r="CC132" i="4"/>
  <c r="CF131" i="4"/>
  <c r="CE131" i="4"/>
  <c r="CG131" i="4"/>
  <c r="BZ131" i="4"/>
  <c r="CD131" i="4"/>
  <c r="CC131" i="4"/>
  <c r="CF130" i="4"/>
  <c r="CE130" i="4"/>
  <c r="CG130" i="4"/>
  <c r="BZ130" i="4"/>
  <c r="CD130" i="4"/>
  <c r="CC130" i="4"/>
  <c r="I130" i="4"/>
  <c r="H130" i="4"/>
  <c r="CF129" i="4"/>
  <c r="CE129" i="4"/>
  <c r="CG129" i="4"/>
  <c r="BZ129" i="4"/>
  <c r="CD129" i="4"/>
  <c r="CC129" i="4"/>
  <c r="CF128" i="4"/>
  <c r="CE128" i="4"/>
  <c r="CG128" i="4"/>
  <c r="BZ128" i="4"/>
  <c r="CD128" i="4"/>
  <c r="CC128" i="4"/>
  <c r="I128" i="4"/>
  <c r="H128" i="4"/>
  <c r="CF127" i="4"/>
  <c r="CE127" i="4"/>
  <c r="CG127" i="4"/>
  <c r="BZ127" i="4"/>
  <c r="CD127" i="4"/>
  <c r="CC127" i="4"/>
  <c r="CF126" i="4"/>
  <c r="CE126" i="4"/>
  <c r="CG126" i="4"/>
  <c r="BZ126" i="4"/>
  <c r="CD126" i="4"/>
  <c r="CC126" i="4"/>
  <c r="CF125" i="4"/>
  <c r="CE125" i="4"/>
  <c r="CG125" i="4"/>
  <c r="BZ125" i="4"/>
  <c r="CD125" i="4"/>
  <c r="CC125" i="4"/>
  <c r="CF124" i="4"/>
  <c r="CE124" i="4"/>
  <c r="CG124" i="4"/>
  <c r="BZ124" i="4"/>
  <c r="CD124" i="4"/>
  <c r="CC124" i="4"/>
  <c r="CF123" i="4"/>
  <c r="CE123" i="4"/>
  <c r="CG123" i="4"/>
  <c r="BZ123" i="4"/>
  <c r="CD123" i="4"/>
  <c r="CC123" i="4"/>
  <c r="CF122" i="4"/>
  <c r="CE122" i="4"/>
  <c r="CG122" i="4"/>
  <c r="BZ122" i="4"/>
  <c r="CD122" i="4"/>
  <c r="CC122" i="4"/>
  <c r="CF121" i="4"/>
  <c r="CE121" i="4"/>
  <c r="CG121" i="4"/>
  <c r="BZ121" i="4"/>
  <c r="CD121" i="4"/>
  <c r="CC121" i="4"/>
  <c r="CF120" i="4"/>
  <c r="CE120" i="4"/>
  <c r="CG120" i="4"/>
  <c r="BZ120" i="4"/>
  <c r="CD120" i="4"/>
  <c r="CC120" i="4"/>
  <c r="CF119" i="4"/>
  <c r="CE119" i="4"/>
  <c r="CG119" i="4"/>
  <c r="BZ119" i="4"/>
  <c r="CD119" i="4"/>
  <c r="CC119" i="4"/>
  <c r="CF118" i="4"/>
  <c r="CE118" i="4"/>
  <c r="CG118" i="4"/>
  <c r="BZ118" i="4"/>
  <c r="CD118" i="4"/>
  <c r="CC118" i="4"/>
  <c r="CF117" i="4"/>
  <c r="CE117" i="4"/>
  <c r="CG117" i="4"/>
  <c r="BZ117" i="4"/>
  <c r="CD117" i="4"/>
  <c r="CC117" i="4"/>
  <c r="CF116" i="4"/>
  <c r="CE116" i="4"/>
  <c r="CG116" i="4"/>
  <c r="BZ116" i="4"/>
  <c r="CD116" i="4"/>
  <c r="CC116" i="4"/>
  <c r="CF115" i="4"/>
  <c r="CE115" i="4"/>
  <c r="CG115" i="4"/>
  <c r="BZ115" i="4"/>
  <c r="CD115" i="4"/>
  <c r="CC115" i="4"/>
  <c r="CF114" i="4"/>
  <c r="CE114" i="4"/>
  <c r="CG114" i="4"/>
  <c r="BZ114" i="4"/>
  <c r="CD114" i="4"/>
  <c r="CC114" i="4"/>
  <c r="CF113" i="4"/>
  <c r="CE113" i="4"/>
  <c r="CG113" i="4"/>
  <c r="BZ113" i="4"/>
  <c r="CD113" i="4"/>
  <c r="CC113" i="4"/>
  <c r="CF112" i="4"/>
  <c r="CE112" i="4"/>
  <c r="CG112" i="4"/>
  <c r="BZ112" i="4"/>
  <c r="CD112" i="4"/>
  <c r="CC112" i="4"/>
  <c r="CF111" i="4"/>
  <c r="CE111" i="4"/>
  <c r="CG111" i="4"/>
  <c r="BZ111" i="4"/>
  <c r="CD111" i="4"/>
  <c r="CC111" i="4"/>
  <c r="CF110" i="4"/>
  <c r="CE110" i="4"/>
  <c r="CG110" i="4"/>
  <c r="BZ110" i="4"/>
  <c r="CD110" i="4"/>
  <c r="CC110" i="4"/>
  <c r="CF109" i="4"/>
  <c r="CE109" i="4"/>
  <c r="CG109" i="4"/>
  <c r="BZ109" i="4"/>
  <c r="CD109" i="4"/>
  <c r="CC109" i="4"/>
  <c r="CF108" i="4"/>
  <c r="CE108" i="4"/>
  <c r="CG108" i="4"/>
  <c r="BZ108" i="4"/>
  <c r="CD108" i="4"/>
  <c r="CC108" i="4"/>
  <c r="CF107" i="4"/>
  <c r="CE107" i="4"/>
  <c r="CG107" i="4"/>
  <c r="BZ107" i="4"/>
  <c r="CD107" i="4"/>
  <c r="CC107" i="4"/>
  <c r="CF106" i="4"/>
  <c r="CE106" i="4"/>
  <c r="CG106" i="4"/>
  <c r="BZ106" i="4"/>
  <c r="CD106" i="4"/>
  <c r="CC106" i="4"/>
  <c r="CF105" i="4"/>
  <c r="CE105" i="4"/>
  <c r="CG105" i="4"/>
  <c r="BZ105" i="4"/>
  <c r="CD105" i="4"/>
  <c r="CC105" i="4"/>
  <c r="CF104" i="4"/>
  <c r="CE104" i="4"/>
  <c r="CG104" i="4"/>
  <c r="BZ104" i="4"/>
  <c r="CD104" i="4"/>
  <c r="CC104" i="4"/>
  <c r="CF103" i="4"/>
  <c r="CE103" i="4"/>
  <c r="CG103" i="4"/>
  <c r="BZ103" i="4"/>
  <c r="CD103" i="4"/>
  <c r="CC103" i="4"/>
  <c r="CF102" i="4"/>
  <c r="CE102" i="4"/>
  <c r="CG102" i="4"/>
  <c r="BZ102" i="4"/>
  <c r="CD102" i="4"/>
  <c r="CC102" i="4"/>
  <c r="CF101" i="4"/>
  <c r="CE101" i="4"/>
  <c r="CG101" i="4"/>
  <c r="BZ101" i="4"/>
  <c r="CD101" i="4"/>
  <c r="CC101" i="4"/>
  <c r="CF100" i="4"/>
  <c r="CE100" i="4"/>
  <c r="CG100" i="4"/>
  <c r="BZ100" i="4"/>
  <c r="CD100" i="4"/>
  <c r="CC100" i="4"/>
  <c r="CF99" i="4"/>
  <c r="CE99" i="4"/>
  <c r="CG99" i="4"/>
  <c r="BZ99" i="4"/>
  <c r="CD99" i="4"/>
  <c r="CC99" i="4"/>
  <c r="CF98" i="4"/>
  <c r="CE98" i="4"/>
  <c r="CG98" i="4"/>
  <c r="BZ98" i="4"/>
  <c r="CD98" i="4"/>
  <c r="CC98" i="4"/>
  <c r="CF97" i="4"/>
  <c r="CE97" i="4"/>
  <c r="CG97" i="4"/>
  <c r="BZ97" i="4"/>
  <c r="CD97" i="4"/>
  <c r="CC97" i="4"/>
  <c r="CF96" i="4"/>
  <c r="CE96" i="4"/>
  <c r="CG96" i="4"/>
  <c r="BZ96" i="4"/>
  <c r="CD96" i="4"/>
  <c r="CC96" i="4"/>
  <c r="CF95" i="4"/>
  <c r="CE95" i="4"/>
  <c r="CG95" i="4"/>
  <c r="BZ95" i="4"/>
  <c r="CD95" i="4"/>
  <c r="CC95" i="4"/>
  <c r="CF94" i="4"/>
  <c r="CE94" i="4"/>
  <c r="CG94" i="4"/>
  <c r="BZ94" i="4"/>
  <c r="CD94" i="4"/>
  <c r="CC94" i="4"/>
  <c r="CF93" i="4"/>
  <c r="CE93" i="4"/>
  <c r="CG93" i="4"/>
  <c r="BZ93" i="4"/>
  <c r="CD93" i="4"/>
  <c r="CC93" i="4"/>
  <c r="I93" i="4"/>
  <c r="H93" i="4"/>
  <c r="CF92" i="4"/>
  <c r="CE92" i="4"/>
  <c r="CG92" i="4"/>
  <c r="BZ92" i="4"/>
  <c r="CD92" i="4"/>
  <c r="CC92" i="4"/>
  <c r="CF91" i="4"/>
  <c r="CE91" i="4"/>
  <c r="CG91" i="4"/>
  <c r="BZ91" i="4"/>
  <c r="CD91" i="4"/>
  <c r="CC91" i="4"/>
  <c r="CF90" i="4"/>
  <c r="CE90" i="4"/>
  <c r="CG90" i="4"/>
  <c r="BZ90" i="4"/>
  <c r="CD90" i="4"/>
  <c r="CC90" i="4"/>
  <c r="CF89" i="4"/>
  <c r="CE89" i="4"/>
  <c r="CG89" i="4"/>
  <c r="BZ89" i="4"/>
  <c r="CD89" i="4"/>
  <c r="CC89" i="4"/>
  <c r="CF88" i="4"/>
  <c r="CE88" i="4"/>
  <c r="CG88" i="4"/>
  <c r="BZ88" i="4"/>
  <c r="CD88" i="4"/>
  <c r="CC88" i="4"/>
  <c r="CF87" i="4"/>
  <c r="CE87" i="4"/>
  <c r="CG87" i="4"/>
  <c r="BZ87" i="4"/>
  <c r="CD87" i="4"/>
  <c r="CC87" i="4"/>
  <c r="CF86" i="4"/>
  <c r="CE86" i="4"/>
  <c r="CG86" i="4"/>
  <c r="BZ86" i="4"/>
  <c r="CD86" i="4"/>
  <c r="CC86" i="4"/>
  <c r="CF85" i="4"/>
  <c r="CE85" i="4"/>
  <c r="CG85" i="4"/>
  <c r="BZ85" i="4"/>
  <c r="CD85" i="4"/>
  <c r="CC85" i="4"/>
  <c r="CF84" i="4"/>
  <c r="CE84" i="4"/>
  <c r="CG84" i="4"/>
  <c r="BZ84" i="4"/>
  <c r="CD84" i="4"/>
  <c r="CC84" i="4"/>
  <c r="CF83" i="4"/>
  <c r="CE83" i="4"/>
  <c r="CG83" i="4"/>
  <c r="BZ83" i="4"/>
  <c r="CD83" i="4"/>
  <c r="CC83" i="4"/>
  <c r="CF82" i="4"/>
  <c r="CE82" i="4"/>
  <c r="CG82" i="4"/>
  <c r="BZ82" i="4"/>
  <c r="CD82" i="4"/>
  <c r="CC82" i="4"/>
  <c r="CF81" i="4"/>
  <c r="CE81" i="4"/>
  <c r="CG81" i="4"/>
  <c r="BZ81" i="4"/>
  <c r="CD81" i="4"/>
  <c r="CC81" i="4"/>
  <c r="CF80" i="4"/>
  <c r="CE80" i="4"/>
  <c r="CG80" i="4"/>
  <c r="BZ80" i="4"/>
  <c r="CD80" i="4"/>
  <c r="CC80" i="4"/>
  <c r="CF79" i="4"/>
  <c r="CE79" i="4"/>
  <c r="CG79" i="4"/>
  <c r="BZ79" i="4"/>
  <c r="CD79" i="4"/>
  <c r="CC79" i="4"/>
  <c r="CF78" i="4"/>
  <c r="CE78" i="4"/>
  <c r="CG78" i="4"/>
  <c r="BZ78" i="4"/>
  <c r="CD78" i="4"/>
  <c r="CC78" i="4"/>
  <c r="CF77" i="4"/>
  <c r="CE77" i="4"/>
  <c r="CG77" i="4"/>
  <c r="BZ77" i="4"/>
  <c r="CD77" i="4"/>
  <c r="CC77" i="4"/>
  <c r="CF76" i="4"/>
  <c r="CE76" i="4"/>
  <c r="CG76" i="4"/>
  <c r="BZ76" i="4"/>
  <c r="CD76" i="4"/>
  <c r="CC76" i="4"/>
  <c r="CF75" i="4"/>
  <c r="CE75" i="4"/>
  <c r="CG75" i="4"/>
  <c r="BZ75" i="4"/>
  <c r="CD75" i="4"/>
  <c r="CC75" i="4"/>
  <c r="CF74" i="4"/>
  <c r="CE74" i="4"/>
  <c r="CG74" i="4"/>
  <c r="BZ74" i="4"/>
  <c r="CD74" i="4"/>
  <c r="CC74" i="4"/>
  <c r="CF73" i="4"/>
  <c r="CE73" i="4"/>
  <c r="CG73" i="4"/>
  <c r="BZ73" i="4"/>
  <c r="CD73" i="4"/>
  <c r="CC73" i="4"/>
  <c r="CF72" i="4"/>
  <c r="CE72" i="4"/>
  <c r="CG72" i="4"/>
  <c r="BZ72" i="4"/>
  <c r="CD72" i="4"/>
  <c r="CC72" i="4"/>
  <c r="CF71" i="4"/>
  <c r="CE71" i="4"/>
  <c r="CG71" i="4"/>
  <c r="BZ71" i="4"/>
  <c r="CD71" i="4"/>
  <c r="CC71" i="4"/>
  <c r="CF70" i="4"/>
  <c r="CE70" i="4"/>
  <c r="CG70" i="4"/>
  <c r="BZ70" i="4"/>
  <c r="CD70" i="4"/>
  <c r="CC70" i="4"/>
  <c r="CF69" i="4"/>
  <c r="CE69" i="4"/>
  <c r="CG69" i="4"/>
  <c r="BZ69" i="4"/>
  <c r="CD69" i="4"/>
  <c r="CC69" i="4"/>
  <c r="CF68" i="4"/>
  <c r="CE68" i="4"/>
  <c r="CG68" i="4"/>
  <c r="BZ68" i="4"/>
  <c r="CD68" i="4"/>
  <c r="CC68" i="4"/>
  <c r="CF67" i="4"/>
  <c r="CE67" i="4"/>
  <c r="CG67" i="4"/>
  <c r="BZ67" i="4"/>
  <c r="CD67" i="4"/>
  <c r="CC67" i="4"/>
  <c r="CF66" i="4"/>
  <c r="CE66" i="4"/>
  <c r="CG66" i="4"/>
  <c r="BZ66" i="4"/>
  <c r="CD66" i="4"/>
  <c r="CC66" i="4"/>
  <c r="CF65" i="4"/>
  <c r="CE65" i="4"/>
  <c r="CG65" i="4"/>
  <c r="BZ65" i="4"/>
  <c r="CD65" i="4"/>
  <c r="CC65" i="4"/>
  <c r="CF64" i="4"/>
  <c r="CE64" i="4"/>
  <c r="CG64" i="4"/>
  <c r="BZ64" i="4"/>
  <c r="CD64" i="4"/>
  <c r="CC64" i="4"/>
  <c r="CF63" i="4"/>
  <c r="CE63" i="4"/>
  <c r="CG63" i="4"/>
  <c r="BZ63" i="4"/>
  <c r="CD63" i="4"/>
  <c r="CC63" i="4"/>
  <c r="CF62" i="4"/>
  <c r="CE62" i="4"/>
  <c r="CG62" i="4"/>
  <c r="BZ62" i="4"/>
  <c r="CD62" i="4"/>
  <c r="CC62" i="4"/>
  <c r="CF61" i="4"/>
  <c r="CE61" i="4"/>
  <c r="CG61" i="4"/>
  <c r="BZ61" i="4"/>
  <c r="CD61" i="4"/>
  <c r="CC61" i="4"/>
  <c r="CF60" i="4"/>
  <c r="CE60" i="4"/>
  <c r="CG60" i="4"/>
  <c r="BZ60" i="4"/>
  <c r="CD60" i="4"/>
  <c r="CC60" i="4"/>
  <c r="CF59" i="4"/>
  <c r="CE59" i="4"/>
  <c r="CG59" i="4"/>
  <c r="BZ59" i="4"/>
  <c r="CD59" i="4"/>
  <c r="CC59" i="4"/>
  <c r="CF58" i="4"/>
  <c r="CE58" i="4"/>
  <c r="CG58" i="4"/>
  <c r="BZ58" i="4"/>
  <c r="CD58" i="4"/>
  <c r="CC58" i="4"/>
  <c r="CF57" i="4"/>
  <c r="CE57" i="4"/>
  <c r="CG57" i="4"/>
  <c r="BZ57" i="4"/>
  <c r="CD57" i="4"/>
  <c r="CC57" i="4"/>
  <c r="CF56" i="4"/>
  <c r="CE56" i="4"/>
  <c r="CG56" i="4"/>
  <c r="BZ56" i="4"/>
  <c r="CD56" i="4"/>
  <c r="CC56" i="4"/>
  <c r="CF55" i="4"/>
  <c r="CE55" i="4"/>
  <c r="CG55" i="4"/>
  <c r="BZ55" i="4"/>
  <c r="CD55" i="4"/>
  <c r="CC55" i="4"/>
  <c r="CF54" i="4"/>
  <c r="CE54" i="4"/>
  <c r="CG54" i="4"/>
  <c r="BZ54" i="4"/>
  <c r="CD54" i="4"/>
  <c r="CC54" i="4"/>
  <c r="CF53" i="4"/>
  <c r="CE53" i="4"/>
  <c r="CG53" i="4"/>
  <c r="BZ53" i="4"/>
  <c r="CD53" i="4"/>
  <c r="CC53" i="4"/>
  <c r="CF52" i="4"/>
  <c r="CE52" i="4"/>
  <c r="CG52" i="4"/>
  <c r="BZ52" i="4"/>
  <c r="CD52" i="4"/>
  <c r="CC52" i="4"/>
  <c r="CF51" i="4"/>
  <c r="CE51" i="4"/>
  <c r="CG51" i="4"/>
  <c r="BZ51" i="4"/>
  <c r="CD51" i="4"/>
  <c r="CC51" i="4"/>
  <c r="CF50" i="4"/>
  <c r="CE50" i="4"/>
  <c r="CG50" i="4"/>
  <c r="BZ50" i="4"/>
  <c r="CD50" i="4"/>
  <c r="CC50" i="4"/>
  <c r="I50" i="4"/>
  <c r="CF49" i="4"/>
  <c r="CE49" i="4"/>
  <c r="CG49" i="4"/>
  <c r="BZ49" i="4"/>
  <c r="CD49" i="4"/>
  <c r="CC49" i="4"/>
  <c r="CF48" i="4"/>
  <c r="CE48" i="4"/>
  <c r="CG48" i="4"/>
  <c r="BZ48" i="4"/>
  <c r="CD48" i="4"/>
  <c r="CC48" i="4"/>
  <c r="CF47" i="4"/>
  <c r="CE47" i="4"/>
  <c r="CG47" i="4"/>
  <c r="BZ47" i="4"/>
  <c r="CD47" i="4"/>
  <c r="CC47" i="4"/>
  <c r="CF46" i="4"/>
  <c r="CE46" i="4"/>
  <c r="CG46" i="4"/>
  <c r="BZ46" i="4"/>
  <c r="CD46" i="4"/>
  <c r="CC46" i="4"/>
  <c r="CF45" i="4"/>
  <c r="CE45" i="4"/>
  <c r="CG45" i="4"/>
  <c r="BZ45" i="4"/>
  <c r="CD45" i="4"/>
  <c r="CC45" i="4"/>
  <c r="CF44" i="4"/>
  <c r="CE44" i="4"/>
  <c r="CG44" i="4"/>
  <c r="BZ44" i="4"/>
  <c r="CD44" i="4"/>
  <c r="CC44" i="4"/>
  <c r="CF43" i="4"/>
  <c r="CE43" i="4"/>
  <c r="CG43" i="4"/>
  <c r="BZ43" i="4"/>
  <c r="CD43" i="4"/>
  <c r="CC43" i="4"/>
  <c r="CF42" i="4"/>
  <c r="CE42" i="4"/>
  <c r="CG42" i="4"/>
  <c r="BZ42" i="4"/>
  <c r="CD42" i="4"/>
  <c r="CC42" i="4"/>
  <c r="CF41" i="4"/>
  <c r="CE41" i="4"/>
  <c r="CG41" i="4"/>
  <c r="BZ41" i="4"/>
  <c r="CD41" i="4"/>
  <c r="CC41" i="4"/>
  <c r="I41" i="4"/>
  <c r="H41" i="4"/>
  <c r="CF40" i="4"/>
  <c r="CE40" i="4"/>
  <c r="CG40" i="4"/>
  <c r="BZ40" i="4"/>
  <c r="CD40" i="4"/>
  <c r="CC40" i="4"/>
  <c r="CF39" i="4"/>
  <c r="CE39" i="4"/>
  <c r="CG39" i="4"/>
  <c r="BZ39" i="4"/>
  <c r="CD39" i="4"/>
  <c r="CC39" i="4"/>
  <c r="CF38" i="4"/>
  <c r="CE38" i="4"/>
  <c r="CG38" i="4"/>
  <c r="BZ38" i="4"/>
  <c r="CD38" i="4"/>
  <c r="CC38" i="4"/>
  <c r="I38" i="4"/>
  <c r="H38" i="4"/>
  <c r="CF37" i="4"/>
  <c r="CE37" i="4"/>
  <c r="CG37" i="4"/>
  <c r="BZ37" i="4"/>
  <c r="CD37" i="4"/>
  <c r="CC37" i="4"/>
  <c r="I37" i="4"/>
  <c r="H37" i="4"/>
  <c r="CF36" i="4"/>
  <c r="CE36" i="4"/>
  <c r="CG36" i="4"/>
  <c r="BZ36" i="4"/>
  <c r="CD36" i="4"/>
  <c r="CC36" i="4"/>
  <c r="I36" i="4"/>
  <c r="CF35" i="4"/>
  <c r="CE35" i="4"/>
  <c r="CG35" i="4"/>
  <c r="BZ35" i="4"/>
  <c r="CD35" i="4"/>
  <c r="CC35" i="4"/>
  <c r="I35" i="4"/>
  <c r="H35" i="4"/>
  <c r="CF34" i="4"/>
  <c r="CE34" i="4"/>
  <c r="CG34" i="4"/>
  <c r="BZ34" i="4"/>
  <c r="CD34" i="4"/>
  <c r="CC34" i="4"/>
  <c r="CF33" i="4"/>
  <c r="CE33" i="4"/>
  <c r="CG33" i="4"/>
  <c r="BZ33" i="4"/>
  <c r="CD33" i="4"/>
  <c r="CC33" i="4"/>
  <c r="CF32" i="4"/>
  <c r="CE32" i="4"/>
  <c r="CG32" i="4"/>
  <c r="BZ32" i="4"/>
  <c r="CD32" i="4"/>
  <c r="CC32" i="4"/>
  <c r="CF31" i="4"/>
  <c r="CE31" i="4"/>
  <c r="CG31" i="4"/>
  <c r="BZ31" i="4"/>
  <c r="CD31" i="4"/>
  <c r="CC31" i="4"/>
  <c r="CF30" i="4"/>
  <c r="CE30" i="4"/>
  <c r="CG30" i="4"/>
  <c r="BZ30" i="4"/>
  <c r="CD30" i="4"/>
  <c r="CC30" i="4"/>
  <c r="CF29" i="4"/>
  <c r="CE29" i="4"/>
  <c r="CG29" i="4"/>
  <c r="BZ29" i="4"/>
  <c r="CD29" i="4"/>
  <c r="CC29" i="4"/>
  <c r="CF28" i="4"/>
  <c r="CE28" i="4"/>
  <c r="CG28" i="4"/>
  <c r="BZ28" i="4"/>
  <c r="CD28" i="4"/>
  <c r="CC28" i="4"/>
  <c r="CF27" i="4"/>
  <c r="CE27" i="4"/>
  <c r="CG27" i="4"/>
  <c r="BZ27" i="4"/>
  <c r="CD27" i="4"/>
  <c r="CC27" i="4"/>
  <c r="CF26" i="4"/>
  <c r="CE26" i="4"/>
  <c r="CG26" i="4"/>
  <c r="BZ26" i="4"/>
  <c r="CD26" i="4"/>
  <c r="CC26" i="4"/>
  <c r="CF25" i="4"/>
  <c r="CE25" i="4"/>
  <c r="CG25" i="4"/>
  <c r="BZ25" i="4"/>
  <c r="CD25" i="4"/>
  <c r="CC25" i="4"/>
  <c r="CF24" i="4"/>
  <c r="CE24" i="4"/>
  <c r="CG24" i="4"/>
  <c r="BZ24" i="4"/>
  <c r="CD24" i="4"/>
  <c r="CC24" i="4"/>
  <c r="CF23" i="4"/>
  <c r="CE23" i="4"/>
  <c r="CG23" i="4"/>
  <c r="BZ23" i="4"/>
  <c r="CD23" i="4"/>
  <c r="CC23" i="4"/>
  <c r="CF22" i="4"/>
  <c r="CE22" i="4"/>
  <c r="CG22" i="4"/>
  <c r="BZ22" i="4"/>
  <c r="CD22" i="4"/>
  <c r="CC22" i="4"/>
  <c r="CF21" i="4"/>
  <c r="CE21" i="4"/>
  <c r="CG21" i="4"/>
  <c r="BZ21" i="4"/>
  <c r="CD21" i="4"/>
  <c r="CC21" i="4"/>
  <c r="I21" i="4"/>
  <c r="H21" i="4"/>
  <c r="CF20" i="4"/>
  <c r="CE20" i="4"/>
  <c r="CG20" i="4"/>
  <c r="BZ20" i="4"/>
  <c r="CD20" i="4"/>
  <c r="CC20" i="4"/>
  <c r="CF19" i="4"/>
  <c r="CE19" i="4"/>
  <c r="CG19" i="4"/>
  <c r="BZ19" i="4"/>
  <c r="CD19" i="4"/>
  <c r="CC19" i="4"/>
  <c r="CF18" i="4"/>
  <c r="CE18" i="4"/>
  <c r="CG18" i="4"/>
  <c r="BZ18" i="4"/>
  <c r="CD18" i="4"/>
  <c r="CC18" i="4"/>
  <c r="CF17" i="4"/>
  <c r="CE17" i="4"/>
  <c r="CG17" i="4"/>
  <c r="BZ17" i="4"/>
  <c r="CD17" i="4"/>
  <c r="CC17" i="4"/>
  <c r="CF16" i="4"/>
  <c r="CE16" i="4"/>
  <c r="CG16" i="4"/>
  <c r="BZ16" i="4"/>
  <c r="CD16" i="4"/>
  <c r="CC16" i="4"/>
  <c r="CF15" i="4"/>
  <c r="CE15" i="4"/>
  <c r="CG15" i="4"/>
  <c r="BZ15" i="4"/>
  <c r="CD15" i="4"/>
  <c r="CC15" i="4"/>
  <c r="CF14" i="4"/>
  <c r="CE14" i="4"/>
  <c r="CG14" i="4"/>
  <c r="BZ14" i="4"/>
  <c r="CD14" i="4"/>
  <c r="CC14" i="4"/>
  <c r="CF13" i="4"/>
  <c r="CE13" i="4"/>
  <c r="CG13" i="4"/>
  <c r="BZ13" i="4"/>
  <c r="CD13" i="4"/>
  <c r="CC13" i="4"/>
  <c r="CF12" i="4"/>
  <c r="CE12" i="4"/>
  <c r="CG12" i="4"/>
  <c r="BZ12" i="4"/>
  <c r="CD12" i="4"/>
  <c r="CC12" i="4"/>
  <c r="CF11" i="4"/>
  <c r="CE11" i="4"/>
  <c r="CG11" i="4"/>
  <c r="BZ11" i="4"/>
  <c r="CD11" i="4"/>
  <c r="CC11" i="4"/>
  <c r="CF10" i="4"/>
  <c r="CE10" i="4"/>
  <c r="CG10" i="4"/>
  <c r="BZ10" i="4"/>
  <c r="CD10" i="4"/>
  <c r="CC10" i="4"/>
  <c r="CF9" i="4"/>
  <c r="CE9" i="4"/>
  <c r="CG9" i="4"/>
  <c r="BZ9" i="4"/>
  <c r="CD9" i="4"/>
  <c r="CC9" i="4"/>
  <c r="CF8" i="4"/>
  <c r="CE8" i="4"/>
  <c r="CG8" i="4"/>
  <c r="BZ8" i="4"/>
  <c r="CD8" i="4"/>
  <c r="CC8" i="4"/>
  <c r="CF7" i="4"/>
  <c r="CE7" i="4"/>
  <c r="CG7" i="4"/>
  <c r="BZ7" i="4"/>
  <c r="CD7" i="4"/>
  <c r="CC7" i="4"/>
  <c r="CF6" i="4"/>
  <c r="CE6" i="4"/>
  <c r="CG6" i="4"/>
  <c r="BZ6" i="4"/>
  <c r="CD6" i="4"/>
  <c r="CC6" i="4"/>
  <c r="CF5" i="4"/>
  <c r="CE5" i="4"/>
  <c r="CG5" i="4"/>
  <c r="BZ5" i="4"/>
  <c r="CD5" i="4"/>
  <c r="CC5" i="4"/>
  <c r="CF4" i="4"/>
  <c r="CE4" i="4"/>
  <c r="CG4" i="4"/>
  <c r="BZ4" i="4"/>
  <c r="CD4" i="4"/>
  <c r="CC4" i="4"/>
  <c r="CF3" i="4"/>
  <c r="CE3" i="4"/>
  <c r="CG3" i="4"/>
  <c r="BZ3" i="4"/>
  <c r="CD3" i="4"/>
  <c r="CC3" i="4"/>
  <c r="CF2" i="4"/>
  <c r="CE2" i="4"/>
  <c r="CG2" i="4"/>
  <c r="BZ2" i="4"/>
  <c r="CD2" i="4"/>
  <c r="CC2" i="4"/>
</calcChain>
</file>

<file path=xl/sharedStrings.xml><?xml version="1.0" encoding="utf-8"?>
<sst xmlns="http://schemas.openxmlformats.org/spreadsheetml/2006/main" count="2678" uniqueCount="1432">
  <si>
    <t>site_name</t>
  </si>
  <si>
    <t>Parkin_Punctated</t>
  </si>
  <si>
    <t>Barton/Kent/MPI</t>
  </si>
  <si>
    <t>ranch_inc</t>
  </si>
  <si>
    <t>painted</t>
  </si>
  <si>
    <t>rhodes_inc</t>
  </si>
  <si>
    <t>walls_eng</t>
  </si>
  <si>
    <t>vernon_pal</t>
  </si>
  <si>
    <t>fortune_nd</t>
  </si>
  <si>
    <t>Porter</t>
  </si>
  <si>
    <t>40LA007</t>
  </si>
  <si>
    <t>Hatchie</t>
  </si>
  <si>
    <t>Bishop</t>
  </si>
  <si>
    <t>Richardsons_Landing</t>
  </si>
  <si>
    <t>Wilder</t>
  </si>
  <si>
    <t>40TP026</t>
  </si>
  <si>
    <t>Jones_Bayou</t>
  </si>
  <si>
    <t>Fullen</t>
  </si>
  <si>
    <t>Jeter</t>
  </si>
  <si>
    <t>Rast</t>
  </si>
  <si>
    <t>Norfolk</t>
  </si>
  <si>
    <t>Lake_Cormorant</t>
  </si>
  <si>
    <t>Upper_Nodena</t>
  </si>
  <si>
    <t>Notgrass</t>
  </si>
  <si>
    <t>Wall</t>
  </si>
  <si>
    <t>Irby</t>
  </si>
  <si>
    <t>Castile_Landing</t>
  </si>
  <si>
    <t>Hollywood</t>
  </si>
  <si>
    <t>Commerce</t>
  </si>
  <si>
    <t>Rose_Mound</t>
  </si>
  <si>
    <t>Cramor</t>
  </si>
  <si>
    <t>Neeleys_Ferry</t>
  </si>
  <si>
    <t>Vernon Paul</t>
  </si>
  <si>
    <t>Turnbow</t>
  </si>
  <si>
    <t>Williamson</t>
  </si>
  <si>
    <t>Barton</t>
  </si>
  <si>
    <t>Parkin</t>
  </si>
  <si>
    <t>Cheatham</t>
  </si>
  <si>
    <t>Woodlyn</t>
  </si>
  <si>
    <t>Beck</t>
  </si>
  <si>
    <t>Nickel</t>
  </si>
  <si>
    <t>Carson_Lake</t>
  </si>
  <si>
    <t>Mound_Place</t>
  </si>
  <si>
    <t>Young</t>
  </si>
  <si>
    <t>Big_Eddy</t>
  </si>
  <si>
    <t>Pouncey</t>
  </si>
  <si>
    <t>Dundee</t>
  </si>
  <si>
    <t>Starkley</t>
  </si>
  <si>
    <t>Cummins</t>
  </si>
  <si>
    <t>Fortune</t>
  </si>
  <si>
    <t>Connor</t>
  </si>
  <si>
    <t>Walls</t>
  </si>
  <si>
    <t>West_Mounds</t>
  </si>
  <si>
    <t>Parchman</t>
  </si>
  <si>
    <t>Salomon</t>
  </si>
  <si>
    <t>Chuccalissa</t>
  </si>
  <si>
    <t>Graves_Lake</t>
  </si>
  <si>
    <t>Kent</t>
  </si>
  <si>
    <t>Clay_Hill</t>
  </si>
  <si>
    <t>Soudan</t>
  </si>
  <si>
    <t>Davis</t>
  </si>
  <si>
    <t>Grant</t>
  </si>
  <si>
    <t>Belle_Meade</t>
  </si>
  <si>
    <t>Assemblages</t>
  </si>
  <si>
    <t>Painted</t>
  </si>
  <si>
    <t>Fortune_Noded</t>
  </si>
  <si>
    <t>Ranch_Incised</t>
  </si>
  <si>
    <t>Walls_Engraved</t>
  </si>
  <si>
    <t>Wallace_Incised</t>
  </si>
  <si>
    <t>Rhodes_Incised</t>
  </si>
  <si>
    <t>Vernon_Paul_Applique</t>
  </si>
  <si>
    <t>Hull_Engraved</t>
  </si>
  <si>
    <t>10-P-1</t>
  </si>
  <si>
    <t>11-N-9</t>
  </si>
  <si>
    <t>11-N-1</t>
  </si>
  <si>
    <t>11-O-10</t>
  </si>
  <si>
    <t>11-N-4</t>
  </si>
  <si>
    <t>13-N-5</t>
  </si>
  <si>
    <t>13-N-4</t>
  </si>
  <si>
    <t>13-N-16</t>
  </si>
  <si>
    <t>13-O-11</t>
  </si>
  <si>
    <t>13-O-10</t>
  </si>
  <si>
    <t>13-P-1</t>
  </si>
  <si>
    <t>13-P-8</t>
  </si>
  <si>
    <t>13-P-10</t>
  </si>
  <si>
    <t>13-O-7</t>
  </si>
  <si>
    <t>13-O-5</t>
  </si>
  <si>
    <t>13-N-21</t>
  </si>
  <si>
    <t>12-O-5</t>
  </si>
  <si>
    <t>Holden_Lake</t>
  </si>
  <si>
    <t>13-N-15</t>
  </si>
  <si>
    <t>12-N-3</t>
  </si>
  <si>
    <t>Site Name</t>
  </si>
  <si>
    <t>Site Number</t>
  </si>
  <si>
    <t>State</t>
  </si>
  <si>
    <t>AMASDA #</t>
  </si>
  <si>
    <t>County</t>
  </si>
  <si>
    <t>Quad</t>
  </si>
  <si>
    <t>T/R/S</t>
  </si>
  <si>
    <t>UTM North</t>
  </si>
  <si>
    <t>UTM E</t>
  </si>
  <si>
    <t>Zone</t>
  </si>
  <si>
    <t>Location</t>
  </si>
  <si>
    <t>PFG Type</t>
  </si>
  <si>
    <t>Collector</t>
  </si>
  <si>
    <t>PFG Collection Date</t>
  </si>
  <si>
    <t>Record Type</t>
  </si>
  <si>
    <t>Bluff Creek Punctate</t>
  </si>
  <si>
    <t>Tchefuncte Plain</t>
  </si>
  <si>
    <t>Tchefuncte Incised</t>
  </si>
  <si>
    <t>Tchefuncte Stamped</t>
  </si>
  <si>
    <t>Jaketown Simple Stamped</t>
  </si>
  <si>
    <t>Tammy Pinched</t>
  </si>
  <si>
    <t>Lake Borgne Incised</t>
  </si>
  <si>
    <t>Thomas Plain</t>
  </si>
  <si>
    <t>Bowie Plain</t>
  </si>
  <si>
    <t>Blue Lake Cordmarked</t>
  </si>
  <si>
    <t>Twin Lakes Fabric Impressed</t>
  </si>
  <si>
    <t>Cormorant Cord-impressed</t>
  </si>
  <si>
    <t>Twin Lakes Punctated</t>
  </si>
  <si>
    <t>Crowder Punctated</t>
  </si>
  <si>
    <t>Baytown Plain</t>
  </si>
  <si>
    <t>Mulberry Creek Cord-marked</t>
  </si>
  <si>
    <t>Wheeler Check Stamped</t>
  </si>
  <si>
    <t>Withers Fabric-impressed</t>
  </si>
  <si>
    <t>Indian Bay Stamped</t>
  </si>
  <si>
    <t>Oxbow Incised</t>
  </si>
  <si>
    <t>Evansville Punctated</t>
  </si>
  <si>
    <t>Yates Net Impressed</t>
  </si>
  <si>
    <t>Marksville Stamped</t>
  </si>
  <si>
    <t>Marksville Incised</t>
  </si>
  <si>
    <t>Troyville Stamped</t>
  </si>
  <si>
    <t>Churupa I ncised</t>
  </si>
  <si>
    <t>Coles Creek Incised</t>
  </si>
  <si>
    <t>Mazique Incised</t>
  </si>
  <si>
    <t>French Fork Incised</t>
  </si>
  <si>
    <t>Woodville Red Filmed</t>
  </si>
  <si>
    <t>Chevalier Stamped</t>
  </si>
  <si>
    <t>L'Eau Noire Incised</t>
  </si>
  <si>
    <t>Larto Red Filmed</t>
  </si>
  <si>
    <t>Unclass C.T. Inc. &amp; Punct.</t>
  </si>
  <si>
    <t>Neeley's Ferry Plain</t>
  </si>
  <si>
    <t>Parkin Punctated</t>
  </si>
  <si>
    <t>Parkin Incised</t>
  </si>
  <si>
    <t>Ranch Incised</t>
  </si>
  <si>
    <t>Vernon Paul Applique</t>
  </si>
  <si>
    <t>Fortune Noded</t>
  </si>
  <si>
    <t>Manly Punctated (T)</t>
  </si>
  <si>
    <t>Tyronza Punctated (T)</t>
  </si>
  <si>
    <t>Bell Plain</t>
  </si>
  <si>
    <t>Kent Incised</t>
  </si>
  <si>
    <t>Rhodes Incised</t>
  </si>
  <si>
    <t>Walls Engraved</t>
  </si>
  <si>
    <t>Hull Engraved</t>
  </si>
  <si>
    <t>Mound Place Incised (T)</t>
  </si>
  <si>
    <t xml:space="preserve">Old Town Red </t>
  </si>
  <si>
    <t>Carson Red-on-Buff</t>
  </si>
  <si>
    <t>Nodena Red and White</t>
  </si>
  <si>
    <t>Avenue Polychrome</t>
  </si>
  <si>
    <t>Hollywood White Slipped</t>
  </si>
  <si>
    <t>Spendthrift Negative Painted</t>
  </si>
  <si>
    <t>Wallace Incised</t>
  </si>
  <si>
    <t>Owens Punctated (T)</t>
  </si>
  <si>
    <t>Leland Incised</t>
  </si>
  <si>
    <t>Blanchard Incised (T)</t>
  </si>
  <si>
    <t>Arcola Incised (T)</t>
  </si>
  <si>
    <t>Unclassified St. Inc and Punct.</t>
  </si>
  <si>
    <t>Unclassified</t>
  </si>
  <si>
    <t>Shell Tempered  C.M.</t>
  </si>
  <si>
    <t>Sherd Total</t>
  </si>
  <si>
    <t>Period (From PFG Seriations)</t>
  </si>
  <si>
    <t>PFG Notes</t>
  </si>
  <si>
    <t>Percent Decorated</t>
  </si>
  <si>
    <t>Number of Plain Sherds</t>
  </si>
  <si>
    <t>Number of Shell Tempered Sherds</t>
  </si>
  <si>
    <t>Number of Decorated Shell Tempered Sherds</t>
  </si>
  <si>
    <t>Percentage of Shell Tempered Decroated Ceramics</t>
  </si>
  <si>
    <t>Area</t>
  </si>
  <si>
    <t>Carson Lake</t>
  </si>
  <si>
    <t>AR</t>
  </si>
  <si>
    <t>3MS0013</t>
  </si>
  <si>
    <t xml:space="preserve"> Mississippi</t>
  </si>
  <si>
    <t>11N/10E/   5</t>
  </si>
  <si>
    <t>Slightly elevated village site - no mounds</t>
  </si>
  <si>
    <t>Phillips</t>
  </si>
  <si>
    <t>map</t>
  </si>
  <si>
    <t>B</t>
  </si>
  <si>
    <t>Part of this is quite late</t>
  </si>
  <si>
    <t>Memphis</t>
  </si>
  <si>
    <t>Bell</t>
  </si>
  <si>
    <t>10-P-2</t>
  </si>
  <si>
    <t>3MS0008</t>
  </si>
  <si>
    <t>Mississip</t>
  </si>
  <si>
    <t>11N/09/34</t>
  </si>
  <si>
    <t>Famous burial site- village site indications not conspicuous</t>
  </si>
  <si>
    <t>A</t>
  </si>
  <si>
    <t>Nettle Ridge</t>
  </si>
  <si>
    <t>10-P-3</t>
  </si>
  <si>
    <t>3MS00014</t>
  </si>
  <si>
    <t>10N/09E/4</t>
  </si>
  <si>
    <t>Large village site - no mounds</t>
  </si>
  <si>
    <t>E-A</t>
  </si>
  <si>
    <t>What is wrong with this? An interrupted occupation?</t>
  </si>
  <si>
    <t>10-P-4</t>
  </si>
  <si>
    <t>3MS0015</t>
  </si>
  <si>
    <t>Mississippi</t>
  </si>
  <si>
    <t>11N/09E/26</t>
  </si>
  <si>
    <t>Upper Nodena</t>
  </si>
  <si>
    <t>10-Q-1</t>
  </si>
  <si>
    <t>3MS0004</t>
  </si>
  <si>
    <t>11N/10E/1</t>
  </si>
  <si>
    <t>Small mound, large village site and cemetery</t>
  </si>
  <si>
    <t>Turnage</t>
  </si>
  <si>
    <t>10-Q-3</t>
  </si>
  <si>
    <t>3MS0017</t>
  </si>
  <si>
    <t>11N/10E/13</t>
  </si>
  <si>
    <t>Small mound and village site</t>
  </si>
  <si>
    <t>3CS0029</t>
  </si>
  <si>
    <t>Cross</t>
  </si>
  <si>
    <t>08N/05E/34</t>
  </si>
  <si>
    <t>St. Francis</t>
  </si>
  <si>
    <t>Cross Country Club</t>
  </si>
  <si>
    <t>11-N-10</t>
  </si>
  <si>
    <t>3CS0068</t>
  </si>
  <si>
    <t>7N/04E/4</t>
  </si>
  <si>
    <t>Griffin, Phillips, Ford</t>
  </si>
  <si>
    <t>C</t>
  </si>
  <si>
    <t>Delta</t>
  </si>
  <si>
    <t>11-N-11</t>
  </si>
  <si>
    <t>3CS0069</t>
  </si>
  <si>
    <t>08N/05E/17</t>
  </si>
  <si>
    <t>Conical and rounded mounds</t>
  </si>
  <si>
    <t>Phillips, Ford</t>
  </si>
  <si>
    <t>11-N-12</t>
  </si>
  <si>
    <t>3CS0061</t>
  </si>
  <si>
    <t>09N/05E/2</t>
  </si>
  <si>
    <t>Mound group, plaza arrangement</t>
  </si>
  <si>
    <t>11-N-13</t>
  </si>
  <si>
    <t>3CS0026</t>
  </si>
  <si>
    <t>08N/05E/20</t>
  </si>
  <si>
    <t>St. Francis type with mounds in plaza arrangement</t>
  </si>
  <si>
    <t>Twist Plantation No. 1</t>
  </si>
  <si>
    <t>11-N-14</t>
  </si>
  <si>
    <t>3CS0070</t>
  </si>
  <si>
    <t>09N/05E/22</t>
  </si>
  <si>
    <t>Small village site - no mounds</t>
  </si>
  <si>
    <t>Griffin, Phillips</t>
  </si>
  <si>
    <t>??</t>
  </si>
  <si>
    <t>11-N-15</t>
  </si>
  <si>
    <t>3CS0071</t>
  </si>
  <si>
    <t>09N/05E/10</t>
  </si>
  <si>
    <t>Elevated village site of St. Francis type</t>
  </si>
  <si>
    <t>Twist No. 2</t>
  </si>
  <si>
    <t>11-N-16</t>
  </si>
  <si>
    <t>3CS0072</t>
  </si>
  <si>
    <t>09N/05E/14</t>
  </si>
  <si>
    <t>Large group of mounds scattered over considerable area</t>
  </si>
  <si>
    <t>Rogers</t>
  </si>
  <si>
    <t>11-N-2</t>
  </si>
  <si>
    <t>3CS0062</t>
  </si>
  <si>
    <t>08N/05E/26</t>
  </si>
  <si>
    <t>Five small conical mounds</t>
  </si>
  <si>
    <t>D</t>
  </si>
  <si>
    <t>Roberts</t>
  </si>
  <si>
    <t>11-N-3</t>
  </si>
  <si>
    <t>3CS0063</t>
  </si>
  <si>
    <t>08/05E/26</t>
  </si>
  <si>
    <t>Four low rounded mounds</t>
  </si>
  <si>
    <t>Phillips, Griffin, Ford</t>
  </si>
  <si>
    <t>Neeley's Ferry</t>
  </si>
  <si>
    <t>3CS0024</t>
  </si>
  <si>
    <t>Large mounds and village site</t>
  </si>
  <si>
    <t>Ford, Griffin</t>
  </si>
  <si>
    <t>White Place</t>
  </si>
  <si>
    <t>11-N-5</t>
  </si>
  <si>
    <t>3CS0064</t>
  </si>
  <si>
    <t>Small conical mound</t>
  </si>
  <si>
    <t>Griffin, Ford</t>
  </si>
  <si>
    <t>Block Mounds</t>
  </si>
  <si>
    <t>11-N-6</t>
  </si>
  <si>
    <t>3CS0065</t>
  </si>
  <si>
    <t>08N/05E/19</t>
  </si>
  <si>
    <t>Mound group in plaza arrangement</t>
  </si>
  <si>
    <t>Harold</t>
  </si>
  <si>
    <t>11-N-7</t>
  </si>
  <si>
    <t>3CS0066</t>
  </si>
  <si>
    <t>08N/05E/32</t>
  </si>
  <si>
    <t>Small village site</t>
  </si>
  <si>
    <t>Williams</t>
  </si>
  <si>
    <t>11-N-8</t>
  </si>
  <si>
    <t>3CS0067</t>
  </si>
  <si>
    <t>Mound group and village site</t>
  </si>
  <si>
    <t>Ford, Griffin, Phillips</t>
  </si>
  <si>
    <t>3CS0025</t>
  </si>
  <si>
    <t>08N/05E/11</t>
  </si>
  <si>
    <t>Large town site of St. Francis type</t>
  </si>
  <si>
    <t>Pittman</t>
  </si>
  <si>
    <t>11-O-1</t>
  </si>
  <si>
    <t>3PO0033</t>
  </si>
  <si>
    <t>Poinsett</t>
  </si>
  <si>
    <t>10N/06E/21</t>
  </si>
  <si>
    <t>Small conical mounds. No associated village site.</t>
  </si>
  <si>
    <t>Barton Ranch</t>
  </si>
  <si>
    <t>3CT0018</t>
  </si>
  <si>
    <t>Crittenden</t>
  </si>
  <si>
    <t>09N/07E/30</t>
  </si>
  <si>
    <t>Rectangular town site of St. Francis type, no mounds</t>
  </si>
  <si>
    <t>Plane Table Map</t>
  </si>
  <si>
    <t>Prosperity</t>
  </si>
  <si>
    <t>11-O-11</t>
  </si>
  <si>
    <t>3CT0024</t>
  </si>
  <si>
    <t>08N/07E/6</t>
  </si>
  <si>
    <t>Small mound and village site, very little material</t>
  </si>
  <si>
    <t>Map</t>
  </si>
  <si>
    <t>Webster Cemetery</t>
  </si>
  <si>
    <t>11-O-2</t>
  </si>
  <si>
    <t>3PO0034</t>
  </si>
  <si>
    <t>10N/07E/18</t>
  </si>
  <si>
    <t>Ford, Phillips</t>
  </si>
  <si>
    <t>11-O-4</t>
  </si>
  <si>
    <t>3PO243</t>
  </si>
  <si>
    <t>11N/04E/2</t>
  </si>
  <si>
    <t>Group of mounds</t>
  </si>
  <si>
    <t>Emory</t>
  </si>
  <si>
    <t>11-O-5</t>
  </si>
  <si>
    <t>3CT0020</t>
  </si>
  <si>
    <t>09N/06E/2</t>
  </si>
  <si>
    <t>Pinkston</t>
  </si>
  <si>
    <t>11-O-6</t>
  </si>
  <si>
    <t>3PO0036</t>
  </si>
  <si>
    <t>10N/06E/35</t>
  </si>
  <si>
    <t>Small conical mound and village site</t>
  </si>
  <si>
    <t>Lewis</t>
  </si>
  <si>
    <t>11-O-7</t>
  </si>
  <si>
    <t>3CT0021</t>
  </si>
  <si>
    <t>08N/06E/16</t>
  </si>
  <si>
    <t>One rectangular and several conical mounds and village site</t>
  </si>
  <si>
    <t>Richard's Place Bridge</t>
  </si>
  <si>
    <t>11-O-8</t>
  </si>
  <si>
    <t>3CT022</t>
  </si>
  <si>
    <t>08N/06E/10</t>
  </si>
  <si>
    <t>Small M. Mississippian site with remnant of a mound</t>
  </si>
  <si>
    <t>Gilliland</t>
  </si>
  <si>
    <t>11-O-9</t>
  </si>
  <si>
    <t>3CT0023</t>
  </si>
  <si>
    <t>09N/07E/31</t>
  </si>
  <si>
    <t>Shawnee Village</t>
  </si>
  <si>
    <t>11-P-1</t>
  </si>
  <si>
    <t>3MS0007</t>
  </si>
  <si>
    <t>10N/09E/10</t>
  </si>
  <si>
    <t>Mounds and village site</t>
  </si>
  <si>
    <t>Bradley</t>
  </si>
  <si>
    <t>11-P-2</t>
  </si>
  <si>
    <t>3CT0007</t>
  </si>
  <si>
    <t>08N/09E/17</t>
  </si>
  <si>
    <t>Mounds and village site (mostly destroyed)</t>
  </si>
  <si>
    <t>11-P-2/A</t>
  </si>
  <si>
    <t>Golightly</t>
  </si>
  <si>
    <t>11-P-3</t>
  </si>
  <si>
    <t>3CT0019</t>
  </si>
  <si>
    <t>09N/08E/26</t>
  </si>
  <si>
    <t>Two mounds and village site</t>
  </si>
  <si>
    <t>Pacific</t>
  </si>
  <si>
    <t>11-P-4</t>
  </si>
  <si>
    <t>3CT0026</t>
  </si>
  <si>
    <t>09N/08E/23</t>
  </si>
  <si>
    <t>Three small mounds</t>
  </si>
  <si>
    <t>Lambethville</t>
  </si>
  <si>
    <t>11-P-5</t>
  </si>
  <si>
    <t>3CT0027</t>
  </si>
  <si>
    <t>09N/09E/30</t>
  </si>
  <si>
    <t>DeRossitt's Place</t>
  </si>
  <si>
    <t>12-N-10</t>
  </si>
  <si>
    <t>3SF0027</t>
  </si>
  <si>
    <t>St Francis</t>
  </si>
  <si>
    <t>05N/04E/4</t>
  </si>
  <si>
    <t>Mound and village site</t>
  </si>
  <si>
    <t>Widener Cemetery</t>
  </si>
  <si>
    <t>12-N-12</t>
  </si>
  <si>
    <t>3SF0029</t>
  </si>
  <si>
    <t>05N/04E/21</t>
  </si>
  <si>
    <t>Parks</t>
  </si>
  <si>
    <t>12-N-13</t>
  </si>
  <si>
    <t>3SF0030</t>
  </si>
  <si>
    <t>06N/05E/22</t>
  </si>
  <si>
    <t>12-N-13/D&amp;E</t>
  </si>
  <si>
    <t>Group of Mounds</t>
  </si>
  <si>
    <t>Crow Creek</t>
  </si>
  <si>
    <t>12-N-14</t>
  </si>
  <si>
    <t>3SF0031</t>
  </si>
  <si>
    <t>05N/04E/31</t>
  </si>
  <si>
    <t>Low mounds and village site</t>
  </si>
  <si>
    <t>Swan</t>
  </si>
  <si>
    <t>12-N-15</t>
  </si>
  <si>
    <t>3SF0032</t>
  </si>
  <si>
    <t>06N/04E/16</t>
  </si>
  <si>
    <t>Dent</t>
  </si>
  <si>
    <t>12-N-16</t>
  </si>
  <si>
    <t>3SF0033</t>
  </si>
  <si>
    <t>06N/05E/24</t>
  </si>
  <si>
    <t xml:space="preserve">Manly </t>
  </si>
  <si>
    <t>12-N-2</t>
  </si>
  <si>
    <t>3SF0025</t>
  </si>
  <si>
    <t>05N/04E/18</t>
  </si>
  <si>
    <t>Motz, Phillips</t>
  </si>
  <si>
    <t>Rose Mound</t>
  </si>
  <si>
    <t>12-N-3/A&amp;B</t>
  </si>
  <si>
    <t>3CS0027</t>
  </si>
  <si>
    <t>07N/05E/18</t>
  </si>
  <si>
    <t>Large rectangular town site of St. Francis type</t>
  </si>
  <si>
    <t>12-N-3/C</t>
  </si>
  <si>
    <t>Big Eddy</t>
  </si>
  <si>
    <t>12-N-4</t>
  </si>
  <si>
    <t>3SF0009</t>
  </si>
  <si>
    <t>06N/04E/20</t>
  </si>
  <si>
    <t>Phillips, Motz</t>
  </si>
  <si>
    <t>Welshans</t>
  </si>
  <si>
    <t>12-N-5</t>
  </si>
  <si>
    <t>3CS0073</t>
  </si>
  <si>
    <t>07N/04E/15</t>
  </si>
  <si>
    <t>Westmorland</t>
  </si>
  <si>
    <t>12-N-6</t>
  </si>
  <si>
    <t>3CS0074</t>
  </si>
  <si>
    <t>07/4E/23</t>
  </si>
  <si>
    <t>Group of small mounds</t>
  </si>
  <si>
    <t>Lansing</t>
  </si>
  <si>
    <t>12-N-7</t>
  </si>
  <si>
    <t>3CS0075</t>
  </si>
  <si>
    <t>06N/05E/5</t>
  </si>
  <si>
    <t>Group of small house mounds</t>
  </si>
  <si>
    <t>collection from someone else</t>
  </si>
  <si>
    <t>Beckles</t>
  </si>
  <si>
    <t>12-N-8</t>
  </si>
  <si>
    <t>3CS0076</t>
  </si>
  <si>
    <t>07N/05E/33</t>
  </si>
  <si>
    <t>Low mound</t>
  </si>
  <si>
    <t>Ford, Phillips, Griffin</t>
  </si>
  <si>
    <t>Burns</t>
  </si>
  <si>
    <t>12-N-9</t>
  </si>
  <si>
    <t>3LE0013</t>
  </si>
  <si>
    <t>Lee</t>
  </si>
  <si>
    <t>02N/05E/18</t>
  </si>
  <si>
    <t>Small mound</t>
  </si>
  <si>
    <t>Turner</t>
  </si>
  <si>
    <t>12-O-1</t>
  </si>
  <si>
    <t>3CT0032</t>
  </si>
  <si>
    <t>06N/07/36</t>
  </si>
  <si>
    <t>Single house mound</t>
  </si>
  <si>
    <t>12-O-2</t>
  </si>
  <si>
    <t>3CT0034</t>
  </si>
  <si>
    <t>05N/07E/28</t>
  </si>
  <si>
    <t>12-O-2/D</t>
  </si>
  <si>
    <t>Thompson Lake</t>
  </si>
  <si>
    <t>12-O-3</t>
  </si>
  <si>
    <t>3SF0036</t>
  </si>
  <si>
    <t>05N/06E/35</t>
  </si>
  <si>
    <t>What is wrong with this? It is included in the distribution of M.C.C.M</t>
  </si>
  <si>
    <t>Davis Place</t>
  </si>
  <si>
    <t>12-O-4</t>
  </si>
  <si>
    <t>3SF0037</t>
  </si>
  <si>
    <t>05N/06E/26</t>
  </si>
  <si>
    <t>Mound group</t>
  </si>
  <si>
    <t>Cramor Place</t>
  </si>
  <si>
    <t>3SF0038</t>
  </si>
  <si>
    <t>05N/06E/32</t>
  </si>
  <si>
    <t>Village site of St. Francis</t>
  </si>
  <si>
    <t>Ford</t>
  </si>
  <si>
    <t>Brackinseed Place (Brackenseik)</t>
  </si>
  <si>
    <t>12-O-6</t>
  </si>
  <si>
    <t>3CT0003</t>
  </si>
  <si>
    <t>05N/08E/17</t>
  </si>
  <si>
    <t>Large Rectangular Mound</t>
  </si>
  <si>
    <t>Mound Place</t>
  </si>
  <si>
    <t>12-P-1</t>
  </si>
  <si>
    <t>3CT0001</t>
  </si>
  <si>
    <t>05N/08E/3</t>
  </si>
  <si>
    <t>Shelby Place</t>
  </si>
  <si>
    <t>12-P-2</t>
  </si>
  <si>
    <t>TN</t>
  </si>
  <si>
    <t>3MS0056</t>
  </si>
  <si>
    <t>11N/09E/25</t>
  </si>
  <si>
    <t>Hughes</t>
  </si>
  <si>
    <t>13-M-1</t>
  </si>
  <si>
    <t>3LE0004</t>
  </si>
  <si>
    <t>03N/03E/10</t>
  </si>
  <si>
    <t>Sudan Cemetery</t>
  </si>
  <si>
    <t>13-N-1</t>
  </si>
  <si>
    <t>3SF0004</t>
  </si>
  <si>
    <t>04N/05E/11</t>
  </si>
  <si>
    <t>Remnants of two low mounds</t>
  </si>
  <si>
    <t>Taylor</t>
  </si>
  <si>
    <t>13-N-10</t>
  </si>
  <si>
    <t>3LE0014</t>
  </si>
  <si>
    <t>02N/05E/1</t>
  </si>
  <si>
    <t>Low mound and village site</t>
  </si>
  <si>
    <t>Griffin, Motz</t>
  </si>
  <si>
    <t>Grant Place</t>
  </si>
  <si>
    <t>13-N-11</t>
  </si>
  <si>
    <t>3LE0015</t>
  </si>
  <si>
    <t>02N/05E/19</t>
  </si>
  <si>
    <t>Altered mound and village site</t>
  </si>
  <si>
    <t>Murdock</t>
  </si>
  <si>
    <t>13-N-12</t>
  </si>
  <si>
    <t>3LE0016</t>
  </si>
  <si>
    <t>13-N-12/A</t>
  </si>
  <si>
    <t>Rawlinson</t>
  </si>
  <si>
    <t>13-N-13</t>
  </si>
  <si>
    <t>3SF0039</t>
  </si>
  <si>
    <t>04N/05E/28</t>
  </si>
  <si>
    <t>13-N-14</t>
  </si>
  <si>
    <t>3LE0018</t>
  </si>
  <si>
    <t>03N/04E/21</t>
  </si>
  <si>
    <t>Village site and house sites</t>
  </si>
  <si>
    <t>13-N-15/B</t>
  </si>
  <si>
    <t>Two mounds and a village site</t>
  </si>
  <si>
    <t>13-N-15/C,D,E</t>
  </si>
  <si>
    <t>Split occup. Part of this is very late</t>
  </si>
  <si>
    <t>3LE0017</t>
  </si>
  <si>
    <t>02N/05E/21</t>
  </si>
  <si>
    <t>Greer</t>
  </si>
  <si>
    <t>13-N-17</t>
  </si>
  <si>
    <t>3LE0024</t>
  </si>
  <si>
    <t>02N/04E/27</t>
  </si>
  <si>
    <t>Large rectangular mound, thin village site indication</t>
  </si>
  <si>
    <t>Lakeside</t>
  </si>
  <si>
    <t>13-N-18</t>
  </si>
  <si>
    <t>3SF0040</t>
  </si>
  <si>
    <t>04N/05E/7</t>
  </si>
  <si>
    <t>Riverside</t>
  </si>
  <si>
    <t>13-N-19</t>
  </si>
  <si>
    <t>3SF0041</t>
  </si>
  <si>
    <t>04N/04E/10</t>
  </si>
  <si>
    <t>Single house site</t>
  </si>
  <si>
    <t>Alligator Bayou</t>
  </si>
  <si>
    <t>13-N-2</t>
  </si>
  <si>
    <t>3LE0006</t>
  </si>
  <si>
    <t>03N/15E/33</t>
  </si>
  <si>
    <t>Hargraves</t>
  </si>
  <si>
    <t>13-N-20</t>
  </si>
  <si>
    <t>3SF0042</t>
  </si>
  <si>
    <t>Possibly a mound</t>
  </si>
  <si>
    <t>Castile</t>
  </si>
  <si>
    <t>3SF0020</t>
  </si>
  <si>
    <t>04N/04E/9</t>
  </si>
  <si>
    <t>Elevated village site of St. Francis</t>
  </si>
  <si>
    <t>Griffin, Ford, Phillips</t>
  </si>
  <si>
    <t>Mound Cemetery</t>
  </si>
  <si>
    <t>13-N-3</t>
  </si>
  <si>
    <t>3LE0007</t>
  </si>
  <si>
    <t>03N/05E/14</t>
  </si>
  <si>
    <t>Large rectangular mound with apron</t>
  </si>
  <si>
    <t>Kent Place</t>
  </si>
  <si>
    <t>13-N-4/B,C,D,E</t>
  </si>
  <si>
    <t>3LE0008</t>
  </si>
  <si>
    <t>13-N-4/C</t>
  </si>
  <si>
    <t>3LE0009</t>
  </si>
  <si>
    <t>03N/05E/13</t>
  </si>
  <si>
    <t>Remnant of mound beneath a barn</t>
  </si>
  <si>
    <t>Jerusalem Church</t>
  </si>
  <si>
    <t>13-N-6</t>
  </si>
  <si>
    <t>3LE0010</t>
  </si>
  <si>
    <t>03N/05E/36</t>
  </si>
  <si>
    <t>Clay Hill</t>
  </si>
  <si>
    <t>13-N-7</t>
  </si>
  <si>
    <t>3LE0011</t>
  </si>
  <si>
    <t>03N/04E/7</t>
  </si>
  <si>
    <t>Large village site with two small mounds</t>
  </si>
  <si>
    <t>Findley</t>
  </si>
  <si>
    <t>13-N-8</t>
  </si>
  <si>
    <t>3LE0012</t>
  </si>
  <si>
    <t>Small village site, no mounds</t>
  </si>
  <si>
    <t>Red Oak</t>
  </si>
  <si>
    <t>13-N-9</t>
  </si>
  <si>
    <t>Barrett</t>
  </si>
  <si>
    <t>13-O-1</t>
  </si>
  <si>
    <t>3LE0003</t>
  </si>
  <si>
    <t>03N/06E/3</t>
  </si>
  <si>
    <t>MI</t>
  </si>
  <si>
    <t>Tunica</t>
  </si>
  <si>
    <t>SE1/4 SW1/4 S33 T3S R11W</t>
  </si>
  <si>
    <t>"Another break in occupation"</t>
  </si>
  <si>
    <t>SW1/4 SE1/4 S17 T3S R11W</t>
  </si>
  <si>
    <t>Indian Creek</t>
  </si>
  <si>
    <t>13-O-12</t>
  </si>
  <si>
    <t>NE1/4 SE1/4 S34 T3S R7E</t>
  </si>
  <si>
    <t>Green River Plantation</t>
  </si>
  <si>
    <t>13-O-2</t>
  </si>
  <si>
    <t>3CT0028</t>
  </si>
  <si>
    <t>04N/07E/8</t>
  </si>
  <si>
    <t>Phillips, Motz, Ford</t>
  </si>
  <si>
    <t>plane table map</t>
  </si>
  <si>
    <t>Huber</t>
  </si>
  <si>
    <t>13-O-3</t>
  </si>
  <si>
    <t>3SF0043</t>
  </si>
  <si>
    <t>04N/06E/15</t>
  </si>
  <si>
    <t>Single medium sized mound</t>
  </si>
  <si>
    <t>Nickey</t>
  </si>
  <si>
    <t>13-O-4</t>
  </si>
  <si>
    <t>3CT0029</t>
  </si>
  <si>
    <t>Large oval mound</t>
  </si>
  <si>
    <t>Ford, Griffin, Motz, Phillips</t>
  </si>
  <si>
    <t>Belle Meade</t>
  </si>
  <si>
    <t>3CT0030</t>
  </si>
  <si>
    <t xml:space="preserve"> 04N/07E/30</t>
  </si>
  <si>
    <t>New Bethel</t>
  </si>
  <si>
    <t>13-O-6</t>
  </si>
  <si>
    <t>3SF0044</t>
  </si>
  <si>
    <t>04N/06E/8</t>
  </si>
  <si>
    <t>13-O-6/B</t>
  </si>
  <si>
    <t>mound and village site</t>
  </si>
  <si>
    <t>Not Graphed</t>
  </si>
  <si>
    <t>3CT0008</t>
  </si>
  <si>
    <t>04N/07E/32</t>
  </si>
  <si>
    <t>Mound group. Plaza arrangement</t>
  </si>
  <si>
    <t>Stoddard</t>
  </si>
  <si>
    <t>13-O-8</t>
  </si>
  <si>
    <t>Two conical mounds and village site</t>
  </si>
  <si>
    <t>Collins</t>
  </si>
  <si>
    <t>13-O-9</t>
  </si>
  <si>
    <t>3CT0031</t>
  </si>
  <si>
    <t>04N/07E/6</t>
  </si>
  <si>
    <t>House mounds</t>
  </si>
  <si>
    <t>DeSoto</t>
  </si>
  <si>
    <t>SW1/4 NE1/4 S24 T1S R10W</t>
  </si>
  <si>
    <t>NW1/4 NE1/4 S16 T2S R9W</t>
  </si>
  <si>
    <t>Another obvious discontinuity</t>
  </si>
  <si>
    <t>13-P-11</t>
  </si>
  <si>
    <t>NW1/4 NW1/4 S36 T1S R9W</t>
  </si>
  <si>
    <t>Turkey Ridge</t>
  </si>
  <si>
    <t>13-P-3</t>
  </si>
  <si>
    <t>NE1/4 SE1/4 S8 T2S R9W</t>
  </si>
  <si>
    <t>Dogwood</t>
  </si>
  <si>
    <t>13-P-4</t>
  </si>
  <si>
    <t>SE1/4 NE1/4 S4 T2S R9W</t>
  </si>
  <si>
    <t>D-B</t>
  </si>
  <si>
    <t>What is wrong with this? Discontinuity?</t>
  </si>
  <si>
    <t>Shannon</t>
  </si>
  <si>
    <t>13-P-5</t>
  </si>
  <si>
    <t>SE1/4 SW1/4 S24 T2S R10W</t>
  </si>
  <si>
    <t>13-P-6</t>
  </si>
  <si>
    <t>NE1/4 SW1/4 S29 T1S R9W</t>
  </si>
  <si>
    <t>13-P-7</t>
  </si>
  <si>
    <t>SE1/4 SE1/4 S35 T1S R10W</t>
  </si>
  <si>
    <t>L. Cormorant</t>
  </si>
  <si>
    <t>SW1/4 SW1/4 S7 T2S R9W</t>
  </si>
  <si>
    <t>G-D</t>
  </si>
  <si>
    <t>Another probable discontinuity. (Note to Ford: "Warning! U. of M body totals include U.M &amp; Harvard" ... corrected totals in brackets. [I used corrected totals]).</t>
  </si>
  <si>
    <t>Withers</t>
  </si>
  <si>
    <t>13-P-9</t>
  </si>
  <si>
    <t>Webster's Camp</t>
  </si>
  <si>
    <t>14-L-1</t>
  </si>
  <si>
    <t>3M00003</t>
  </si>
  <si>
    <t>Monroe</t>
  </si>
  <si>
    <t>02S/02W/23</t>
  </si>
  <si>
    <t>Bonner</t>
  </si>
  <si>
    <t>14-M-2</t>
  </si>
  <si>
    <t>3LE0020</t>
  </si>
  <si>
    <t>01N/02E/34</t>
  </si>
  <si>
    <t>Broom</t>
  </si>
  <si>
    <t>14-M-3</t>
  </si>
  <si>
    <t>3PH0006</t>
  </si>
  <si>
    <t>01S/01E/26</t>
  </si>
  <si>
    <t>Large village site with mounds</t>
  </si>
  <si>
    <t>Moore</t>
  </si>
  <si>
    <t>14-N-1</t>
  </si>
  <si>
    <t>3PH0007</t>
  </si>
  <si>
    <t>01S/04E/1</t>
  </si>
  <si>
    <t>Steagall</t>
  </si>
  <si>
    <t>14-N-2</t>
  </si>
  <si>
    <t>3PH0008</t>
  </si>
  <si>
    <t>01S/05E/6</t>
  </si>
  <si>
    <t>Eroded village site - very little left</t>
  </si>
  <si>
    <t>McCoullough Mound</t>
  </si>
  <si>
    <t>14-N-3</t>
  </si>
  <si>
    <t>3LE0021</t>
  </si>
  <si>
    <t>02N/03E/25</t>
  </si>
  <si>
    <t>Conical Mound - no village site material</t>
  </si>
  <si>
    <t>(no collector info)</t>
  </si>
  <si>
    <t>Bowie Village</t>
  </si>
  <si>
    <t>14-N-4</t>
  </si>
  <si>
    <t>3PH0009</t>
  </si>
  <si>
    <t>02S/04E/14</t>
  </si>
  <si>
    <t>Village site</t>
  </si>
  <si>
    <t>E</t>
  </si>
  <si>
    <t>This should be available now.</t>
  </si>
  <si>
    <t>Helena Crossing</t>
  </si>
  <si>
    <t>14-N-6</t>
  </si>
  <si>
    <t>3PH0011</t>
  </si>
  <si>
    <t>02S/04W/491</t>
  </si>
  <si>
    <t>What is wrong with this?</t>
  </si>
  <si>
    <t>Evansville</t>
  </si>
  <si>
    <t>14-O-1</t>
  </si>
  <si>
    <t>NW1/4 NW1/4 S20 T5S R11W</t>
  </si>
  <si>
    <t>West</t>
  </si>
  <si>
    <t>14-O-10</t>
  </si>
  <si>
    <t>3SF0089</t>
  </si>
  <si>
    <t>04N/04E/17</t>
  </si>
  <si>
    <t>Kendall Mound</t>
  </si>
  <si>
    <t>14-O-11</t>
  </si>
  <si>
    <t>NW1/4 NW1/4 S22 T4S R10W</t>
  </si>
  <si>
    <t>Canon</t>
  </si>
  <si>
    <t>14-O-13</t>
  </si>
  <si>
    <t>SE1/4 SE1/4 S17 T6S R10W</t>
  </si>
  <si>
    <t>Owens</t>
  </si>
  <si>
    <t>14-O-2</t>
  </si>
  <si>
    <t>NW1/4 SE1/4 S25 T5S R12W</t>
  </si>
  <si>
    <t>Beaverdam</t>
  </si>
  <si>
    <t>14-O-3</t>
  </si>
  <si>
    <t>SE1/4 SE1/4 S19 T5S R11W</t>
  </si>
  <si>
    <t>Perry</t>
  </si>
  <si>
    <t>14-O-4</t>
  </si>
  <si>
    <t>SW1/4 NW1/4 S18 T4S R11W</t>
  </si>
  <si>
    <t>McKinney Bayou</t>
  </si>
  <si>
    <t>14-O-5</t>
  </si>
  <si>
    <t>NW1/4 SW1/4 S23 T4S R12 W</t>
  </si>
  <si>
    <t>Johnson Cemetery</t>
  </si>
  <si>
    <t>14-O-6</t>
  </si>
  <si>
    <t>NW1/4 NE1/4 S16 T4S R11W</t>
  </si>
  <si>
    <t>Oakwood</t>
  </si>
  <si>
    <t>14-O-7</t>
  </si>
  <si>
    <t>SW1/4 SE1/4 S31 T4S R11W</t>
  </si>
  <si>
    <t>14-O-8</t>
  </si>
  <si>
    <t>NW1/4 NW1/4 S34 T6S R12W</t>
  </si>
  <si>
    <t>Not graphed because too long a time range? Was put in time D-C - belong F-E? Split occupation.</t>
  </si>
  <si>
    <t>McKane</t>
  </si>
  <si>
    <t>14-P-1</t>
  </si>
  <si>
    <t>Pritchard</t>
  </si>
  <si>
    <t>14-P-2</t>
  </si>
  <si>
    <t>SE1/4 SE1/4 S27 T4S R10W</t>
  </si>
  <si>
    <t>Elaine</t>
  </si>
  <si>
    <t>15-M-2</t>
  </si>
  <si>
    <t>3PH0014</t>
  </si>
  <si>
    <t>04S/02E/36</t>
  </si>
  <si>
    <t>Conical mound</t>
  </si>
  <si>
    <t>Upper Sunflower</t>
  </si>
  <si>
    <t>Fitzhugh</t>
  </si>
  <si>
    <t>15-N-1</t>
  </si>
  <si>
    <t>03S/05E/8</t>
  </si>
  <si>
    <t>Washed out village site and mounds</t>
  </si>
  <si>
    <t>Griffin, Motz, Phillips</t>
  </si>
  <si>
    <t>C-A</t>
  </si>
  <si>
    <t>Montgomery</t>
  </si>
  <si>
    <t>15-N-6</t>
  </si>
  <si>
    <t>Coahoma</t>
  </si>
  <si>
    <t>SE1/4 SW1/4 S14 T28N R5W</t>
  </si>
  <si>
    <t>D-A</t>
  </si>
  <si>
    <t>Lula</t>
  </si>
  <si>
    <t>15-O-4</t>
  </si>
  <si>
    <t>NE1/4 NE1/4 S22 T30N R12W</t>
  </si>
  <si>
    <t>Hull Brake</t>
  </si>
  <si>
    <t>15-O-9</t>
  </si>
  <si>
    <t>NE1/4 SW1/4 S15 T29N R3W</t>
  </si>
  <si>
    <t>Bitely Place</t>
  </si>
  <si>
    <t>16-L-1</t>
  </si>
  <si>
    <t>3AR0010</t>
  </si>
  <si>
    <t>Arkansas</t>
  </si>
  <si>
    <t>07S/02W/k15</t>
  </si>
  <si>
    <t>Rectangular Platform Mound</t>
  </si>
  <si>
    <t>Lower Arkansas</t>
  </si>
  <si>
    <t>Stovall Mounds</t>
  </si>
  <si>
    <t>16-L-3</t>
  </si>
  <si>
    <t>3AR0009</t>
  </si>
  <si>
    <t>05S/01W/20</t>
  </si>
  <si>
    <t>House Mounds</t>
  </si>
  <si>
    <t>Motz, Ford</t>
  </si>
  <si>
    <t>F-B</t>
  </si>
  <si>
    <t>What's wrong here?</t>
  </si>
  <si>
    <t>Black Bayou</t>
  </si>
  <si>
    <t>16-N-12</t>
  </si>
  <si>
    <t>NE1/4 NE1/4 S27 T27N R5W</t>
  </si>
  <si>
    <t>Bobo</t>
  </si>
  <si>
    <t>16-N-18</t>
  </si>
  <si>
    <t>NE1/4 SW1/4 S26 T27N R4W</t>
  </si>
  <si>
    <t>Alligator Mounds</t>
  </si>
  <si>
    <t>16-N-2/B-I</t>
  </si>
  <si>
    <t>Bolivar</t>
  </si>
  <si>
    <t>NW1/4 NE1/4 S32 T26N R5W</t>
  </si>
  <si>
    <t>What's wrong with this?</t>
  </si>
  <si>
    <t>Hopkins</t>
  </si>
  <si>
    <t>16-N-23</t>
  </si>
  <si>
    <t>NW1/4 NW1/4 S36 T27N R4W</t>
  </si>
  <si>
    <t>Butler</t>
  </si>
  <si>
    <t>16-N-3/A</t>
  </si>
  <si>
    <t>SE1/4 S1 T26N R4W</t>
  </si>
  <si>
    <t>Conical Mound</t>
  </si>
  <si>
    <t>Oliver</t>
  </si>
  <si>
    <t>16-N-6</t>
  </si>
  <si>
    <t>NW1/4 NW1/4 S10 T25N R4W</t>
  </si>
  <si>
    <t>Large mound group</t>
  </si>
  <si>
    <t>F-C</t>
  </si>
  <si>
    <t>15-L-1</t>
  </si>
  <si>
    <t>Baytown</t>
  </si>
  <si>
    <t>15-L-2</t>
  </si>
  <si>
    <t>Hall</t>
  </si>
  <si>
    <t>15-L-3</t>
  </si>
  <si>
    <t>Tinsley</t>
  </si>
  <si>
    <t>15-M-1</t>
  </si>
  <si>
    <t>Elaine School</t>
  </si>
  <si>
    <t>15-M-3</t>
  </si>
  <si>
    <t>Ellis</t>
  </si>
  <si>
    <t>15-N-2</t>
  </si>
  <si>
    <t>Old Town</t>
  </si>
  <si>
    <t>15-N-3</t>
  </si>
  <si>
    <t>Buie</t>
  </si>
  <si>
    <t>15-N-4</t>
  </si>
  <si>
    <t xml:space="preserve">Parchman </t>
  </si>
  <si>
    <t>15-N-5</t>
  </si>
  <si>
    <t>15-N-7</t>
  </si>
  <si>
    <t>Dickerson</t>
  </si>
  <si>
    <t>15-N-10</t>
  </si>
  <si>
    <t>Chard, Phillips</t>
  </si>
  <si>
    <t>15-O-1</t>
  </si>
  <si>
    <t>Kent_Place</t>
  </si>
  <si>
    <t>Barton_Ranch</t>
  </si>
  <si>
    <t>Cramor_Place</t>
  </si>
  <si>
    <t>Vernon_Paul</t>
  </si>
  <si>
    <t>Name</t>
  </si>
  <si>
    <t>latitude</t>
  </si>
  <si>
    <t>longitude</t>
  </si>
  <si>
    <t xml:space="preserve"> Armorel</t>
  </si>
  <si>
    <t xml:space="preserve"> Barton Ranch</t>
  </si>
  <si>
    <t xml:space="preserve"> Beck</t>
  </si>
  <si>
    <t xml:space="preserve"> Bell</t>
  </si>
  <si>
    <t xml:space="preserve"> Belle Meade</t>
  </si>
  <si>
    <t xml:space="preserve"> Berry</t>
  </si>
  <si>
    <t xml:space="preserve"> Big Eddy</t>
  </si>
  <si>
    <t xml:space="preserve"> Bishop</t>
  </si>
  <si>
    <t xml:space="preserve"> Cagle Lake</t>
  </si>
  <si>
    <t xml:space="preserve"> Campbell</t>
  </si>
  <si>
    <t xml:space="preserve"> Carson Lake</t>
  </si>
  <si>
    <t xml:space="preserve"> CastileLndg</t>
  </si>
  <si>
    <t xml:space="preserve"> Cheatam</t>
  </si>
  <si>
    <t xml:space="preserve"> Chucalissa</t>
  </si>
  <si>
    <t xml:space="preserve"> Clay Hill</t>
  </si>
  <si>
    <t xml:space="preserve"> CT245</t>
  </si>
  <si>
    <t xml:space="preserve"> CT40</t>
  </si>
  <si>
    <t xml:space="preserve"> CT7</t>
  </si>
  <si>
    <t xml:space="preserve"> Davis</t>
  </si>
  <si>
    <t xml:space="preserve"> Denton Mnds</t>
  </si>
  <si>
    <t xml:space="preserve"> Dry Arm</t>
  </si>
  <si>
    <t xml:space="preserve"> Fortune</t>
  </si>
  <si>
    <t xml:space="preserve"> Fullen</t>
  </si>
  <si>
    <t xml:space="preserve"> Gant</t>
  </si>
  <si>
    <t xml:space="preserve"> GravesLake</t>
  </si>
  <si>
    <t xml:space="preserve"> Hatchie</t>
  </si>
  <si>
    <t xml:space="preserve"> Irby</t>
  </si>
  <si>
    <t xml:space="preserve"> Jeter</t>
  </si>
  <si>
    <t xml:space="preserve"> Jones Bayou</t>
  </si>
  <si>
    <t xml:space="preserve"> Kent</t>
  </si>
  <si>
    <t xml:space="preserve"> Knappenberg</t>
  </si>
  <si>
    <t xml:space="preserve"> LA17</t>
  </si>
  <si>
    <t xml:space="preserve"> MidNodena</t>
  </si>
  <si>
    <t xml:space="preserve"> Mound Place</t>
  </si>
  <si>
    <t xml:space="preserve"> NeeleysFerry</t>
  </si>
  <si>
    <t xml:space="preserve"> Notgrass</t>
  </si>
  <si>
    <t xml:space="preserve"> Otto Sharpe</t>
  </si>
  <si>
    <t xml:space="preserve"> Parkin</t>
  </si>
  <si>
    <t xml:space="preserve"> Pecan Point</t>
  </si>
  <si>
    <t xml:space="preserve"> Porter</t>
  </si>
  <si>
    <t xml:space="preserve"> Rast</t>
  </si>
  <si>
    <t xml:space="preserve"> Richardson</t>
  </si>
  <si>
    <t xml:space="preserve"> RoseMound</t>
  </si>
  <si>
    <t xml:space="preserve"> Shawnee Vill</t>
  </si>
  <si>
    <t xml:space="preserve"> Soudan</t>
  </si>
  <si>
    <t xml:space="preserve"> Starkley</t>
  </si>
  <si>
    <t xml:space="preserve"> Sweat</t>
  </si>
  <si>
    <t xml:space="preserve"> UpNodena</t>
  </si>
  <si>
    <t xml:space="preserve"> Vernon Paul</t>
  </si>
  <si>
    <t xml:space="preserve"> Walls/Harris</t>
  </si>
  <si>
    <t xml:space="preserve"> Wilder</t>
  </si>
  <si>
    <t xml:space="preserve"> Wildy</t>
  </si>
  <si>
    <t xml:space="preserve"> Williamson</t>
  </si>
  <si>
    <t xml:space="preserve"> Woodlyn</t>
  </si>
  <si>
    <t xml:space="preserve"> Young</t>
  </si>
  <si>
    <t>22-Co-504</t>
  </si>
  <si>
    <t>22-Co-506</t>
  </si>
  <si>
    <t>22-Co-510</t>
  </si>
  <si>
    <t>22-Co-511</t>
  </si>
  <si>
    <t>22-Co-516</t>
  </si>
  <si>
    <t>22-Co-523</t>
  </si>
  <si>
    <t>22-Co-545</t>
  </si>
  <si>
    <t>22-Co-583</t>
  </si>
  <si>
    <t>22-Co-632</t>
  </si>
  <si>
    <t>22-Co-637</t>
  </si>
  <si>
    <t>22-Co-649</t>
  </si>
  <si>
    <t>22-Co-656</t>
  </si>
  <si>
    <t>22-CO-699</t>
  </si>
  <si>
    <t>22Bo500</t>
  </si>
  <si>
    <t>22Bo505</t>
  </si>
  <si>
    <t>22Co502</t>
  </si>
  <si>
    <t>22Co503</t>
  </si>
  <si>
    <t>22Co505</t>
  </si>
  <si>
    <t>22Co520</t>
  </si>
  <si>
    <t>22Co521</t>
  </si>
  <si>
    <t>22Co522</t>
  </si>
  <si>
    <t>22Co535</t>
  </si>
  <si>
    <t>22Qu525</t>
  </si>
  <si>
    <t>22Qu558</t>
  </si>
  <si>
    <t>23DU150 (Davids Creek)</t>
  </si>
  <si>
    <t>23DU211</t>
  </si>
  <si>
    <t>23DU30(Watson)</t>
  </si>
  <si>
    <t>23DU37</t>
  </si>
  <si>
    <t>23DU49 (Bishop)</t>
  </si>
  <si>
    <t>3-Co-566</t>
  </si>
  <si>
    <t>3CG171-172</t>
  </si>
  <si>
    <t>3CG196</t>
  </si>
  <si>
    <t>3CG197</t>
  </si>
  <si>
    <t>3CG216</t>
  </si>
  <si>
    <t>3CG263</t>
  </si>
  <si>
    <t>3CG270</t>
  </si>
  <si>
    <t>3CG278</t>
  </si>
  <si>
    <t>3CG301</t>
  </si>
  <si>
    <t>3CG302</t>
  </si>
  <si>
    <t>3CG303</t>
  </si>
  <si>
    <t>3CG325</t>
  </si>
  <si>
    <t>3CG383</t>
  </si>
  <si>
    <t>3CG56</t>
  </si>
  <si>
    <t>3CG64</t>
  </si>
  <si>
    <t>3CG67</t>
  </si>
  <si>
    <t>3CG68</t>
  </si>
  <si>
    <t>3CG74</t>
  </si>
  <si>
    <t>3CT42</t>
  </si>
  <si>
    <t>3MS70</t>
  </si>
  <si>
    <t>3SF420</t>
  </si>
  <si>
    <t>Aaron</t>
  </si>
  <si>
    <t>Abby</t>
  </si>
  <si>
    <t>Addison (15-O-13/22-Qu-514)</t>
  </si>
  <si>
    <t>Aden (22-M-3)</t>
  </si>
  <si>
    <t>Alabama Landing</t>
  </si>
  <si>
    <t>Alphenia</t>
  </si>
  <si>
    <t>Alsworth (21-M-9)</t>
  </si>
  <si>
    <t>Angola Gate (?)</t>
  </si>
  <si>
    <t>Anguilla (21-M-3)</t>
  </si>
  <si>
    <t>Anna (26-K-1)</t>
  </si>
  <si>
    <t>Anthony's Fork (22-N-15)</t>
  </si>
  <si>
    <t>Archer (19-O-4)</t>
  </si>
  <si>
    <t>Arcola (20-M-1)</t>
  </si>
  <si>
    <t>Arcola School (19-M-6)</t>
  </si>
  <si>
    <t>Asack</t>
  </si>
  <si>
    <t>Ash Bayou (19-L-7)</t>
  </si>
  <si>
    <t>Azucena</t>
  </si>
  <si>
    <t>Bachelor Bend (19-L-2)</t>
  </si>
  <si>
    <t>Baker's Field (?)</t>
  </si>
  <si>
    <t>Baker's Overcup</t>
  </si>
  <si>
    <t>Baker's Ridge (?)</t>
  </si>
  <si>
    <t>Balmoral</t>
  </si>
  <si>
    <t>Bapp Arnold (22-J-32)</t>
  </si>
  <si>
    <t>Barker (6-S-1)</t>
  </si>
  <si>
    <t>Barner (?)</t>
  </si>
  <si>
    <t>Barry (22-N-4) (shell ring)</t>
  </si>
  <si>
    <t>Barton Ranch (10-O-10)</t>
  </si>
  <si>
    <t>Batiste</t>
  </si>
  <si>
    <t>Bay Lake (19-N-3)</t>
  </si>
  <si>
    <t>Bayou Capucin</t>
  </si>
  <si>
    <t>Bayou Rouge (29-I-1)</t>
  </si>
  <si>
    <t>Bear Garden (20-M-9)</t>
  </si>
  <si>
    <t>Beck (13-O-7)</t>
  </si>
  <si>
    <t>Bee Lake (20-O-14)</t>
  </si>
  <si>
    <t>Bell Place (10-P-2)</t>
  </si>
  <si>
    <t>Belle Meade (13-O-5)</t>
  </si>
  <si>
    <t>Belzoni (20-O-2)</t>
  </si>
  <si>
    <t>Bennett (?)</t>
  </si>
  <si>
    <t>Berry</t>
  </si>
  <si>
    <t>Bethany Brake (22-I-11)</t>
  </si>
  <si>
    <t>Big Bayou Pumps (?)</t>
  </si>
  <si>
    <t>Big Eddy (12-N-4)</t>
  </si>
  <si>
    <t>Big Slough (?)</t>
  </si>
  <si>
    <t>Big Slough Pipe NE (?)</t>
  </si>
  <si>
    <t>Big Slough Pipe SE (?)</t>
  </si>
  <si>
    <t>Bishop Farm</t>
  </si>
  <si>
    <t>Black Hill (21-J-43)</t>
  </si>
  <si>
    <t>Blakey (23-M-3)</t>
  </si>
  <si>
    <t>Blanchard (17-M-2)</t>
  </si>
  <si>
    <t>Blanton (22-M-4)</t>
  </si>
  <si>
    <t>Block (11-N-6)</t>
  </si>
  <si>
    <t>Bloomfield Church (20-K-2)</t>
  </si>
  <si>
    <t>Blue Lake</t>
  </si>
  <si>
    <t>Bo-503</t>
  </si>
  <si>
    <t>Bodcaw (?)</t>
  </si>
  <si>
    <t>Book Shepard (22-J-18)</t>
  </si>
  <si>
    <t>Boothe Landing</t>
  </si>
  <si>
    <t>Boston Bayou (?) (21-O-1)</t>
  </si>
  <si>
    <t>Bottleneck (21-I-9)</t>
  </si>
  <si>
    <t>Bowie (14-N-4)</t>
  </si>
  <si>
    <t>Brackenseik</t>
  </si>
  <si>
    <t>Brandon Cemetery</t>
  </si>
  <si>
    <t>Brock (?)</t>
  </si>
  <si>
    <t>Brodenax</t>
  </si>
  <si>
    <t>Brodnax</t>
  </si>
  <si>
    <t>Brooks (20-O-10)</t>
  </si>
  <si>
    <t>C. Bennett (?)</t>
  </si>
  <si>
    <t>Cad (?)</t>
  </si>
  <si>
    <t>Camp Bayou</t>
  </si>
  <si>
    <t>Campbell (19-O-9)</t>
  </si>
  <si>
    <t>Canebrake (?)</t>
  </si>
  <si>
    <t>Caney Bayou (21-I-7)</t>
  </si>
  <si>
    <t>Caney Island</t>
  </si>
  <si>
    <t>Canon (14-O-13/22-Tu-523)</t>
  </si>
  <si>
    <t>Carson (10-P-1)</t>
  </si>
  <si>
    <t>Carson(15-N-8)</t>
  </si>
  <si>
    <t>Cary (21-M-5)</t>
  </si>
  <si>
    <t>Case School</t>
  </si>
  <si>
    <t>Castile (13-N-21)</t>
  </si>
  <si>
    <t>Cedar Grove/Miss Kat (22-I-7)</t>
  </si>
  <si>
    <t>Champlin (21-O-10)</t>
  </si>
  <si>
    <t>Chase (27-K-2)</t>
  </si>
  <si>
    <t>Chipman (21-M-11)</t>
  </si>
  <si>
    <t>Choctaw</t>
  </si>
  <si>
    <t>Chucalissa</t>
  </si>
  <si>
    <t>Churupa</t>
  </si>
  <si>
    <t>Clark (?)</t>
  </si>
  <si>
    <t>Claverie</t>
  </si>
  <si>
    <t>Clay Hill (13-N-7)</t>
  </si>
  <si>
    <t>Cloverdale (?)</t>
  </si>
  <si>
    <t>Clower (20-M-6)</t>
  </si>
  <si>
    <t>Cockrum Landing (8-O-1)</t>
  </si>
  <si>
    <t>Cold Lake (20-N-5)</t>
  </si>
  <si>
    <t>Cole Crossroads</t>
  </si>
  <si>
    <t>Coles Island</t>
  </si>
  <si>
    <t>Compton Lake (?)</t>
  </si>
  <si>
    <t>Conner</t>
  </si>
  <si>
    <t>Cooper Ditch (21-I-14)</t>
  </si>
  <si>
    <t>Cooper Lake (21-I-8)</t>
  </si>
  <si>
    <t>Cooter Point</t>
  </si>
  <si>
    <t>Corn Lake (15-P-4/22PA514)</t>
  </si>
  <si>
    <t>Coulee Crow</t>
  </si>
  <si>
    <t>Counterfeit (?)</t>
  </si>
  <si>
    <t>Cowan (22-N-17)</t>
  </si>
  <si>
    <t>Cowpen Slough</t>
  </si>
  <si>
    <t>Cramor Place (12-O-5)</t>
  </si>
  <si>
    <t>Crenshaw (22PA528)</t>
  </si>
  <si>
    <t>Crippen Place (Yz-32)</t>
  </si>
  <si>
    <t>Crook's Mound</t>
  </si>
  <si>
    <t>Cross Bayou (?)</t>
  </si>
  <si>
    <t>Crow (15-M-4)</t>
  </si>
  <si>
    <t>Crump (21-O-5)</t>
  </si>
  <si>
    <t>Cummings</t>
  </si>
  <si>
    <t>Cummings (11-O-4)</t>
  </si>
  <si>
    <t>Cummins (DU2)</t>
  </si>
  <si>
    <t>Cut-off Landing (?)</t>
  </si>
  <si>
    <t>Cypress Bayou</t>
  </si>
  <si>
    <t>Cypress Grove</t>
  </si>
  <si>
    <t>Dabb Bend</t>
  </si>
  <si>
    <t>Dailehy Landing (25-I-12)</t>
  </si>
  <si>
    <t>Danzler Mound (19-N-4)</t>
  </si>
  <si>
    <t>Darrah Brake (21-J-10)</t>
  </si>
  <si>
    <t>Dead Cotton (21-J-47)</t>
  </si>
  <si>
    <t>DeBlieux (24-I-53)</t>
  </si>
  <si>
    <t>Delhi</t>
  </si>
  <si>
    <t>Delson Chevalier (?)</t>
  </si>
  <si>
    <t>DeRosset</t>
  </si>
  <si>
    <t>Dickerson (22-Co-502/15-N-10)</t>
  </si>
  <si>
    <t>Dornbush (22-N-6)</t>
  </si>
  <si>
    <t>Doughtie-Bethea</t>
  </si>
  <si>
    <t>Dragline</t>
  </si>
  <si>
    <t>Duck Slough</t>
  </si>
  <si>
    <t>Dunbarton</t>
  </si>
  <si>
    <t>Dundee (14-O-8/22-Tu-501)</t>
  </si>
  <si>
    <t>Dunleith (19-M-4)</t>
  </si>
  <si>
    <t>Earthen Enclosure?</t>
  </si>
  <si>
    <t>Edmondson (3CT33)</t>
  </si>
  <si>
    <t>Egypt (?)</t>
  </si>
  <si>
    <t>ElDorado</t>
  </si>
  <si>
    <t>Elkhorn</t>
  </si>
  <si>
    <t>Ely (19-L-3)</t>
  </si>
  <si>
    <t>Emerald Mound (26-L-1)</t>
  </si>
  <si>
    <t>Emory (3CT20)</t>
  </si>
  <si>
    <t>Enola (22-N-5)</t>
  </si>
  <si>
    <t>Enterprise Mound (3AS379)</t>
  </si>
  <si>
    <t>Erickson (21-N-13)</t>
  </si>
  <si>
    <t>Evans (22-N-22)</t>
  </si>
  <si>
    <t>Failing (19-N-5)</t>
  </si>
  <si>
    <t>Fairview (22-N-9)</t>
  </si>
  <si>
    <t>Falls</t>
  </si>
  <si>
    <t>Fatherland (26-K-2)</t>
  </si>
  <si>
    <t>Feltus</t>
  </si>
  <si>
    <t>Fife (?)</t>
  </si>
  <si>
    <t>Fleming (19-O-3)</t>
  </si>
  <si>
    <t>Flynn (22-J-40)</t>
  </si>
  <si>
    <t>Formosa (?)</t>
  </si>
  <si>
    <t>Fort Place (20-O-3)</t>
  </si>
  <si>
    <t>Fortune (11-N-15)</t>
  </si>
  <si>
    <t>Foster Mound</t>
  </si>
  <si>
    <t>Fournet</t>
  </si>
  <si>
    <t>Frenchman's Bend Mound</t>
  </si>
  <si>
    <t>Friedlander (22-N-11)</t>
  </si>
  <si>
    <t>Frogmore</t>
  </si>
  <si>
    <t>Gamewood (20-P-1)</t>
  </si>
  <si>
    <t>Gammel (22-N-21)</t>
  </si>
  <si>
    <t>Garner</t>
  </si>
  <si>
    <t>Glass (24-M-2)</t>
  </si>
  <si>
    <t>Glover</t>
  </si>
  <si>
    <t>Golson (20-O-6)</t>
  </si>
  <si>
    <t>Gooden Lake (20-N-6)</t>
  </si>
  <si>
    <t>Gordon (26-L-2)</t>
  </si>
  <si>
    <t>Gorum (?)</t>
  </si>
  <si>
    <t>Goss (?)</t>
  </si>
  <si>
    <t>Grace (21-M-7)</t>
  </si>
  <si>
    <t>Green River Plantation (13-O-2)</t>
  </si>
  <si>
    <t>Greenhouse (28-H-2)</t>
  </si>
  <si>
    <t>Griffin (20-L-3)</t>
  </si>
  <si>
    <t>Gunby Dam</t>
  </si>
  <si>
    <t>Gunby South (?)</t>
  </si>
  <si>
    <t>Haigh's Landing</t>
  </si>
  <si>
    <t>Hamson Brake</t>
  </si>
  <si>
    <t>Haphazard</t>
  </si>
  <si>
    <t>Hardee (22-M-8)</t>
  </si>
  <si>
    <t>Harp (21-J-1)</t>
  </si>
  <si>
    <t>Harris</t>
  </si>
  <si>
    <t>Harworth (22-N-12)</t>
  </si>
  <si>
    <t>Hayes Mounds</t>
  </si>
  <si>
    <t>Haynes Bluff (22-M-5)</t>
  </si>
  <si>
    <t>Hazel</t>
  </si>
  <si>
    <t>Head (21-K-1)</t>
  </si>
  <si>
    <t>Hebe</t>
  </si>
  <si>
    <t>Hill</t>
  </si>
  <si>
    <t>Hillman's Mound (16Ma201)</t>
  </si>
  <si>
    <t>Hogback Ridge (?)</t>
  </si>
  <si>
    <t>Holcomb (7-P-1)</t>
  </si>
  <si>
    <t>Holden Lake</t>
  </si>
  <si>
    <t>Hollis (22-N-16)</t>
  </si>
  <si>
    <t>Holly (20-O-4)</t>
  </si>
  <si>
    <t>Hollyknowe (19-M-5)</t>
  </si>
  <si>
    <t>Honey Brake (?)</t>
  </si>
  <si>
    <t>Honey Brake CT (?)</t>
  </si>
  <si>
    <t>Honey Brake Lake (?)</t>
  </si>
  <si>
    <t>Hopewell circle?</t>
  </si>
  <si>
    <t>Hopkins (?)</t>
  </si>
  <si>
    <t>Horseshoe Brak (20-O-13)</t>
  </si>
  <si>
    <t>Horseshoe Church (22-J-52)</t>
  </si>
  <si>
    <t>Horseshoe Lake</t>
  </si>
  <si>
    <t>Horve Hope (19-N-8)</t>
  </si>
  <si>
    <t>Howington</t>
  </si>
  <si>
    <t>Hughes (21-J-44)</t>
  </si>
  <si>
    <t>Hugo (15-M-6)</t>
  </si>
  <si>
    <t>Hull Brake (15-O-8/22-Co-515)</t>
  </si>
  <si>
    <t>Hunt (19-O-10)</t>
  </si>
  <si>
    <t>Indian Bayou (?)</t>
  </si>
  <si>
    <t>Indian Creek (15-P-3/22Pa513)</t>
  </si>
  <si>
    <t>Indian Mound</t>
  </si>
  <si>
    <t>Indian Mounds</t>
  </si>
  <si>
    <t>Ingersoll (21-O-2)</t>
  </si>
  <si>
    <t>Insley</t>
  </si>
  <si>
    <t>Ireland (19-L-5)</t>
  </si>
  <si>
    <t>Island Bayou North (?)</t>
  </si>
  <si>
    <t>Isola</t>
  </si>
  <si>
    <t>J.C. Rolfe (22-I-5)</t>
  </si>
  <si>
    <t>J.W. Copes</t>
  </si>
  <si>
    <t>Jacks</t>
  </si>
  <si>
    <t>Jackson Bayou (19-N-10)</t>
  </si>
  <si>
    <t>Jaketown (20-O-1)</t>
  </si>
  <si>
    <t>Jeff Davis (22-M-2)</t>
  </si>
  <si>
    <t>Jerusalem (21-N-20)</t>
  </si>
  <si>
    <t>Johnson</t>
  </si>
  <si>
    <t>Johnson (22-M-7)</t>
  </si>
  <si>
    <t>Jonesboro</t>
  </si>
  <si>
    <t>Jonesville</t>
  </si>
  <si>
    <t>Joseph's Island (?)</t>
  </si>
  <si>
    <t>Kearney</t>
  </si>
  <si>
    <t>Kennett (8-P-2)</t>
  </si>
  <si>
    <t>Kilbourne</t>
  </si>
  <si>
    <t>Kimball (?)</t>
  </si>
  <si>
    <t>King (?)</t>
  </si>
  <si>
    <t>King (19-M-9)</t>
  </si>
  <si>
    <t>Kings Crossing (23-M-1)</t>
  </si>
  <si>
    <t>Kinlock (19-N-1)</t>
  </si>
  <si>
    <t>Kirk (19-M-8)</t>
  </si>
  <si>
    <t>Kitterman (22-N-18)</t>
  </si>
  <si>
    <t>Kongo (20-N-4)</t>
  </si>
  <si>
    <t>Lafayette</t>
  </si>
  <si>
    <t>Lafayette Mounds (?)</t>
  </si>
  <si>
    <t>Lake Dawson (19-N-6)</t>
  </si>
  <si>
    <t>Lake George (21-N-1)</t>
  </si>
  <si>
    <t>Lake Louis (?)</t>
  </si>
  <si>
    <t>Lake Place (?)</t>
  </si>
  <si>
    <t>Lamartiniere (?)</t>
  </si>
  <si>
    <t>Landrum (22-N-10)</t>
  </si>
  <si>
    <t>Langdon (8-P-3)</t>
  </si>
  <si>
    <t>Law (20-L-1)</t>
  </si>
  <si>
    <t>Lawhorn</t>
  </si>
  <si>
    <t>Lea</t>
  </si>
  <si>
    <t>Leist (22-N-1)</t>
  </si>
  <si>
    <t>Leland (19-M-1)</t>
  </si>
  <si>
    <t>Lessiedell (20-M-4)</t>
  </si>
  <si>
    <t>Lick Bayou</t>
  </si>
  <si>
    <t>Little Crane Lake (21-J-8)</t>
  </si>
  <si>
    <t>Little Spanish Fort (22-N-14)</t>
  </si>
  <si>
    <t>Long Branch Structure (?)</t>
  </si>
  <si>
    <t>Love (21-O-7)</t>
  </si>
  <si>
    <t>Lower Jackson</t>
  </si>
  <si>
    <t>Lowery (21-M-4)</t>
  </si>
  <si>
    <t>Lula (15-O-4/22-Co-517)</t>
  </si>
  <si>
    <t>m29</t>
  </si>
  <si>
    <t>Mabin (21-N-4)</t>
  </si>
  <si>
    <t>Mackey (?)</t>
  </si>
  <si>
    <t>Magee (Deer Creek) (20-M-2)</t>
  </si>
  <si>
    <t>Magna Vista (22-L-1)</t>
  </si>
  <si>
    <t>Mambo (22-J-28)</t>
  </si>
  <si>
    <t>Mangrum</t>
  </si>
  <si>
    <t>Manly (12-N-2)</t>
  </si>
  <si>
    <t>Manny (22-M-6)</t>
  </si>
  <si>
    <t>Mardsen</t>
  </si>
  <si>
    <t>Marksville</t>
  </si>
  <si>
    <t>Matthews (20-M-10)</t>
  </si>
  <si>
    <t>Mayer</t>
  </si>
  <si>
    <t>Mayersville (21-L-1)</t>
  </si>
  <si>
    <t>McClean (19-O-1)</t>
  </si>
  <si>
    <t>McClintock (20-O-8)</t>
  </si>
  <si>
    <t>McCoy (?)</t>
  </si>
  <si>
    <t>McDougal</t>
  </si>
  <si>
    <t>McGary</t>
  </si>
  <si>
    <t>McGuffee (?)</t>
  </si>
  <si>
    <t>McGuire (22-H-10)</t>
  </si>
  <si>
    <t>McIntosh (?)</t>
  </si>
  <si>
    <t>McKnight</t>
  </si>
  <si>
    <t>Mengel (22-N-20)</t>
  </si>
  <si>
    <t>Meredith (?)</t>
  </si>
  <si>
    <t>Metcalf (19-L-4)</t>
  </si>
  <si>
    <t>Midnight</t>
  </si>
  <si>
    <t>Midnight (20-N-1)</t>
  </si>
  <si>
    <t>Miller</t>
  </si>
  <si>
    <t>Mitchell (19-N-7)</t>
  </si>
  <si>
    <t>Moncla</t>
  </si>
  <si>
    <t>Monroe (?)</t>
  </si>
  <si>
    <t>Montgomery (15-N-6)</t>
  </si>
  <si>
    <t>Montgomery (19-O-14)</t>
  </si>
  <si>
    <t>Montgomery II (?)</t>
  </si>
  <si>
    <t>Moon (3Po488)</t>
  </si>
  <si>
    <t>Moorhead Bayou (19-N-9)</t>
  </si>
  <si>
    <t>Morgan</t>
  </si>
  <si>
    <t>Mosley Mound (19-N-12)</t>
  </si>
  <si>
    <t>Moss (22-J-15)</t>
  </si>
  <si>
    <t>Motley</t>
  </si>
  <si>
    <t>Mott</t>
  </si>
  <si>
    <t>Mound</t>
  </si>
  <si>
    <t>Mound city (12-P-3)</t>
  </si>
  <si>
    <t>Mound Field</t>
  </si>
  <si>
    <t>Mound Helena (21-M-2)</t>
  </si>
  <si>
    <t>Mound Place (12-P-1)</t>
  </si>
  <si>
    <t>Mound?</t>
  </si>
  <si>
    <t>Mounds</t>
  </si>
  <si>
    <t>Mounds?</t>
  </si>
  <si>
    <t>Mount Bayou (?)</t>
  </si>
  <si>
    <t>Muddy Bayou (?)</t>
  </si>
  <si>
    <t>Murphy</t>
  </si>
  <si>
    <t>Neeley (22-K-10)</t>
  </si>
  <si>
    <t>Neely's Ferry (11-N-4)</t>
  </si>
  <si>
    <t>Neil #3 (18-P-7)</t>
  </si>
  <si>
    <t>Neill</t>
  </si>
  <si>
    <t>Neimeyer-Dare (21-J-9/10)</t>
  </si>
  <si>
    <t>Nettle Ridge (10-P-3)</t>
  </si>
  <si>
    <t>New HOpe</t>
  </si>
  <si>
    <t>Nichols (19-O-11)</t>
  </si>
  <si>
    <t>No Mistake (22-N-3)</t>
  </si>
  <si>
    <t>Noel Carnes</t>
  </si>
  <si>
    <t>Norman</t>
  </si>
  <si>
    <t>Norman (16-O-8)</t>
  </si>
  <si>
    <t>Notgrass Place (10-P-4)</t>
  </si>
  <si>
    <t>Old Dominion (19-O-5)</t>
  </si>
  <si>
    <t>Old Saline Camp (?)</t>
  </si>
  <si>
    <t>Old Varney River (8-P-1)</t>
  </si>
  <si>
    <t>Onward</t>
  </si>
  <si>
    <t>Otter Slough (6-R-7)</t>
  </si>
  <si>
    <t>Page?</t>
  </si>
  <si>
    <t>Palusha (19-P-1)</t>
  </si>
  <si>
    <t>Panther Burn (20-M-3)</t>
  </si>
  <si>
    <t>Panther Lake (?)</t>
  </si>
  <si>
    <t>Parkin (11-N-1)</t>
  </si>
  <si>
    <t>Parks (22-J-20)</t>
  </si>
  <si>
    <t>Patten Slough (22-I-10)</t>
  </si>
  <si>
    <t>Paul's Camp (?)</t>
  </si>
  <si>
    <t>Paxton (19-O-13)</t>
  </si>
  <si>
    <t>Payne (20-O-7)</t>
  </si>
  <si>
    <t>Peck?</t>
  </si>
  <si>
    <t>Pelts (DU29)</t>
  </si>
  <si>
    <t>Percey Jones (20-M-7)</t>
  </si>
  <si>
    <t>Perkins</t>
  </si>
  <si>
    <t>Perry (21-N-2)</t>
  </si>
  <si>
    <t>Pete Clark (21-O-12)</t>
  </si>
  <si>
    <t>Peters Church 1</t>
  </si>
  <si>
    <t>Peters Church 2</t>
  </si>
  <si>
    <t>Pickett's Island</t>
  </si>
  <si>
    <t>Point Lake (?)</t>
  </si>
  <si>
    <t>Polk (?)</t>
  </si>
  <si>
    <t>Polk (19-M-7)</t>
  </si>
  <si>
    <t>Polk (19-O-8)</t>
  </si>
  <si>
    <t>Pollard</t>
  </si>
  <si>
    <t>Posey Mound (15-O-6/22-Qu-500)</t>
  </si>
  <si>
    <t>Potato Hill Bayou (22-N-8)</t>
  </si>
  <si>
    <t>Pouncey (12-O-2)</t>
  </si>
  <si>
    <t>Poverty Point</t>
  </si>
  <si>
    <t>Priestley (3Po490)</t>
  </si>
  <si>
    <t>Pritchard (19-O-7)</t>
  </si>
  <si>
    <t>Pritchard Landing (?)</t>
  </si>
  <si>
    <t>Quafalorma (20-O-12)</t>
  </si>
  <si>
    <t>Rawlinson (21-I-11)</t>
  </si>
  <si>
    <t>Ray (23DU52)</t>
  </si>
  <si>
    <t>Ray Brake</t>
  </si>
  <si>
    <t>Reaver Brown (21-O-6)</t>
  </si>
  <si>
    <t>Rectangular Deposit?</t>
  </si>
  <si>
    <t>Red and White Pipe (?)</t>
  </si>
  <si>
    <t>Redwood</t>
  </si>
  <si>
    <t>Reeves Woods (?)</t>
  </si>
  <si>
    <t>Refuge (19-L-6)</t>
  </si>
  <si>
    <t>Richard Bridge (11-O-8)</t>
  </si>
  <si>
    <t>Ritter</t>
  </si>
  <si>
    <t>Rob'son Deadening (19-O-6)</t>
  </si>
  <si>
    <t>Robert Parker (22-J-21)</t>
  </si>
  <si>
    <t>Robinson (Rialto) (21-N-16)</t>
  </si>
  <si>
    <t>Roebuck (19-P-2)</t>
  </si>
  <si>
    <t>Rolling Fork (21-M-1)</t>
  </si>
  <si>
    <t>Rose Mound (12-N-3)</t>
  </si>
  <si>
    <t>Royd's Field (?)</t>
  </si>
  <si>
    <t>Rugby (21-N-17)</t>
  </si>
  <si>
    <t>Russel Place (24-I-52)</t>
  </si>
  <si>
    <t>Russell's Landing (?)</t>
  </si>
  <si>
    <t>Ruth Canal (32-I-2)</t>
  </si>
  <si>
    <t>Salmon (15-O-1)</t>
  </si>
  <si>
    <t>Sandy Run (?)</t>
  </si>
  <si>
    <t>Sanson (?)</t>
  </si>
  <si>
    <t>Satartia</t>
  </si>
  <si>
    <t>Saucier (?)</t>
  </si>
  <si>
    <t>Savage</t>
  </si>
  <si>
    <t>Savory (21-N-10)</t>
  </si>
  <si>
    <t>Screws (21-N-6)</t>
  </si>
  <si>
    <t>semi circle (marksville)</t>
  </si>
  <si>
    <t>Semi Circle?</t>
  </si>
  <si>
    <t>Semi circular deposit?</t>
  </si>
  <si>
    <t>Semi-circle deposit?</t>
  </si>
  <si>
    <t>semi-circle deposit?</t>
  </si>
  <si>
    <t>Semi-circle?</t>
  </si>
  <si>
    <t>semi-circle?</t>
  </si>
  <si>
    <t>semicircular ring</t>
  </si>
  <si>
    <t>Shannon (21-N-8)</t>
  </si>
  <si>
    <t>shanty lake</t>
  </si>
  <si>
    <t>Shanty Lake</t>
  </si>
  <si>
    <t>Shelby (12-P-2)</t>
  </si>
  <si>
    <t>Sheldon (19-M-2)</t>
  </si>
  <si>
    <t>Shell Bluff (19-O-2)</t>
  </si>
  <si>
    <t>Shell Brake</t>
  </si>
  <si>
    <t>shell ring?</t>
  </si>
  <si>
    <t>Shell Ring?</t>
  </si>
  <si>
    <t>Shellmound (?)</t>
  </si>
  <si>
    <t>Shellwood (21-O-9)</t>
  </si>
  <si>
    <t>Shepherd (?)</t>
  </si>
  <si>
    <t>Sherwood (19-M-3)</t>
  </si>
  <si>
    <t>Shields (19-N-2)</t>
  </si>
  <si>
    <t>Shoe Bayou (?)</t>
  </si>
  <si>
    <t>Silver City (20-O-5)</t>
  </si>
  <si>
    <t>Silver Lake (20-L-2)</t>
  </si>
  <si>
    <t>Simmons (19-O-2)</t>
  </si>
  <si>
    <t>Sky Lake (19-N-11)</t>
  </si>
  <si>
    <t>Smithdale</t>
  </si>
  <si>
    <t>Smithfield</t>
  </si>
  <si>
    <t>Sontheimer (20-P-2)</t>
  </si>
  <si>
    <t>Spanish Fort (21-N-3)</t>
  </si>
  <si>
    <t>Stainback (17-P-5)</t>
  </si>
  <si>
    <t>Stalonia (21-N-7)</t>
  </si>
  <si>
    <t>Stevenson (22-J-2)</t>
  </si>
  <si>
    <t>Stickley</t>
  </si>
  <si>
    <t>Stovall (15-N-7)</t>
  </si>
  <si>
    <t>Straight Bayou (20-N-3)</t>
  </si>
  <si>
    <t>Summerfield (20-N-2)</t>
  </si>
  <si>
    <t>Sundown (?)</t>
  </si>
  <si>
    <t>Swampers (24-J-25)</t>
  </si>
  <si>
    <t>Swampers?</t>
  </si>
  <si>
    <t>Swan Lake (?)</t>
  </si>
  <si>
    <t>Swan Lake (20-M-5)</t>
  </si>
  <si>
    <t>Tackett (?)</t>
  </si>
  <si>
    <t>Tanglewood (21-N-15)</t>
  </si>
  <si>
    <t>Taylor (15-P-2/22-Qu-507)</t>
  </si>
  <si>
    <t>Taylor (25-I-1)</t>
  </si>
  <si>
    <t>Taylor's Shanty</t>
  </si>
  <si>
    <t>Tchula Lake (20-O-9)</t>
  </si>
  <si>
    <t>temp</t>
  </si>
  <si>
    <t>Temple (20-P-3)</t>
  </si>
  <si>
    <t>Teoc Creek (18-P-6)</t>
  </si>
  <si>
    <t>Terral Lewis</t>
  </si>
  <si>
    <t>Thorton (22-M-1)</t>
  </si>
  <si>
    <t>Togo</t>
  </si>
  <si>
    <t>Trammell (22-N-13)</t>
  </si>
  <si>
    <t>Transylvania</t>
  </si>
  <si>
    <t>Tribbett</t>
  </si>
  <si>
    <t>Troublesome Lake</t>
  </si>
  <si>
    <t>Troyville (26-I-1)</t>
  </si>
  <si>
    <t>Trumann</t>
  </si>
  <si>
    <t>Turnage (?)</t>
  </si>
  <si>
    <t>Turnbow Place (11-N-12)</t>
  </si>
  <si>
    <t>Twin Lakes</t>
  </si>
  <si>
    <t>Twin Oaks (21-I-12)</t>
  </si>
  <si>
    <t>Twist Plantation (11-N-14)</t>
  </si>
  <si>
    <t>Unnamed (31-I-2)</t>
  </si>
  <si>
    <t>Valley View</t>
  </si>
  <si>
    <t>Vancil</t>
  </si>
  <si>
    <t>Victor Hill (22-J-47)</t>
  </si>
  <si>
    <t>Vogel Mounds (15-M-5)</t>
  </si>
  <si>
    <t>Wall (19-O-5)</t>
  </si>
  <si>
    <t>Waller (21-N-9)</t>
  </si>
  <si>
    <t>Walnut (21-I-13)</t>
  </si>
  <si>
    <t>Walnut Bend</t>
  </si>
  <si>
    <t>Watson Brake (23-H-6J)</t>
  </si>
  <si>
    <t>WE Smithh (?)</t>
  </si>
  <si>
    <t>Welch (22-K-14)</t>
  </si>
  <si>
    <t>Welsh Camp (20-O-20)</t>
  </si>
  <si>
    <t>West (14-O-10/22-Tu-520)</t>
  </si>
  <si>
    <t>White Place (21-I-15)</t>
  </si>
  <si>
    <t>Whiting (15-O-15/22-Co-511)</t>
  </si>
  <si>
    <t>Whitney Island</t>
  </si>
  <si>
    <t>Widener Cemetery (12-N-12)</t>
  </si>
  <si>
    <t>Wild Hog Mound (?)</t>
  </si>
  <si>
    <t>Wiley (?)</t>
  </si>
  <si>
    <t>Wilkins Island (8-O-2)</t>
  </si>
  <si>
    <t>Williamson (11-N-13)</t>
  </si>
  <si>
    <t>Wilson (?)</t>
  </si>
  <si>
    <t>Wilzone (21-N-19)</t>
  </si>
  <si>
    <t>Windsor (25-L-15)</t>
  </si>
  <si>
    <t>Winterville (19-L-1)</t>
  </si>
  <si>
    <t>WLA</t>
  </si>
  <si>
    <t>Woods (20-M-8)</t>
  </si>
  <si>
    <t>Yazoo City</t>
  </si>
  <si>
    <t>Yokena</t>
  </si>
  <si>
    <t>York Hill (21-O-11)</t>
  </si>
  <si>
    <t>Yucatan (21-N-5)</t>
  </si>
  <si>
    <t>Zebree (3MS20)</t>
  </si>
  <si>
    <t>Zeebree</t>
  </si>
  <si>
    <t>Latitude</t>
  </si>
  <si>
    <t>Longitude</t>
  </si>
  <si>
    <t>Site_Name</t>
  </si>
  <si>
    <t>40LA017</t>
  </si>
  <si>
    <t>Assemblage</t>
  </si>
  <si>
    <t>Northing</t>
  </si>
  <si>
    <t>Easting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</si>
</sst>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8" x14ac:knownFonts="1">
    <font>
      <sz val="12"/>
      <color theme="1"/>
      <name val="Calibri"/>
      <family val="2"/>
      <scheme val="minor"/>
    </font>
    <font>
      <b/>
      <sz val="8"/>
      <name val="Geneva"/>
    </font>
    <font>
      <b/>
      <sz val="10"/>
      <name val="Geneva"/>
    </font>
    <font>
      <sz val="8"/>
      <name val="Geneva"/>
    </font>
    <font>
      <sz val="10"/>
      <name val="Geneva"/>
    </font>
    <font>
      <sz val="10"/>
      <color indexed="8"/>
      <name val="MS Sans Serif"/>
    </font>
    <font>
      <sz val="10"/>
      <color indexed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5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5" fontId="3" fillId="0" borderId="0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14" fontId="3" fillId="0" borderId="0" xfId="0" applyNumberFormat="1" applyFont="1" applyBorder="1" applyAlignment="1">
      <alignment horizontal="left"/>
    </xf>
    <xf numFmtId="0" fontId="6" fillId="0" borderId="0" xfId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0" xfId="0" applyFont="1" applyBorder="1"/>
    <xf numFmtId="0" fontId="2" fillId="0" borderId="0" xfId="0" applyFont="1"/>
    <xf numFmtId="0" fontId="1" fillId="0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2" borderId="0" xfId="0" applyFill="1"/>
  </cellXfs>
  <cellStyles count="2">
    <cellStyle name="Normal" xfId="0" builtinId="0"/>
    <cellStyle name="Normal_PFG_Query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externalLink" Target="externalLinks/externalLink1.xml"/><Relationship Id="rId1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pfg_analysis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Data"/>
      <sheetName val="Sheet5"/>
      <sheetName val="AMASDA DATA"/>
      <sheetName val="frequencies"/>
      <sheetName val="trimmed data"/>
      <sheetName val="Sheet2"/>
      <sheetName val="data"/>
      <sheetName val="pfgdata"/>
      <sheetName val="Sheet4"/>
      <sheetName val="Sheet1"/>
      <sheetName val="prox - A"/>
      <sheetName val="prox - B"/>
      <sheetName val="prox - C"/>
      <sheetName val="prox - D"/>
      <sheetName val="prox E"/>
      <sheetName val="results"/>
      <sheetName val="Sq.Euclidiean Distance Chart"/>
      <sheetName val="theta and distance"/>
      <sheetName val="theta and euclid (deviations)"/>
      <sheetName val="Estimates of Theta"/>
      <sheetName val="Sheet3"/>
    </sheetNames>
    <sheetDataSet>
      <sheetData sheetId="0" refreshError="1"/>
      <sheetData sheetId="1" refreshError="1"/>
      <sheetData sheetId="2" refreshError="1">
        <row r="13">
          <cell r="B13" t="str">
            <v>10-Q-1</v>
          </cell>
          <cell r="H13">
            <v>3943700</v>
          </cell>
          <cell r="I13">
            <v>773800</v>
          </cell>
        </row>
        <row r="14">
          <cell r="B14" t="str">
            <v>10-Q-2</v>
          </cell>
          <cell r="H14">
            <v>3948160</v>
          </cell>
          <cell r="I14">
            <v>773850</v>
          </cell>
        </row>
        <row r="15">
          <cell r="B15" t="str">
            <v>10-Q-3</v>
          </cell>
          <cell r="H15">
            <v>3940400</v>
          </cell>
          <cell r="I15">
            <v>773550</v>
          </cell>
        </row>
        <row r="16">
          <cell r="B16" t="str">
            <v>10-Q-3</v>
          </cell>
          <cell r="H16">
            <v>3940400</v>
          </cell>
          <cell r="I16">
            <v>773550</v>
          </cell>
        </row>
        <row r="17">
          <cell r="B17" t="str">
            <v>10-Q-3</v>
          </cell>
          <cell r="H17">
            <v>3940400</v>
          </cell>
          <cell r="I17">
            <v>773550</v>
          </cell>
        </row>
        <row r="18">
          <cell r="B18" t="str">
            <v>10-Q-4</v>
          </cell>
          <cell r="H18">
            <v>3942050</v>
          </cell>
          <cell r="I18">
            <v>774900</v>
          </cell>
        </row>
        <row r="19">
          <cell r="B19" t="str">
            <v>11-0-10</v>
          </cell>
          <cell r="H19">
            <v>3918000</v>
          </cell>
          <cell r="I19">
            <v>737150</v>
          </cell>
        </row>
        <row r="20">
          <cell r="B20" t="str">
            <v>11-0-11</v>
          </cell>
          <cell r="H20">
            <v>3914900</v>
          </cell>
          <cell r="I20">
            <v>736700</v>
          </cell>
        </row>
        <row r="21">
          <cell r="B21" t="str">
            <v>11-0-12</v>
          </cell>
          <cell r="H21">
            <v>3913360</v>
          </cell>
          <cell r="I21">
            <v>733360</v>
          </cell>
        </row>
        <row r="22">
          <cell r="B22" t="str">
            <v>11-0-4</v>
          </cell>
          <cell r="H22">
            <v>3926550</v>
          </cell>
          <cell r="I22">
            <v>728900</v>
          </cell>
        </row>
        <row r="23">
          <cell r="B23" t="str">
            <v>11-0-5</v>
          </cell>
          <cell r="H23">
            <v>3924190</v>
          </cell>
          <cell r="I23">
            <v>734640</v>
          </cell>
        </row>
        <row r="24">
          <cell r="B24" t="str">
            <v>11-0-6</v>
          </cell>
          <cell r="H24">
            <v>3924830</v>
          </cell>
          <cell r="I24">
            <v>734650</v>
          </cell>
        </row>
        <row r="25">
          <cell r="B25" t="str">
            <v>11-0-7</v>
          </cell>
          <cell r="H25">
            <v>3911480</v>
          </cell>
          <cell r="I25">
            <v>730800</v>
          </cell>
        </row>
        <row r="26">
          <cell r="B26" t="str">
            <v>11-0-8</v>
          </cell>
          <cell r="H26">
            <v>3913360</v>
          </cell>
          <cell r="I26">
            <v>732350</v>
          </cell>
        </row>
        <row r="27">
          <cell r="B27" t="str">
            <v>11-0-8</v>
          </cell>
          <cell r="H27">
            <v>3913360</v>
          </cell>
          <cell r="I27">
            <v>732350</v>
          </cell>
        </row>
        <row r="28">
          <cell r="B28" t="str">
            <v>11-0-9</v>
          </cell>
          <cell r="H28">
            <v>3916540</v>
          </cell>
          <cell r="I28">
            <v>736740</v>
          </cell>
        </row>
        <row r="29">
          <cell r="B29" t="str">
            <v>13-N-4</v>
          </cell>
          <cell r="H29">
            <v>3854800</v>
          </cell>
          <cell r="I29">
            <v>725840</v>
          </cell>
        </row>
        <row r="30">
          <cell r="B30" t="str">
            <v>114-K-3</v>
          </cell>
          <cell r="H30">
            <v>0</v>
          </cell>
          <cell r="I30">
            <v>0</v>
          </cell>
        </row>
        <row r="31">
          <cell r="B31" t="str">
            <v>11-L-4</v>
          </cell>
          <cell r="H31">
            <v>3924380</v>
          </cell>
          <cell r="I31">
            <v>679720</v>
          </cell>
        </row>
        <row r="32">
          <cell r="B32" t="str">
            <v>11-L-6</v>
          </cell>
          <cell r="H32">
            <v>3925140</v>
          </cell>
          <cell r="I32">
            <v>681100</v>
          </cell>
        </row>
        <row r="33">
          <cell r="B33" t="str">
            <v>11-M-32</v>
          </cell>
          <cell r="H33">
            <v>3927850</v>
          </cell>
          <cell r="I33">
            <v>696900</v>
          </cell>
        </row>
        <row r="34">
          <cell r="B34" t="str">
            <v>11-M-35</v>
          </cell>
          <cell r="H34">
            <v>3925160</v>
          </cell>
          <cell r="I34">
            <v>690340</v>
          </cell>
        </row>
        <row r="35">
          <cell r="B35" t="str">
            <v>11M-36</v>
          </cell>
          <cell r="H35">
            <v>3926750</v>
          </cell>
          <cell r="I35">
            <v>691210</v>
          </cell>
        </row>
        <row r="36">
          <cell r="B36" t="str">
            <v>11M-36</v>
          </cell>
          <cell r="H36">
            <v>3926750</v>
          </cell>
          <cell r="I36">
            <v>691210</v>
          </cell>
        </row>
        <row r="37">
          <cell r="B37" t="str">
            <v>11-M-37</v>
          </cell>
          <cell r="H37">
            <v>3926810</v>
          </cell>
          <cell r="I37">
            <v>691640</v>
          </cell>
        </row>
        <row r="38">
          <cell r="B38" t="str">
            <v>11-O-1</v>
          </cell>
          <cell r="H38">
            <v>3928100</v>
          </cell>
          <cell r="I38">
            <v>730000</v>
          </cell>
        </row>
        <row r="39">
          <cell r="B39" t="str">
            <v>11-P-1</v>
          </cell>
          <cell r="H39">
            <v>3931860</v>
          </cell>
          <cell r="I39">
            <v>761300</v>
          </cell>
        </row>
        <row r="40">
          <cell r="B40" t="str">
            <v>11-P-1</v>
          </cell>
          <cell r="H40">
            <v>3931860</v>
          </cell>
          <cell r="I40">
            <v>761300</v>
          </cell>
        </row>
        <row r="41">
          <cell r="B41" t="str">
            <v>11-P-2</v>
          </cell>
          <cell r="H41">
            <v>3910900</v>
          </cell>
          <cell r="I41">
            <v>758280</v>
          </cell>
        </row>
        <row r="42">
          <cell r="B42" t="str">
            <v>11-P-4</v>
          </cell>
          <cell r="H42">
            <v>0</v>
          </cell>
          <cell r="I42">
            <v>0</v>
          </cell>
        </row>
        <row r="43">
          <cell r="B43" t="str">
            <v>11-P-5</v>
          </cell>
          <cell r="H43">
            <v>3917540</v>
          </cell>
          <cell r="I43">
            <v>757100</v>
          </cell>
        </row>
        <row r="44">
          <cell r="B44" t="str">
            <v>12-0-1</v>
          </cell>
          <cell r="H44">
            <v>3887490</v>
          </cell>
          <cell r="I44">
            <v>746480</v>
          </cell>
        </row>
        <row r="45">
          <cell r="B45" t="str">
            <v>12-0-1</v>
          </cell>
          <cell r="H45">
            <v>3887490</v>
          </cell>
          <cell r="I45">
            <v>746480</v>
          </cell>
        </row>
        <row r="46">
          <cell r="B46" t="str">
            <v>12-0-1</v>
          </cell>
          <cell r="H46">
            <v>3887490</v>
          </cell>
          <cell r="I46">
            <v>746480</v>
          </cell>
        </row>
        <row r="47">
          <cell r="B47" t="str">
            <v>12-0-2</v>
          </cell>
          <cell r="H47">
            <v>3878800</v>
          </cell>
          <cell r="I47">
            <v>741000</v>
          </cell>
        </row>
        <row r="48">
          <cell r="B48" t="str">
            <v>12-M-2</v>
          </cell>
          <cell r="H48">
            <v>3873470</v>
          </cell>
          <cell r="I48">
            <v>701960</v>
          </cell>
        </row>
        <row r="49">
          <cell r="B49" t="str">
            <v>12-M-7</v>
          </cell>
          <cell r="H49">
            <v>3890910</v>
          </cell>
          <cell r="I49">
            <v>687930</v>
          </cell>
        </row>
        <row r="50">
          <cell r="B50" t="str">
            <v>12-N-10</v>
          </cell>
          <cell r="H50">
            <v>3883280</v>
          </cell>
          <cell r="I50">
            <v>711650</v>
          </cell>
        </row>
        <row r="51">
          <cell r="B51" t="str">
            <v>12-N-11</v>
          </cell>
          <cell r="H51">
            <v>3882530</v>
          </cell>
          <cell r="I51">
            <v>711120</v>
          </cell>
        </row>
        <row r="52">
          <cell r="B52" t="str">
            <v>12-N-12</v>
          </cell>
          <cell r="H52">
            <v>3878020</v>
          </cell>
          <cell r="I52">
            <v>710760</v>
          </cell>
        </row>
        <row r="53">
          <cell r="B53" t="str">
            <v>12-N-13</v>
          </cell>
          <cell r="H53">
            <v>3888530</v>
          </cell>
          <cell r="I53">
            <v>722840</v>
          </cell>
        </row>
        <row r="54">
          <cell r="B54" t="str">
            <v>12-N-14</v>
          </cell>
          <cell r="H54">
            <v>3875720</v>
          </cell>
          <cell r="I54">
            <v>707320</v>
          </cell>
        </row>
        <row r="55">
          <cell r="B55" t="str">
            <v>12-N-15</v>
          </cell>
          <cell r="H55">
            <v>3891230</v>
          </cell>
          <cell r="I55">
            <v>712120</v>
          </cell>
        </row>
        <row r="56">
          <cell r="B56" t="str">
            <v>12-N-16</v>
          </cell>
          <cell r="H56">
            <v>3888590</v>
          </cell>
          <cell r="I56">
            <v>727000</v>
          </cell>
        </row>
        <row r="57">
          <cell r="B57" t="str">
            <v>12-N-2</v>
          </cell>
          <cell r="H57">
            <v>3880450</v>
          </cell>
          <cell r="I57">
            <v>708240</v>
          </cell>
        </row>
        <row r="58">
          <cell r="B58" t="str">
            <v>12-N-2</v>
          </cell>
          <cell r="H58">
            <v>3880450</v>
          </cell>
          <cell r="I58">
            <v>708240</v>
          </cell>
        </row>
        <row r="59">
          <cell r="B59" t="str">
            <v>12-N-4</v>
          </cell>
          <cell r="H59">
            <v>3888750</v>
          </cell>
          <cell r="I59">
            <v>710000</v>
          </cell>
        </row>
        <row r="60">
          <cell r="B60" t="str">
            <v>12-N-9</v>
          </cell>
          <cell r="H60">
            <v>3886730</v>
          </cell>
          <cell r="I60">
            <v>717790</v>
          </cell>
        </row>
        <row r="61">
          <cell r="B61" t="str">
            <v>12-O-3</v>
          </cell>
          <cell r="H61">
            <v>3877520</v>
          </cell>
          <cell r="I61">
            <v>735360</v>
          </cell>
        </row>
        <row r="62">
          <cell r="B62" t="str">
            <v>12-O-4</v>
          </cell>
          <cell r="H62">
            <v>3878460</v>
          </cell>
          <cell r="I62">
            <v>734540</v>
          </cell>
        </row>
        <row r="63">
          <cell r="B63" t="str">
            <v>12-O-5</v>
          </cell>
          <cell r="H63">
            <v>3876440</v>
          </cell>
          <cell r="I63">
            <v>729450</v>
          </cell>
        </row>
        <row r="64">
          <cell r="B64" t="str">
            <v>12-O-5</v>
          </cell>
          <cell r="H64">
            <v>3876440</v>
          </cell>
          <cell r="I64">
            <v>729450</v>
          </cell>
        </row>
        <row r="65">
          <cell r="B65" t="str">
            <v>12-P-1</v>
          </cell>
          <cell r="H65">
            <v>3885300</v>
          </cell>
          <cell r="I65">
            <v>751720</v>
          </cell>
        </row>
        <row r="66">
          <cell r="B66" t="str">
            <v>13-0-1</v>
          </cell>
          <cell r="H66">
            <v>3864600</v>
          </cell>
          <cell r="I66">
            <v>732400</v>
          </cell>
        </row>
        <row r="67">
          <cell r="B67" t="str">
            <v>13-0-1</v>
          </cell>
          <cell r="H67">
            <v>3864600</v>
          </cell>
          <cell r="I67">
            <v>732400</v>
          </cell>
        </row>
        <row r="68">
          <cell r="B68" t="str">
            <v>13-0-2</v>
          </cell>
          <cell r="H68">
            <v>3872150</v>
          </cell>
          <cell r="I68">
            <v>738780</v>
          </cell>
        </row>
        <row r="69">
          <cell r="B69" t="str">
            <v>13-0-4</v>
          </cell>
          <cell r="H69">
            <v>3872640</v>
          </cell>
          <cell r="I69">
            <v>738420</v>
          </cell>
        </row>
        <row r="70">
          <cell r="B70" t="str">
            <v>13-0-5</v>
          </cell>
          <cell r="H70">
            <v>3867390</v>
          </cell>
          <cell r="I70">
            <v>738270</v>
          </cell>
        </row>
        <row r="71">
          <cell r="B71" t="str">
            <v>13-0-7</v>
          </cell>
          <cell r="H71">
            <v>3866850</v>
          </cell>
          <cell r="I71">
            <v>738580</v>
          </cell>
        </row>
        <row r="72">
          <cell r="B72" t="str">
            <v>13-0-9</v>
          </cell>
          <cell r="H72">
            <v>3875620</v>
          </cell>
          <cell r="I72">
            <v>737480</v>
          </cell>
        </row>
        <row r="73">
          <cell r="B73" t="str">
            <v>13-M-1</v>
          </cell>
          <cell r="H73">
            <v>3861600</v>
          </cell>
          <cell r="I73">
            <v>702850</v>
          </cell>
        </row>
        <row r="74">
          <cell r="B74" t="str">
            <v>13-N-1</v>
          </cell>
          <cell r="H74">
            <v>3856470</v>
          </cell>
          <cell r="I74">
            <v>714090</v>
          </cell>
        </row>
        <row r="75">
          <cell r="B75" t="str">
            <v>13-N-10</v>
          </cell>
          <cell r="H75">
            <v>3855100</v>
          </cell>
          <cell r="I75">
            <v>726680</v>
          </cell>
        </row>
        <row r="76">
          <cell r="B76" t="str">
            <v>13-N-11</v>
          </cell>
          <cell r="H76">
            <v>3848720</v>
          </cell>
          <cell r="I76">
            <v>718180</v>
          </cell>
        </row>
        <row r="77">
          <cell r="B77" t="str">
            <v>13-N-12</v>
          </cell>
          <cell r="H77">
            <v>3854080</v>
          </cell>
          <cell r="I77">
            <v>725340</v>
          </cell>
        </row>
        <row r="78">
          <cell r="B78" t="str">
            <v>13-N-12</v>
          </cell>
          <cell r="H78">
            <v>3854080</v>
          </cell>
          <cell r="I78">
            <v>725340</v>
          </cell>
        </row>
        <row r="79">
          <cell r="B79" t="str">
            <v>13-N-13</v>
          </cell>
          <cell r="H79">
            <v>3867210</v>
          </cell>
          <cell r="I79">
            <v>721550</v>
          </cell>
        </row>
        <row r="80">
          <cell r="B80" t="str">
            <v>13-N-14</v>
          </cell>
          <cell r="H80">
            <v>3859600</v>
          </cell>
          <cell r="I80">
            <v>711300</v>
          </cell>
        </row>
        <row r="81">
          <cell r="B81" t="str">
            <v>13-N-15</v>
          </cell>
          <cell r="H81">
            <v>3871500</v>
          </cell>
          <cell r="I81">
            <v>724350</v>
          </cell>
        </row>
        <row r="82">
          <cell r="B82" t="str">
            <v>13-N-16</v>
          </cell>
          <cell r="H82">
            <v>3850050</v>
          </cell>
          <cell r="I82">
            <v>721080</v>
          </cell>
        </row>
        <row r="83">
          <cell r="B83" t="str">
            <v>13-N-17,LRP</v>
          </cell>
          <cell r="H83">
            <v>3848410</v>
          </cell>
          <cell r="I83">
            <v>713070</v>
          </cell>
        </row>
        <row r="84">
          <cell r="B84" t="str">
            <v>13-N-17,LRP</v>
          </cell>
          <cell r="H84">
            <v>3848410</v>
          </cell>
          <cell r="I84">
            <v>713070</v>
          </cell>
        </row>
        <row r="85">
          <cell r="B85" t="str">
            <v>13-N-18</v>
          </cell>
          <cell r="H85">
            <v>3872280</v>
          </cell>
          <cell r="I85">
            <v>718090</v>
          </cell>
        </row>
        <row r="86">
          <cell r="B86" t="str">
            <v>13-N-19</v>
          </cell>
          <cell r="H86">
            <v>3872570</v>
          </cell>
          <cell r="I86">
            <v>712650</v>
          </cell>
        </row>
        <row r="87">
          <cell r="B87" t="str">
            <v>13-N-2</v>
          </cell>
          <cell r="H87">
            <v>3856900</v>
          </cell>
          <cell r="I87">
            <v>720800</v>
          </cell>
        </row>
        <row r="88">
          <cell r="B88" t="str">
            <v>13-N-20</v>
          </cell>
          <cell r="H88">
            <v>3872310</v>
          </cell>
          <cell r="I88">
            <v>713100</v>
          </cell>
        </row>
        <row r="89">
          <cell r="B89" t="str">
            <v>13-N-3</v>
          </cell>
          <cell r="H89">
            <v>3861400</v>
          </cell>
          <cell r="I89">
            <v>724360</v>
          </cell>
        </row>
        <row r="90">
          <cell r="B90" t="str">
            <v>13-N-5</v>
          </cell>
          <cell r="H90">
            <v>3860300</v>
          </cell>
          <cell r="I90">
            <v>725300</v>
          </cell>
        </row>
        <row r="91">
          <cell r="B91" t="str">
            <v>13-N-6</v>
          </cell>
          <cell r="H91">
            <v>3856210</v>
          </cell>
          <cell r="I91">
            <v>726020</v>
          </cell>
        </row>
        <row r="92">
          <cell r="B92" t="str">
            <v>13-N-7</v>
          </cell>
          <cell r="H92">
            <v>3861780</v>
          </cell>
          <cell r="I92">
            <v>708000</v>
          </cell>
        </row>
        <row r="93">
          <cell r="B93" t="str">
            <v>13-N-8,</v>
          </cell>
          <cell r="H93">
            <v>3856480</v>
          </cell>
          <cell r="I93">
            <v>726000</v>
          </cell>
        </row>
        <row r="94">
          <cell r="B94" t="str">
            <v>13-N-9</v>
          </cell>
          <cell r="H94">
            <v>3851260</v>
          </cell>
          <cell r="I94">
            <v>717650</v>
          </cell>
        </row>
        <row r="95">
          <cell r="B95" t="str">
            <v>13-O-3</v>
          </cell>
          <cell r="H95">
            <v>3870150</v>
          </cell>
          <cell r="I95">
            <v>733280</v>
          </cell>
        </row>
        <row r="96">
          <cell r="B96" t="str">
            <v>13-O-6</v>
          </cell>
          <cell r="H96">
            <v>3873060</v>
          </cell>
          <cell r="I96">
            <v>729580</v>
          </cell>
        </row>
        <row r="97">
          <cell r="B97" t="str">
            <v>13-O-8</v>
          </cell>
          <cell r="H97">
            <v>3872450</v>
          </cell>
          <cell r="I97">
            <v>730100</v>
          </cell>
        </row>
        <row r="98">
          <cell r="B98" t="str">
            <v>14-K-1</v>
          </cell>
          <cell r="H98">
            <v>0</v>
          </cell>
          <cell r="I98">
            <v>0</v>
          </cell>
        </row>
        <row r="99">
          <cell r="B99" t="str">
            <v>14-K-2</v>
          </cell>
          <cell r="H99">
            <v>0</v>
          </cell>
          <cell r="I99">
            <v>0</v>
          </cell>
        </row>
        <row r="100">
          <cell r="B100" t="str">
            <v>14-L-1</v>
          </cell>
          <cell r="H100">
            <v>3820150</v>
          </cell>
          <cell r="I100">
            <v>666950</v>
          </cell>
        </row>
        <row r="101">
          <cell r="B101" t="str">
            <v>14-L-1</v>
          </cell>
          <cell r="H101">
            <v>3820150</v>
          </cell>
          <cell r="I101">
            <v>666950</v>
          </cell>
        </row>
        <row r="102">
          <cell r="B102" t="str">
            <v>14-L-2</v>
          </cell>
          <cell r="H102">
            <v>0</v>
          </cell>
          <cell r="I102">
            <v>0</v>
          </cell>
        </row>
        <row r="103">
          <cell r="B103" t="str">
            <v>14-M-1</v>
          </cell>
          <cell r="H103">
            <v>0</v>
          </cell>
          <cell r="I103">
            <v>0</v>
          </cell>
        </row>
        <row r="104">
          <cell r="B104" t="str">
            <v>14-M-12</v>
          </cell>
          <cell r="H104">
            <v>0</v>
          </cell>
          <cell r="I104">
            <v>0</v>
          </cell>
        </row>
        <row r="105">
          <cell r="B105" t="str">
            <v>14-M-13</v>
          </cell>
          <cell r="H105">
            <v>3827420</v>
          </cell>
          <cell r="I105">
            <v>691540</v>
          </cell>
        </row>
        <row r="106">
          <cell r="B106" t="str">
            <v>14-M-14</v>
          </cell>
          <cell r="H106">
            <v>0</v>
          </cell>
          <cell r="I106">
            <v>0</v>
          </cell>
        </row>
        <row r="107">
          <cell r="B107" t="str">
            <v>14-M-16</v>
          </cell>
          <cell r="H107">
            <v>3836740</v>
          </cell>
          <cell r="I107">
            <v>699590</v>
          </cell>
        </row>
        <row r="108">
          <cell r="B108" t="str">
            <v>14-M-17</v>
          </cell>
          <cell r="H108">
            <v>3827100</v>
          </cell>
          <cell r="I108">
            <v>702180</v>
          </cell>
        </row>
        <row r="109">
          <cell r="B109" t="str">
            <v>14-M-18</v>
          </cell>
          <cell r="H109">
            <v>3832320</v>
          </cell>
          <cell r="I109">
            <v>701550</v>
          </cell>
        </row>
        <row r="110">
          <cell r="B110" t="str">
            <v>14-M-19</v>
          </cell>
          <cell r="H110">
            <v>3827850</v>
          </cell>
          <cell r="I110">
            <v>704980</v>
          </cell>
        </row>
        <row r="111">
          <cell r="B111" t="str">
            <v>14-M-2</v>
          </cell>
          <cell r="H111">
            <v>3836130</v>
          </cell>
          <cell r="I111">
            <v>694170</v>
          </cell>
        </row>
        <row r="112">
          <cell r="B112" t="str">
            <v>14-M-20</v>
          </cell>
          <cell r="H112">
            <v>0</v>
          </cell>
          <cell r="I112">
            <v>0</v>
          </cell>
        </row>
        <row r="113">
          <cell r="B113" t="str">
            <v>14-M-21</v>
          </cell>
          <cell r="H113">
            <v>0</v>
          </cell>
          <cell r="I113">
            <v>0</v>
          </cell>
        </row>
        <row r="114">
          <cell r="B114" t="str">
            <v>14-M-4</v>
          </cell>
          <cell r="H114">
            <v>3816200</v>
          </cell>
          <cell r="I114">
            <v>705780</v>
          </cell>
        </row>
        <row r="115">
          <cell r="B115" t="str">
            <v>14-M-5</v>
          </cell>
          <cell r="H115">
            <v>3829310</v>
          </cell>
          <cell r="I115">
            <v>703150</v>
          </cell>
        </row>
        <row r="116">
          <cell r="B116" t="str">
            <v>14-M-6</v>
          </cell>
          <cell r="H116">
            <v>3832550</v>
          </cell>
          <cell r="I116">
            <v>694190</v>
          </cell>
        </row>
        <row r="117">
          <cell r="B117" t="str">
            <v>14-M-7</v>
          </cell>
          <cell r="H117">
            <v>3828960</v>
          </cell>
          <cell r="I117">
            <v>699570</v>
          </cell>
        </row>
        <row r="118">
          <cell r="B118" t="str">
            <v>14-M-8</v>
          </cell>
          <cell r="H118">
            <v>3828620</v>
          </cell>
          <cell r="I118">
            <v>699530</v>
          </cell>
        </row>
        <row r="119">
          <cell r="B119" t="str">
            <v>14-M-9</v>
          </cell>
          <cell r="H119">
            <v>0</v>
          </cell>
          <cell r="I119">
            <v>0</v>
          </cell>
        </row>
        <row r="120">
          <cell r="B120" t="str">
            <v>14-N-1,</v>
          </cell>
          <cell r="H120">
            <v>3834510</v>
          </cell>
          <cell r="I120">
            <v>717270</v>
          </cell>
        </row>
        <row r="121">
          <cell r="B121" t="str">
            <v>14-N-10</v>
          </cell>
          <cell r="H121">
            <v>3826770</v>
          </cell>
          <cell r="I121">
            <v>712620</v>
          </cell>
        </row>
        <row r="122">
          <cell r="B122" t="str">
            <v>14-N-2</v>
          </cell>
          <cell r="H122">
            <v>3834070</v>
          </cell>
          <cell r="I122">
            <v>718300</v>
          </cell>
        </row>
        <row r="123">
          <cell r="B123" t="str">
            <v>14-N-3</v>
          </cell>
          <cell r="H123">
            <v>3846900</v>
          </cell>
          <cell r="I123">
            <v>707220</v>
          </cell>
        </row>
        <row r="124">
          <cell r="B124" t="str">
            <v>14-N-4</v>
          </cell>
          <cell r="H124">
            <v>3822310</v>
          </cell>
          <cell r="I124">
            <v>715570</v>
          </cell>
        </row>
        <row r="125">
          <cell r="B125" t="str">
            <v>14-N-5</v>
          </cell>
          <cell r="H125">
            <v>0</v>
          </cell>
          <cell r="I125">
            <v>0</v>
          </cell>
        </row>
        <row r="126">
          <cell r="B126" t="str">
            <v>14-N-7</v>
          </cell>
          <cell r="H126">
            <v>0</v>
          </cell>
          <cell r="I126">
            <v>0</v>
          </cell>
        </row>
        <row r="127">
          <cell r="B127" t="str">
            <v>14-N-8</v>
          </cell>
          <cell r="H127">
            <v>0</v>
          </cell>
          <cell r="I127">
            <v>0</v>
          </cell>
        </row>
        <row r="128">
          <cell r="B128" t="str">
            <v>14-N-9</v>
          </cell>
          <cell r="H128">
            <v>0</v>
          </cell>
          <cell r="I128">
            <v>0</v>
          </cell>
        </row>
        <row r="129">
          <cell r="B129" t="str">
            <v>15-K-1</v>
          </cell>
          <cell r="H129">
            <v>3794900</v>
          </cell>
          <cell r="I129">
            <v>654030</v>
          </cell>
        </row>
        <row r="130">
          <cell r="B130" t="str">
            <v>15-J-1</v>
          </cell>
          <cell r="H130">
            <v>3810200</v>
          </cell>
          <cell r="I130">
            <v>621530</v>
          </cell>
        </row>
        <row r="131">
          <cell r="B131" t="str">
            <v>15-J-2</v>
          </cell>
          <cell r="H131">
            <v>3802310</v>
          </cell>
          <cell r="I131">
            <v>626000</v>
          </cell>
        </row>
        <row r="132">
          <cell r="B132" t="str">
            <v>15-J-2</v>
          </cell>
          <cell r="H132">
            <v>3802310</v>
          </cell>
          <cell r="I132">
            <v>626000</v>
          </cell>
        </row>
        <row r="133">
          <cell r="B133" t="str">
            <v>15-J-5</v>
          </cell>
          <cell r="H133">
            <v>3811930</v>
          </cell>
          <cell r="I133">
            <v>622370</v>
          </cell>
        </row>
        <row r="134">
          <cell r="B134" t="str">
            <v>15-J-6</v>
          </cell>
          <cell r="H134">
            <v>3800000</v>
          </cell>
          <cell r="I134">
            <v>625400</v>
          </cell>
        </row>
        <row r="135">
          <cell r="B135" t="str">
            <v>15-K-2</v>
          </cell>
          <cell r="H135">
            <v>3798210</v>
          </cell>
          <cell r="I135">
            <v>657110</v>
          </cell>
        </row>
        <row r="136">
          <cell r="B136" t="str">
            <v>15-L-1</v>
          </cell>
          <cell r="H136">
            <v>3808700</v>
          </cell>
          <cell r="I136">
            <v>676400</v>
          </cell>
        </row>
        <row r="137">
          <cell r="B137" t="str">
            <v>15-L-2</v>
          </cell>
          <cell r="H137">
            <v>3806080</v>
          </cell>
          <cell r="I137">
            <v>677820</v>
          </cell>
        </row>
        <row r="138">
          <cell r="B138" t="str">
            <v>15-L-3</v>
          </cell>
          <cell r="H138">
            <v>3817230</v>
          </cell>
          <cell r="I138">
            <v>680600</v>
          </cell>
        </row>
        <row r="139">
          <cell r="B139" t="str">
            <v>15-L-4</v>
          </cell>
          <cell r="H139">
            <v>3794300</v>
          </cell>
          <cell r="I139">
            <v>669630</v>
          </cell>
        </row>
        <row r="140">
          <cell r="B140" t="str">
            <v>15-L-5</v>
          </cell>
          <cell r="H140">
            <v>3793040</v>
          </cell>
          <cell r="I140">
            <v>662920</v>
          </cell>
        </row>
        <row r="141">
          <cell r="B141" t="str">
            <v>15-L-5</v>
          </cell>
          <cell r="H141">
            <v>3798270</v>
          </cell>
          <cell r="I141">
            <v>667500</v>
          </cell>
        </row>
        <row r="142">
          <cell r="B142" t="str">
            <v>15-L-6</v>
          </cell>
          <cell r="H142">
            <v>3799900</v>
          </cell>
          <cell r="I142">
            <v>672350</v>
          </cell>
        </row>
        <row r="143">
          <cell r="B143" t="str">
            <v>15-M-1</v>
          </cell>
          <cell r="H143">
            <v>3800950</v>
          </cell>
          <cell r="I143">
            <v>688500</v>
          </cell>
        </row>
        <row r="144">
          <cell r="B144" t="str">
            <v>15-M-2</v>
          </cell>
          <cell r="H144">
            <v>3796720</v>
          </cell>
          <cell r="I144">
            <v>697380</v>
          </cell>
        </row>
        <row r="145">
          <cell r="B145" t="str">
            <v>15-M-3</v>
          </cell>
          <cell r="H145">
            <v>3797600</v>
          </cell>
          <cell r="I145">
            <v>697620</v>
          </cell>
        </row>
        <row r="146">
          <cell r="B146" t="str">
            <v>15-M-4</v>
          </cell>
          <cell r="H146">
            <v>3796360</v>
          </cell>
          <cell r="I146">
            <v>697020</v>
          </cell>
        </row>
        <row r="147">
          <cell r="B147" t="str">
            <v>15-M-5</v>
          </cell>
          <cell r="H147">
            <v>3806980</v>
          </cell>
          <cell r="I147">
            <v>685680</v>
          </cell>
        </row>
        <row r="148">
          <cell r="B148" t="str">
            <v>15-N-1</v>
          </cell>
          <cell r="H148">
            <v>3814590</v>
          </cell>
          <cell r="I148">
            <v>720290</v>
          </cell>
        </row>
        <row r="149">
          <cell r="B149" t="str">
            <v>15-N-2,</v>
          </cell>
          <cell r="H149">
            <v>3810500</v>
          </cell>
          <cell r="I149">
            <v>718780</v>
          </cell>
        </row>
        <row r="150">
          <cell r="B150" t="str">
            <v>15-N-3,</v>
          </cell>
          <cell r="H150">
            <v>3806750</v>
          </cell>
          <cell r="I150">
            <v>707560</v>
          </cell>
        </row>
        <row r="151">
          <cell r="B151" t="str">
            <v>15-N-4</v>
          </cell>
          <cell r="H151">
            <v>3806661</v>
          </cell>
          <cell r="I151">
            <v>707170</v>
          </cell>
        </row>
        <row r="152">
          <cell r="B152" t="str">
            <v>16-K-1</v>
          </cell>
          <cell r="H152">
            <v>3765050</v>
          </cell>
          <cell r="I152">
            <v>649680</v>
          </cell>
        </row>
        <row r="153">
          <cell r="B153" t="str">
            <v>16-K-1</v>
          </cell>
          <cell r="H153">
            <v>3765050</v>
          </cell>
          <cell r="I153">
            <v>649680</v>
          </cell>
        </row>
        <row r="154">
          <cell r="B154" t="str">
            <v>16-K-2</v>
          </cell>
          <cell r="H154">
            <v>3779320</v>
          </cell>
          <cell r="I154">
            <v>643520</v>
          </cell>
        </row>
        <row r="155">
          <cell r="B155" t="str">
            <v>16-K-3</v>
          </cell>
          <cell r="H155">
            <v>3767700</v>
          </cell>
          <cell r="I155">
            <v>646840</v>
          </cell>
        </row>
        <row r="156">
          <cell r="B156" t="str">
            <v>16-K-3</v>
          </cell>
          <cell r="H156">
            <v>3767700</v>
          </cell>
          <cell r="I156">
            <v>646840</v>
          </cell>
        </row>
        <row r="157">
          <cell r="B157" t="str">
            <v>16-K-3</v>
          </cell>
          <cell r="H157">
            <v>0</v>
          </cell>
          <cell r="I157">
            <v>0</v>
          </cell>
        </row>
        <row r="158">
          <cell r="B158" t="str">
            <v>16-K-4</v>
          </cell>
          <cell r="H158">
            <v>3779210</v>
          </cell>
          <cell r="I158">
            <v>658830</v>
          </cell>
        </row>
        <row r="159">
          <cell r="B159" t="str">
            <v>16-K-5</v>
          </cell>
          <cell r="H159">
            <v>3778720</v>
          </cell>
          <cell r="I159">
            <v>665460</v>
          </cell>
        </row>
        <row r="160">
          <cell r="B160" t="str">
            <v>16-L-1</v>
          </cell>
          <cell r="H160">
            <v>3772010</v>
          </cell>
          <cell r="I160">
            <v>663590</v>
          </cell>
        </row>
        <row r="161">
          <cell r="B161" t="str">
            <v>16-L-2</v>
          </cell>
          <cell r="H161">
            <v>0</v>
          </cell>
          <cell r="I161">
            <v>0</v>
          </cell>
        </row>
        <row r="162">
          <cell r="B162" t="str">
            <v>16-L-3</v>
          </cell>
          <cell r="H162">
            <v>3790590</v>
          </cell>
          <cell r="I162">
            <v>671700</v>
          </cell>
        </row>
        <row r="163">
          <cell r="B163" t="str">
            <v>16-L-4</v>
          </cell>
          <cell r="H163">
            <v>3790570</v>
          </cell>
          <cell r="I163">
            <v>671300</v>
          </cell>
        </row>
        <row r="164">
          <cell r="B164" t="str">
            <v>16-L-5</v>
          </cell>
          <cell r="H164">
            <v>3790840</v>
          </cell>
          <cell r="I164">
            <v>671160</v>
          </cell>
        </row>
        <row r="165">
          <cell r="B165" t="str">
            <v>16-L-6</v>
          </cell>
          <cell r="H165">
            <v>3784160</v>
          </cell>
          <cell r="I165">
            <v>684000</v>
          </cell>
        </row>
        <row r="166">
          <cell r="B166" t="str">
            <v>16-M-1</v>
          </cell>
          <cell r="H166">
            <v>0</v>
          </cell>
          <cell r="I166">
            <v>0</v>
          </cell>
        </row>
        <row r="167">
          <cell r="B167" t="str">
            <v>16-N-6</v>
          </cell>
          <cell r="H167">
            <v>3820240</v>
          </cell>
          <cell r="I167">
            <v>720200</v>
          </cell>
        </row>
        <row r="168">
          <cell r="B168" t="str">
            <v>17-K-1</v>
          </cell>
          <cell r="H168">
            <v>3761360</v>
          </cell>
          <cell r="I168">
            <v>660440</v>
          </cell>
        </row>
        <row r="169">
          <cell r="B169" t="str">
            <v>17-K-1</v>
          </cell>
          <cell r="H169">
            <v>3761360</v>
          </cell>
          <cell r="I169">
            <v>660440</v>
          </cell>
        </row>
        <row r="170">
          <cell r="B170" t="str">
            <v>17-K-1</v>
          </cell>
          <cell r="H170">
            <v>3761360</v>
          </cell>
          <cell r="I170">
            <v>660440</v>
          </cell>
        </row>
        <row r="171">
          <cell r="B171" t="str">
            <v>17-K-3</v>
          </cell>
          <cell r="H171">
            <v>3761960</v>
          </cell>
          <cell r="I171">
            <v>661500</v>
          </cell>
        </row>
        <row r="172">
          <cell r="B172" t="str">
            <v>17-K-4</v>
          </cell>
          <cell r="H172">
            <v>3762060</v>
          </cell>
          <cell r="I172">
            <v>657960</v>
          </cell>
        </row>
        <row r="173">
          <cell r="B173" t="str">
            <v>17-L-1</v>
          </cell>
          <cell r="H173">
            <v>3762420</v>
          </cell>
          <cell r="I173">
            <v>661840</v>
          </cell>
        </row>
        <row r="174">
          <cell r="B174" t="str">
            <v>17-L-2</v>
          </cell>
          <cell r="H174">
            <v>3762750</v>
          </cell>
          <cell r="I174">
            <v>661900</v>
          </cell>
        </row>
        <row r="175">
          <cell r="B175" t="str">
            <v>17-L-3</v>
          </cell>
          <cell r="H175">
            <v>3762080</v>
          </cell>
          <cell r="I175">
            <v>661680</v>
          </cell>
        </row>
        <row r="176">
          <cell r="B176" t="str">
            <v>17-L-3</v>
          </cell>
          <cell r="H176">
            <v>3791400</v>
          </cell>
          <cell r="I176">
            <v>671500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opLeftCell="A25" workbookViewId="0">
      <selection sqref="A1:I5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137</v>
      </c>
      <c r="C2">
        <v>14</v>
      </c>
      <c r="D2">
        <v>1</v>
      </c>
      <c r="E2">
        <v>91</v>
      </c>
      <c r="F2">
        <v>0</v>
      </c>
      <c r="G2">
        <v>4</v>
      </c>
      <c r="H2">
        <v>1</v>
      </c>
      <c r="I2">
        <v>7</v>
      </c>
    </row>
    <row r="3" spans="1:9" x14ac:dyDescent="0.2">
      <c r="A3" t="s">
        <v>10</v>
      </c>
      <c r="B3">
        <v>43</v>
      </c>
      <c r="C3">
        <v>4</v>
      </c>
      <c r="D3">
        <v>0</v>
      </c>
      <c r="E3">
        <v>39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11</v>
      </c>
      <c r="B4">
        <v>64</v>
      </c>
      <c r="C4">
        <v>10</v>
      </c>
      <c r="D4">
        <v>4</v>
      </c>
      <c r="E4">
        <v>10</v>
      </c>
      <c r="F4">
        <v>0</v>
      </c>
      <c r="G4">
        <v>0</v>
      </c>
      <c r="H4">
        <v>1</v>
      </c>
      <c r="I4">
        <v>1</v>
      </c>
    </row>
    <row r="5" spans="1:9" x14ac:dyDescent="0.2">
      <c r="A5" t="s">
        <v>12</v>
      </c>
      <c r="B5">
        <v>18</v>
      </c>
      <c r="C5">
        <v>3</v>
      </c>
      <c r="D5">
        <v>0</v>
      </c>
      <c r="E5">
        <v>10</v>
      </c>
      <c r="F5">
        <v>2</v>
      </c>
      <c r="G5">
        <v>1</v>
      </c>
      <c r="H5">
        <v>0</v>
      </c>
      <c r="I5">
        <v>0</v>
      </c>
    </row>
    <row r="6" spans="1:9" x14ac:dyDescent="0.2">
      <c r="A6" t="s">
        <v>13</v>
      </c>
      <c r="B6">
        <v>16</v>
      </c>
      <c r="C6">
        <v>13</v>
      </c>
      <c r="D6">
        <v>1</v>
      </c>
      <c r="E6">
        <v>27</v>
      </c>
      <c r="F6">
        <v>1</v>
      </c>
      <c r="G6">
        <v>3</v>
      </c>
      <c r="H6">
        <v>0</v>
      </c>
      <c r="I6">
        <v>0</v>
      </c>
    </row>
    <row r="7" spans="1:9" x14ac:dyDescent="0.2">
      <c r="A7" t="s">
        <v>14</v>
      </c>
      <c r="B7">
        <v>68</v>
      </c>
      <c r="C7">
        <v>19</v>
      </c>
      <c r="D7">
        <v>6</v>
      </c>
      <c r="E7">
        <v>30</v>
      </c>
      <c r="F7">
        <v>2</v>
      </c>
      <c r="G7">
        <v>3</v>
      </c>
      <c r="H7">
        <v>0</v>
      </c>
      <c r="I7">
        <v>0</v>
      </c>
    </row>
    <row r="8" spans="1:9" x14ac:dyDescent="0.2">
      <c r="A8" t="s">
        <v>15</v>
      </c>
      <c r="B8">
        <v>6</v>
      </c>
      <c r="C8">
        <v>3</v>
      </c>
      <c r="D8">
        <v>4</v>
      </c>
      <c r="E8">
        <v>20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16</v>
      </c>
      <c r="B9">
        <v>174</v>
      </c>
      <c r="C9">
        <v>3</v>
      </c>
      <c r="D9">
        <v>2</v>
      </c>
      <c r="E9">
        <v>159</v>
      </c>
      <c r="F9">
        <v>0</v>
      </c>
      <c r="G9">
        <v>2</v>
      </c>
      <c r="H9">
        <v>2</v>
      </c>
      <c r="I9">
        <v>0</v>
      </c>
    </row>
    <row r="10" spans="1:9" x14ac:dyDescent="0.2">
      <c r="A10" t="s">
        <v>17</v>
      </c>
      <c r="B10">
        <v>66</v>
      </c>
      <c r="C10">
        <v>11</v>
      </c>
      <c r="D10">
        <v>0</v>
      </c>
      <c r="E10">
        <v>76</v>
      </c>
      <c r="F10">
        <v>0</v>
      </c>
      <c r="G10">
        <v>2</v>
      </c>
      <c r="H10">
        <v>0</v>
      </c>
      <c r="I10">
        <v>0</v>
      </c>
    </row>
    <row r="11" spans="1:9" x14ac:dyDescent="0.2">
      <c r="A11" t="s">
        <v>18</v>
      </c>
      <c r="B11">
        <v>70</v>
      </c>
      <c r="C11">
        <v>10</v>
      </c>
      <c r="D11">
        <v>1</v>
      </c>
      <c r="E11">
        <v>12</v>
      </c>
      <c r="F11">
        <v>1</v>
      </c>
      <c r="G11">
        <v>4</v>
      </c>
      <c r="H11">
        <v>0</v>
      </c>
      <c r="I11">
        <v>1</v>
      </c>
    </row>
    <row r="12" spans="1:9" x14ac:dyDescent="0.2">
      <c r="A12" t="s">
        <v>19</v>
      </c>
      <c r="B12">
        <v>122</v>
      </c>
      <c r="C12">
        <v>4</v>
      </c>
      <c r="D12">
        <v>2</v>
      </c>
      <c r="E12">
        <v>14</v>
      </c>
      <c r="F12">
        <v>3</v>
      </c>
      <c r="G12">
        <v>6</v>
      </c>
      <c r="H12">
        <v>0</v>
      </c>
      <c r="I12">
        <v>2</v>
      </c>
    </row>
    <row r="13" spans="1:9" x14ac:dyDescent="0.2">
      <c r="A13" t="s">
        <v>20</v>
      </c>
      <c r="B13">
        <v>36</v>
      </c>
      <c r="C13">
        <v>14</v>
      </c>
      <c r="D13">
        <v>6</v>
      </c>
      <c r="E13">
        <v>0</v>
      </c>
      <c r="F13">
        <v>1</v>
      </c>
      <c r="G13">
        <v>5</v>
      </c>
      <c r="H13">
        <v>0</v>
      </c>
      <c r="I13">
        <v>0</v>
      </c>
    </row>
    <row r="14" spans="1:9" x14ac:dyDescent="0.2">
      <c r="A14" t="s">
        <v>21</v>
      </c>
      <c r="B14">
        <v>166</v>
      </c>
      <c r="C14">
        <v>24</v>
      </c>
      <c r="D14">
        <v>18</v>
      </c>
      <c r="E14">
        <v>39</v>
      </c>
      <c r="F14">
        <v>3</v>
      </c>
      <c r="G14">
        <v>17</v>
      </c>
      <c r="H14">
        <v>0</v>
      </c>
      <c r="I14">
        <v>0</v>
      </c>
    </row>
    <row r="15" spans="1:9" x14ac:dyDescent="0.2">
      <c r="A15" t="s">
        <v>22</v>
      </c>
      <c r="B15">
        <v>10</v>
      </c>
      <c r="C15">
        <v>5</v>
      </c>
      <c r="D15">
        <v>3</v>
      </c>
      <c r="E15">
        <v>28</v>
      </c>
      <c r="F15">
        <v>1</v>
      </c>
      <c r="G15">
        <v>3</v>
      </c>
      <c r="H15">
        <v>1</v>
      </c>
      <c r="I15">
        <v>0</v>
      </c>
    </row>
    <row r="16" spans="1:9" x14ac:dyDescent="0.2">
      <c r="A16" t="s">
        <v>23</v>
      </c>
      <c r="B16">
        <v>20</v>
      </c>
      <c r="C16">
        <v>10</v>
      </c>
      <c r="D16">
        <v>2</v>
      </c>
      <c r="E16">
        <v>12</v>
      </c>
      <c r="F16">
        <v>0</v>
      </c>
      <c r="G16">
        <v>3</v>
      </c>
      <c r="H16">
        <v>0</v>
      </c>
      <c r="I16">
        <v>3</v>
      </c>
    </row>
    <row r="17" spans="1:9" x14ac:dyDescent="0.2">
      <c r="A17" t="s">
        <v>24</v>
      </c>
      <c r="B17">
        <v>112</v>
      </c>
      <c r="C17">
        <v>62</v>
      </c>
      <c r="D17">
        <v>5</v>
      </c>
      <c r="E17">
        <v>7</v>
      </c>
      <c r="F17">
        <v>0</v>
      </c>
      <c r="G17">
        <v>0</v>
      </c>
      <c r="H17">
        <v>0</v>
      </c>
      <c r="I17">
        <v>4</v>
      </c>
    </row>
    <row r="18" spans="1:9" x14ac:dyDescent="0.2">
      <c r="A18" t="s">
        <v>25</v>
      </c>
      <c r="B18">
        <v>324</v>
      </c>
      <c r="C18">
        <v>98</v>
      </c>
      <c r="D18">
        <v>37</v>
      </c>
      <c r="E18">
        <v>22</v>
      </c>
      <c r="F18">
        <v>18</v>
      </c>
      <c r="G18">
        <v>50</v>
      </c>
      <c r="H18">
        <v>0</v>
      </c>
      <c r="I18">
        <v>0</v>
      </c>
    </row>
    <row r="19" spans="1:9" x14ac:dyDescent="0.2">
      <c r="A19" t="s">
        <v>26</v>
      </c>
      <c r="B19">
        <v>536</v>
      </c>
      <c r="C19">
        <v>44</v>
      </c>
      <c r="D19">
        <v>3</v>
      </c>
      <c r="E19">
        <v>70</v>
      </c>
      <c r="F19">
        <v>4</v>
      </c>
      <c r="G19">
        <v>0</v>
      </c>
      <c r="H19">
        <v>1</v>
      </c>
      <c r="I19">
        <v>3</v>
      </c>
    </row>
    <row r="20" spans="1:9" x14ac:dyDescent="0.2">
      <c r="A20" t="s">
        <v>27</v>
      </c>
      <c r="B20">
        <v>122</v>
      </c>
      <c r="C20">
        <v>73</v>
      </c>
      <c r="D20">
        <v>2</v>
      </c>
      <c r="E20">
        <v>71</v>
      </c>
      <c r="F20">
        <v>2</v>
      </c>
      <c r="G20">
        <v>8</v>
      </c>
      <c r="H20">
        <v>0</v>
      </c>
      <c r="I20">
        <v>0</v>
      </c>
    </row>
    <row r="21" spans="1:9" x14ac:dyDescent="0.2">
      <c r="A21" t="s">
        <v>28</v>
      </c>
      <c r="B21">
        <v>70</v>
      </c>
      <c r="C21">
        <v>65</v>
      </c>
      <c r="D21">
        <v>0</v>
      </c>
      <c r="E21">
        <v>22</v>
      </c>
      <c r="F21">
        <v>1</v>
      </c>
      <c r="G21">
        <v>2</v>
      </c>
      <c r="H21">
        <v>0</v>
      </c>
      <c r="I21">
        <v>0</v>
      </c>
    </row>
    <row r="22" spans="1:9" x14ac:dyDescent="0.2">
      <c r="A22" t="s">
        <v>29</v>
      </c>
      <c r="B22">
        <v>308</v>
      </c>
      <c r="C22">
        <v>63</v>
      </c>
      <c r="D22">
        <v>1</v>
      </c>
      <c r="E22">
        <v>22</v>
      </c>
      <c r="F22">
        <v>0</v>
      </c>
      <c r="G22">
        <v>0</v>
      </c>
      <c r="H22">
        <v>1</v>
      </c>
      <c r="I22">
        <v>1</v>
      </c>
    </row>
    <row r="23" spans="1:9" x14ac:dyDescent="0.2">
      <c r="A23" t="s">
        <v>30</v>
      </c>
      <c r="B23">
        <v>182</v>
      </c>
      <c r="C23">
        <v>36</v>
      </c>
      <c r="D23">
        <v>1</v>
      </c>
      <c r="E23">
        <v>7</v>
      </c>
      <c r="F23">
        <v>0</v>
      </c>
      <c r="G23">
        <v>0</v>
      </c>
      <c r="H23">
        <v>0</v>
      </c>
      <c r="I23">
        <v>3</v>
      </c>
    </row>
    <row r="24" spans="1:9" x14ac:dyDescent="0.2">
      <c r="A24" t="s">
        <v>31</v>
      </c>
      <c r="B24">
        <v>1520</v>
      </c>
      <c r="C24">
        <v>467</v>
      </c>
      <c r="D24">
        <v>9</v>
      </c>
      <c r="E24">
        <v>18</v>
      </c>
      <c r="F24">
        <v>0</v>
      </c>
      <c r="G24">
        <v>0</v>
      </c>
      <c r="H24">
        <v>0</v>
      </c>
      <c r="I24">
        <v>5</v>
      </c>
    </row>
    <row r="25" spans="1:9" x14ac:dyDescent="0.2">
      <c r="A25" t="s">
        <v>32</v>
      </c>
      <c r="B25">
        <v>1056</v>
      </c>
      <c r="C25">
        <v>198</v>
      </c>
      <c r="D25">
        <v>19</v>
      </c>
      <c r="E25">
        <v>13</v>
      </c>
      <c r="F25">
        <v>0</v>
      </c>
      <c r="G25">
        <v>0</v>
      </c>
      <c r="H25">
        <v>3</v>
      </c>
      <c r="I25">
        <v>2</v>
      </c>
    </row>
    <row r="26" spans="1:9" x14ac:dyDescent="0.2">
      <c r="A26" t="s">
        <v>33</v>
      </c>
      <c r="B26">
        <v>40</v>
      </c>
      <c r="C26">
        <v>87</v>
      </c>
      <c r="D26">
        <v>1</v>
      </c>
      <c r="E26">
        <v>12</v>
      </c>
      <c r="F26">
        <v>0</v>
      </c>
      <c r="G26">
        <v>0</v>
      </c>
      <c r="H26">
        <v>0</v>
      </c>
      <c r="I26">
        <v>7</v>
      </c>
    </row>
    <row r="27" spans="1:9" x14ac:dyDescent="0.2">
      <c r="A27" t="s">
        <v>34</v>
      </c>
      <c r="B27">
        <v>850</v>
      </c>
      <c r="C27">
        <v>212</v>
      </c>
      <c r="D27">
        <v>0</v>
      </c>
      <c r="E27">
        <v>12</v>
      </c>
      <c r="F27">
        <v>0</v>
      </c>
      <c r="G27">
        <v>0</v>
      </c>
      <c r="H27">
        <v>1</v>
      </c>
      <c r="I27">
        <v>17</v>
      </c>
    </row>
    <row r="28" spans="1:9" x14ac:dyDescent="0.2">
      <c r="A28" t="s">
        <v>35</v>
      </c>
      <c r="B28">
        <v>790</v>
      </c>
      <c r="C28">
        <v>207</v>
      </c>
      <c r="D28">
        <v>4</v>
      </c>
      <c r="E28">
        <v>6</v>
      </c>
      <c r="F28">
        <v>0</v>
      </c>
      <c r="G28">
        <v>0</v>
      </c>
      <c r="H28">
        <v>0</v>
      </c>
      <c r="I28">
        <v>16</v>
      </c>
    </row>
    <row r="29" spans="1:9" x14ac:dyDescent="0.2">
      <c r="A29" t="s">
        <v>36</v>
      </c>
      <c r="B29">
        <v>2596</v>
      </c>
      <c r="C29">
        <v>643</v>
      </c>
      <c r="D29">
        <v>43</v>
      </c>
      <c r="E29">
        <v>124</v>
      </c>
      <c r="F29">
        <v>44</v>
      </c>
      <c r="G29">
        <v>2</v>
      </c>
      <c r="H29">
        <v>9</v>
      </c>
      <c r="I29">
        <v>34</v>
      </c>
    </row>
    <row r="30" spans="1:9" x14ac:dyDescent="0.2">
      <c r="A30" t="s">
        <v>37</v>
      </c>
      <c r="B30">
        <v>44</v>
      </c>
      <c r="C30">
        <v>7</v>
      </c>
      <c r="D30">
        <v>4</v>
      </c>
      <c r="E30">
        <v>3</v>
      </c>
      <c r="F30">
        <v>4</v>
      </c>
      <c r="G30">
        <v>1</v>
      </c>
      <c r="H30">
        <v>0</v>
      </c>
      <c r="I30">
        <v>0</v>
      </c>
    </row>
    <row r="31" spans="1:9" x14ac:dyDescent="0.2">
      <c r="A31" t="s">
        <v>38</v>
      </c>
      <c r="B31">
        <v>218</v>
      </c>
      <c r="C31">
        <v>27</v>
      </c>
      <c r="D31">
        <v>13</v>
      </c>
      <c r="E31">
        <v>12</v>
      </c>
      <c r="F31">
        <v>5</v>
      </c>
      <c r="G31">
        <v>10</v>
      </c>
      <c r="H31">
        <v>0</v>
      </c>
      <c r="I31">
        <v>1</v>
      </c>
    </row>
    <row r="32" spans="1:9" x14ac:dyDescent="0.2">
      <c r="A32" t="s">
        <v>39</v>
      </c>
      <c r="B32">
        <v>462</v>
      </c>
      <c r="C32">
        <v>186</v>
      </c>
      <c r="D32">
        <v>6</v>
      </c>
      <c r="E32">
        <v>101</v>
      </c>
      <c r="F32">
        <v>8</v>
      </c>
      <c r="G32">
        <v>9</v>
      </c>
      <c r="H32">
        <v>1</v>
      </c>
      <c r="I32">
        <v>0</v>
      </c>
    </row>
    <row r="33" spans="1:9" x14ac:dyDescent="0.2">
      <c r="A33" t="s">
        <v>40</v>
      </c>
      <c r="B33">
        <v>228</v>
      </c>
      <c r="C33">
        <v>41</v>
      </c>
      <c r="D33">
        <v>4</v>
      </c>
      <c r="E33">
        <v>22</v>
      </c>
      <c r="F33">
        <v>2</v>
      </c>
      <c r="G33">
        <v>0</v>
      </c>
      <c r="H33">
        <v>1</v>
      </c>
      <c r="I33">
        <v>2</v>
      </c>
    </row>
    <row r="34" spans="1:9" x14ac:dyDescent="0.2">
      <c r="A34" t="s">
        <v>41</v>
      </c>
      <c r="B34">
        <v>78</v>
      </c>
      <c r="C34">
        <v>55</v>
      </c>
      <c r="D34">
        <v>9</v>
      </c>
      <c r="E34">
        <v>37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42</v>
      </c>
      <c r="B35">
        <v>292</v>
      </c>
      <c r="C35">
        <v>68</v>
      </c>
      <c r="D35">
        <v>0</v>
      </c>
      <c r="E35">
        <v>21</v>
      </c>
      <c r="F35">
        <v>6</v>
      </c>
      <c r="G35">
        <v>9</v>
      </c>
      <c r="H35">
        <v>7</v>
      </c>
      <c r="I35">
        <v>1</v>
      </c>
    </row>
    <row r="36" spans="1:9" x14ac:dyDescent="0.2">
      <c r="A36" t="s">
        <v>43</v>
      </c>
      <c r="B36">
        <v>416</v>
      </c>
      <c r="C36">
        <v>109</v>
      </c>
      <c r="D36">
        <v>23</v>
      </c>
      <c r="E36">
        <v>12</v>
      </c>
      <c r="F36">
        <v>0</v>
      </c>
      <c r="G36">
        <v>8</v>
      </c>
      <c r="H36">
        <v>0</v>
      </c>
      <c r="I36">
        <v>1</v>
      </c>
    </row>
    <row r="37" spans="1:9" x14ac:dyDescent="0.2">
      <c r="A37" t="s">
        <v>44</v>
      </c>
      <c r="B37">
        <v>96</v>
      </c>
      <c r="C37">
        <v>76</v>
      </c>
      <c r="D37">
        <v>0</v>
      </c>
      <c r="E37">
        <v>100</v>
      </c>
      <c r="F37">
        <v>1</v>
      </c>
      <c r="G37">
        <v>0</v>
      </c>
      <c r="H37">
        <v>0</v>
      </c>
      <c r="I37">
        <v>1</v>
      </c>
    </row>
    <row r="38" spans="1:9" x14ac:dyDescent="0.2">
      <c r="A38" t="s">
        <v>45</v>
      </c>
      <c r="B38">
        <v>80</v>
      </c>
      <c r="C38">
        <v>17</v>
      </c>
      <c r="D38">
        <v>0</v>
      </c>
      <c r="E38">
        <v>0</v>
      </c>
      <c r="F38">
        <v>0</v>
      </c>
      <c r="G38">
        <v>2</v>
      </c>
      <c r="H38">
        <v>0</v>
      </c>
      <c r="I38">
        <v>0</v>
      </c>
    </row>
    <row r="39" spans="1:9" x14ac:dyDescent="0.2">
      <c r="A39" t="s">
        <v>46</v>
      </c>
      <c r="B39">
        <v>12</v>
      </c>
      <c r="C39">
        <v>50</v>
      </c>
      <c r="D39">
        <v>0</v>
      </c>
      <c r="E39">
        <v>4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47</v>
      </c>
      <c r="B40">
        <v>154</v>
      </c>
      <c r="C40">
        <v>97</v>
      </c>
      <c r="D40">
        <v>1</v>
      </c>
      <c r="E40">
        <v>90</v>
      </c>
      <c r="F40">
        <v>1</v>
      </c>
      <c r="G40">
        <v>3</v>
      </c>
      <c r="H40">
        <v>0</v>
      </c>
      <c r="I40">
        <v>1</v>
      </c>
    </row>
    <row r="41" spans="1:9" x14ac:dyDescent="0.2">
      <c r="A41" t="s">
        <v>48</v>
      </c>
      <c r="B41">
        <v>412</v>
      </c>
      <c r="C41">
        <v>48</v>
      </c>
      <c r="D41">
        <v>3</v>
      </c>
      <c r="E41">
        <v>2</v>
      </c>
      <c r="F41">
        <v>0</v>
      </c>
      <c r="G41">
        <v>0</v>
      </c>
      <c r="H41">
        <v>2</v>
      </c>
      <c r="I41">
        <v>0</v>
      </c>
    </row>
    <row r="42" spans="1:9" x14ac:dyDescent="0.2">
      <c r="A42" t="s">
        <v>49</v>
      </c>
      <c r="B42">
        <v>286</v>
      </c>
      <c r="C42">
        <v>53</v>
      </c>
      <c r="D42">
        <v>0</v>
      </c>
      <c r="E42">
        <v>3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50</v>
      </c>
      <c r="B43">
        <v>54</v>
      </c>
      <c r="C43">
        <v>0</v>
      </c>
      <c r="D43">
        <v>0</v>
      </c>
      <c r="E43">
        <v>11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51</v>
      </c>
      <c r="B44">
        <v>600</v>
      </c>
      <c r="C44">
        <v>101</v>
      </c>
      <c r="D44">
        <v>21</v>
      </c>
      <c r="E44">
        <v>24</v>
      </c>
      <c r="F44">
        <v>14</v>
      </c>
      <c r="G44">
        <v>21</v>
      </c>
      <c r="H44">
        <v>0</v>
      </c>
      <c r="I44">
        <v>5</v>
      </c>
    </row>
    <row r="45" spans="1:9" x14ac:dyDescent="0.2">
      <c r="A45" t="s">
        <v>52</v>
      </c>
      <c r="B45">
        <v>16</v>
      </c>
      <c r="C45">
        <v>125</v>
      </c>
      <c r="D45">
        <v>0</v>
      </c>
      <c r="E45">
        <v>34</v>
      </c>
      <c r="F45">
        <v>1</v>
      </c>
      <c r="G45">
        <v>9</v>
      </c>
      <c r="H45">
        <v>0</v>
      </c>
      <c r="I45">
        <v>3</v>
      </c>
    </row>
    <row r="46" spans="1:9" x14ac:dyDescent="0.2">
      <c r="A46" t="s">
        <v>53</v>
      </c>
      <c r="B46">
        <v>12</v>
      </c>
      <c r="C46">
        <v>66</v>
      </c>
      <c r="D46">
        <v>0</v>
      </c>
      <c r="E46">
        <v>32</v>
      </c>
      <c r="F46">
        <v>0</v>
      </c>
      <c r="G46">
        <v>2</v>
      </c>
      <c r="H46">
        <v>0</v>
      </c>
      <c r="I46">
        <v>1</v>
      </c>
    </row>
    <row r="47" spans="1:9" x14ac:dyDescent="0.2">
      <c r="A47" t="s">
        <v>54</v>
      </c>
      <c r="B47">
        <v>112</v>
      </c>
      <c r="C47">
        <v>162</v>
      </c>
      <c r="D47">
        <v>4</v>
      </c>
      <c r="E47">
        <v>101</v>
      </c>
      <c r="F47">
        <v>3</v>
      </c>
      <c r="G47">
        <v>11</v>
      </c>
      <c r="H47">
        <v>0</v>
      </c>
      <c r="I47">
        <v>2</v>
      </c>
    </row>
    <row r="48" spans="1:9" x14ac:dyDescent="0.2">
      <c r="A48" t="s">
        <v>55</v>
      </c>
      <c r="B48">
        <v>1740</v>
      </c>
      <c r="C48">
        <v>104</v>
      </c>
      <c r="D48">
        <v>49</v>
      </c>
      <c r="E48">
        <v>60</v>
      </c>
      <c r="F48">
        <v>12</v>
      </c>
      <c r="G48">
        <v>48</v>
      </c>
      <c r="H48">
        <v>0</v>
      </c>
      <c r="I48">
        <v>22</v>
      </c>
    </row>
    <row r="49" spans="1:9" x14ac:dyDescent="0.2">
      <c r="A49" t="s">
        <v>56</v>
      </c>
      <c r="B49">
        <v>102</v>
      </c>
      <c r="C49">
        <v>73</v>
      </c>
      <c r="D49">
        <v>30</v>
      </c>
      <c r="E49">
        <v>61</v>
      </c>
      <c r="F49">
        <v>3</v>
      </c>
      <c r="G49">
        <v>1</v>
      </c>
      <c r="H49">
        <v>3</v>
      </c>
      <c r="I49">
        <v>1</v>
      </c>
    </row>
    <row r="50" spans="1:9" x14ac:dyDescent="0.2">
      <c r="A50" t="s">
        <v>57</v>
      </c>
      <c r="B50">
        <v>298</v>
      </c>
      <c r="C50">
        <v>140</v>
      </c>
      <c r="D50">
        <v>3</v>
      </c>
      <c r="E50">
        <v>130</v>
      </c>
      <c r="F50">
        <v>2</v>
      </c>
      <c r="G50">
        <v>7</v>
      </c>
      <c r="H50">
        <v>0</v>
      </c>
      <c r="I50">
        <v>1</v>
      </c>
    </row>
    <row r="51" spans="1:9" x14ac:dyDescent="0.2">
      <c r="A51" t="s">
        <v>58</v>
      </c>
      <c r="B51">
        <v>380</v>
      </c>
      <c r="C51">
        <v>125</v>
      </c>
      <c r="D51">
        <v>0</v>
      </c>
      <c r="E51">
        <v>166</v>
      </c>
      <c r="F51">
        <v>2</v>
      </c>
      <c r="G51">
        <v>4</v>
      </c>
      <c r="H51">
        <v>0</v>
      </c>
      <c r="I51">
        <v>0</v>
      </c>
    </row>
    <row r="52" spans="1:9" x14ac:dyDescent="0.2">
      <c r="A52" t="s">
        <v>59</v>
      </c>
      <c r="B52">
        <v>247</v>
      </c>
      <c r="C52">
        <v>36</v>
      </c>
      <c r="D52">
        <v>0</v>
      </c>
      <c r="E52">
        <v>55</v>
      </c>
      <c r="F52">
        <v>0</v>
      </c>
      <c r="G52">
        <v>2</v>
      </c>
      <c r="H52">
        <v>0</v>
      </c>
      <c r="I52">
        <v>1</v>
      </c>
    </row>
    <row r="53" spans="1:9" x14ac:dyDescent="0.2">
      <c r="A53" t="s">
        <v>60</v>
      </c>
      <c r="B53">
        <v>175</v>
      </c>
      <c r="C53">
        <v>30</v>
      </c>
      <c r="D53">
        <v>0</v>
      </c>
      <c r="E53">
        <v>61</v>
      </c>
      <c r="F53">
        <v>0</v>
      </c>
      <c r="G53">
        <v>0</v>
      </c>
      <c r="H53">
        <v>0</v>
      </c>
      <c r="I53">
        <v>0</v>
      </c>
    </row>
    <row r="54" spans="1:9" x14ac:dyDescent="0.2">
      <c r="A54" t="s">
        <v>61</v>
      </c>
      <c r="B54">
        <v>44</v>
      </c>
      <c r="C54">
        <v>51</v>
      </c>
      <c r="D54">
        <v>2</v>
      </c>
      <c r="E54">
        <v>89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62</v>
      </c>
      <c r="B55">
        <v>1522</v>
      </c>
      <c r="C55">
        <v>676</v>
      </c>
      <c r="D55">
        <v>36</v>
      </c>
      <c r="E55">
        <v>116</v>
      </c>
      <c r="F55">
        <v>17</v>
      </c>
      <c r="G55">
        <v>25</v>
      </c>
      <c r="H55">
        <v>2</v>
      </c>
      <c r="I5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K21" sqref="A1:K21"/>
    </sheetView>
  </sheetViews>
  <sheetFormatPr baseColWidth="10" defaultRowHeight="16" x14ac:dyDescent="0.2"/>
  <sheetData>
    <row r="1" spans="1:11" x14ac:dyDescent="0.2">
      <c r="A1" t="s">
        <v>63</v>
      </c>
      <c r="B1" t="s">
        <v>1</v>
      </c>
      <c r="C1" t="s">
        <v>2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2">
      <c r="A2" t="s">
        <v>72</v>
      </c>
      <c r="B2">
        <v>39</v>
      </c>
      <c r="C2">
        <v>62</v>
      </c>
      <c r="D2">
        <v>46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</row>
    <row r="3" spans="1:11" x14ac:dyDescent="0.2">
      <c r="A3" t="s">
        <v>73</v>
      </c>
      <c r="B3">
        <v>528</v>
      </c>
      <c r="C3">
        <v>198</v>
      </c>
      <c r="D3">
        <v>13</v>
      </c>
      <c r="E3">
        <v>0</v>
      </c>
      <c r="F3">
        <v>19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74</v>
      </c>
      <c r="B4">
        <v>865</v>
      </c>
      <c r="C4">
        <v>323</v>
      </c>
      <c r="D4">
        <v>59</v>
      </c>
      <c r="E4">
        <v>17</v>
      </c>
      <c r="F4">
        <v>35</v>
      </c>
      <c r="G4">
        <v>0</v>
      </c>
      <c r="H4">
        <v>0</v>
      </c>
      <c r="I4">
        <v>0</v>
      </c>
      <c r="J4">
        <v>4</v>
      </c>
      <c r="K4">
        <v>0</v>
      </c>
    </row>
    <row r="5" spans="1:11" x14ac:dyDescent="0.2">
      <c r="A5" t="s">
        <v>75</v>
      </c>
      <c r="B5">
        <v>404</v>
      </c>
      <c r="C5">
        <v>208</v>
      </c>
      <c r="D5">
        <v>6</v>
      </c>
      <c r="E5">
        <v>16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76</v>
      </c>
      <c r="B6">
        <v>764</v>
      </c>
      <c r="C6">
        <v>470</v>
      </c>
      <c r="D6">
        <v>18</v>
      </c>
      <c r="E6">
        <v>5</v>
      </c>
      <c r="F6">
        <v>9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77</v>
      </c>
      <c r="B7">
        <v>35</v>
      </c>
      <c r="C7">
        <v>11</v>
      </c>
      <c r="D7">
        <v>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78</v>
      </c>
      <c r="B8">
        <v>71</v>
      </c>
      <c r="C8">
        <v>67</v>
      </c>
      <c r="D8">
        <v>96</v>
      </c>
      <c r="E8">
        <v>0</v>
      </c>
      <c r="F8">
        <v>3</v>
      </c>
      <c r="G8">
        <v>4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79</v>
      </c>
      <c r="B9">
        <v>42</v>
      </c>
      <c r="C9">
        <v>56</v>
      </c>
      <c r="D9">
        <v>69</v>
      </c>
      <c r="E9">
        <v>0</v>
      </c>
      <c r="F9">
        <v>1</v>
      </c>
      <c r="G9">
        <v>3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80</v>
      </c>
      <c r="B10">
        <v>35</v>
      </c>
      <c r="C10">
        <v>65</v>
      </c>
      <c r="D10">
        <v>24</v>
      </c>
      <c r="E10">
        <v>0</v>
      </c>
      <c r="F10">
        <v>0</v>
      </c>
      <c r="G10">
        <v>2</v>
      </c>
      <c r="H10">
        <v>0</v>
      </c>
      <c r="I10">
        <v>1</v>
      </c>
      <c r="J10">
        <v>0</v>
      </c>
      <c r="K10">
        <v>1</v>
      </c>
    </row>
    <row r="11" spans="1:11" x14ac:dyDescent="0.2">
      <c r="A11" t="s">
        <v>81</v>
      </c>
      <c r="B11">
        <v>61</v>
      </c>
      <c r="C11">
        <v>74</v>
      </c>
      <c r="D11">
        <v>79</v>
      </c>
      <c r="E11">
        <v>0</v>
      </c>
      <c r="F11">
        <v>2</v>
      </c>
      <c r="G11">
        <v>8</v>
      </c>
      <c r="H11">
        <v>0</v>
      </c>
      <c r="I11">
        <v>2</v>
      </c>
      <c r="J11">
        <v>0</v>
      </c>
      <c r="K11">
        <v>0</v>
      </c>
    </row>
    <row r="12" spans="1:11" x14ac:dyDescent="0.2">
      <c r="A12" t="s">
        <v>82</v>
      </c>
      <c r="B12">
        <v>244</v>
      </c>
      <c r="C12">
        <v>40</v>
      </c>
      <c r="D12">
        <v>18</v>
      </c>
      <c r="E12">
        <v>1</v>
      </c>
      <c r="F12">
        <v>16</v>
      </c>
      <c r="G12">
        <v>21</v>
      </c>
      <c r="H12">
        <v>0</v>
      </c>
      <c r="I12">
        <v>14</v>
      </c>
      <c r="J12">
        <v>0</v>
      </c>
      <c r="K12">
        <v>6</v>
      </c>
    </row>
    <row r="13" spans="1:11" x14ac:dyDescent="0.2">
      <c r="A13" t="s">
        <v>83</v>
      </c>
      <c r="B13">
        <v>83</v>
      </c>
      <c r="C13">
        <v>25</v>
      </c>
      <c r="D13">
        <v>43</v>
      </c>
      <c r="E13">
        <v>0</v>
      </c>
      <c r="F13">
        <v>18</v>
      </c>
      <c r="G13">
        <v>17</v>
      </c>
      <c r="H13">
        <v>0</v>
      </c>
      <c r="I13">
        <v>3</v>
      </c>
      <c r="J13">
        <v>0</v>
      </c>
      <c r="K13">
        <v>3</v>
      </c>
    </row>
    <row r="14" spans="1:11" x14ac:dyDescent="0.2">
      <c r="A14" t="s">
        <v>84</v>
      </c>
      <c r="B14">
        <v>30</v>
      </c>
      <c r="C14">
        <v>15</v>
      </c>
      <c r="D14">
        <v>12</v>
      </c>
      <c r="E14">
        <v>0</v>
      </c>
      <c r="F14">
        <v>12</v>
      </c>
      <c r="G14">
        <v>12</v>
      </c>
      <c r="H14">
        <v>0</v>
      </c>
      <c r="I14">
        <v>7</v>
      </c>
      <c r="J14">
        <v>2</v>
      </c>
      <c r="K14">
        <v>1</v>
      </c>
    </row>
    <row r="15" spans="1:11" x14ac:dyDescent="0.2">
      <c r="A15" t="s">
        <v>85</v>
      </c>
      <c r="B15">
        <v>590</v>
      </c>
      <c r="C15">
        <v>498</v>
      </c>
      <c r="D15">
        <v>67</v>
      </c>
      <c r="E15">
        <v>10</v>
      </c>
      <c r="F15">
        <v>21</v>
      </c>
      <c r="G15">
        <v>19</v>
      </c>
      <c r="H15">
        <v>12</v>
      </c>
      <c r="I15">
        <v>8</v>
      </c>
      <c r="J15">
        <v>7</v>
      </c>
      <c r="K15">
        <v>1</v>
      </c>
    </row>
    <row r="16" spans="1:11" x14ac:dyDescent="0.2">
      <c r="A16" t="s">
        <v>86</v>
      </c>
      <c r="B16">
        <v>923</v>
      </c>
      <c r="C16">
        <v>637</v>
      </c>
      <c r="D16">
        <v>42</v>
      </c>
      <c r="E16">
        <v>12</v>
      </c>
      <c r="F16">
        <v>33</v>
      </c>
      <c r="G16">
        <v>27</v>
      </c>
      <c r="H16">
        <v>15</v>
      </c>
      <c r="I16">
        <v>13</v>
      </c>
      <c r="J16">
        <v>5</v>
      </c>
      <c r="K16">
        <v>2</v>
      </c>
    </row>
    <row r="17" spans="1:11" x14ac:dyDescent="0.2">
      <c r="A17" t="s">
        <v>87</v>
      </c>
      <c r="B17">
        <v>426</v>
      </c>
      <c r="C17">
        <v>69</v>
      </c>
      <c r="D17">
        <v>105</v>
      </c>
      <c r="E17">
        <v>4</v>
      </c>
      <c r="F17">
        <v>4</v>
      </c>
      <c r="G17">
        <v>0</v>
      </c>
      <c r="H17">
        <v>1</v>
      </c>
      <c r="I17">
        <v>4</v>
      </c>
      <c r="J17">
        <v>1</v>
      </c>
      <c r="K17">
        <v>0</v>
      </c>
    </row>
    <row r="18" spans="1:11" x14ac:dyDescent="0.2">
      <c r="A18" t="s">
        <v>88</v>
      </c>
      <c r="B18">
        <v>204</v>
      </c>
      <c r="C18">
        <v>156</v>
      </c>
      <c r="D18">
        <v>42</v>
      </c>
      <c r="E18">
        <v>7</v>
      </c>
      <c r="F18">
        <v>8</v>
      </c>
      <c r="G18">
        <v>4</v>
      </c>
      <c r="H18">
        <v>2</v>
      </c>
      <c r="I18">
        <v>1</v>
      </c>
      <c r="J18">
        <v>0</v>
      </c>
      <c r="K18">
        <v>0</v>
      </c>
    </row>
    <row r="19" spans="1:11" x14ac:dyDescent="0.2">
      <c r="A19" t="s">
        <v>89</v>
      </c>
      <c r="B19">
        <v>27</v>
      </c>
      <c r="C19">
        <v>294</v>
      </c>
      <c r="D19">
        <v>7</v>
      </c>
      <c r="E19">
        <v>24</v>
      </c>
      <c r="F19">
        <v>2</v>
      </c>
      <c r="G19">
        <v>0</v>
      </c>
      <c r="H19">
        <v>2</v>
      </c>
      <c r="I19">
        <v>1</v>
      </c>
      <c r="J19">
        <v>3</v>
      </c>
      <c r="K19">
        <v>0</v>
      </c>
    </row>
    <row r="20" spans="1:11" x14ac:dyDescent="0.2">
      <c r="A20" t="s">
        <v>90</v>
      </c>
      <c r="B20">
        <v>728</v>
      </c>
      <c r="C20">
        <v>364</v>
      </c>
      <c r="D20">
        <v>160</v>
      </c>
      <c r="E20">
        <v>9</v>
      </c>
      <c r="F20">
        <v>5</v>
      </c>
      <c r="G20">
        <v>8</v>
      </c>
      <c r="H20">
        <v>14</v>
      </c>
      <c r="I20">
        <v>3</v>
      </c>
      <c r="J20">
        <v>7</v>
      </c>
      <c r="K20">
        <v>2</v>
      </c>
    </row>
    <row r="21" spans="1:11" x14ac:dyDescent="0.2">
      <c r="A21" t="s">
        <v>91</v>
      </c>
      <c r="B21">
        <v>549</v>
      </c>
      <c r="C21">
        <v>328</v>
      </c>
      <c r="D21">
        <v>77</v>
      </c>
      <c r="E21">
        <v>19</v>
      </c>
      <c r="F21">
        <v>4</v>
      </c>
      <c r="G21">
        <v>0</v>
      </c>
      <c r="H21">
        <v>3</v>
      </c>
      <c r="I21">
        <v>1</v>
      </c>
      <c r="J21">
        <v>2</v>
      </c>
      <c r="K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43" workbookViewId="0">
      <selection sqref="A1:A1048576"/>
    </sheetView>
  </sheetViews>
  <sheetFormatPr baseColWidth="10" defaultRowHeight="16" x14ac:dyDescent="0.2"/>
  <cols>
    <col min="1" max="1" width="17.5" customWidth="1"/>
  </cols>
  <sheetData>
    <row r="1" spans="1:11" x14ac:dyDescent="0.2">
      <c r="A1" t="s">
        <v>63</v>
      </c>
      <c r="B1" t="s">
        <v>1</v>
      </c>
      <c r="C1" t="s">
        <v>2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2">
      <c r="A2" t="s">
        <v>10</v>
      </c>
      <c r="B2">
        <v>43</v>
      </c>
      <c r="C2">
        <v>4</v>
      </c>
      <c r="D2">
        <v>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15</v>
      </c>
      <c r="B3">
        <v>6</v>
      </c>
      <c r="C3">
        <v>3</v>
      </c>
      <c r="D3">
        <v>20</v>
      </c>
      <c r="E3">
        <v>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s="32" customFormat="1" x14ac:dyDescent="0.2">
      <c r="A4" s="32" t="s">
        <v>813</v>
      </c>
      <c r="B4" s="32">
        <v>1194</v>
      </c>
      <c r="C4" s="32">
        <v>415</v>
      </c>
      <c r="D4" s="32">
        <v>12</v>
      </c>
      <c r="E4" s="32">
        <v>32</v>
      </c>
      <c r="F4" s="32">
        <v>8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</row>
    <row r="5" spans="1:11" x14ac:dyDescent="0.2">
      <c r="A5" t="s">
        <v>39</v>
      </c>
      <c r="B5">
        <v>1052</v>
      </c>
      <c r="C5">
        <v>684</v>
      </c>
      <c r="D5">
        <v>168</v>
      </c>
      <c r="E5">
        <v>10</v>
      </c>
      <c r="F5">
        <v>27</v>
      </c>
      <c r="G5">
        <v>28</v>
      </c>
      <c r="H5">
        <v>12</v>
      </c>
      <c r="I5">
        <v>16</v>
      </c>
      <c r="J5">
        <v>8</v>
      </c>
      <c r="K5">
        <v>1</v>
      </c>
    </row>
    <row r="6" spans="1:11" x14ac:dyDescent="0.2">
      <c r="A6" t="s">
        <v>62</v>
      </c>
      <c r="B6">
        <v>2445</v>
      </c>
      <c r="C6">
        <v>1313</v>
      </c>
      <c r="D6">
        <v>158</v>
      </c>
      <c r="E6">
        <v>18</v>
      </c>
      <c r="F6">
        <v>69</v>
      </c>
      <c r="G6">
        <v>52</v>
      </c>
      <c r="H6">
        <v>15</v>
      </c>
      <c r="I6">
        <v>30</v>
      </c>
      <c r="J6">
        <v>7</v>
      </c>
      <c r="K6">
        <v>2</v>
      </c>
    </row>
    <row r="7" spans="1:11" x14ac:dyDescent="0.2">
      <c r="A7" t="s">
        <v>44</v>
      </c>
      <c r="B7">
        <v>96</v>
      </c>
      <c r="C7">
        <v>76</v>
      </c>
      <c r="D7">
        <v>100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</row>
    <row r="8" spans="1:11" x14ac:dyDescent="0.2">
      <c r="A8" t="s">
        <v>12</v>
      </c>
      <c r="B8">
        <v>18</v>
      </c>
      <c r="C8">
        <v>3</v>
      </c>
      <c r="D8">
        <v>10</v>
      </c>
      <c r="E8">
        <v>0</v>
      </c>
      <c r="F8">
        <v>0</v>
      </c>
      <c r="G8">
        <v>1</v>
      </c>
      <c r="H8">
        <v>0</v>
      </c>
      <c r="I8">
        <v>2</v>
      </c>
      <c r="J8">
        <v>0</v>
      </c>
      <c r="K8">
        <v>0</v>
      </c>
    </row>
    <row r="9" spans="1:11" x14ac:dyDescent="0.2">
      <c r="A9" t="s">
        <v>41</v>
      </c>
      <c r="B9">
        <v>117</v>
      </c>
      <c r="C9">
        <v>117</v>
      </c>
      <c r="D9">
        <v>83</v>
      </c>
      <c r="E9">
        <v>0</v>
      </c>
      <c r="F9">
        <v>9</v>
      </c>
      <c r="G9">
        <v>0</v>
      </c>
      <c r="H9">
        <v>0</v>
      </c>
      <c r="I9">
        <v>0</v>
      </c>
      <c r="J9">
        <v>0</v>
      </c>
      <c r="K9">
        <v>6</v>
      </c>
    </row>
    <row r="10" spans="1:11" x14ac:dyDescent="0.2">
      <c r="A10" t="s">
        <v>26</v>
      </c>
      <c r="B10">
        <v>962</v>
      </c>
      <c r="C10">
        <v>113</v>
      </c>
      <c r="D10">
        <v>175</v>
      </c>
      <c r="E10">
        <v>7</v>
      </c>
      <c r="F10">
        <v>7</v>
      </c>
      <c r="G10">
        <v>0</v>
      </c>
      <c r="H10">
        <v>1</v>
      </c>
      <c r="I10">
        <v>8</v>
      </c>
      <c r="J10">
        <v>2</v>
      </c>
      <c r="K10">
        <v>0</v>
      </c>
    </row>
    <row r="11" spans="1:11" x14ac:dyDescent="0.2">
      <c r="A11" t="s">
        <v>37</v>
      </c>
      <c r="B11">
        <v>44</v>
      </c>
      <c r="C11">
        <v>7</v>
      </c>
      <c r="D11">
        <v>3</v>
      </c>
      <c r="E11">
        <v>0</v>
      </c>
      <c r="F11">
        <v>4</v>
      </c>
      <c r="G11">
        <v>1</v>
      </c>
      <c r="H11">
        <v>0</v>
      </c>
      <c r="I11">
        <v>4</v>
      </c>
      <c r="J11">
        <v>0</v>
      </c>
      <c r="K11">
        <v>0</v>
      </c>
    </row>
    <row r="12" spans="1:11" x14ac:dyDescent="0.2">
      <c r="A12" t="s">
        <v>55</v>
      </c>
      <c r="B12">
        <v>1740</v>
      </c>
      <c r="C12">
        <v>104</v>
      </c>
      <c r="D12">
        <v>60</v>
      </c>
      <c r="E12">
        <v>22</v>
      </c>
      <c r="F12">
        <v>49</v>
      </c>
      <c r="G12">
        <v>48</v>
      </c>
      <c r="H12">
        <v>0</v>
      </c>
      <c r="I12">
        <v>12</v>
      </c>
      <c r="J12">
        <v>0</v>
      </c>
      <c r="K12">
        <v>0</v>
      </c>
    </row>
    <row r="13" spans="1:11" x14ac:dyDescent="0.2">
      <c r="A13" t="s">
        <v>58</v>
      </c>
      <c r="B13">
        <v>380</v>
      </c>
      <c r="C13">
        <v>125</v>
      </c>
      <c r="D13">
        <v>166</v>
      </c>
      <c r="E13">
        <v>0</v>
      </c>
      <c r="F13">
        <v>0</v>
      </c>
      <c r="G13">
        <v>4</v>
      </c>
      <c r="H13">
        <v>0</v>
      </c>
      <c r="I13">
        <v>2</v>
      </c>
      <c r="J13">
        <v>0</v>
      </c>
      <c r="K13">
        <v>0</v>
      </c>
    </row>
    <row r="14" spans="1:11" x14ac:dyDescent="0.2">
      <c r="A14" t="s">
        <v>28</v>
      </c>
      <c r="B14">
        <v>105</v>
      </c>
      <c r="C14">
        <v>130</v>
      </c>
      <c r="D14">
        <v>46</v>
      </c>
      <c r="E14">
        <v>0</v>
      </c>
      <c r="F14">
        <v>0</v>
      </c>
      <c r="G14">
        <v>4</v>
      </c>
      <c r="H14">
        <v>0</v>
      </c>
      <c r="I14">
        <v>2</v>
      </c>
      <c r="J14">
        <v>0</v>
      </c>
      <c r="K14">
        <v>1</v>
      </c>
    </row>
    <row r="15" spans="1:11" x14ac:dyDescent="0.2">
      <c r="A15" t="s">
        <v>50</v>
      </c>
      <c r="B15">
        <v>54</v>
      </c>
      <c r="C15">
        <v>0</v>
      </c>
      <c r="D15">
        <v>11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814</v>
      </c>
      <c r="B16">
        <v>386</v>
      </c>
      <c r="C16">
        <v>192</v>
      </c>
      <c r="D16">
        <v>49</v>
      </c>
      <c r="E16">
        <v>10</v>
      </c>
      <c r="F16">
        <v>9</v>
      </c>
      <c r="G16">
        <v>4</v>
      </c>
      <c r="H16">
        <v>2</v>
      </c>
      <c r="I16">
        <v>1</v>
      </c>
      <c r="J16">
        <v>0</v>
      </c>
      <c r="K16">
        <v>0</v>
      </c>
    </row>
    <row r="17" spans="1:11" x14ac:dyDescent="0.2">
      <c r="A17" t="s">
        <v>48</v>
      </c>
      <c r="B17">
        <v>412</v>
      </c>
      <c r="C17">
        <v>48</v>
      </c>
      <c r="D17">
        <v>2</v>
      </c>
      <c r="E17">
        <v>0</v>
      </c>
      <c r="F17">
        <v>3</v>
      </c>
      <c r="G17">
        <v>0</v>
      </c>
      <c r="H17">
        <v>0</v>
      </c>
      <c r="I17">
        <v>0</v>
      </c>
      <c r="J17">
        <v>2</v>
      </c>
      <c r="K17">
        <v>0</v>
      </c>
    </row>
    <row r="18" spans="1:11" x14ac:dyDescent="0.2">
      <c r="A18" t="s">
        <v>60</v>
      </c>
      <c r="B18">
        <v>210</v>
      </c>
      <c r="C18">
        <v>41</v>
      </c>
      <c r="D18">
        <v>94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t="s">
        <v>46</v>
      </c>
      <c r="B19">
        <v>12</v>
      </c>
      <c r="C19">
        <v>50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t="s">
        <v>49</v>
      </c>
      <c r="B20">
        <v>286</v>
      </c>
      <c r="C20">
        <v>53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t="s">
        <v>17</v>
      </c>
      <c r="B21">
        <v>66</v>
      </c>
      <c r="C21">
        <v>11</v>
      </c>
      <c r="D21">
        <v>76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t="s">
        <v>61</v>
      </c>
      <c r="B22">
        <v>44</v>
      </c>
      <c r="C22">
        <v>51</v>
      </c>
      <c r="D22">
        <v>89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t="s">
        <v>56</v>
      </c>
      <c r="B23">
        <v>102</v>
      </c>
      <c r="C23">
        <v>73</v>
      </c>
      <c r="D23">
        <v>61</v>
      </c>
      <c r="E23">
        <v>1</v>
      </c>
      <c r="F23">
        <v>30</v>
      </c>
      <c r="G23">
        <v>1</v>
      </c>
      <c r="H23">
        <v>0</v>
      </c>
      <c r="I23">
        <v>3</v>
      </c>
      <c r="J23">
        <v>3</v>
      </c>
      <c r="K23">
        <v>0</v>
      </c>
    </row>
    <row r="24" spans="1:11" x14ac:dyDescent="0.2">
      <c r="A24" t="s">
        <v>11</v>
      </c>
      <c r="B24">
        <v>64</v>
      </c>
      <c r="C24">
        <v>10</v>
      </c>
      <c r="D24">
        <v>10</v>
      </c>
      <c r="E24">
        <v>1</v>
      </c>
      <c r="F24">
        <v>4</v>
      </c>
      <c r="G24">
        <v>0</v>
      </c>
      <c r="H24">
        <v>0</v>
      </c>
      <c r="I24">
        <v>0</v>
      </c>
      <c r="J24">
        <v>1</v>
      </c>
      <c r="K24">
        <v>0</v>
      </c>
    </row>
    <row r="25" spans="1:11" x14ac:dyDescent="0.2">
      <c r="A25" t="s">
        <v>89</v>
      </c>
      <c r="B25">
        <v>27</v>
      </c>
      <c r="C25">
        <v>294</v>
      </c>
      <c r="D25">
        <v>7</v>
      </c>
      <c r="E25">
        <v>24</v>
      </c>
      <c r="F25">
        <v>2</v>
      </c>
      <c r="G25">
        <v>0</v>
      </c>
      <c r="H25">
        <v>2</v>
      </c>
      <c r="I25">
        <v>1</v>
      </c>
      <c r="J25">
        <v>3</v>
      </c>
      <c r="K25">
        <v>0</v>
      </c>
    </row>
    <row r="26" spans="1:11" x14ac:dyDescent="0.2">
      <c r="A26" t="s">
        <v>27</v>
      </c>
      <c r="B26">
        <v>183</v>
      </c>
      <c r="C26">
        <v>147</v>
      </c>
      <c r="D26">
        <v>150</v>
      </c>
      <c r="E26">
        <v>0</v>
      </c>
      <c r="F26">
        <v>4</v>
      </c>
      <c r="G26">
        <v>16</v>
      </c>
      <c r="H26">
        <v>0</v>
      </c>
      <c r="I26">
        <v>4</v>
      </c>
      <c r="J26">
        <v>0</v>
      </c>
      <c r="K26">
        <v>0</v>
      </c>
    </row>
    <row r="27" spans="1:11" x14ac:dyDescent="0.2">
      <c r="A27" t="s">
        <v>25</v>
      </c>
      <c r="B27">
        <v>354</v>
      </c>
      <c r="C27">
        <v>113</v>
      </c>
      <c r="D27">
        <v>34</v>
      </c>
      <c r="E27">
        <v>0</v>
      </c>
      <c r="F27">
        <v>49</v>
      </c>
      <c r="G27">
        <v>62</v>
      </c>
      <c r="H27">
        <v>0</v>
      </c>
      <c r="I27">
        <v>25</v>
      </c>
      <c r="J27">
        <v>2</v>
      </c>
      <c r="K27">
        <v>1</v>
      </c>
    </row>
    <row r="28" spans="1:11" x14ac:dyDescent="0.2">
      <c r="A28" t="s">
        <v>18</v>
      </c>
      <c r="B28">
        <v>70</v>
      </c>
      <c r="C28">
        <v>10</v>
      </c>
      <c r="D28">
        <v>12</v>
      </c>
      <c r="E28">
        <v>1</v>
      </c>
      <c r="F28">
        <v>1</v>
      </c>
      <c r="G28">
        <v>4</v>
      </c>
      <c r="H28">
        <v>0</v>
      </c>
      <c r="I28">
        <v>1</v>
      </c>
      <c r="J28">
        <v>0</v>
      </c>
      <c r="K28">
        <v>0</v>
      </c>
    </row>
    <row r="29" spans="1:11" x14ac:dyDescent="0.2">
      <c r="A29" t="s">
        <v>16</v>
      </c>
      <c r="B29">
        <v>174</v>
      </c>
      <c r="C29">
        <v>3</v>
      </c>
      <c r="D29">
        <v>159</v>
      </c>
      <c r="E29">
        <v>0</v>
      </c>
      <c r="F29">
        <v>2</v>
      </c>
      <c r="G29">
        <v>2</v>
      </c>
      <c r="H29">
        <v>0</v>
      </c>
      <c r="I29">
        <v>0</v>
      </c>
      <c r="J29">
        <v>2</v>
      </c>
      <c r="K29">
        <v>0</v>
      </c>
    </row>
    <row r="30" spans="1:11" x14ac:dyDescent="0.2">
      <c r="A30" t="s">
        <v>812</v>
      </c>
      <c r="B30">
        <v>369</v>
      </c>
      <c r="C30">
        <v>207</v>
      </c>
      <c r="D30">
        <v>226</v>
      </c>
      <c r="E30">
        <v>1</v>
      </c>
      <c r="F30">
        <v>6</v>
      </c>
      <c r="G30">
        <v>11</v>
      </c>
      <c r="H30">
        <v>0</v>
      </c>
      <c r="I30">
        <v>2</v>
      </c>
      <c r="J30">
        <v>0</v>
      </c>
      <c r="K30">
        <v>0</v>
      </c>
    </row>
    <row r="31" spans="1:11" x14ac:dyDescent="0.2">
      <c r="A31" t="s">
        <v>21</v>
      </c>
      <c r="B31">
        <v>249</v>
      </c>
      <c r="C31">
        <v>49</v>
      </c>
      <c r="D31">
        <v>82</v>
      </c>
      <c r="E31">
        <v>0</v>
      </c>
      <c r="F31">
        <v>36</v>
      </c>
      <c r="G31">
        <v>34</v>
      </c>
      <c r="H31">
        <v>0</v>
      </c>
      <c r="I31">
        <v>6</v>
      </c>
      <c r="J31">
        <v>0</v>
      </c>
      <c r="K31">
        <v>3</v>
      </c>
    </row>
    <row r="32" spans="1:11" x14ac:dyDescent="0.2">
      <c r="A32" t="s">
        <v>42</v>
      </c>
      <c r="B32">
        <v>292</v>
      </c>
      <c r="C32">
        <v>68</v>
      </c>
      <c r="D32">
        <v>21</v>
      </c>
      <c r="E32">
        <v>1</v>
      </c>
      <c r="F32">
        <v>0</v>
      </c>
      <c r="G32">
        <v>9</v>
      </c>
      <c r="H32">
        <v>0</v>
      </c>
      <c r="I32">
        <v>6</v>
      </c>
      <c r="J32">
        <v>7</v>
      </c>
      <c r="K32">
        <v>0</v>
      </c>
    </row>
    <row r="33" spans="1:11" x14ac:dyDescent="0.2">
      <c r="A33" t="s">
        <v>31</v>
      </c>
      <c r="B33">
        <v>2284</v>
      </c>
      <c r="C33">
        <v>937</v>
      </c>
      <c r="D33">
        <v>36</v>
      </c>
      <c r="E33">
        <v>10</v>
      </c>
      <c r="F33">
        <v>18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40</v>
      </c>
      <c r="B34">
        <v>956</v>
      </c>
      <c r="C34">
        <v>405</v>
      </c>
      <c r="D34">
        <v>182</v>
      </c>
      <c r="E34">
        <v>11</v>
      </c>
      <c r="F34">
        <v>9</v>
      </c>
      <c r="G34">
        <v>8</v>
      </c>
      <c r="H34">
        <v>14</v>
      </c>
      <c r="I34">
        <v>5</v>
      </c>
      <c r="J34">
        <v>8</v>
      </c>
      <c r="K34">
        <v>2</v>
      </c>
    </row>
    <row r="35" spans="1:11" x14ac:dyDescent="0.2">
      <c r="A35" t="s">
        <v>20</v>
      </c>
      <c r="B35">
        <v>36</v>
      </c>
      <c r="C35">
        <v>14</v>
      </c>
      <c r="D35">
        <v>0</v>
      </c>
      <c r="E35">
        <v>0</v>
      </c>
      <c r="F35">
        <v>6</v>
      </c>
      <c r="G35">
        <v>5</v>
      </c>
      <c r="H35">
        <v>0</v>
      </c>
      <c r="I35">
        <v>1</v>
      </c>
      <c r="J35">
        <v>0</v>
      </c>
      <c r="K35">
        <v>0</v>
      </c>
    </row>
    <row r="36" spans="1:11" x14ac:dyDescent="0.2">
      <c r="A36" t="s">
        <v>23</v>
      </c>
      <c r="B36">
        <v>20</v>
      </c>
      <c r="C36">
        <v>10</v>
      </c>
      <c r="D36">
        <v>12</v>
      </c>
      <c r="E36">
        <v>3</v>
      </c>
      <c r="F36">
        <v>2</v>
      </c>
      <c r="G36">
        <v>3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53</v>
      </c>
      <c r="B37">
        <v>12</v>
      </c>
      <c r="C37">
        <v>66</v>
      </c>
      <c r="D37">
        <v>32</v>
      </c>
      <c r="E37">
        <v>1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t="s">
        <v>36</v>
      </c>
      <c r="B38">
        <v>3461</v>
      </c>
      <c r="C38">
        <v>966</v>
      </c>
      <c r="D38">
        <v>183</v>
      </c>
      <c r="E38">
        <v>51</v>
      </c>
      <c r="F38">
        <v>78</v>
      </c>
      <c r="G38">
        <v>2</v>
      </c>
      <c r="H38">
        <v>0</v>
      </c>
      <c r="I38">
        <v>44</v>
      </c>
      <c r="J38">
        <v>13</v>
      </c>
      <c r="K38">
        <v>0</v>
      </c>
    </row>
    <row r="39" spans="1:11" x14ac:dyDescent="0.2">
      <c r="A39" t="s">
        <v>9</v>
      </c>
      <c r="B39">
        <v>137</v>
      </c>
      <c r="C39">
        <v>14</v>
      </c>
      <c r="D39">
        <v>91</v>
      </c>
      <c r="E39">
        <v>7</v>
      </c>
      <c r="F39">
        <v>1</v>
      </c>
      <c r="G39">
        <v>4</v>
      </c>
      <c r="H39">
        <v>0</v>
      </c>
      <c r="I39">
        <v>0</v>
      </c>
      <c r="J39">
        <v>1</v>
      </c>
      <c r="K39">
        <v>0</v>
      </c>
    </row>
    <row r="40" spans="1:11" x14ac:dyDescent="0.2">
      <c r="A40" t="s">
        <v>45</v>
      </c>
      <c r="B40">
        <v>80</v>
      </c>
      <c r="C40">
        <v>17</v>
      </c>
      <c r="D40">
        <v>0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t="s">
        <v>19</v>
      </c>
      <c r="B41">
        <v>122</v>
      </c>
      <c r="C41">
        <v>4</v>
      </c>
      <c r="D41">
        <v>14</v>
      </c>
      <c r="E41">
        <v>2</v>
      </c>
      <c r="F41">
        <v>2</v>
      </c>
      <c r="G41">
        <v>6</v>
      </c>
      <c r="H41">
        <v>0</v>
      </c>
      <c r="I41">
        <v>3</v>
      </c>
      <c r="J41">
        <v>0</v>
      </c>
      <c r="K41">
        <v>0</v>
      </c>
    </row>
    <row r="42" spans="1:11" x14ac:dyDescent="0.2">
      <c r="A42" t="s">
        <v>13</v>
      </c>
      <c r="B42">
        <v>16</v>
      </c>
      <c r="C42">
        <v>13</v>
      </c>
      <c r="D42">
        <v>27</v>
      </c>
      <c r="E42">
        <v>0</v>
      </c>
      <c r="F42">
        <v>1</v>
      </c>
      <c r="G42">
        <v>3</v>
      </c>
      <c r="H42">
        <v>0</v>
      </c>
      <c r="I42">
        <v>1</v>
      </c>
      <c r="J42">
        <v>0</v>
      </c>
      <c r="K42">
        <v>0</v>
      </c>
    </row>
    <row r="43" spans="1:11" x14ac:dyDescent="0.2">
      <c r="A43" t="s">
        <v>29</v>
      </c>
      <c r="B43">
        <v>857</v>
      </c>
      <c r="C43">
        <v>391</v>
      </c>
      <c r="D43">
        <v>99</v>
      </c>
      <c r="E43">
        <v>20</v>
      </c>
      <c r="F43">
        <v>5</v>
      </c>
      <c r="G43">
        <v>0</v>
      </c>
      <c r="H43">
        <v>3</v>
      </c>
      <c r="I43">
        <v>1</v>
      </c>
      <c r="J43">
        <v>3</v>
      </c>
      <c r="K43">
        <v>0</v>
      </c>
    </row>
    <row r="44" spans="1:11" x14ac:dyDescent="0.2">
      <c r="A44" t="s">
        <v>54</v>
      </c>
      <c r="B44">
        <v>112</v>
      </c>
      <c r="C44">
        <v>162</v>
      </c>
      <c r="D44">
        <v>101</v>
      </c>
      <c r="E44">
        <v>2</v>
      </c>
      <c r="F44">
        <v>4</v>
      </c>
      <c r="G44">
        <v>11</v>
      </c>
      <c r="H44">
        <v>0</v>
      </c>
      <c r="I44">
        <v>3</v>
      </c>
      <c r="J44">
        <v>0</v>
      </c>
      <c r="K44">
        <v>0</v>
      </c>
    </row>
    <row r="45" spans="1:11" x14ac:dyDescent="0.2">
      <c r="A45" t="s">
        <v>59</v>
      </c>
      <c r="B45">
        <v>247</v>
      </c>
      <c r="C45">
        <v>36</v>
      </c>
      <c r="D45">
        <v>55</v>
      </c>
      <c r="E45">
        <v>1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t="s">
        <v>47</v>
      </c>
      <c r="B46">
        <v>196</v>
      </c>
      <c r="C46">
        <v>153</v>
      </c>
      <c r="D46">
        <v>159</v>
      </c>
      <c r="E46">
        <v>1</v>
      </c>
      <c r="F46">
        <v>2</v>
      </c>
      <c r="G46">
        <v>6</v>
      </c>
      <c r="H46">
        <v>0</v>
      </c>
      <c r="I46">
        <v>1</v>
      </c>
      <c r="J46">
        <v>0</v>
      </c>
      <c r="K46">
        <v>0</v>
      </c>
    </row>
    <row r="47" spans="1:11" x14ac:dyDescent="0.2">
      <c r="A47" t="s">
        <v>33</v>
      </c>
      <c r="B47">
        <v>40</v>
      </c>
      <c r="C47">
        <v>87</v>
      </c>
      <c r="D47">
        <v>12</v>
      </c>
      <c r="E47">
        <v>7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22</v>
      </c>
      <c r="B48">
        <v>10</v>
      </c>
      <c r="C48">
        <v>5</v>
      </c>
      <c r="D48">
        <v>28</v>
      </c>
      <c r="E48">
        <v>0</v>
      </c>
      <c r="F48">
        <v>3</v>
      </c>
      <c r="G48">
        <v>3</v>
      </c>
      <c r="H48">
        <v>0</v>
      </c>
      <c r="I48">
        <v>1</v>
      </c>
      <c r="J48">
        <v>1</v>
      </c>
      <c r="K48">
        <v>0</v>
      </c>
    </row>
    <row r="49" spans="1:11" x14ac:dyDescent="0.2">
      <c r="A49" t="s">
        <v>815</v>
      </c>
      <c r="B49">
        <v>1584</v>
      </c>
      <c r="C49">
        <v>396</v>
      </c>
      <c r="D49">
        <v>26</v>
      </c>
      <c r="E49">
        <v>2</v>
      </c>
      <c r="F49">
        <v>38</v>
      </c>
      <c r="G49">
        <v>0</v>
      </c>
      <c r="H49">
        <v>0</v>
      </c>
      <c r="I49">
        <v>0</v>
      </c>
      <c r="J49">
        <v>3</v>
      </c>
      <c r="K49">
        <v>0</v>
      </c>
    </row>
    <row r="50" spans="1:11" x14ac:dyDescent="0.2">
      <c r="A50" t="s">
        <v>24</v>
      </c>
      <c r="B50">
        <v>112</v>
      </c>
      <c r="C50">
        <v>62</v>
      </c>
      <c r="D50">
        <v>7</v>
      </c>
      <c r="E50">
        <v>4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t="s">
        <v>51</v>
      </c>
      <c r="B51">
        <v>844</v>
      </c>
      <c r="C51">
        <v>141</v>
      </c>
      <c r="D51">
        <v>42</v>
      </c>
      <c r="E51">
        <v>6</v>
      </c>
      <c r="F51">
        <v>37</v>
      </c>
      <c r="G51">
        <v>42</v>
      </c>
      <c r="H51">
        <v>0</v>
      </c>
      <c r="I51">
        <v>28</v>
      </c>
      <c r="J51">
        <v>0</v>
      </c>
      <c r="K51">
        <v>6</v>
      </c>
    </row>
    <row r="52" spans="1:11" x14ac:dyDescent="0.2">
      <c r="A52" t="s">
        <v>52</v>
      </c>
      <c r="B52">
        <v>16</v>
      </c>
      <c r="C52">
        <v>125</v>
      </c>
      <c r="D52">
        <v>34</v>
      </c>
      <c r="E52">
        <v>3</v>
      </c>
      <c r="F52">
        <v>0</v>
      </c>
      <c r="G52">
        <v>9</v>
      </c>
      <c r="H52">
        <v>0</v>
      </c>
      <c r="I52">
        <v>1</v>
      </c>
      <c r="J52">
        <v>0</v>
      </c>
      <c r="K52">
        <v>0</v>
      </c>
    </row>
    <row r="53" spans="1:11" x14ac:dyDescent="0.2">
      <c r="A53" t="s">
        <v>14</v>
      </c>
      <c r="B53">
        <v>68</v>
      </c>
      <c r="C53">
        <v>19</v>
      </c>
      <c r="D53">
        <v>30</v>
      </c>
      <c r="E53">
        <v>0</v>
      </c>
      <c r="F53">
        <v>6</v>
      </c>
      <c r="G53">
        <v>3</v>
      </c>
      <c r="H53">
        <v>0</v>
      </c>
      <c r="I53">
        <v>2</v>
      </c>
      <c r="J53">
        <v>0</v>
      </c>
      <c r="K53">
        <v>0</v>
      </c>
    </row>
    <row r="54" spans="1:11" x14ac:dyDescent="0.2">
      <c r="A54" t="s">
        <v>34</v>
      </c>
      <c r="B54">
        <v>850</v>
      </c>
      <c r="C54">
        <v>212</v>
      </c>
      <c r="D54">
        <v>12</v>
      </c>
      <c r="E54">
        <v>17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</row>
    <row r="55" spans="1:11" x14ac:dyDescent="0.2">
      <c r="A55" t="s">
        <v>38</v>
      </c>
      <c r="B55">
        <v>218</v>
      </c>
      <c r="C55">
        <v>27</v>
      </c>
      <c r="D55">
        <v>12</v>
      </c>
      <c r="E55">
        <v>1</v>
      </c>
      <c r="F55">
        <v>13</v>
      </c>
      <c r="G55">
        <v>10</v>
      </c>
      <c r="H55">
        <v>0</v>
      </c>
      <c r="I55">
        <v>5</v>
      </c>
      <c r="J55">
        <v>0</v>
      </c>
      <c r="K55">
        <v>0</v>
      </c>
    </row>
    <row r="56" spans="1:11" x14ac:dyDescent="0.2">
      <c r="A56" t="s">
        <v>43</v>
      </c>
      <c r="B56">
        <v>416</v>
      </c>
      <c r="C56">
        <v>109</v>
      </c>
      <c r="D56">
        <v>12</v>
      </c>
      <c r="E56">
        <v>1</v>
      </c>
      <c r="F56">
        <v>23</v>
      </c>
      <c r="G56">
        <v>8</v>
      </c>
      <c r="H56">
        <v>0</v>
      </c>
      <c r="I56">
        <v>0</v>
      </c>
      <c r="J56">
        <v>0</v>
      </c>
      <c r="K56">
        <v>0</v>
      </c>
    </row>
  </sheetData>
  <autoFilter ref="A1:K6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35"/>
  <sheetViews>
    <sheetView topLeftCell="A42" workbookViewId="0">
      <selection activeCell="B75" sqref="B75"/>
    </sheetView>
  </sheetViews>
  <sheetFormatPr baseColWidth="10" defaultColWidth="11.5" defaultRowHeight="16" x14ac:dyDescent="0.2"/>
  <cols>
    <col min="1" max="1" width="14.1640625" style="25" customWidth="1"/>
    <col min="2" max="2" width="18.83203125" style="24" customWidth="1"/>
    <col min="3" max="3" width="6.5" style="26" customWidth="1"/>
    <col min="4" max="4" width="8.83203125" style="12" hidden="1" customWidth="1"/>
    <col min="5" max="5" width="7.6640625" style="12" customWidth="1"/>
    <col min="6" max="6" width="9.1640625" style="8" hidden="1" customWidth="1"/>
    <col min="7" max="7" width="8.83203125" style="12" hidden="1" customWidth="1"/>
    <col min="8" max="8" width="12.5" style="13" customWidth="1"/>
    <col min="9" max="9" width="10.1640625" style="13" customWidth="1"/>
    <col min="10" max="11" width="7.5" style="26" customWidth="1"/>
    <col min="12" max="12" width="43.6640625" style="14" customWidth="1"/>
    <col min="13" max="13" width="17" style="14" customWidth="1"/>
    <col min="14" max="14" width="12" style="15" customWidth="1"/>
    <col min="15" max="15" width="12.83203125" style="16" customWidth="1"/>
    <col min="16" max="16" width="12.83203125" style="12" customWidth="1"/>
    <col min="17" max="17" width="9.33203125" style="12" customWidth="1"/>
    <col min="18" max="18" width="10.5" style="12" customWidth="1"/>
    <col min="19" max="19" width="9.5" style="12" customWidth="1"/>
    <col min="20" max="20" width="10.5" customWidth="1"/>
    <col min="21" max="21" width="9.33203125" customWidth="1"/>
    <col min="22" max="22" width="9.6640625" customWidth="1"/>
    <col min="23" max="24" width="10.5" customWidth="1"/>
    <col min="25" max="25" width="12.6640625" customWidth="1"/>
    <col min="26" max="26" width="11.6640625" customWidth="1"/>
    <col min="27" max="28" width="11.1640625" customWidth="1"/>
    <col min="29" max="29" width="10" customWidth="1"/>
    <col min="30" max="30" width="8.5" customWidth="1"/>
    <col min="31" max="31" width="9.83203125" customWidth="1"/>
    <col min="32" max="32" width="9" customWidth="1"/>
    <col min="33" max="33" width="10.5" customWidth="1"/>
    <col min="34" max="35" width="8.33203125" customWidth="1"/>
    <col min="36" max="37" width="10.5" customWidth="1"/>
    <col min="38" max="38" width="10.33203125" customWidth="1"/>
    <col min="39" max="41" width="8.5" customWidth="1"/>
    <col min="42" max="42" width="9.5" customWidth="1"/>
    <col min="43" max="44" width="6.5" customWidth="1"/>
    <col min="45" max="45" width="8.5" customWidth="1"/>
    <col min="46" max="47" width="7.83203125" customWidth="1"/>
    <col min="48" max="48" width="8.1640625" customWidth="1"/>
    <col min="49" max="49" width="10.1640625" customWidth="1"/>
    <col min="50" max="50" width="8.83203125" customWidth="1"/>
    <col min="51" max="51" width="9.83203125" customWidth="1"/>
    <col min="52" max="52" width="9.5" customWidth="1"/>
    <col min="53" max="53" width="9" customWidth="1"/>
    <col min="54" max="54" width="9.83203125" customWidth="1"/>
    <col min="55" max="55" width="9.5" customWidth="1"/>
    <col min="56" max="56" width="9.83203125" customWidth="1"/>
    <col min="57" max="57" width="10.6640625" customWidth="1"/>
    <col min="58" max="58" width="7.5" customWidth="1"/>
    <col min="59" max="60" width="9.5" customWidth="1"/>
    <col min="61" max="61" width="12" customWidth="1"/>
    <col min="62" max="62" width="10.1640625" customWidth="1"/>
    <col min="63" max="63" width="9.83203125" customWidth="1"/>
    <col min="64" max="64" width="10.5" customWidth="1"/>
    <col min="65" max="65" width="10" customWidth="1"/>
    <col min="66" max="66" width="8.83203125" customWidth="1"/>
    <col min="67" max="69" width="11.33203125" customWidth="1"/>
    <col min="70" max="70" width="6.83203125" customWidth="1"/>
    <col min="71" max="71" width="10.1640625" customWidth="1"/>
    <col min="72" max="73" width="8" customWidth="1"/>
    <col min="74" max="77" width="8.5" customWidth="1"/>
    <col min="78" max="78" width="6.83203125" style="27" customWidth="1"/>
    <col min="79" max="79" width="10.6640625" style="27" customWidth="1"/>
    <col min="80" max="80" width="7.6640625" style="18" customWidth="1"/>
    <col min="82" max="84" width="11.5" style="8"/>
    <col min="85" max="85" width="11.5" style="19"/>
  </cols>
  <sheetData>
    <row r="1" spans="1:86" s="1" customFormat="1" ht="46" thickBot="1" x14ac:dyDescent="0.25">
      <c r="A1" s="3" t="s">
        <v>93</v>
      </c>
      <c r="B1" s="2" t="s">
        <v>92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4" t="s">
        <v>99</v>
      </c>
      <c r="I1" s="4" t="s">
        <v>100</v>
      </c>
      <c r="J1" s="1" t="s">
        <v>101</v>
      </c>
      <c r="K1" s="1" t="s">
        <v>102</v>
      </c>
      <c r="L1" s="5" t="s">
        <v>103</v>
      </c>
      <c r="M1" s="5" t="s">
        <v>104</v>
      </c>
      <c r="N1" s="6" t="s">
        <v>105</v>
      </c>
      <c r="O1" s="3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145</v>
      </c>
      <c r="BC1" s="1" t="s">
        <v>146</v>
      </c>
      <c r="BD1" s="1" t="s">
        <v>147</v>
      </c>
      <c r="BE1" s="1" t="s">
        <v>148</v>
      </c>
      <c r="BF1" s="1" t="s">
        <v>149</v>
      </c>
      <c r="BG1" s="1" t="s">
        <v>150</v>
      </c>
      <c r="BH1" s="1" t="s">
        <v>151</v>
      </c>
      <c r="BI1" s="1" t="s">
        <v>152</v>
      </c>
      <c r="BJ1" s="1" t="s">
        <v>153</v>
      </c>
      <c r="BK1" s="1" t="s">
        <v>154</v>
      </c>
      <c r="BL1" s="1" t="s">
        <v>155</v>
      </c>
      <c r="BM1" s="1" t="s">
        <v>156</v>
      </c>
      <c r="BN1" s="1" t="s">
        <v>157</v>
      </c>
      <c r="BO1" s="1" t="s">
        <v>158</v>
      </c>
      <c r="BP1" s="1" t="s">
        <v>159</v>
      </c>
      <c r="BQ1" s="1" t="s">
        <v>160</v>
      </c>
      <c r="BR1" s="1" t="s">
        <v>161</v>
      </c>
      <c r="BS1" s="1" t="s">
        <v>162</v>
      </c>
      <c r="BT1" s="1" t="s">
        <v>163</v>
      </c>
      <c r="BU1" s="1" t="s">
        <v>164</v>
      </c>
      <c r="BV1" s="1" t="s">
        <v>165</v>
      </c>
      <c r="BW1" s="1" t="s">
        <v>166</v>
      </c>
      <c r="BX1" s="1" t="s">
        <v>167</v>
      </c>
      <c r="BY1" s="1" t="s">
        <v>168</v>
      </c>
      <c r="BZ1" s="1" t="s">
        <v>169</v>
      </c>
      <c r="CA1" s="1" t="s">
        <v>170</v>
      </c>
      <c r="CB1" s="2" t="s">
        <v>171</v>
      </c>
      <c r="CC1" s="1" t="s">
        <v>172</v>
      </c>
      <c r="CD1" s="1" t="s">
        <v>173</v>
      </c>
      <c r="CE1" s="1" t="s">
        <v>174</v>
      </c>
      <c r="CF1" s="1" t="s">
        <v>175</v>
      </c>
      <c r="CG1" s="7" t="s">
        <v>176</v>
      </c>
      <c r="CH1" s="1" t="s">
        <v>177</v>
      </c>
    </row>
    <row r="2" spans="1:86" ht="17" thickTop="1" x14ac:dyDescent="0.2">
      <c r="A2" s="10" t="s">
        <v>72</v>
      </c>
      <c r="B2" s="9" t="s">
        <v>178</v>
      </c>
      <c r="C2" s="11" t="s">
        <v>179</v>
      </c>
      <c r="D2" s="12" t="s">
        <v>180</v>
      </c>
      <c r="E2" s="11" t="s">
        <v>181</v>
      </c>
      <c r="F2" s="8">
        <v>986</v>
      </c>
      <c r="G2" s="12" t="s">
        <v>182</v>
      </c>
      <c r="H2" s="13">
        <v>3943300</v>
      </c>
      <c r="I2" s="13">
        <v>767520</v>
      </c>
      <c r="J2" s="12">
        <v>15</v>
      </c>
      <c r="K2" s="12"/>
      <c r="L2" s="14" t="s">
        <v>183</v>
      </c>
      <c r="M2" s="14" t="s">
        <v>184</v>
      </c>
      <c r="N2" s="15">
        <v>14723</v>
      </c>
      <c r="O2" s="16" t="s">
        <v>185</v>
      </c>
      <c r="T2" s="8">
        <v>0</v>
      </c>
      <c r="U2" s="8">
        <v>0</v>
      </c>
      <c r="V2" s="8">
        <v>0</v>
      </c>
      <c r="W2" s="8">
        <v>0</v>
      </c>
      <c r="X2" s="8"/>
      <c r="Y2" s="8">
        <v>0</v>
      </c>
      <c r="Z2" s="8">
        <v>0</v>
      </c>
      <c r="AA2" s="8">
        <v>0</v>
      </c>
      <c r="AB2" s="8"/>
      <c r="AC2" s="8">
        <v>0</v>
      </c>
      <c r="AD2" s="8">
        <v>16</v>
      </c>
      <c r="AE2" s="8">
        <v>10</v>
      </c>
      <c r="AF2" s="8">
        <v>0</v>
      </c>
      <c r="AG2" s="8">
        <v>2</v>
      </c>
      <c r="AH2" s="8">
        <v>0</v>
      </c>
      <c r="AI2" s="8"/>
      <c r="AJ2" s="8">
        <v>0</v>
      </c>
      <c r="AK2" s="8"/>
      <c r="AL2" s="8">
        <v>0</v>
      </c>
      <c r="AM2" s="8">
        <v>0</v>
      </c>
      <c r="AN2" s="8">
        <v>0</v>
      </c>
      <c r="AO2" s="8"/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/>
      <c r="AV2" s="8">
        <v>0</v>
      </c>
      <c r="AW2" s="8">
        <v>0</v>
      </c>
      <c r="AX2" s="8">
        <v>2753</v>
      </c>
      <c r="AY2" s="8">
        <v>39</v>
      </c>
      <c r="AZ2" s="8">
        <v>57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577</v>
      </c>
      <c r="BG2" s="8">
        <v>4</v>
      </c>
      <c r="BH2" s="8">
        <v>0</v>
      </c>
      <c r="BI2" s="8">
        <v>0</v>
      </c>
      <c r="BJ2" s="8">
        <v>6</v>
      </c>
      <c r="BK2" s="8">
        <v>1</v>
      </c>
      <c r="BL2" s="8">
        <v>22</v>
      </c>
      <c r="BM2" s="8">
        <v>0</v>
      </c>
      <c r="BN2" s="8">
        <v>0</v>
      </c>
      <c r="BO2" s="8">
        <v>24</v>
      </c>
      <c r="BP2" s="8"/>
      <c r="BQ2" s="8"/>
      <c r="BR2" s="8">
        <v>0</v>
      </c>
      <c r="BS2" s="8">
        <v>6</v>
      </c>
      <c r="BT2" s="8">
        <v>0</v>
      </c>
      <c r="BU2" s="8"/>
      <c r="BV2" s="8">
        <v>0</v>
      </c>
      <c r="BW2" s="8"/>
      <c r="BX2" s="8"/>
      <c r="BY2" s="8"/>
      <c r="BZ2" s="17">
        <f t="shared" ref="BZ2:BZ65" si="0">SUM(T2:BY2)</f>
        <v>3517</v>
      </c>
      <c r="CA2" s="17" t="s">
        <v>186</v>
      </c>
      <c r="CB2" s="18" t="s">
        <v>187</v>
      </c>
      <c r="CC2">
        <f t="shared" ref="CC2:CC65" si="1">SUM(BG2:BV2,AE2:AW2,AY2:BE2,T2:AC2)/BZ2</f>
        <v>4.8620983793005404E-2</v>
      </c>
      <c r="CD2" s="8">
        <f t="shared" ref="CD2:CD65" si="2">BZ2-SUM(BF2,AX2,AW2,AD2,W2)</f>
        <v>171</v>
      </c>
      <c r="CE2" s="8">
        <f t="shared" ref="CE2:CE65" si="3">SUM(AX2:BV2)</f>
        <v>3489</v>
      </c>
      <c r="CF2" s="8">
        <f t="shared" ref="CF2:CF65" si="4">SUM(BG2:BV2,AY2:BE2)</f>
        <v>159</v>
      </c>
      <c r="CG2" s="19">
        <f t="shared" ref="CG2:CG65" si="5">CF2/CE2</f>
        <v>4.5571797076526227E-2</v>
      </c>
      <c r="CH2" t="s">
        <v>188</v>
      </c>
    </row>
    <row r="3" spans="1:86" x14ac:dyDescent="0.2">
      <c r="A3" s="10" t="s">
        <v>190</v>
      </c>
      <c r="B3" s="9" t="s">
        <v>189</v>
      </c>
      <c r="C3" s="11" t="s">
        <v>179</v>
      </c>
      <c r="D3" s="11" t="s">
        <v>191</v>
      </c>
      <c r="E3" s="11" t="s">
        <v>192</v>
      </c>
      <c r="F3" s="8">
        <v>986</v>
      </c>
      <c r="G3" s="11" t="s">
        <v>193</v>
      </c>
      <c r="H3" s="13">
        <v>3935520</v>
      </c>
      <c r="I3" s="13">
        <v>761580</v>
      </c>
      <c r="J3" s="12">
        <v>15</v>
      </c>
      <c r="K3" s="12"/>
      <c r="L3" s="14" t="s">
        <v>194</v>
      </c>
      <c r="M3" s="20" t="s">
        <v>184</v>
      </c>
      <c r="N3" s="15">
        <v>14724</v>
      </c>
      <c r="O3" s="16" t="s">
        <v>185</v>
      </c>
      <c r="T3" s="8">
        <v>0</v>
      </c>
      <c r="U3" s="8">
        <v>0</v>
      </c>
      <c r="V3" s="8">
        <v>0</v>
      </c>
      <c r="W3" s="8">
        <v>0</v>
      </c>
      <c r="X3" s="8"/>
      <c r="Y3" s="8">
        <v>0</v>
      </c>
      <c r="Z3" s="8">
        <v>0</v>
      </c>
      <c r="AA3" s="8">
        <v>0</v>
      </c>
      <c r="AB3" s="8"/>
      <c r="AC3" s="8">
        <v>0</v>
      </c>
      <c r="AD3" s="8">
        <v>1</v>
      </c>
      <c r="AE3" s="8">
        <v>0</v>
      </c>
      <c r="AF3" s="8">
        <v>0</v>
      </c>
      <c r="AG3" s="8">
        <v>0</v>
      </c>
      <c r="AH3" s="8">
        <v>0</v>
      </c>
      <c r="AI3" s="8"/>
      <c r="AJ3" s="8">
        <v>0</v>
      </c>
      <c r="AK3" s="8"/>
      <c r="AL3" s="8">
        <v>0</v>
      </c>
      <c r="AM3" s="8">
        <v>0</v>
      </c>
      <c r="AN3" s="8">
        <v>0</v>
      </c>
      <c r="AO3" s="8"/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/>
      <c r="AV3" s="8">
        <v>0</v>
      </c>
      <c r="AW3" s="8">
        <v>0</v>
      </c>
      <c r="AX3" s="8">
        <v>211</v>
      </c>
      <c r="AY3" s="8">
        <v>0</v>
      </c>
      <c r="AZ3" s="8">
        <v>6</v>
      </c>
      <c r="BA3" s="8">
        <v>0</v>
      </c>
      <c r="BB3" s="8">
        <v>0</v>
      </c>
      <c r="BC3" s="8">
        <v>0</v>
      </c>
      <c r="BD3" s="8">
        <v>1</v>
      </c>
      <c r="BE3" s="8">
        <v>0</v>
      </c>
      <c r="BF3" s="8">
        <v>117</v>
      </c>
      <c r="BG3" s="8">
        <v>2</v>
      </c>
      <c r="BH3" s="8">
        <v>0</v>
      </c>
      <c r="BI3" s="8">
        <v>0</v>
      </c>
      <c r="BJ3" s="8">
        <v>0</v>
      </c>
      <c r="BK3" s="8">
        <v>0</v>
      </c>
      <c r="BL3" s="8">
        <v>5</v>
      </c>
      <c r="BM3" s="8">
        <v>0</v>
      </c>
      <c r="BN3" s="8">
        <v>0</v>
      </c>
      <c r="BO3" s="8">
        <v>0</v>
      </c>
      <c r="BP3" s="8"/>
      <c r="BQ3" s="8"/>
      <c r="BR3" s="8">
        <v>0</v>
      </c>
      <c r="BS3" s="8">
        <v>0</v>
      </c>
      <c r="BT3" s="8">
        <v>0</v>
      </c>
      <c r="BU3" s="8"/>
      <c r="BV3" s="8">
        <v>0</v>
      </c>
      <c r="BW3" s="8"/>
      <c r="BX3" s="8"/>
      <c r="BY3" s="8"/>
      <c r="BZ3" s="17">
        <f t="shared" si="0"/>
        <v>343</v>
      </c>
      <c r="CA3" s="17" t="s">
        <v>195</v>
      </c>
      <c r="CC3">
        <f t="shared" si="1"/>
        <v>4.0816326530612242E-2</v>
      </c>
      <c r="CD3" s="8">
        <f t="shared" si="2"/>
        <v>14</v>
      </c>
      <c r="CE3" s="8">
        <f t="shared" si="3"/>
        <v>342</v>
      </c>
      <c r="CF3" s="8">
        <f t="shared" si="4"/>
        <v>14</v>
      </c>
      <c r="CG3" s="19">
        <f t="shared" si="5"/>
        <v>4.0935672514619881E-2</v>
      </c>
      <c r="CH3" t="s">
        <v>188</v>
      </c>
    </row>
    <row r="4" spans="1:86" x14ac:dyDescent="0.2">
      <c r="A4" s="10" t="s">
        <v>197</v>
      </c>
      <c r="B4" s="9" t="s">
        <v>196</v>
      </c>
      <c r="C4" s="11" t="s">
        <v>179</v>
      </c>
      <c r="D4" s="11" t="s">
        <v>198</v>
      </c>
      <c r="E4" s="11" t="s">
        <v>192</v>
      </c>
      <c r="F4" s="8">
        <v>229</v>
      </c>
      <c r="G4" s="11" t="s">
        <v>199</v>
      </c>
      <c r="H4" s="13">
        <v>3934120</v>
      </c>
      <c r="I4" s="13">
        <v>760410</v>
      </c>
      <c r="J4" s="12">
        <v>15</v>
      </c>
      <c r="K4" s="12"/>
      <c r="L4" s="14" t="s">
        <v>200</v>
      </c>
      <c r="M4" s="14" t="s">
        <v>184</v>
      </c>
      <c r="N4" s="15">
        <v>14723</v>
      </c>
      <c r="O4" s="16" t="s">
        <v>185</v>
      </c>
      <c r="T4" s="8">
        <v>0</v>
      </c>
      <c r="U4" s="8">
        <v>0</v>
      </c>
      <c r="V4" s="8">
        <v>0</v>
      </c>
      <c r="W4" s="8">
        <v>0</v>
      </c>
      <c r="X4" s="8"/>
      <c r="Y4" s="8">
        <v>0</v>
      </c>
      <c r="Z4" s="8">
        <v>0</v>
      </c>
      <c r="AA4" s="8">
        <v>0</v>
      </c>
      <c r="AB4" s="8"/>
      <c r="AC4" s="8">
        <v>0</v>
      </c>
      <c r="AD4" s="8">
        <v>49</v>
      </c>
      <c r="AE4" s="8">
        <v>97</v>
      </c>
      <c r="AF4" s="8">
        <v>22</v>
      </c>
      <c r="AG4" s="8">
        <v>2</v>
      </c>
      <c r="AH4" s="8">
        <v>0</v>
      </c>
      <c r="AI4" s="8"/>
      <c r="AJ4" s="8">
        <v>0</v>
      </c>
      <c r="AK4" s="8"/>
      <c r="AL4" s="8">
        <v>0</v>
      </c>
      <c r="AM4" s="8">
        <v>0</v>
      </c>
      <c r="AN4" s="8">
        <v>0</v>
      </c>
      <c r="AO4" s="8"/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/>
      <c r="AV4" s="8">
        <v>0</v>
      </c>
      <c r="AW4" s="8">
        <v>0</v>
      </c>
      <c r="AX4" s="8">
        <v>155</v>
      </c>
      <c r="AY4" s="8">
        <v>9</v>
      </c>
      <c r="AZ4" s="8">
        <v>1</v>
      </c>
      <c r="BA4" s="8">
        <v>0</v>
      </c>
      <c r="BB4" s="8">
        <v>0</v>
      </c>
      <c r="BC4" s="8">
        <v>1</v>
      </c>
      <c r="BD4" s="8">
        <v>0</v>
      </c>
      <c r="BE4" s="8">
        <v>0</v>
      </c>
      <c r="BF4" s="8">
        <v>137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/>
      <c r="BQ4" s="8"/>
      <c r="BR4" s="8">
        <v>0</v>
      </c>
      <c r="BS4" s="8">
        <v>0</v>
      </c>
      <c r="BT4" s="8">
        <v>0</v>
      </c>
      <c r="BU4" s="8"/>
      <c r="BV4" s="8">
        <v>0</v>
      </c>
      <c r="BW4" s="8"/>
      <c r="BX4" s="8"/>
      <c r="BY4" s="8"/>
      <c r="BZ4" s="17">
        <f t="shared" si="0"/>
        <v>473</v>
      </c>
      <c r="CA4" s="8" t="s">
        <v>201</v>
      </c>
      <c r="CB4" s="18" t="s">
        <v>202</v>
      </c>
      <c r="CC4">
        <f t="shared" si="1"/>
        <v>0.27906976744186046</v>
      </c>
      <c r="CD4" s="8">
        <f t="shared" si="2"/>
        <v>132</v>
      </c>
      <c r="CE4" s="8">
        <f t="shared" si="3"/>
        <v>303</v>
      </c>
      <c r="CF4" s="8">
        <f t="shared" si="4"/>
        <v>11</v>
      </c>
      <c r="CG4" s="19">
        <f t="shared" si="5"/>
        <v>3.6303630363036306E-2</v>
      </c>
      <c r="CH4" t="s">
        <v>188</v>
      </c>
    </row>
    <row r="5" spans="1:86" x14ac:dyDescent="0.2">
      <c r="A5" s="10" t="s">
        <v>203</v>
      </c>
      <c r="B5" s="9" t="s">
        <v>23</v>
      </c>
      <c r="C5" s="11" t="s">
        <v>179</v>
      </c>
      <c r="D5" s="11" t="s">
        <v>204</v>
      </c>
      <c r="E5" s="11" t="s">
        <v>205</v>
      </c>
      <c r="F5" s="8">
        <v>986</v>
      </c>
      <c r="G5" s="11" t="s">
        <v>206</v>
      </c>
      <c r="H5" s="13">
        <v>3936400</v>
      </c>
      <c r="I5" s="13">
        <v>762620</v>
      </c>
      <c r="J5" s="12">
        <v>15</v>
      </c>
      <c r="K5" s="12"/>
      <c r="L5" s="14" t="s">
        <v>200</v>
      </c>
      <c r="M5" s="14" t="s">
        <v>184</v>
      </c>
      <c r="N5" s="15">
        <v>14724</v>
      </c>
      <c r="T5" s="8">
        <v>0</v>
      </c>
      <c r="U5" s="8">
        <v>0</v>
      </c>
      <c r="V5" s="8">
        <v>0</v>
      </c>
      <c r="W5" s="8">
        <v>0</v>
      </c>
      <c r="X5" s="8"/>
      <c r="Y5" s="8">
        <v>0</v>
      </c>
      <c r="Z5" s="8">
        <v>0</v>
      </c>
      <c r="AA5" s="8">
        <v>0</v>
      </c>
      <c r="AB5" s="8"/>
      <c r="AC5" s="8">
        <v>0</v>
      </c>
      <c r="AD5" s="8">
        <v>14</v>
      </c>
      <c r="AE5" s="8">
        <v>7</v>
      </c>
      <c r="AF5" s="8">
        <v>0</v>
      </c>
      <c r="AG5" s="8">
        <v>2</v>
      </c>
      <c r="AH5" s="8">
        <v>0</v>
      </c>
      <c r="AI5" s="8"/>
      <c r="AJ5" s="8">
        <v>0</v>
      </c>
      <c r="AK5" s="8"/>
      <c r="AL5" s="8">
        <v>0</v>
      </c>
      <c r="AM5" s="8">
        <v>0</v>
      </c>
      <c r="AN5" s="8">
        <v>0</v>
      </c>
      <c r="AO5" s="8"/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/>
      <c r="AV5" s="8">
        <v>0</v>
      </c>
      <c r="AW5" s="8">
        <v>0</v>
      </c>
      <c r="AX5" s="8">
        <v>2580</v>
      </c>
      <c r="AY5" s="8">
        <v>10</v>
      </c>
      <c r="AZ5" s="8">
        <v>6</v>
      </c>
      <c r="BA5" s="8">
        <v>2</v>
      </c>
      <c r="BB5" s="8">
        <v>0</v>
      </c>
      <c r="BC5" s="8">
        <v>3</v>
      </c>
      <c r="BD5" s="8">
        <v>2</v>
      </c>
      <c r="BE5" s="8">
        <v>0</v>
      </c>
      <c r="BF5" s="8">
        <v>552</v>
      </c>
      <c r="BG5" s="8">
        <v>4</v>
      </c>
      <c r="BH5" s="8">
        <v>0</v>
      </c>
      <c r="BI5" s="8">
        <v>3</v>
      </c>
      <c r="BJ5" s="8">
        <v>0</v>
      </c>
      <c r="BK5" s="8">
        <v>0</v>
      </c>
      <c r="BL5" s="8">
        <v>6</v>
      </c>
      <c r="BM5" s="8">
        <v>9</v>
      </c>
      <c r="BN5" s="8">
        <v>0</v>
      </c>
      <c r="BO5" s="8">
        <v>4</v>
      </c>
      <c r="BP5" s="8"/>
      <c r="BQ5" s="8"/>
      <c r="BR5" s="8">
        <v>0</v>
      </c>
      <c r="BS5" s="8">
        <v>1</v>
      </c>
      <c r="BT5" s="8">
        <v>0</v>
      </c>
      <c r="BU5" s="8"/>
      <c r="BV5" s="8">
        <v>0</v>
      </c>
      <c r="BW5" s="8"/>
      <c r="BX5" s="8"/>
      <c r="BY5" s="8"/>
      <c r="BZ5" s="17">
        <f t="shared" si="0"/>
        <v>3205</v>
      </c>
      <c r="CA5" s="17" t="s">
        <v>186</v>
      </c>
      <c r="CC5">
        <f t="shared" si="1"/>
        <v>1.8408736349453978E-2</v>
      </c>
      <c r="CD5" s="8">
        <f t="shared" si="2"/>
        <v>59</v>
      </c>
      <c r="CE5" s="8">
        <f t="shared" si="3"/>
        <v>3182</v>
      </c>
      <c r="CF5" s="8">
        <f t="shared" si="4"/>
        <v>50</v>
      </c>
      <c r="CG5" s="19">
        <f t="shared" si="5"/>
        <v>1.5713387806411062E-2</v>
      </c>
      <c r="CH5" t="s">
        <v>188</v>
      </c>
    </row>
    <row r="6" spans="1:86" x14ac:dyDescent="0.2">
      <c r="A6" s="10" t="s">
        <v>208</v>
      </c>
      <c r="B6" s="9" t="s">
        <v>207</v>
      </c>
      <c r="C6" s="11" t="s">
        <v>179</v>
      </c>
      <c r="D6" s="11" t="s">
        <v>209</v>
      </c>
      <c r="E6" s="11" t="s">
        <v>205</v>
      </c>
      <c r="F6" s="8">
        <v>556</v>
      </c>
      <c r="G6" s="11" t="s">
        <v>210</v>
      </c>
      <c r="H6" s="13">
        <v>3943700</v>
      </c>
      <c r="I6" s="13">
        <v>773800</v>
      </c>
      <c r="J6" s="12">
        <v>15</v>
      </c>
      <c r="K6" s="12"/>
      <c r="L6" s="14" t="s">
        <v>211</v>
      </c>
      <c r="M6" s="14" t="s">
        <v>184</v>
      </c>
      <c r="N6" s="15">
        <v>14722</v>
      </c>
      <c r="O6" s="16" t="s">
        <v>185</v>
      </c>
      <c r="T6" s="8">
        <v>0</v>
      </c>
      <c r="U6" s="8">
        <v>0</v>
      </c>
      <c r="V6" s="8">
        <v>0</v>
      </c>
      <c r="W6" s="8">
        <v>0</v>
      </c>
      <c r="X6" s="8"/>
      <c r="Y6" s="8">
        <v>0</v>
      </c>
      <c r="Z6" s="8">
        <v>0</v>
      </c>
      <c r="AA6" s="8">
        <v>0</v>
      </c>
      <c r="AB6" s="8"/>
      <c r="AC6" s="8">
        <v>0</v>
      </c>
      <c r="AD6" s="8">
        <v>8</v>
      </c>
      <c r="AE6" s="8">
        <v>0</v>
      </c>
      <c r="AF6" s="8">
        <v>0</v>
      </c>
      <c r="AG6" s="8">
        <v>0</v>
      </c>
      <c r="AH6" s="8">
        <v>0</v>
      </c>
      <c r="AI6" s="8"/>
      <c r="AJ6" s="8">
        <v>0</v>
      </c>
      <c r="AK6" s="8"/>
      <c r="AL6" s="8">
        <v>0</v>
      </c>
      <c r="AM6" s="8">
        <v>0</v>
      </c>
      <c r="AN6" s="8">
        <v>0</v>
      </c>
      <c r="AO6" s="8"/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/>
      <c r="AV6" s="8">
        <v>0</v>
      </c>
      <c r="AW6" s="8">
        <v>1</v>
      </c>
      <c r="AX6" s="8">
        <v>1299</v>
      </c>
      <c r="AY6" s="8">
        <v>5</v>
      </c>
      <c r="AZ6" s="8">
        <v>3</v>
      </c>
      <c r="BA6" s="8">
        <v>3</v>
      </c>
      <c r="BB6" s="8">
        <v>1</v>
      </c>
      <c r="BC6" s="8">
        <v>0</v>
      </c>
      <c r="BD6" s="8">
        <v>0</v>
      </c>
      <c r="BE6" s="8">
        <v>0</v>
      </c>
      <c r="BF6" s="8">
        <v>1675</v>
      </c>
      <c r="BG6" s="8">
        <v>2</v>
      </c>
      <c r="BH6" s="8">
        <v>1</v>
      </c>
      <c r="BI6" s="8">
        <v>3</v>
      </c>
      <c r="BJ6" s="8">
        <v>0</v>
      </c>
      <c r="BK6" s="8">
        <v>0</v>
      </c>
      <c r="BL6" s="8">
        <v>25</v>
      </c>
      <c r="BM6" s="8">
        <v>0</v>
      </c>
      <c r="BN6" s="8">
        <v>0</v>
      </c>
      <c r="BO6" s="8">
        <v>4</v>
      </c>
      <c r="BP6" s="8"/>
      <c r="BQ6" s="8"/>
      <c r="BR6" s="8">
        <v>0</v>
      </c>
      <c r="BS6" s="8">
        <v>0</v>
      </c>
      <c r="BT6" s="8">
        <v>0</v>
      </c>
      <c r="BU6" s="8"/>
      <c r="BV6" s="8">
        <v>0</v>
      </c>
      <c r="BW6" s="8"/>
      <c r="BX6" s="8"/>
      <c r="BY6" s="8"/>
      <c r="BZ6" s="17">
        <f t="shared" si="0"/>
        <v>3030</v>
      </c>
      <c r="CA6" s="17" t="s">
        <v>195</v>
      </c>
      <c r="CC6">
        <f t="shared" si="1"/>
        <v>1.5841584158415842E-2</v>
      </c>
      <c r="CD6" s="8">
        <f t="shared" si="2"/>
        <v>47</v>
      </c>
      <c r="CE6" s="8">
        <f t="shared" si="3"/>
        <v>3021</v>
      </c>
      <c r="CF6" s="8">
        <f t="shared" si="4"/>
        <v>47</v>
      </c>
      <c r="CG6" s="19">
        <f t="shared" si="5"/>
        <v>1.5557762330354188E-2</v>
      </c>
      <c r="CH6" t="s">
        <v>188</v>
      </c>
    </row>
    <row r="7" spans="1:86" x14ac:dyDescent="0.2">
      <c r="A7" s="10" t="s">
        <v>213</v>
      </c>
      <c r="B7" s="9" t="s">
        <v>212</v>
      </c>
      <c r="C7" s="11" t="s">
        <v>179</v>
      </c>
      <c r="D7" s="11" t="s">
        <v>214</v>
      </c>
      <c r="E7" s="11" t="s">
        <v>205</v>
      </c>
      <c r="F7" s="8">
        <v>556</v>
      </c>
      <c r="G7" s="11" t="s">
        <v>215</v>
      </c>
      <c r="H7" s="13">
        <v>3940400</v>
      </c>
      <c r="I7" s="13">
        <v>773550</v>
      </c>
      <c r="J7" s="12">
        <v>15</v>
      </c>
      <c r="K7" s="12"/>
      <c r="L7" s="14" t="s">
        <v>216</v>
      </c>
      <c r="M7" s="14" t="s">
        <v>184</v>
      </c>
      <c r="N7" s="15">
        <v>14723</v>
      </c>
      <c r="O7" s="16" t="s">
        <v>185</v>
      </c>
      <c r="T7" s="8">
        <v>0</v>
      </c>
      <c r="U7" s="8">
        <v>0</v>
      </c>
      <c r="V7" s="8">
        <v>0</v>
      </c>
      <c r="W7" s="8">
        <v>26</v>
      </c>
      <c r="X7" s="8"/>
      <c r="Y7" s="8">
        <v>12</v>
      </c>
      <c r="Z7" s="8">
        <v>45</v>
      </c>
      <c r="AA7" s="8">
        <v>1</v>
      </c>
      <c r="AB7" s="8"/>
      <c r="AC7" s="8">
        <v>0</v>
      </c>
      <c r="AD7" s="8">
        <v>45</v>
      </c>
      <c r="AE7" s="8">
        <v>56</v>
      </c>
      <c r="AF7" s="8">
        <v>5</v>
      </c>
      <c r="AG7" s="8">
        <v>46</v>
      </c>
      <c r="AH7" s="8">
        <v>0</v>
      </c>
      <c r="AI7" s="8"/>
      <c r="AJ7" s="8">
        <v>0</v>
      </c>
      <c r="AK7" s="8"/>
      <c r="AL7" s="8">
        <v>0</v>
      </c>
      <c r="AM7" s="8">
        <v>0</v>
      </c>
      <c r="AN7" s="8">
        <v>0</v>
      </c>
      <c r="AO7" s="8"/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/>
      <c r="AV7" s="8">
        <v>0</v>
      </c>
      <c r="AW7" s="8">
        <v>0</v>
      </c>
      <c r="AX7" s="8">
        <v>58</v>
      </c>
      <c r="AY7" s="8">
        <v>0</v>
      </c>
      <c r="AZ7" s="8">
        <v>1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115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1</v>
      </c>
      <c r="BM7" s="8">
        <v>0</v>
      </c>
      <c r="BN7" s="8">
        <v>0</v>
      </c>
      <c r="BO7" s="8">
        <v>0</v>
      </c>
      <c r="BP7" s="8"/>
      <c r="BQ7" s="8"/>
      <c r="BR7" s="8">
        <v>0</v>
      </c>
      <c r="BS7" s="8">
        <v>0</v>
      </c>
      <c r="BT7" s="8">
        <v>0</v>
      </c>
      <c r="BU7" s="8"/>
      <c r="BV7" s="8">
        <v>0</v>
      </c>
      <c r="BW7" s="8"/>
      <c r="BX7" s="8"/>
      <c r="BY7" s="8"/>
      <c r="BZ7" s="17">
        <f t="shared" si="0"/>
        <v>411</v>
      </c>
      <c r="CA7" s="8" t="s">
        <v>201</v>
      </c>
      <c r="CB7" s="18" t="s">
        <v>202</v>
      </c>
      <c r="CC7">
        <f t="shared" si="1"/>
        <v>0.46958637469586373</v>
      </c>
      <c r="CD7" s="8">
        <f t="shared" si="2"/>
        <v>167</v>
      </c>
      <c r="CE7" s="8">
        <f t="shared" si="3"/>
        <v>175</v>
      </c>
      <c r="CF7" s="8">
        <f t="shared" si="4"/>
        <v>2</v>
      </c>
      <c r="CG7" s="19">
        <f t="shared" si="5"/>
        <v>1.1428571428571429E-2</v>
      </c>
      <c r="CH7" t="s">
        <v>188</v>
      </c>
    </row>
    <row r="8" spans="1:86" x14ac:dyDescent="0.2">
      <c r="A8" s="10" t="s">
        <v>74</v>
      </c>
      <c r="B8" s="9" t="s">
        <v>36</v>
      </c>
      <c r="C8" s="11" t="s">
        <v>179</v>
      </c>
      <c r="D8" s="11" t="s">
        <v>217</v>
      </c>
      <c r="E8" s="11" t="s">
        <v>218</v>
      </c>
      <c r="F8" s="8">
        <v>472</v>
      </c>
      <c r="G8" s="11" t="s">
        <v>219</v>
      </c>
      <c r="H8" s="13">
        <v>3906400</v>
      </c>
      <c r="I8" s="13">
        <v>722250</v>
      </c>
      <c r="J8" s="12">
        <v>15</v>
      </c>
      <c r="K8" s="12"/>
      <c r="T8" s="8">
        <v>0</v>
      </c>
      <c r="U8" s="8">
        <v>0</v>
      </c>
      <c r="V8" s="8">
        <v>0</v>
      </c>
      <c r="W8" s="8">
        <v>0</v>
      </c>
      <c r="X8" s="8"/>
      <c r="Y8" s="8">
        <v>0</v>
      </c>
      <c r="Z8" s="8">
        <v>0</v>
      </c>
      <c r="AA8" s="8">
        <v>0</v>
      </c>
      <c r="AB8" s="8"/>
      <c r="AC8" s="8">
        <v>0</v>
      </c>
      <c r="AD8" s="8">
        <v>8</v>
      </c>
      <c r="AE8" s="8">
        <v>4</v>
      </c>
      <c r="AF8" s="8">
        <v>0</v>
      </c>
      <c r="AG8" s="8">
        <v>0</v>
      </c>
      <c r="AH8" s="8">
        <v>0</v>
      </c>
      <c r="AI8" s="8"/>
      <c r="AJ8" s="8">
        <v>0</v>
      </c>
      <c r="AK8" s="8"/>
      <c r="AL8" s="8">
        <v>0</v>
      </c>
      <c r="AM8" s="8">
        <v>0</v>
      </c>
      <c r="AN8" s="8">
        <v>0</v>
      </c>
      <c r="AO8" s="8"/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/>
      <c r="AV8" s="8">
        <v>0</v>
      </c>
      <c r="AW8" s="8">
        <v>0</v>
      </c>
      <c r="AX8" s="8">
        <v>5468</v>
      </c>
      <c r="AY8" s="8">
        <v>865</v>
      </c>
      <c r="AZ8" s="8">
        <v>311</v>
      </c>
      <c r="BA8" s="8">
        <v>35</v>
      </c>
      <c r="BB8" s="8">
        <v>4</v>
      </c>
      <c r="BC8" s="8">
        <v>17</v>
      </c>
      <c r="BD8" s="8">
        <v>0</v>
      </c>
      <c r="BE8" s="8">
        <v>0</v>
      </c>
      <c r="BF8" s="8">
        <v>80</v>
      </c>
      <c r="BG8" s="8">
        <v>12</v>
      </c>
      <c r="BH8" s="8">
        <v>0</v>
      </c>
      <c r="BI8" s="8">
        <v>0</v>
      </c>
      <c r="BJ8" s="8">
        <v>0</v>
      </c>
      <c r="BK8" s="8">
        <v>0</v>
      </c>
      <c r="BL8" s="8">
        <v>53</v>
      </c>
      <c r="BM8" s="8">
        <v>0</v>
      </c>
      <c r="BN8" s="8">
        <v>0</v>
      </c>
      <c r="BO8" s="8">
        <v>6</v>
      </c>
      <c r="BP8" s="8"/>
      <c r="BQ8" s="8"/>
      <c r="BR8" s="8">
        <v>0</v>
      </c>
      <c r="BS8" s="8">
        <v>0</v>
      </c>
      <c r="BT8" s="8">
        <v>0</v>
      </c>
      <c r="BU8" s="8"/>
      <c r="BV8" s="8">
        <v>0</v>
      </c>
      <c r="BW8" s="8"/>
      <c r="BX8" s="8"/>
      <c r="BY8" s="8"/>
      <c r="BZ8" s="17">
        <f t="shared" si="0"/>
        <v>6863</v>
      </c>
      <c r="CA8" s="8" t="s">
        <v>195</v>
      </c>
      <c r="CC8">
        <f t="shared" si="1"/>
        <v>0.19044149788722134</v>
      </c>
      <c r="CD8" s="8">
        <f t="shared" si="2"/>
        <v>1307</v>
      </c>
      <c r="CE8" s="8">
        <f t="shared" si="3"/>
        <v>6851</v>
      </c>
      <c r="CF8" s="8">
        <f t="shared" si="4"/>
        <v>1303</v>
      </c>
      <c r="CG8" s="19">
        <f t="shared" si="5"/>
        <v>0.19019121296161146</v>
      </c>
      <c r="CH8" t="s">
        <v>220</v>
      </c>
    </row>
    <row r="9" spans="1:86" x14ac:dyDescent="0.2">
      <c r="A9" s="10" t="s">
        <v>222</v>
      </c>
      <c r="B9" s="9" t="s">
        <v>221</v>
      </c>
      <c r="C9" s="11" t="s">
        <v>179</v>
      </c>
      <c r="D9" s="11" t="s">
        <v>223</v>
      </c>
      <c r="E9" s="11" t="s">
        <v>218</v>
      </c>
      <c r="F9" s="8">
        <v>405</v>
      </c>
      <c r="G9" s="11" t="s">
        <v>224</v>
      </c>
      <c r="H9" s="13">
        <v>3904500</v>
      </c>
      <c r="I9" s="13">
        <v>710900</v>
      </c>
      <c r="J9" s="12">
        <v>15</v>
      </c>
      <c r="K9" s="12"/>
      <c r="L9" s="14" t="s">
        <v>216</v>
      </c>
      <c r="M9" s="14" t="s">
        <v>225</v>
      </c>
      <c r="N9" s="15">
        <v>14705</v>
      </c>
      <c r="T9" s="8">
        <v>0</v>
      </c>
      <c r="U9" s="8">
        <v>0</v>
      </c>
      <c r="V9" s="8">
        <v>0</v>
      </c>
      <c r="W9" s="8">
        <v>0</v>
      </c>
      <c r="X9" s="8"/>
      <c r="Y9" s="8">
        <v>0</v>
      </c>
      <c r="Z9" s="8">
        <v>0</v>
      </c>
      <c r="AA9" s="8">
        <v>0</v>
      </c>
      <c r="AB9" s="8"/>
      <c r="AC9" s="8">
        <v>0</v>
      </c>
      <c r="AD9" s="8">
        <v>145</v>
      </c>
      <c r="AE9" s="8">
        <v>11</v>
      </c>
      <c r="AF9" s="8">
        <v>0</v>
      </c>
      <c r="AG9" s="8">
        <v>0</v>
      </c>
      <c r="AH9" s="8">
        <v>0</v>
      </c>
      <c r="AI9" s="8"/>
      <c r="AJ9" s="8">
        <v>0</v>
      </c>
      <c r="AK9" s="8"/>
      <c r="AL9" s="8">
        <v>0</v>
      </c>
      <c r="AM9" s="8">
        <v>0</v>
      </c>
      <c r="AN9" s="8">
        <v>0</v>
      </c>
      <c r="AO9" s="8"/>
      <c r="AP9" s="8">
        <v>0</v>
      </c>
      <c r="AQ9" s="8">
        <v>1</v>
      </c>
      <c r="AR9" s="8">
        <v>0</v>
      </c>
      <c r="AS9" s="8">
        <v>0</v>
      </c>
      <c r="AT9" s="8">
        <v>0</v>
      </c>
      <c r="AU9" s="8"/>
      <c r="AV9" s="8">
        <v>0</v>
      </c>
      <c r="AW9" s="8">
        <v>0</v>
      </c>
      <c r="AX9" s="8">
        <v>52</v>
      </c>
      <c r="AY9" s="8">
        <v>2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/>
      <c r="BQ9" s="8"/>
      <c r="BR9" s="8">
        <v>0</v>
      </c>
      <c r="BS9" s="8">
        <v>0</v>
      </c>
      <c r="BT9" s="8">
        <v>0</v>
      </c>
      <c r="BU9" s="8"/>
      <c r="BV9" s="8">
        <v>0</v>
      </c>
      <c r="BW9" s="8"/>
      <c r="BX9" s="8"/>
      <c r="BY9" s="8"/>
      <c r="BZ9" s="17">
        <f t="shared" si="0"/>
        <v>211</v>
      </c>
      <c r="CA9" s="8" t="s">
        <v>226</v>
      </c>
      <c r="CC9">
        <f t="shared" si="1"/>
        <v>6.6350710900473939E-2</v>
      </c>
      <c r="CD9" s="8">
        <f t="shared" si="2"/>
        <v>14</v>
      </c>
      <c r="CE9" s="8">
        <f t="shared" si="3"/>
        <v>54</v>
      </c>
      <c r="CF9" s="8">
        <f t="shared" si="4"/>
        <v>2</v>
      </c>
      <c r="CG9" s="19">
        <f t="shared" si="5"/>
        <v>3.7037037037037035E-2</v>
      </c>
      <c r="CH9" t="s">
        <v>220</v>
      </c>
    </row>
    <row r="10" spans="1:86" x14ac:dyDescent="0.2">
      <c r="A10" s="10" t="s">
        <v>228</v>
      </c>
      <c r="B10" s="9" t="s">
        <v>227</v>
      </c>
      <c r="C10" s="11" t="s">
        <v>179</v>
      </c>
      <c r="D10" s="11" t="s">
        <v>229</v>
      </c>
      <c r="E10" s="11" t="s">
        <v>218</v>
      </c>
      <c r="F10" s="8">
        <v>472</v>
      </c>
      <c r="G10" s="11" t="s">
        <v>230</v>
      </c>
      <c r="H10" s="13">
        <v>3910400</v>
      </c>
      <c r="I10" s="13">
        <v>719500</v>
      </c>
      <c r="J10" s="12">
        <v>15</v>
      </c>
      <c r="K10" s="12"/>
      <c r="L10" s="14" t="s">
        <v>231</v>
      </c>
      <c r="M10" s="14" t="s">
        <v>232</v>
      </c>
      <c r="N10" s="15">
        <v>14710</v>
      </c>
      <c r="O10" s="16" t="s">
        <v>185</v>
      </c>
      <c r="T10" s="8">
        <v>0</v>
      </c>
      <c r="U10" s="8">
        <v>0</v>
      </c>
      <c r="V10" s="8">
        <v>0</v>
      </c>
      <c r="W10" s="8">
        <v>0</v>
      </c>
      <c r="X10" s="8"/>
      <c r="Y10" s="8">
        <v>0</v>
      </c>
      <c r="Z10" s="8">
        <v>0</v>
      </c>
      <c r="AA10" s="8">
        <v>0</v>
      </c>
      <c r="AB10" s="8"/>
      <c r="AC10" s="8">
        <v>0</v>
      </c>
      <c r="AD10" s="8">
        <v>175</v>
      </c>
      <c r="AE10" s="8">
        <v>27</v>
      </c>
      <c r="AF10" s="8">
        <v>0</v>
      </c>
      <c r="AG10" s="8">
        <v>0</v>
      </c>
      <c r="AH10" s="8">
        <v>0</v>
      </c>
      <c r="AI10" s="8"/>
      <c r="AJ10" s="8">
        <v>0</v>
      </c>
      <c r="AK10" s="8"/>
      <c r="AL10" s="8">
        <v>0</v>
      </c>
      <c r="AM10" s="8">
        <v>0</v>
      </c>
      <c r="AN10" s="8">
        <v>0</v>
      </c>
      <c r="AO10" s="8"/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/>
      <c r="AV10" s="8">
        <v>0</v>
      </c>
      <c r="AW10" s="8">
        <v>1</v>
      </c>
      <c r="AX10" s="8">
        <v>87</v>
      </c>
      <c r="AY10" s="8">
        <v>0</v>
      </c>
      <c r="AZ10" s="8">
        <v>1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1</v>
      </c>
      <c r="BM10" s="8">
        <v>0</v>
      </c>
      <c r="BN10" s="8">
        <v>0</v>
      </c>
      <c r="BO10" s="8">
        <v>0</v>
      </c>
      <c r="BP10" s="8"/>
      <c r="BQ10" s="8"/>
      <c r="BR10" s="8">
        <v>0</v>
      </c>
      <c r="BS10" s="8">
        <v>0</v>
      </c>
      <c r="BT10" s="8">
        <v>0</v>
      </c>
      <c r="BU10" s="8"/>
      <c r="BV10" s="8">
        <v>0</v>
      </c>
      <c r="BW10" s="8"/>
      <c r="BX10" s="8"/>
      <c r="BY10" s="8"/>
      <c r="BZ10" s="17">
        <f t="shared" si="0"/>
        <v>292</v>
      </c>
      <c r="CA10" s="8" t="s">
        <v>226</v>
      </c>
      <c r="CC10">
        <f t="shared" si="1"/>
        <v>0.10273972602739725</v>
      </c>
      <c r="CD10" s="8">
        <f t="shared" si="2"/>
        <v>29</v>
      </c>
      <c r="CE10" s="8">
        <f t="shared" si="3"/>
        <v>89</v>
      </c>
      <c r="CF10" s="8">
        <f t="shared" si="4"/>
        <v>2</v>
      </c>
      <c r="CG10" s="19">
        <f t="shared" si="5"/>
        <v>2.247191011235955E-2</v>
      </c>
      <c r="CH10" t="s">
        <v>220</v>
      </c>
    </row>
    <row r="11" spans="1:86" x14ac:dyDescent="0.2">
      <c r="A11" s="10" t="s">
        <v>233</v>
      </c>
      <c r="B11" s="9" t="s">
        <v>33</v>
      </c>
      <c r="C11" s="11" t="s">
        <v>179</v>
      </c>
      <c r="D11" s="11" t="s">
        <v>234</v>
      </c>
      <c r="E11" s="11" t="s">
        <v>218</v>
      </c>
      <c r="F11" s="8">
        <v>494</v>
      </c>
      <c r="G11" s="11" t="s">
        <v>235</v>
      </c>
      <c r="H11" s="13">
        <v>3924500</v>
      </c>
      <c r="I11" s="13">
        <v>724720</v>
      </c>
      <c r="J11" s="12">
        <v>15</v>
      </c>
      <c r="K11" s="12"/>
      <c r="L11" s="14" t="s">
        <v>236</v>
      </c>
      <c r="M11" s="14" t="s">
        <v>232</v>
      </c>
      <c r="N11" s="15">
        <v>14710</v>
      </c>
      <c r="T11" s="8">
        <v>0</v>
      </c>
      <c r="U11" s="8">
        <v>0</v>
      </c>
      <c r="V11" s="8">
        <v>0</v>
      </c>
      <c r="W11" s="8">
        <v>0</v>
      </c>
      <c r="X11" s="8"/>
      <c r="Y11" s="8">
        <v>0</v>
      </c>
      <c r="Z11" s="8">
        <v>0</v>
      </c>
      <c r="AA11" s="8">
        <v>0</v>
      </c>
      <c r="AB11" s="8"/>
      <c r="AC11" s="8">
        <v>0</v>
      </c>
      <c r="AD11" s="8">
        <v>1</v>
      </c>
      <c r="AE11" s="8">
        <v>0</v>
      </c>
      <c r="AF11" s="8">
        <v>0</v>
      </c>
      <c r="AG11" s="8">
        <v>0</v>
      </c>
      <c r="AH11" s="8">
        <v>0</v>
      </c>
      <c r="AI11" s="8"/>
      <c r="AJ11" s="8">
        <v>0</v>
      </c>
      <c r="AK11" s="8"/>
      <c r="AL11" s="8">
        <v>0</v>
      </c>
      <c r="AM11" s="8">
        <v>0</v>
      </c>
      <c r="AN11" s="8">
        <v>0</v>
      </c>
      <c r="AO11" s="8"/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/>
      <c r="AV11" s="8">
        <v>1</v>
      </c>
      <c r="AW11" s="8">
        <v>0</v>
      </c>
      <c r="AX11" s="8">
        <v>2913</v>
      </c>
      <c r="AY11" s="8">
        <v>20</v>
      </c>
      <c r="AZ11" s="8">
        <v>87</v>
      </c>
      <c r="BA11" s="8">
        <v>1</v>
      </c>
      <c r="BB11" s="8">
        <v>0</v>
      </c>
      <c r="BC11" s="8">
        <v>7</v>
      </c>
      <c r="BD11" s="8">
        <v>0</v>
      </c>
      <c r="BE11" s="8">
        <v>0</v>
      </c>
      <c r="BF11" s="8">
        <v>10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12</v>
      </c>
      <c r="BM11" s="8">
        <v>0</v>
      </c>
      <c r="BN11" s="8">
        <v>0</v>
      </c>
      <c r="BO11" s="8">
        <v>1</v>
      </c>
      <c r="BP11" s="8"/>
      <c r="BQ11" s="8"/>
      <c r="BR11" s="8">
        <v>0</v>
      </c>
      <c r="BS11" s="8">
        <v>1</v>
      </c>
      <c r="BT11" s="8">
        <v>0</v>
      </c>
      <c r="BU11" s="8"/>
      <c r="BV11" s="8">
        <v>0</v>
      </c>
      <c r="BW11" s="8"/>
      <c r="BX11" s="8"/>
      <c r="BY11" s="8"/>
      <c r="BZ11" s="17">
        <f t="shared" si="0"/>
        <v>3054</v>
      </c>
      <c r="CA11" s="8" t="s">
        <v>186</v>
      </c>
      <c r="CC11">
        <f t="shared" si="1"/>
        <v>4.2567125081859856E-2</v>
      </c>
      <c r="CD11" s="8">
        <f t="shared" si="2"/>
        <v>130</v>
      </c>
      <c r="CE11" s="8">
        <f t="shared" si="3"/>
        <v>3052</v>
      </c>
      <c r="CF11" s="8">
        <f t="shared" si="4"/>
        <v>129</v>
      </c>
      <c r="CG11" s="19">
        <f t="shared" si="5"/>
        <v>4.2267365661861074E-2</v>
      </c>
      <c r="CH11" t="s">
        <v>220</v>
      </c>
    </row>
    <row r="12" spans="1:86" x14ac:dyDescent="0.2">
      <c r="A12" s="10" t="s">
        <v>237</v>
      </c>
      <c r="B12" s="9" t="s">
        <v>34</v>
      </c>
      <c r="C12" s="11" t="s">
        <v>179</v>
      </c>
      <c r="D12" s="11" t="s">
        <v>238</v>
      </c>
      <c r="E12" s="11" t="s">
        <v>218</v>
      </c>
      <c r="F12" s="8">
        <v>472</v>
      </c>
      <c r="G12" s="11" t="s">
        <v>239</v>
      </c>
      <c r="H12" s="13">
        <v>3909500</v>
      </c>
      <c r="I12" s="13">
        <v>719950</v>
      </c>
      <c r="J12" s="12">
        <v>15</v>
      </c>
      <c r="K12" s="12"/>
      <c r="L12" s="14" t="s">
        <v>240</v>
      </c>
      <c r="M12" s="14" t="s">
        <v>232</v>
      </c>
      <c r="N12" s="15">
        <v>14710</v>
      </c>
      <c r="O12" s="16" t="s">
        <v>185</v>
      </c>
      <c r="T12" s="8">
        <v>0</v>
      </c>
      <c r="U12" s="8">
        <v>0</v>
      </c>
      <c r="V12" s="8">
        <v>0</v>
      </c>
      <c r="W12" s="8">
        <v>0</v>
      </c>
      <c r="X12" s="8"/>
      <c r="Y12" s="8">
        <v>0</v>
      </c>
      <c r="Z12" s="8">
        <v>0</v>
      </c>
      <c r="AA12" s="8">
        <v>0</v>
      </c>
      <c r="AB12" s="8"/>
      <c r="AC12" s="8">
        <v>0</v>
      </c>
      <c r="AD12" s="8">
        <v>6</v>
      </c>
      <c r="AE12" s="8">
        <v>0</v>
      </c>
      <c r="AF12" s="8">
        <v>0</v>
      </c>
      <c r="AG12" s="8">
        <v>0</v>
      </c>
      <c r="AH12" s="8">
        <v>0</v>
      </c>
      <c r="AI12" s="8"/>
      <c r="AJ12" s="8">
        <v>0</v>
      </c>
      <c r="AK12" s="8"/>
      <c r="AL12" s="8">
        <v>0</v>
      </c>
      <c r="AM12" s="8">
        <v>0</v>
      </c>
      <c r="AN12" s="8">
        <v>0</v>
      </c>
      <c r="AO12" s="8"/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/>
      <c r="AV12" s="8">
        <v>0</v>
      </c>
      <c r="AW12" s="8">
        <v>0</v>
      </c>
      <c r="AX12" s="8">
        <v>4237</v>
      </c>
      <c r="AY12" s="8">
        <v>425</v>
      </c>
      <c r="AZ12" s="8">
        <v>212</v>
      </c>
      <c r="BA12" s="8">
        <v>0</v>
      </c>
      <c r="BB12" s="8">
        <v>1</v>
      </c>
      <c r="BC12" s="8">
        <v>17</v>
      </c>
      <c r="BD12" s="8">
        <v>0</v>
      </c>
      <c r="BE12" s="8">
        <v>0</v>
      </c>
      <c r="BF12" s="8">
        <v>12</v>
      </c>
      <c r="BG12" s="8">
        <v>2</v>
      </c>
      <c r="BH12" s="8">
        <v>0</v>
      </c>
      <c r="BI12" s="8">
        <v>0</v>
      </c>
      <c r="BJ12" s="8">
        <v>0</v>
      </c>
      <c r="BK12" s="8">
        <v>0</v>
      </c>
      <c r="BL12" s="8">
        <v>1</v>
      </c>
      <c r="BM12" s="8">
        <v>12</v>
      </c>
      <c r="BN12" s="8">
        <v>0</v>
      </c>
      <c r="BO12" s="8">
        <v>0</v>
      </c>
      <c r="BP12" s="8"/>
      <c r="BQ12" s="8"/>
      <c r="BR12" s="8">
        <v>0</v>
      </c>
      <c r="BS12" s="8">
        <v>0</v>
      </c>
      <c r="BT12" s="8">
        <v>0</v>
      </c>
      <c r="BU12" s="8"/>
      <c r="BV12" s="8">
        <v>0</v>
      </c>
      <c r="BW12" s="8"/>
      <c r="BX12" s="8"/>
      <c r="BY12" s="8"/>
      <c r="BZ12" s="17">
        <f t="shared" si="0"/>
        <v>4925</v>
      </c>
      <c r="CA12" s="8" t="s">
        <v>186</v>
      </c>
      <c r="CC12">
        <f t="shared" si="1"/>
        <v>0.13604060913705585</v>
      </c>
      <c r="CD12" s="8">
        <f t="shared" si="2"/>
        <v>670</v>
      </c>
      <c r="CE12" s="8">
        <f t="shared" si="3"/>
        <v>4919</v>
      </c>
      <c r="CF12" s="8">
        <f t="shared" si="4"/>
        <v>670</v>
      </c>
      <c r="CG12" s="19">
        <f t="shared" si="5"/>
        <v>0.13620654604594429</v>
      </c>
      <c r="CH12" t="s">
        <v>220</v>
      </c>
    </row>
    <row r="13" spans="1:86" x14ac:dyDescent="0.2">
      <c r="A13" s="10" t="s">
        <v>242</v>
      </c>
      <c r="B13" s="9" t="s">
        <v>241</v>
      </c>
      <c r="C13" s="11" t="s">
        <v>179</v>
      </c>
      <c r="D13" s="11" t="s">
        <v>243</v>
      </c>
      <c r="E13" s="11" t="s">
        <v>218</v>
      </c>
      <c r="F13" s="8">
        <v>494</v>
      </c>
      <c r="G13" s="11" t="s">
        <v>244</v>
      </c>
      <c r="H13" s="13">
        <v>3918950</v>
      </c>
      <c r="I13" s="13">
        <v>723125</v>
      </c>
      <c r="J13" s="12">
        <v>15</v>
      </c>
      <c r="K13" s="12"/>
      <c r="L13" s="14" t="s">
        <v>245</v>
      </c>
      <c r="M13" s="14" t="s">
        <v>246</v>
      </c>
      <c r="N13" s="15">
        <v>14717</v>
      </c>
      <c r="T13" s="8">
        <v>0</v>
      </c>
      <c r="U13" s="8">
        <v>0</v>
      </c>
      <c r="V13" s="8">
        <v>0</v>
      </c>
      <c r="W13" s="8">
        <v>0</v>
      </c>
      <c r="X13" s="8"/>
      <c r="Y13" s="8">
        <v>0</v>
      </c>
      <c r="Z13" s="8">
        <v>0</v>
      </c>
      <c r="AA13" s="8">
        <v>0</v>
      </c>
      <c r="AB13" s="8"/>
      <c r="AC13" s="8">
        <v>0</v>
      </c>
      <c r="AD13" s="8">
        <v>47</v>
      </c>
      <c r="AE13" s="8">
        <v>3</v>
      </c>
      <c r="AF13" s="8">
        <v>0</v>
      </c>
      <c r="AG13" s="8">
        <v>0</v>
      </c>
      <c r="AH13" s="8">
        <v>0</v>
      </c>
      <c r="AI13" s="8"/>
      <c r="AJ13" s="8">
        <v>0</v>
      </c>
      <c r="AK13" s="8"/>
      <c r="AL13" s="8">
        <v>0</v>
      </c>
      <c r="AM13" s="8">
        <v>0</v>
      </c>
      <c r="AN13" s="8">
        <v>0</v>
      </c>
      <c r="AO13" s="8"/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/>
      <c r="AV13" s="8">
        <v>0</v>
      </c>
      <c r="AW13" s="8">
        <v>0</v>
      </c>
      <c r="AX13" s="8">
        <v>7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/>
      <c r="BQ13" s="8"/>
      <c r="BR13" s="8">
        <v>0</v>
      </c>
      <c r="BS13" s="8">
        <v>0</v>
      </c>
      <c r="BT13" s="8">
        <v>0</v>
      </c>
      <c r="BU13" s="8"/>
      <c r="BV13" s="8">
        <v>0</v>
      </c>
      <c r="BW13" s="8"/>
      <c r="BX13" s="8"/>
      <c r="BY13" s="8"/>
      <c r="BZ13" s="17">
        <f t="shared" si="0"/>
        <v>57</v>
      </c>
      <c r="CA13" s="8" t="s">
        <v>247</v>
      </c>
      <c r="CC13">
        <f t="shared" si="1"/>
        <v>5.2631578947368418E-2</v>
      </c>
      <c r="CD13" s="8">
        <f t="shared" si="2"/>
        <v>3</v>
      </c>
      <c r="CE13" s="8">
        <f t="shared" si="3"/>
        <v>7</v>
      </c>
      <c r="CF13" s="8">
        <f t="shared" si="4"/>
        <v>0</v>
      </c>
      <c r="CG13" s="19">
        <f t="shared" si="5"/>
        <v>0</v>
      </c>
      <c r="CH13" t="s">
        <v>220</v>
      </c>
    </row>
    <row r="14" spans="1:86" x14ac:dyDescent="0.2">
      <c r="A14" s="10" t="s">
        <v>248</v>
      </c>
      <c r="B14" s="9" t="s">
        <v>49</v>
      </c>
      <c r="C14" s="11" t="s">
        <v>179</v>
      </c>
      <c r="D14" s="11" t="s">
        <v>249</v>
      </c>
      <c r="E14" s="11" t="s">
        <v>218</v>
      </c>
      <c r="F14" s="8">
        <v>494</v>
      </c>
      <c r="G14" s="11" t="s">
        <v>250</v>
      </c>
      <c r="H14" s="13">
        <v>3921670</v>
      </c>
      <c r="I14" s="13">
        <v>722850</v>
      </c>
      <c r="J14" s="12">
        <v>15</v>
      </c>
      <c r="K14" s="12"/>
      <c r="L14" s="14" t="s">
        <v>251</v>
      </c>
      <c r="M14" s="14" t="s">
        <v>246</v>
      </c>
      <c r="N14" s="15">
        <v>14717</v>
      </c>
      <c r="O14" s="16" t="s">
        <v>185</v>
      </c>
      <c r="T14" s="8">
        <v>0</v>
      </c>
      <c r="U14" s="8">
        <v>0</v>
      </c>
      <c r="V14" s="8">
        <v>0</v>
      </c>
      <c r="W14" s="8">
        <v>0</v>
      </c>
      <c r="X14" s="8"/>
      <c r="Y14" s="8">
        <v>0</v>
      </c>
      <c r="Z14" s="8">
        <v>0</v>
      </c>
      <c r="AA14" s="8">
        <v>0</v>
      </c>
      <c r="AB14" s="8"/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/>
      <c r="AJ14" s="8">
        <v>0</v>
      </c>
      <c r="AK14" s="8"/>
      <c r="AL14" s="8">
        <v>0</v>
      </c>
      <c r="AM14" s="8">
        <v>0</v>
      </c>
      <c r="AN14" s="8">
        <v>0</v>
      </c>
      <c r="AO14" s="8"/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/>
      <c r="AV14" s="8">
        <v>0</v>
      </c>
      <c r="AW14" s="8">
        <v>0</v>
      </c>
      <c r="AX14" s="8">
        <v>485</v>
      </c>
      <c r="AY14" s="8">
        <v>143</v>
      </c>
      <c r="AZ14" s="8">
        <v>53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1</v>
      </c>
      <c r="BL14" s="8">
        <v>3</v>
      </c>
      <c r="BM14" s="8">
        <v>0</v>
      </c>
      <c r="BN14" s="8">
        <v>0</v>
      </c>
      <c r="BO14" s="8">
        <v>0</v>
      </c>
      <c r="BP14" s="8"/>
      <c r="BQ14" s="8"/>
      <c r="BR14" s="8">
        <v>0</v>
      </c>
      <c r="BS14" s="8">
        <v>0</v>
      </c>
      <c r="BT14" s="8">
        <v>0</v>
      </c>
      <c r="BU14" s="8"/>
      <c r="BV14" s="8">
        <v>0</v>
      </c>
      <c r="BW14" s="8"/>
      <c r="BX14" s="8"/>
      <c r="BY14" s="8"/>
      <c r="BZ14" s="17">
        <f t="shared" si="0"/>
        <v>685</v>
      </c>
      <c r="CA14" s="8" t="s">
        <v>195</v>
      </c>
      <c r="CC14">
        <f t="shared" si="1"/>
        <v>0.29197080291970801</v>
      </c>
      <c r="CD14" s="8">
        <f t="shared" si="2"/>
        <v>200</v>
      </c>
      <c r="CE14" s="8">
        <f t="shared" si="3"/>
        <v>685</v>
      </c>
      <c r="CF14" s="8">
        <f t="shared" si="4"/>
        <v>200</v>
      </c>
      <c r="CG14" s="19">
        <f t="shared" si="5"/>
        <v>0.29197080291970801</v>
      </c>
      <c r="CH14" t="s">
        <v>220</v>
      </c>
    </row>
    <row r="15" spans="1:86" x14ac:dyDescent="0.2">
      <c r="A15" s="10" t="s">
        <v>253</v>
      </c>
      <c r="B15" s="9" t="s">
        <v>252</v>
      </c>
      <c r="C15" s="11" t="s">
        <v>179</v>
      </c>
      <c r="D15" s="11" t="s">
        <v>254</v>
      </c>
      <c r="E15" s="11" t="s">
        <v>218</v>
      </c>
      <c r="F15" s="8">
        <v>494</v>
      </c>
      <c r="G15" s="11" t="s">
        <v>255</v>
      </c>
      <c r="H15" s="13">
        <v>3920400</v>
      </c>
      <c r="I15" s="13">
        <v>724150</v>
      </c>
      <c r="J15" s="12">
        <v>15</v>
      </c>
      <c r="K15" s="12"/>
      <c r="L15" s="14" t="s">
        <v>256</v>
      </c>
      <c r="M15" s="14" t="s">
        <v>246</v>
      </c>
      <c r="N15" s="15">
        <v>14717</v>
      </c>
      <c r="O15" s="16" t="s">
        <v>185</v>
      </c>
      <c r="T15" s="8">
        <v>0</v>
      </c>
      <c r="U15" s="8">
        <v>0</v>
      </c>
      <c r="V15" s="8">
        <v>0</v>
      </c>
      <c r="W15" s="8">
        <v>0</v>
      </c>
      <c r="X15" s="8"/>
      <c r="Y15" s="8">
        <v>0</v>
      </c>
      <c r="Z15" s="8">
        <v>0</v>
      </c>
      <c r="AA15" s="8">
        <v>0</v>
      </c>
      <c r="AB15" s="8"/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/>
      <c r="AJ15" s="8">
        <v>0</v>
      </c>
      <c r="AK15" s="8"/>
      <c r="AL15" s="8">
        <v>0</v>
      </c>
      <c r="AM15" s="8">
        <v>0</v>
      </c>
      <c r="AN15" s="8">
        <v>0</v>
      </c>
      <c r="AO15" s="8"/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/>
      <c r="AV15" s="8">
        <v>0</v>
      </c>
      <c r="AW15" s="8">
        <v>0</v>
      </c>
      <c r="AX15" s="8">
        <v>102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1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/>
      <c r="BQ15" s="8"/>
      <c r="BR15" s="8">
        <v>0</v>
      </c>
      <c r="BS15" s="8">
        <v>0</v>
      </c>
      <c r="BT15" s="8">
        <v>0</v>
      </c>
      <c r="BU15" s="8"/>
      <c r="BV15" s="8">
        <v>0</v>
      </c>
      <c r="BW15" s="8"/>
      <c r="BX15" s="8"/>
      <c r="BY15" s="8"/>
      <c r="BZ15" s="17">
        <f t="shared" si="0"/>
        <v>103</v>
      </c>
      <c r="CA15" s="8" t="s">
        <v>186</v>
      </c>
      <c r="CC15">
        <f t="shared" si="1"/>
        <v>0</v>
      </c>
      <c r="CD15" s="8">
        <f t="shared" si="2"/>
        <v>0</v>
      </c>
      <c r="CE15" s="8">
        <f t="shared" si="3"/>
        <v>103</v>
      </c>
      <c r="CF15" s="8">
        <f t="shared" si="4"/>
        <v>0</v>
      </c>
      <c r="CG15" s="19">
        <f t="shared" si="5"/>
        <v>0</v>
      </c>
      <c r="CH15" t="s">
        <v>220</v>
      </c>
    </row>
    <row r="16" spans="1:86" x14ac:dyDescent="0.2">
      <c r="A16" s="10" t="s">
        <v>258</v>
      </c>
      <c r="B16" s="9" t="s">
        <v>257</v>
      </c>
      <c r="C16" s="11" t="s">
        <v>179</v>
      </c>
      <c r="D16" s="11" t="s">
        <v>259</v>
      </c>
      <c r="E16" s="11" t="s">
        <v>218</v>
      </c>
      <c r="F16" s="8">
        <v>472</v>
      </c>
      <c r="G16" s="11" t="s">
        <v>260</v>
      </c>
      <c r="H16" s="13">
        <v>3907350</v>
      </c>
      <c r="I16" s="13">
        <v>724440</v>
      </c>
      <c r="J16" s="12">
        <v>15</v>
      </c>
      <c r="K16" s="12"/>
      <c r="L16" s="14" t="s">
        <v>261</v>
      </c>
      <c r="M16" s="14" t="s">
        <v>225</v>
      </c>
      <c r="N16" s="15">
        <v>14699</v>
      </c>
      <c r="T16" s="8">
        <v>0</v>
      </c>
      <c r="U16" s="8">
        <v>0</v>
      </c>
      <c r="V16" s="8">
        <v>0</v>
      </c>
      <c r="W16" s="8">
        <v>0</v>
      </c>
      <c r="X16" s="8"/>
      <c r="Y16" s="8">
        <v>0</v>
      </c>
      <c r="Z16" s="8">
        <v>0</v>
      </c>
      <c r="AA16" s="8">
        <v>0</v>
      </c>
      <c r="AB16" s="8"/>
      <c r="AC16" s="8">
        <v>0</v>
      </c>
      <c r="AD16" s="8">
        <v>470</v>
      </c>
      <c r="AE16" s="8">
        <v>120</v>
      </c>
      <c r="AF16" s="8">
        <v>0</v>
      </c>
      <c r="AG16" s="8">
        <v>0</v>
      </c>
      <c r="AH16" s="8">
        <v>0</v>
      </c>
      <c r="AI16" s="8"/>
      <c r="AJ16" s="8">
        <v>0</v>
      </c>
      <c r="AK16" s="8"/>
      <c r="AL16" s="8">
        <v>0</v>
      </c>
      <c r="AM16" s="8">
        <v>0</v>
      </c>
      <c r="AN16" s="8">
        <v>0</v>
      </c>
      <c r="AO16" s="8"/>
      <c r="AP16" s="8">
        <v>0</v>
      </c>
      <c r="AQ16" s="8">
        <v>1</v>
      </c>
      <c r="AR16" s="8">
        <v>0</v>
      </c>
      <c r="AS16" s="8">
        <v>0</v>
      </c>
      <c r="AT16" s="8">
        <v>0</v>
      </c>
      <c r="AU16" s="8"/>
      <c r="AV16" s="8">
        <v>0</v>
      </c>
      <c r="AW16" s="8">
        <v>1</v>
      </c>
      <c r="AX16" s="8">
        <v>33</v>
      </c>
      <c r="AY16" s="8">
        <v>2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/>
      <c r="BQ16" s="8"/>
      <c r="BR16" s="8">
        <v>0</v>
      </c>
      <c r="BS16" s="8">
        <v>0</v>
      </c>
      <c r="BT16" s="8">
        <v>0</v>
      </c>
      <c r="BU16" s="8"/>
      <c r="BV16" s="8">
        <v>0</v>
      </c>
      <c r="BW16" s="8"/>
      <c r="BX16" s="8"/>
      <c r="BY16" s="8"/>
      <c r="BZ16" s="17">
        <f t="shared" si="0"/>
        <v>627</v>
      </c>
      <c r="CA16" s="8" t="s">
        <v>262</v>
      </c>
      <c r="CC16">
        <f t="shared" si="1"/>
        <v>0.19776714513556617</v>
      </c>
      <c r="CD16" s="8">
        <f t="shared" si="2"/>
        <v>123</v>
      </c>
      <c r="CE16" s="8">
        <f t="shared" si="3"/>
        <v>35</v>
      </c>
      <c r="CF16" s="8">
        <f t="shared" si="4"/>
        <v>2</v>
      </c>
      <c r="CG16" s="19">
        <f t="shared" si="5"/>
        <v>5.7142857142857141E-2</v>
      </c>
      <c r="CH16" t="s">
        <v>220</v>
      </c>
    </row>
    <row r="17" spans="1:86" x14ac:dyDescent="0.2">
      <c r="A17" s="10" t="s">
        <v>264</v>
      </c>
      <c r="B17" s="9" t="s">
        <v>263</v>
      </c>
      <c r="C17" s="11" t="s">
        <v>179</v>
      </c>
      <c r="D17" s="11" t="s">
        <v>265</v>
      </c>
      <c r="E17" s="11" t="s">
        <v>218</v>
      </c>
      <c r="F17" s="8">
        <v>472</v>
      </c>
      <c r="G17" s="11" t="s">
        <v>266</v>
      </c>
      <c r="H17" s="13">
        <v>3908400</v>
      </c>
      <c r="I17" s="13">
        <v>725230</v>
      </c>
      <c r="J17" s="12">
        <v>15</v>
      </c>
      <c r="K17" s="12"/>
      <c r="L17" s="14" t="s">
        <v>267</v>
      </c>
      <c r="M17" s="14" t="s">
        <v>268</v>
      </c>
      <c r="N17" s="15">
        <v>14699</v>
      </c>
      <c r="O17" s="16" t="s">
        <v>185</v>
      </c>
      <c r="T17" s="8">
        <v>0</v>
      </c>
      <c r="U17" s="8">
        <v>0</v>
      </c>
      <c r="V17" s="8">
        <v>0</v>
      </c>
      <c r="W17" s="8">
        <v>0</v>
      </c>
      <c r="X17" s="8"/>
      <c r="Y17" s="8">
        <v>0</v>
      </c>
      <c r="Z17" s="8">
        <v>0</v>
      </c>
      <c r="AA17" s="8">
        <v>0</v>
      </c>
      <c r="AB17" s="8"/>
      <c r="AC17" s="8">
        <v>0</v>
      </c>
      <c r="AD17" s="8">
        <v>725</v>
      </c>
      <c r="AE17" s="8">
        <v>204</v>
      </c>
      <c r="AF17" s="8">
        <v>0</v>
      </c>
      <c r="AG17" s="8">
        <v>0</v>
      </c>
      <c r="AH17" s="8">
        <v>0</v>
      </c>
      <c r="AI17" s="8"/>
      <c r="AJ17" s="8">
        <v>0</v>
      </c>
      <c r="AK17" s="8"/>
      <c r="AL17" s="8">
        <v>0</v>
      </c>
      <c r="AM17" s="8">
        <v>0</v>
      </c>
      <c r="AN17" s="8">
        <v>0</v>
      </c>
      <c r="AO17" s="8"/>
      <c r="AP17" s="8">
        <v>0</v>
      </c>
      <c r="AQ17" s="8">
        <v>1</v>
      </c>
      <c r="AR17" s="8">
        <v>0</v>
      </c>
      <c r="AS17" s="8">
        <v>0</v>
      </c>
      <c r="AT17" s="8">
        <v>0</v>
      </c>
      <c r="AU17" s="8"/>
      <c r="AV17" s="8">
        <v>0</v>
      </c>
      <c r="AW17" s="8">
        <v>3</v>
      </c>
      <c r="AX17" s="8">
        <v>50</v>
      </c>
      <c r="AY17" s="8">
        <v>3</v>
      </c>
      <c r="AZ17" s="8">
        <v>1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/>
      <c r="BQ17" s="8"/>
      <c r="BR17" s="8">
        <v>0</v>
      </c>
      <c r="BS17" s="8">
        <v>0</v>
      </c>
      <c r="BT17" s="8">
        <v>0</v>
      </c>
      <c r="BU17" s="8"/>
      <c r="BV17" s="8">
        <v>0</v>
      </c>
      <c r="BW17" s="8"/>
      <c r="BX17" s="8"/>
      <c r="BY17" s="8"/>
      <c r="BZ17" s="17">
        <f t="shared" si="0"/>
        <v>987</v>
      </c>
      <c r="CA17" s="8" t="s">
        <v>262</v>
      </c>
      <c r="CC17">
        <f t="shared" si="1"/>
        <v>0.21479229989868287</v>
      </c>
      <c r="CD17" s="8">
        <f t="shared" si="2"/>
        <v>209</v>
      </c>
      <c r="CE17" s="8">
        <f t="shared" si="3"/>
        <v>54</v>
      </c>
      <c r="CF17" s="8">
        <f t="shared" si="4"/>
        <v>4</v>
      </c>
      <c r="CG17" s="19">
        <f t="shared" si="5"/>
        <v>7.407407407407407E-2</v>
      </c>
      <c r="CH17" t="s">
        <v>220</v>
      </c>
    </row>
    <row r="18" spans="1:86" x14ac:dyDescent="0.2">
      <c r="A18" s="10" t="s">
        <v>76</v>
      </c>
      <c r="B18" s="9" t="s">
        <v>269</v>
      </c>
      <c r="C18" s="11" t="s">
        <v>179</v>
      </c>
      <c r="D18" s="11" t="s">
        <v>270</v>
      </c>
      <c r="E18" s="11" t="s">
        <v>218</v>
      </c>
      <c r="F18" s="8">
        <v>472</v>
      </c>
      <c r="G18" s="11" t="s">
        <v>219</v>
      </c>
      <c r="H18" s="13">
        <v>3913500</v>
      </c>
      <c r="I18" s="13">
        <v>723480</v>
      </c>
      <c r="J18" s="12">
        <v>15</v>
      </c>
      <c r="K18" s="12"/>
      <c r="L18" s="14" t="s">
        <v>271</v>
      </c>
      <c r="M18" s="14" t="s">
        <v>272</v>
      </c>
      <c r="N18" s="15">
        <v>14700</v>
      </c>
      <c r="O18" s="16" t="s">
        <v>185</v>
      </c>
      <c r="T18" s="8">
        <v>0</v>
      </c>
      <c r="U18" s="8">
        <v>0</v>
      </c>
      <c r="V18" s="8">
        <v>0</v>
      </c>
      <c r="W18" s="8">
        <v>0</v>
      </c>
      <c r="X18" s="8"/>
      <c r="Y18" s="8">
        <v>0</v>
      </c>
      <c r="Z18" s="8">
        <v>0</v>
      </c>
      <c r="AA18" s="8">
        <v>0</v>
      </c>
      <c r="AB18" s="8"/>
      <c r="AC18" s="8">
        <v>0</v>
      </c>
      <c r="AD18" s="8">
        <v>6</v>
      </c>
      <c r="AE18" s="8">
        <v>6</v>
      </c>
      <c r="AF18" s="8">
        <v>0</v>
      </c>
      <c r="AG18" s="8">
        <v>0</v>
      </c>
      <c r="AH18" s="8">
        <v>0</v>
      </c>
      <c r="AI18" s="8"/>
      <c r="AJ18" s="8">
        <v>0</v>
      </c>
      <c r="AK18" s="8"/>
      <c r="AL18" s="8">
        <v>0</v>
      </c>
      <c r="AM18" s="8">
        <v>0</v>
      </c>
      <c r="AN18" s="8">
        <v>0</v>
      </c>
      <c r="AO18" s="8"/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/>
      <c r="AV18" s="8">
        <v>0</v>
      </c>
      <c r="AW18" s="8">
        <v>0</v>
      </c>
      <c r="AX18" s="8">
        <v>5992</v>
      </c>
      <c r="AY18" s="8">
        <v>760</v>
      </c>
      <c r="AZ18" s="8">
        <v>466</v>
      </c>
      <c r="BA18" s="8">
        <v>9</v>
      </c>
      <c r="BB18" s="8">
        <v>0</v>
      </c>
      <c r="BC18" s="8">
        <v>5</v>
      </c>
      <c r="BD18" s="8">
        <v>4</v>
      </c>
      <c r="BE18" s="8">
        <v>3</v>
      </c>
      <c r="BF18" s="8">
        <v>2</v>
      </c>
      <c r="BG18" s="8">
        <v>4</v>
      </c>
      <c r="BH18" s="8">
        <v>0</v>
      </c>
      <c r="BI18" s="8">
        <v>0</v>
      </c>
      <c r="BJ18" s="8">
        <v>0</v>
      </c>
      <c r="BK18" s="8">
        <v>0</v>
      </c>
      <c r="BL18" s="8">
        <v>14</v>
      </c>
      <c r="BM18" s="8">
        <v>0</v>
      </c>
      <c r="BN18" s="8">
        <v>0</v>
      </c>
      <c r="BO18" s="8">
        <v>4</v>
      </c>
      <c r="BP18" s="8"/>
      <c r="BQ18" s="8"/>
      <c r="BR18" s="8">
        <v>0</v>
      </c>
      <c r="BS18" s="8">
        <v>0</v>
      </c>
      <c r="BT18" s="8">
        <v>0</v>
      </c>
      <c r="BU18" s="8"/>
      <c r="BV18" s="8">
        <v>0</v>
      </c>
      <c r="BW18" s="8"/>
      <c r="BX18" s="8"/>
      <c r="BY18" s="8"/>
      <c r="BZ18" s="17">
        <f t="shared" si="0"/>
        <v>7275</v>
      </c>
      <c r="CA18" s="8" t="s">
        <v>195</v>
      </c>
      <c r="CC18">
        <f t="shared" si="1"/>
        <v>0.17525773195876287</v>
      </c>
      <c r="CD18" s="8">
        <f t="shared" si="2"/>
        <v>1275</v>
      </c>
      <c r="CE18" s="8">
        <f t="shared" si="3"/>
        <v>7263</v>
      </c>
      <c r="CF18" s="8">
        <f t="shared" si="4"/>
        <v>1269</v>
      </c>
      <c r="CG18" s="19">
        <f t="shared" si="5"/>
        <v>0.17472118959107807</v>
      </c>
      <c r="CH18" t="s">
        <v>220</v>
      </c>
    </row>
    <row r="19" spans="1:86" x14ac:dyDescent="0.2">
      <c r="A19" s="10" t="s">
        <v>274</v>
      </c>
      <c r="B19" s="9" t="s">
        <v>273</v>
      </c>
      <c r="C19" s="11" t="s">
        <v>179</v>
      </c>
      <c r="D19" s="11" t="s">
        <v>275</v>
      </c>
      <c r="E19" s="11" t="s">
        <v>218</v>
      </c>
      <c r="F19" s="8">
        <v>472</v>
      </c>
      <c r="G19" s="11" t="s">
        <v>219</v>
      </c>
      <c r="H19" s="13">
        <v>3913410</v>
      </c>
      <c r="I19" s="13">
        <v>722900</v>
      </c>
      <c r="J19" s="12">
        <v>15</v>
      </c>
      <c r="K19" s="12"/>
      <c r="L19" s="14" t="s">
        <v>276</v>
      </c>
      <c r="M19" s="14" t="s">
        <v>277</v>
      </c>
      <c r="N19" s="15">
        <v>14700</v>
      </c>
      <c r="O19" s="16" t="s">
        <v>185</v>
      </c>
      <c r="T19" s="8">
        <v>0</v>
      </c>
      <c r="U19" s="8">
        <v>0</v>
      </c>
      <c r="V19" s="8">
        <v>0</v>
      </c>
      <c r="W19" s="8">
        <v>0</v>
      </c>
      <c r="X19" s="8"/>
      <c r="Y19" s="8">
        <v>0</v>
      </c>
      <c r="Z19" s="8">
        <v>0</v>
      </c>
      <c r="AA19" s="8">
        <v>0</v>
      </c>
      <c r="AB19" s="8"/>
      <c r="AC19" s="8">
        <v>0</v>
      </c>
      <c r="AD19" s="8">
        <v>29</v>
      </c>
      <c r="AE19" s="8">
        <v>3</v>
      </c>
      <c r="AF19" s="8">
        <v>0</v>
      </c>
      <c r="AG19" s="8">
        <v>0</v>
      </c>
      <c r="AH19" s="8">
        <v>0</v>
      </c>
      <c r="AI19" s="8"/>
      <c r="AJ19" s="8">
        <v>0</v>
      </c>
      <c r="AK19" s="8"/>
      <c r="AL19" s="8">
        <v>0</v>
      </c>
      <c r="AM19" s="8">
        <v>0</v>
      </c>
      <c r="AN19" s="8">
        <v>0</v>
      </c>
      <c r="AO19" s="8"/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/>
      <c r="AV19" s="8">
        <v>0</v>
      </c>
      <c r="AW19" s="8">
        <v>0</v>
      </c>
      <c r="AX19" s="8">
        <v>6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/>
      <c r="BQ19" s="8"/>
      <c r="BR19" s="8">
        <v>0</v>
      </c>
      <c r="BS19" s="8">
        <v>0</v>
      </c>
      <c r="BT19" s="8">
        <v>0</v>
      </c>
      <c r="BU19" s="8"/>
      <c r="BV19" s="8">
        <v>0</v>
      </c>
      <c r="BW19" s="8"/>
      <c r="BX19" s="8"/>
      <c r="BY19" s="8"/>
      <c r="BZ19" s="17">
        <f t="shared" si="0"/>
        <v>38</v>
      </c>
      <c r="CA19" s="8" t="s">
        <v>247</v>
      </c>
      <c r="CC19">
        <f t="shared" si="1"/>
        <v>7.8947368421052627E-2</v>
      </c>
      <c r="CD19" s="8">
        <f t="shared" si="2"/>
        <v>3</v>
      </c>
      <c r="CE19" s="8">
        <f t="shared" si="3"/>
        <v>6</v>
      </c>
      <c r="CF19" s="8">
        <f t="shared" si="4"/>
        <v>0</v>
      </c>
      <c r="CG19" s="19">
        <f t="shared" si="5"/>
        <v>0</v>
      </c>
      <c r="CH19" t="s">
        <v>220</v>
      </c>
    </row>
    <row r="20" spans="1:86" x14ac:dyDescent="0.2">
      <c r="A20" s="10" t="s">
        <v>279</v>
      </c>
      <c r="B20" s="9" t="s">
        <v>278</v>
      </c>
      <c r="C20" s="11" t="s">
        <v>179</v>
      </c>
      <c r="D20" s="11" t="s">
        <v>280</v>
      </c>
      <c r="E20" s="11" t="s">
        <v>218</v>
      </c>
      <c r="F20" s="8">
        <v>472</v>
      </c>
      <c r="G20" s="11" t="s">
        <v>281</v>
      </c>
      <c r="H20" s="13">
        <v>3906950</v>
      </c>
      <c r="I20" s="13">
        <v>720220</v>
      </c>
      <c r="J20" s="12">
        <v>15</v>
      </c>
      <c r="K20" s="12"/>
      <c r="L20" s="14" t="s">
        <v>282</v>
      </c>
      <c r="M20" s="14" t="s">
        <v>268</v>
      </c>
      <c r="N20" s="15">
        <v>14702</v>
      </c>
      <c r="O20" s="16" t="s">
        <v>185</v>
      </c>
      <c r="T20" s="8">
        <v>0</v>
      </c>
      <c r="U20" s="8">
        <v>0</v>
      </c>
      <c r="V20" s="8">
        <v>0</v>
      </c>
      <c r="W20" s="8">
        <v>0</v>
      </c>
      <c r="X20" s="8"/>
      <c r="Y20" s="8">
        <v>0</v>
      </c>
      <c r="Z20" s="8">
        <v>0</v>
      </c>
      <c r="AA20" s="8">
        <v>0</v>
      </c>
      <c r="AB20" s="8"/>
      <c r="AC20" s="8">
        <v>0</v>
      </c>
      <c r="AD20" s="8">
        <v>53</v>
      </c>
      <c r="AE20" s="8">
        <v>4</v>
      </c>
      <c r="AF20" s="8">
        <v>0</v>
      </c>
      <c r="AG20" s="8">
        <v>0</v>
      </c>
      <c r="AH20" s="8">
        <v>0</v>
      </c>
      <c r="AI20" s="8"/>
      <c r="AJ20" s="8">
        <v>0</v>
      </c>
      <c r="AK20" s="8"/>
      <c r="AL20" s="8">
        <v>0</v>
      </c>
      <c r="AM20" s="8">
        <v>0</v>
      </c>
      <c r="AN20" s="8">
        <v>0</v>
      </c>
      <c r="AO20" s="8"/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/>
      <c r="AV20" s="8">
        <v>0</v>
      </c>
      <c r="AW20" s="8">
        <v>1</v>
      </c>
      <c r="AX20" s="8">
        <v>134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1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/>
      <c r="BQ20" s="8"/>
      <c r="BR20" s="8">
        <v>0</v>
      </c>
      <c r="BS20" s="8">
        <v>0</v>
      </c>
      <c r="BT20" s="8">
        <v>0</v>
      </c>
      <c r="BU20" s="8"/>
      <c r="BV20" s="8">
        <v>0</v>
      </c>
      <c r="BW20" s="8"/>
      <c r="BX20" s="8"/>
      <c r="BY20" s="8"/>
      <c r="BZ20" s="17">
        <f t="shared" si="0"/>
        <v>193</v>
      </c>
      <c r="CA20" s="8" t="s">
        <v>226</v>
      </c>
      <c r="CC20">
        <f t="shared" si="1"/>
        <v>2.5906735751295335E-2</v>
      </c>
      <c r="CD20" s="8">
        <f t="shared" si="2"/>
        <v>4</v>
      </c>
      <c r="CE20" s="8">
        <f t="shared" si="3"/>
        <v>135</v>
      </c>
      <c r="CF20" s="8">
        <f t="shared" si="4"/>
        <v>0</v>
      </c>
      <c r="CG20" s="19">
        <f t="shared" si="5"/>
        <v>0</v>
      </c>
      <c r="CH20" t="s">
        <v>220</v>
      </c>
    </row>
    <row r="21" spans="1:86" x14ac:dyDescent="0.2">
      <c r="A21" s="10" t="s">
        <v>284</v>
      </c>
      <c r="B21" s="9" t="s">
        <v>283</v>
      </c>
      <c r="C21" s="11" t="s">
        <v>179</v>
      </c>
      <c r="D21" s="11" t="s">
        <v>285</v>
      </c>
      <c r="E21" s="11" t="s">
        <v>218</v>
      </c>
      <c r="F21" s="8">
        <v>472</v>
      </c>
      <c r="G21" s="11" t="s">
        <v>286</v>
      </c>
      <c r="H21" s="13">
        <f>LOOKUP(A21,'[1]AMASDA DATA'!B13:B189,'[1]AMASDA DATA'!H13:H189)</f>
        <v>3925160</v>
      </c>
      <c r="I21" s="13">
        <f>LOOKUP(A21,'[1]AMASDA DATA'!B13:B189,'[1]AMASDA DATA'!I13:I189)</f>
        <v>690340</v>
      </c>
      <c r="J21" s="12">
        <v>15</v>
      </c>
      <c r="K21" s="12"/>
      <c r="L21" s="14" t="s">
        <v>287</v>
      </c>
      <c r="M21" s="14" t="s">
        <v>225</v>
      </c>
      <c r="N21" s="15">
        <v>14702</v>
      </c>
      <c r="T21" s="8">
        <v>0</v>
      </c>
      <c r="U21" s="8">
        <v>0</v>
      </c>
      <c r="V21" s="8">
        <v>0</v>
      </c>
      <c r="W21" s="8">
        <v>0</v>
      </c>
      <c r="X21" s="8"/>
      <c r="Y21" s="8">
        <v>0</v>
      </c>
      <c r="Z21" s="8">
        <v>0</v>
      </c>
      <c r="AA21" s="8">
        <v>0</v>
      </c>
      <c r="AB21" s="8"/>
      <c r="AC21" s="8">
        <v>0</v>
      </c>
      <c r="AD21" s="8">
        <v>35</v>
      </c>
      <c r="AE21" s="8">
        <v>10</v>
      </c>
      <c r="AF21" s="8">
        <v>0</v>
      </c>
      <c r="AG21" s="8">
        <v>0</v>
      </c>
      <c r="AH21" s="8">
        <v>0</v>
      </c>
      <c r="AI21" s="8"/>
      <c r="AJ21" s="8">
        <v>0</v>
      </c>
      <c r="AK21" s="8"/>
      <c r="AL21" s="8">
        <v>0</v>
      </c>
      <c r="AM21" s="8">
        <v>0</v>
      </c>
      <c r="AN21" s="8">
        <v>0</v>
      </c>
      <c r="AO21" s="8"/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/>
      <c r="AV21" s="8">
        <v>0</v>
      </c>
      <c r="AW21" s="8">
        <v>0</v>
      </c>
      <c r="AX21" s="8">
        <v>35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/>
      <c r="BQ21" s="8"/>
      <c r="BR21" s="8">
        <v>0</v>
      </c>
      <c r="BS21" s="8">
        <v>0</v>
      </c>
      <c r="BT21" s="8">
        <v>0</v>
      </c>
      <c r="BU21" s="8"/>
      <c r="BV21" s="8">
        <v>0</v>
      </c>
      <c r="BW21" s="8"/>
      <c r="BX21" s="8"/>
      <c r="BY21" s="8"/>
      <c r="BZ21" s="17">
        <f t="shared" si="0"/>
        <v>80</v>
      </c>
      <c r="CA21" s="8" t="s">
        <v>247</v>
      </c>
      <c r="CC21">
        <f t="shared" si="1"/>
        <v>0.125</v>
      </c>
      <c r="CD21" s="8">
        <f t="shared" si="2"/>
        <v>10</v>
      </c>
      <c r="CE21" s="8">
        <f t="shared" si="3"/>
        <v>35</v>
      </c>
      <c r="CF21" s="8">
        <f t="shared" si="4"/>
        <v>0</v>
      </c>
      <c r="CG21" s="19">
        <f t="shared" si="5"/>
        <v>0</v>
      </c>
      <c r="CH21" t="s">
        <v>220</v>
      </c>
    </row>
    <row r="22" spans="1:86" x14ac:dyDescent="0.2">
      <c r="A22" s="10" t="s">
        <v>289</v>
      </c>
      <c r="B22" s="9" t="s">
        <v>288</v>
      </c>
      <c r="C22" s="11" t="s">
        <v>179</v>
      </c>
      <c r="D22" s="11" t="s">
        <v>290</v>
      </c>
      <c r="E22" s="11" t="s">
        <v>218</v>
      </c>
      <c r="F22" s="8">
        <v>472</v>
      </c>
      <c r="G22" s="11" t="s">
        <v>230</v>
      </c>
      <c r="H22" s="13">
        <v>3911040</v>
      </c>
      <c r="I22" s="13">
        <v>719500</v>
      </c>
      <c r="J22" s="12">
        <v>15</v>
      </c>
      <c r="K22" s="12"/>
      <c r="L22" s="14" t="s">
        <v>291</v>
      </c>
      <c r="M22" s="14" t="s">
        <v>292</v>
      </c>
      <c r="N22" s="15">
        <v>14702</v>
      </c>
      <c r="O22" s="16" t="s">
        <v>185</v>
      </c>
      <c r="T22" s="8">
        <v>0</v>
      </c>
      <c r="U22" s="8">
        <v>0</v>
      </c>
      <c r="V22" s="8">
        <v>0</v>
      </c>
      <c r="W22" s="8">
        <v>0</v>
      </c>
      <c r="X22" s="8"/>
      <c r="Y22" s="8">
        <v>0</v>
      </c>
      <c r="Z22" s="8">
        <v>0</v>
      </c>
      <c r="AA22" s="8">
        <v>0</v>
      </c>
      <c r="AB22" s="8"/>
      <c r="AC22" s="8">
        <v>0</v>
      </c>
      <c r="AD22" s="8">
        <v>107</v>
      </c>
      <c r="AE22" s="8">
        <v>18</v>
      </c>
      <c r="AF22" s="8">
        <v>0</v>
      </c>
      <c r="AG22" s="8">
        <v>0</v>
      </c>
      <c r="AH22" s="8">
        <v>0</v>
      </c>
      <c r="AI22" s="8"/>
      <c r="AJ22" s="8">
        <v>0</v>
      </c>
      <c r="AK22" s="8"/>
      <c r="AL22" s="8">
        <v>0</v>
      </c>
      <c r="AM22" s="8">
        <v>0</v>
      </c>
      <c r="AN22" s="8">
        <v>0</v>
      </c>
      <c r="AO22" s="8"/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/>
      <c r="AV22" s="8">
        <v>0</v>
      </c>
      <c r="AW22" s="8">
        <v>0</v>
      </c>
      <c r="AX22" s="8">
        <v>53</v>
      </c>
      <c r="AY22" s="8">
        <v>1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/>
      <c r="BQ22" s="8"/>
      <c r="BR22" s="8">
        <v>0</v>
      </c>
      <c r="BS22" s="8">
        <v>0</v>
      </c>
      <c r="BT22" s="8">
        <v>0</v>
      </c>
      <c r="BU22" s="8"/>
      <c r="BV22" s="8">
        <v>0</v>
      </c>
      <c r="BW22" s="8"/>
      <c r="BX22" s="8"/>
      <c r="BY22" s="8"/>
      <c r="BZ22" s="17">
        <f t="shared" si="0"/>
        <v>179</v>
      </c>
      <c r="CA22" s="8" t="s">
        <v>226</v>
      </c>
      <c r="CC22">
        <f t="shared" si="1"/>
        <v>0.10614525139664804</v>
      </c>
      <c r="CD22" s="8">
        <f t="shared" si="2"/>
        <v>19</v>
      </c>
      <c r="CE22" s="8">
        <f t="shared" si="3"/>
        <v>54</v>
      </c>
      <c r="CF22" s="8">
        <f t="shared" si="4"/>
        <v>1</v>
      </c>
      <c r="CG22" s="19">
        <f t="shared" si="5"/>
        <v>1.8518518518518517E-2</v>
      </c>
      <c r="CH22" t="s">
        <v>220</v>
      </c>
    </row>
    <row r="23" spans="1:86" x14ac:dyDescent="0.2">
      <c r="A23" s="10" t="s">
        <v>73</v>
      </c>
      <c r="B23" s="9" t="s">
        <v>32</v>
      </c>
      <c r="C23" s="11" t="s">
        <v>179</v>
      </c>
      <c r="D23" s="11" t="s">
        <v>293</v>
      </c>
      <c r="E23" s="11" t="s">
        <v>218</v>
      </c>
      <c r="F23" s="8">
        <v>472</v>
      </c>
      <c r="G23" s="11" t="s">
        <v>294</v>
      </c>
      <c r="H23" s="13">
        <v>3913000</v>
      </c>
      <c r="I23" s="13">
        <v>725000</v>
      </c>
      <c r="J23" s="12">
        <v>15</v>
      </c>
      <c r="K23" s="12"/>
      <c r="L23" s="14" t="s">
        <v>295</v>
      </c>
      <c r="M23" s="14" t="s">
        <v>225</v>
      </c>
      <c r="N23" s="15">
        <v>14702</v>
      </c>
      <c r="T23" s="8">
        <v>0</v>
      </c>
      <c r="U23" s="8">
        <v>0</v>
      </c>
      <c r="V23" s="8">
        <v>0</v>
      </c>
      <c r="W23" s="8">
        <v>0</v>
      </c>
      <c r="X23" s="8"/>
      <c r="Y23" s="8">
        <v>0</v>
      </c>
      <c r="Z23" s="8">
        <v>0</v>
      </c>
      <c r="AA23" s="8">
        <v>0</v>
      </c>
      <c r="AB23" s="8"/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/>
      <c r="AJ23" s="8">
        <v>0</v>
      </c>
      <c r="AK23" s="8"/>
      <c r="AL23" s="8">
        <v>0</v>
      </c>
      <c r="AM23" s="8">
        <v>0</v>
      </c>
      <c r="AN23" s="8">
        <v>0</v>
      </c>
      <c r="AO23" s="8"/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/>
      <c r="AV23" s="8">
        <v>0</v>
      </c>
      <c r="AW23" s="8">
        <v>0</v>
      </c>
      <c r="AX23" s="8">
        <v>1807</v>
      </c>
      <c r="AY23" s="8">
        <v>528</v>
      </c>
      <c r="AZ23" s="8">
        <v>191</v>
      </c>
      <c r="BA23" s="8">
        <v>19</v>
      </c>
      <c r="BB23" s="8">
        <v>0</v>
      </c>
      <c r="BC23" s="8">
        <v>0</v>
      </c>
      <c r="BD23" s="8">
        <v>0</v>
      </c>
      <c r="BE23" s="8">
        <v>0</v>
      </c>
      <c r="BF23" s="8">
        <v>2</v>
      </c>
      <c r="BG23" s="8">
        <v>7</v>
      </c>
      <c r="BH23" s="8">
        <v>0</v>
      </c>
      <c r="BI23" s="8">
        <v>0</v>
      </c>
      <c r="BJ23" s="8">
        <v>0</v>
      </c>
      <c r="BK23" s="8">
        <v>0</v>
      </c>
      <c r="BL23" s="8">
        <v>13</v>
      </c>
      <c r="BM23" s="8">
        <v>0</v>
      </c>
      <c r="BN23" s="8">
        <v>0</v>
      </c>
      <c r="BO23" s="8">
        <v>0</v>
      </c>
      <c r="BP23" s="8"/>
      <c r="BQ23" s="8"/>
      <c r="BR23" s="8">
        <v>0</v>
      </c>
      <c r="BS23" s="8">
        <v>0</v>
      </c>
      <c r="BT23" s="8">
        <v>0</v>
      </c>
      <c r="BU23" s="8"/>
      <c r="BV23" s="8">
        <v>0</v>
      </c>
      <c r="BW23" s="8"/>
      <c r="BX23" s="8"/>
      <c r="BY23" s="8"/>
      <c r="BZ23" s="17">
        <f t="shared" si="0"/>
        <v>2567</v>
      </c>
      <c r="CA23" s="8" t="s">
        <v>195</v>
      </c>
      <c r="CC23">
        <f t="shared" si="1"/>
        <v>0.29528632645111025</v>
      </c>
      <c r="CD23" s="8">
        <f t="shared" si="2"/>
        <v>758</v>
      </c>
      <c r="CE23" s="8">
        <f t="shared" si="3"/>
        <v>2567</v>
      </c>
      <c r="CF23" s="8">
        <f t="shared" si="4"/>
        <v>758</v>
      </c>
      <c r="CG23" s="19">
        <f t="shared" si="5"/>
        <v>0.29528632645111025</v>
      </c>
      <c r="CH23" t="s">
        <v>220</v>
      </c>
    </row>
    <row r="24" spans="1:86" x14ac:dyDescent="0.2">
      <c r="A24" s="10" t="s">
        <v>297</v>
      </c>
      <c r="B24" s="9" t="s">
        <v>296</v>
      </c>
      <c r="C24" s="11" t="s">
        <v>179</v>
      </c>
      <c r="D24" s="11" t="s">
        <v>298</v>
      </c>
      <c r="E24" s="11" t="s">
        <v>299</v>
      </c>
      <c r="F24" s="8">
        <v>410</v>
      </c>
      <c r="G24" s="11" t="s">
        <v>300</v>
      </c>
      <c r="H24" s="13">
        <v>3928100</v>
      </c>
      <c r="I24" s="13">
        <v>730000</v>
      </c>
      <c r="J24" s="12">
        <v>15</v>
      </c>
      <c r="K24" s="12"/>
      <c r="L24" s="14" t="s">
        <v>301</v>
      </c>
      <c r="M24" s="14" t="s">
        <v>232</v>
      </c>
      <c r="N24" s="15">
        <v>14711</v>
      </c>
      <c r="O24" s="16" t="s">
        <v>185</v>
      </c>
      <c r="T24" s="8">
        <v>0</v>
      </c>
      <c r="U24" s="8">
        <v>0</v>
      </c>
      <c r="V24" s="8">
        <v>0</v>
      </c>
      <c r="W24" s="8">
        <v>0</v>
      </c>
      <c r="X24" s="8"/>
      <c r="Y24" s="8">
        <v>0</v>
      </c>
      <c r="Z24" s="8">
        <v>0</v>
      </c>
      <c r="AA24" s="8">
        <v>0</v>
      </c>
      <c r="AB24" s="8"/>
      <c r="AC24" s="8">
        <v>0</v>
      </c>
      <c r="AD24" s="8">
        <v>1</v>
      </c>
      <c r="AE24" s="8">
        <v>2</v>
      </c>
      <c r="AF24" s="8">
        <v>0</v>
      </c>
      <c r="AG24" s="8">
        <v>0</v>
      </c>
      <c r="AH24" s="8">
        <v>0</v>
      </c>
      <c r="AI24" s="8"/>
      <c r="AJ24" s="8">
        <v>0</v>
      </c>
      <c r="AK24" s="8"/>
      <c r="AL24" s="8">
        <v>0</v>
      </c>
      <c r="AM24" s="8">
        <v>0</v>
      </c>
      <c r="AN24" s="8">
        <v>0</v>
      </c>
      <c r="AO24" s="8"/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/>
      <c r="AV24" s="8">
        <v>0</v>
      </c>
      <c r="AW24" s="8">
        <v>0</v>
      </c>
      <c r="AX24" s="8">
        <v>25</v>
      </c>
      <c r="AY24" s="8">
        <v>0</v>
      </c>
      <c r="AZ24" s="8">
        <v>1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3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1</v>
      </c>
      <c r="BN24" s="8">
        <v>0</v>
      </c>
      <c r="BO24" s="8">
        <v>0</v>
      </c>
      <c r="BP24" s="8"/>
      <c r="BQ24" s="8"/>
      <c r="BR24" s="8">
        <v>0</v>
      </c>
      <c r="BS24" s="8">
        <v>0</v>
      </c>
      <c r="BT24" s="8">
        <v>0</v>
      </c>
      <c r="BU24" s="8"/>
      <c r="BV24" s="8">
        <v>0</v>
      </c>
      <c r="BW24" s="8"/>
      <c r="BX24" s="8"/>
      <c r="BY24" s="8"/>
      <c r="BZ24" s="17">
        <f t="shared" si="0"/>
        <v>33</v>
      </c>
      <c r="CA24" s="8" t="s">
        <v>247</v>
      </c>
      <c r="CC24">
        <f t="shared" si="1"/>
        <v>0.12121212121212122</v>
      </c>
      <c r="CD24" s="8">
        <f t="shared" si="2"/>
        <v>4</v>
      </c>
      <c r="CE24" s="8">
        <f t="shared" si="3"/>
        <v>30</v>
      </c>
      <c r="CF24" s="8">
        <f t="shared" si="4"/>
        <v>2</v>
      </c>
      <c r="CG24" s="19">
        <f t="shared" si="5"/>
        <v>6.6666666666666666E-2</v>
      </c>
      <c r="CH24" t="s">
        <v>220</v>
      </c>
    </row>
    <row r="25" spans="1:86" x14ac:dyDescent="0.2">
      <c r="A25" s="10" t="s">
        <v>75</v>
      </c>
      <c r="B25" s="9" t="s">
        <v>302</v>
      </c>
      <c r="C25" s="11" t="s">
        <v>179</v>
      </c>
      <c r="D25" s="11" t="s">
        <v>303</v>
      </c>
      <c r="E25" s="11" t="s">
        <v>304</v>
      </c>
      <c r="F25" s="8">
        <v>410</v>
      </c>
      <c r="G25" s="11" t="s">
        <v>305</v>
      </c>
      <c r="H25" s="13">
        <v>3918000</v>
      </c>
      <c r="I25" s="13">
        <v>737150</v>
      </c>
      <c r="J25" s="12">
        <v>15</v>
      </c>
      <c r="K25" s="12"/>
      <c r="L25" s="14" t="s">
        <v>306</v>
      </c>
      <c r="M25" s="14" t="s">
        <v>246</v>
      </c>
      <c r="N25" s="15">
        <v>14717</v>
      </c>
      <c r="O25" s="16" t="s">
        <v>307</v>
      </c>
      <c r="T25" s="8">
        <v>0</v>
      </c>
      <c r="U25" s="8">
        <v>0</v>
      </c>
      <c r="V25" s="8">
        <v>0</v>
      </c>
      <c r="W25" s="8">
        <v>0</v>
      </c>
      <c r="X25" s="8"/>
      <c r="Y25" s="8">
        <v>0</v>
      </c>
      <c r="Z25" s="8">
        <v>0</v>
      </c>
      <c r="AA25" s="8">
        <v>0</v>
      </c>
      <c r="AB25" s="8"/>
      <c r="AC25" s="8">
        <v>0</v>
      </c>
      <c r="AD25" s="8">
        <v>11</v>
      </c>
      <c r="AE25" s="8">
        <v>0</v>
      </c>
      <c r="AF25" s="8">
        <v>0</v>
      </c>
      <c r="AG25" s="8">
        <v>0</v>
      </c>
      <c r="AH25" s="8">
        <v>0</v>
      </c>
      <c r="AI25" s="8"/>
      <c r="AJ25" s="8">
        <v>0</v>
      </c>
      <c r="AK25" s="8"/>
      <c r="AL25" s="8">
        <v>0</v>
      </c>
      <c r="AM25" s="8">
        <v>0</v>
      </c>
      <c r="AN25" s="8">
        <v>0</v>
      </c>
      <c r="AO25" s="8"/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/>
      <c r="AV25" s="8">
        <v>0</v>
      </c>
      <c r="AW25" s="8">
        <v>0</v>
      </c>
      <c r="AX25" s="8">
        <v>4056</v>
      </c>
      <c r="AY25" s="8">
        <v>395</v>
      </c>
      <c r="AZ25" s="8">
        <v>207</v>
      </c>
      <c r="BA25" s="8">
        <v>4</v>
      </c>
      <c r="BB25" s="8">
        <v>0</v>
      </c>
      <c r="BC25" s="8">
        <v>16</v>
      </c>
      <c r="BD25" s="8">
        <v>9</v>
      </c>
      <c r="BE25" s="8">
        <v>0</v>
      </c>
      <c r="BF25" s="8">
        <v>8</v>
      </c>
      <c r="BG25" s="8">
        <v>0</v>
      </c>
      <c r="BH25" s="8">
        <v>0</v>
      </c>
      <c r="BI25" s="8">
        <v>0</v>
      </c>
      <c r="BJ25" s="8">
        <v>0</v>
      </c>
      <c r="BK25" s="8">
        <v>1</v>
      </c>
      <c r="BL25" s="8">
        <v>6</v>
      </c>
      <c r="BM25" s="8">
        <v>0</v>
      </c>
      <c r="BN25" s="8">
        <v>0</v>
      </c>
      <c r="BO25" s="8">
        <v>0</v>
      </c>
      <c r="BP25" s="8"/>
      <c r="BQ25" s="8"/>
      <c r="BR25" s="8">
        <v>0</v>
      </c>
      <c r="BS25" s="8">
        <v>0</v>
      </c>
      <c r="BT25" s="8">
        <v>0</v>
      </c>
      <c r="BU25" s="8"/>
      <c r="BV25" s="8">
        <v>0</v>
      </c>
      <c r="BW25" s="8"/>
      <c r="BX25" s="8"/>
      <c r="BY25" s="8"/>
      <c r="BZ25" s="17">
        <f t="shared" si="0"/>
        <v>4713</v>
      </c>
      <c r="CA25" s="8" t="s">
        <v>186</v>
      </c>
      <c r="CC25">
        <f t="shared" si="1"/>
        <v>0.13537025249310419</v>
      </c>
      <c r="CD25" s="8">
        <f t="shared" si="2"/>
        <v>638</v>
      </c>
      <c r="CE25" s="8">
        <f t="shared" si="3"/>
        <v>4702</v>
      </c>
      <c r="CF25" s="8">
        <f t="shared" si="4"/>
        <v>638</v>
      </c>
      <c r="CG25" s="19">
        <f t="shared" si="5"/>
        <v>0.13568694172692472</v>
      </c>
      <c r="CH25" t="s">
        <v>220</v>
      </c>
    </row>
    <row r="26" spans="1:86" x14ac:dyDescent="0.2">
      <c r="A26" s="10" t="s">
        <v>309</v>
      </c>
      <c r="B26" s="9" t="s">
        <v>308</v>
      </c>
      <c r="C26" s="11" t="s">
        <v>179</v>
      </c>
      <c r="D26" s="11" t="s">
        <v>310</v>
      </c>
      <c r="E26" s="11" t="s">
        <v>304</v>
      </c>
      <c r="F26" s="8">
        <v>223</v>
      </c>
      <c r="G26" s="11" t="s">
        <v>311</v>
      </c>
      <c r="H26" s="13">
        <v>3914900</v>
      </c>
      <c r="I26" s="13">
        <v>736700</v>
      </c>
      <c r="J26" s="12">
        <v>15</v>
      </c>
      <c r="K26" s="12"/>
      <c r="L26" s="14" t="s">
        <v>312</v>
      </c>
      <c r="M26" s="14" t="s">
        <v>246</v>
      </c>
      <c r="N26" s="15">
        <v>14717</v>
      </c>
      <c r="O26" s="16" t="s">
        <v>313</v>
      </c>
      <c r="T26" s="8">
        <v>0</v>
      </c>
      <c r="U26" s="8">
        <v>0</v>
      </c>
      <c r="V26" s="8">
        <v>0</v>
      </c>
      <c r="W26" s="8">
        <v>0</v>
      </c>
      <c r="X26" s="8"/>
      <c r="Y26" s="8">
        <v>0</v>
      </c>
      <c r="Z26" s="8">
        <v>0</v>
      </c>
      <c r="AA26" s="8">
        <v>0</v>
      </c>
      <c r="AB26" s="8"/>
      <c r="AC26" s="8">
        <v>0</v>
      </c>
      <c r="AD26" s="8">
        <v>98</v>
      </c>
      <c r="AE26" s="8">
        <v>0</v>
      </c>
      <c r="AF26" s="8">
        <v>0</v>
      </c>
      <c r="AG26" s="8">
        <v>0</v>
      </c>
      <c r="AH26" s="8">
        <v>0</v>
      </c>
      <c r="AI26" s="8"/>
      <c r="AJ26" s="8">
        <v>0</v>
      </c>
      <c r="AK26" s="8"/>
      <c r="AL26" s="8">
        <v>0</v>
      </c>
      <c r="AM26" s="8">
        <v>0</v>
      </c>
      <c r="AN26" s="8">
        <v>0</v>
      </c>
      <c r="AO26" s="8"/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/>
      <c r="AV26" s="8">
        <v>0</v>
      </c>
      <c r="AW26" s="8">
        <v>0</v>
      </c>
      <c r="AX26" s="8">
        <v>6</v>
      </c>
      <c r="AY26" s="8">
        <v>2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/>
      <c r="BQ26" s="8"/>
      <c r="BR26" s="8">
        <v>0</v>
      </c>
      <c r="BS26" s="8">
        <v>0</v>
      </c>
      <c r="BT26" s="8">
        <v>0</v>
      </c>
      <c r="BU26" s="8"/>
      <c r="BV26" s="8">
        <v>0</v>
      </c>
      <c r="BW26" s="8"/>
      <c r="BX26" s="8"/>
      <c r="BY26" s="8"/>
      <c r="BZ26" s="17">
        <f t="shared" si="0"/>
        <v>106</v>
      </c>
      <c r="CA26" s="8" t="s">
        <v>226</v>
      </c>
      <c r="CC26">
        <f t="shared" si="1"/>
        <v>1.8867924528301886E-2</v>
      </c>
      <c r="CD26" s="8">
        <f t="shared" si="2"/>
        <v>2</v>
      </c>
      <c r="CE26" s="8">
        <f t="shared" si="3"/>
        <v>8</v>
      </c>
      <c r="CF26" s="8">
        <f t="shared" si="4"/>
        <v>2</v>
      </c>
      <c r="CG26" s="19">
        <f t="shared" si="5"/>
        <v>0.25</v>
      </c>
      <c r="CH26" t="s">
        <v>220</v>
      </c>
    </row>
    <row r="27" spans="1:86" x14ac:dyDescent="0.2">
      <c r="A27" s="10" t="s">
        <v>315</v>
      </c>
      <c r="B27" s="9" t="s">
        <v>314</v>
      </c>
      <c r="C27" s="11" t="s">
        <v>179</v>
      </c>
      <c r="D27" s="11" t="s">
        <v>316</v>
      </c>
      <c r="E27" s="11" t="s">
        <v>299</v>
      </c>
      <c r="F27" s="8">
        <v>410</v>
      </c>
      <c r="G27" s="11" t="s">
        <v>317</v>
      </c>
      <c r="H27" s="13">
        <v>3929800</v>
      </c>
      <c r="I27" s="13">
        <v>737670</v>
      </c>
      <c r="J27" s="12">
        <v>15</v>
      </c>
      <c r="K27" s="12"/>
      <c r="L27" s="14" t="s">
        <v>276</v>
      </c>
      <c r="M27" s="14" t="s">
        <v>318</v>
      </c>
      <c r="N27" s="15">
        <v>14711</v>
      </c>
      <c r="T27" s="8">
        <v>0</v>
      </c>
      <c r="U27" s="8">
        <v>0</v>
      </c>
      <c r="V27" s="8">
        <v>0</v>
      </c>
      <c r="W27" s="8">
        <v>0</v>
      </c>
      <c r="X27" s="8"/>
      <c r="Y27" s="8">
        <v>0</v>
      </c>
      <c r="Z27" s="8">
        <v>0</v>
      </c>
      <c r="AA27" s="8">
        <v>0</v>
      </c>
      <c r="AB27" s="8"/>
      <c r="AC27" s="8">
        <v>0</v>
      </c>
      <c r="AD27" s="8">
        <v>4</v>
      </c>
      <c r="AE27" s="8">
        <v>0</v>
      </c>
      <c r="AF27" s="8">
        <v>0</v>
      </c>
      <c r="AG27" s="8">
        <v>0</v>
      </c>
      <c r="AH27" s="8">
        <v>0</v>
      </c>
      <c r="AI27" s="8"/>
      <c r="AJ27" s="8">
        <v>0</v>
      </c>
      <c r="AK27" s="8"/>
      <c r="AL27" s="8">
        <v>0</v>
      </c>
      <c r="AM27" s="8">
        <v>0</v>
      </c>
      <c r="AN27" s="8">
        <v>0</v>
      </c>
      <c r="AO27" s="8"/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/>
      <c r="AV27" s="8">
        <v>0</v>
      </c>
      <c r="AW27" s="8">
        <v>0</v>
      </c>
      <c r="AX27" s="8">
        <v>15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/>
      <c r="BQ27" s="8"/>
      <c r="BR27" s="8">
        <v>0</v>
      </c>
      <c r="BS27" s="8">
        <v>0</v>
      </c>
      <c r="BT27" s="8">
        <v>0</v>
      </c>
      <c r="BU27" s="8"/>
      <c r="BV27" s="8">
        <v>0</v>
      </c>
      <c r="BW27" s="8"/>
      <c r="BX27" s="8"/>
      <c r="BY27" s="8"/>
      <c r="BZ27" s="17">
        <f t="shared" si="0"/>
        <v>19</v>
      </c>
      <c r="CA27" s="8" t="s">
        <v>247</v>
      </c>
      <c r="CC27">
        <f t="shared" si="1"/>
        <v>0</v>
      </c>
      <c r="CD27" s="8">
        <f t="shared" si="2"/>
        <v>0</v>
      </c>
      <c r="CE27" s="8">
        <f t="shared" si="3"/>
        <v>15</v>
      </c>
      <c r="CF27" s="8">
        <f t="shared" si="4"/>
        <v>0</v>
      </c>
      <c r="CG27" s="19">
        <f t="shared" si="5"/>
        <v>0</v>
      </c>
      <c r="CH27" t="s">
        <v>220</v>
      </c>
    </row>
    <row r="28" spans="1:86" x14ac:dyDescent="0.2">
      <c r="A28" s="10" t="s">
        <v>319</v>
      </c>
      <c r="B28" s="9" t="s">
        <v>48</v>
      </c>
      <c r="C28" s="11" t="s">
        <v>179</v>
      </c>
      <c r="D28" s="11" t="s">
        <v>320</v>
      </c>
      <c r="E28" s="11" t="s">
        <v>299</v>
      </c>
      <c r="F28" s="8">
        <v>28</v>
      </c>
      <c r="G28" s="11" t="s">
        <v>321</v>
      </c>
      <c r="H28" s="13">
        <v>3944100</v>
      </c>
      <c r="I28" s="13">
        <v>714360</v>
      </c>
      <c r="J28" s="12">
        <v>15</v>
      </c>
      <c r="K28" s="12"/>
      <c r="L28" s="14" t="s">
        <v>322</v>
      </c>
      <c r="M28" s="14" t="s">
        <v>232</v>
      </c>
      <c r="N28" s="15">
        <v>14711</v>
      </c>
      <c r="O28" s="16" t="s">
        <v>185</v>
      </c>
      <c r="T28" s="8">
        <v>0</v>
      </c>
      <c r="U28" s="8">
        <v>0</v>
      </c>
      <c r="V28" s="8">
        <v>0</v>
      </c>
      <c r="W28" s="8">
        <v>0</v>
      </c>
      <c r="X28" s="8"/>
      <c r="Y28" s="8">
        <v>0</v>
      </c>
      <c r="Z28" s="8">
        <v>0</v>
      </c>
      <c r="AA28" s="8">
        <v>0</v>
      </c>
      <c r="AB28" s="8"/>
      <c r="AC28" s="8">
        <v>0</v>
      </c>
      <c r="AD28" s="8">
        <v>6</v>
      </c>
      <c r="AE28" s="8">
        <v>0</v>
      </c>
      <c r="AF28" s="8">
        <v>0</v>
      </c>
      <c r="AG28" s="8">
        <v>0</v>
      </c>
      <c r="AH28" s="8">
        <v>0</v>
      </c>
      <c r="AI28" s="8"/>
      <c r="AJ28" s="8">
        <v>0</v>
      </c>
      <c r="AK28" s="8"/>
      <c r="AL28" s="8">
        <v>0</v>
      </c>
      <c r="AM28" s="8">
        <v>0</v>
      </c>
      <c r="AN28" s="8">
        <v>0</v>
      </c>
      <c r="AO28" s="8"/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/>
      <c r="AV28" s="8">
        <v>0</v>
      </c>
      <c r="AW28" s="8">
        <v>0</v>
      </c>
      <c r="AX28" s="8">
        <v>443</v>
      </c>
      <c r="AY28" s="8">
        <v>206</v>
      </c>
      <c r="AZ28" s="8">
        <v>45</v>
      </c>
      <c r="BA28" s="8">
        <v>3</v>
      </c>
      <c r="BB28" s="8">
        <v>2</v>
      </c>
      <c r="BC28" s="8">
        <v>0</v>
      </c>
      <c r="BD28" s="8">
        <v>0</v>
      </c>
      <c r="BE28" s="8">
        <v>0</v>
      </c>
      <c r="BF28" s="8">
        <v>9</v>
      </c>
      <c r="BG28" s="8">
        <v>3</v>
      </c>
      <c r="BH28" s="8">
        <v>0</v>
      </c>
      <c r="BI28" s="8">
        <v>0</v>
      </c>
      <c r="BJ28" s="8">
        <v>0</v>
      </c>
      <c r="BK28" s="8">
        <v>0</v>
      </c>
      <c r="BL28" s="8">
        <v>2</v>
      </c>
      <c r="BM28" s="8">
        <v>0</v>
      </c>
      <c r="BN28" s="8">
        <v>0</v>
      </c>
      <c r="BO28" s="8">
        <v>0</v>
      </c>
      <c r="BP28" s="8"/>
      <c r="BQ28" s="8"/>
      <c r="BR28" s="8">
        <v>0</v>
      </c>
      <c r="BS28" s="8">
        <v>0</v>
      </c>
      <c r="BT28" s="8">
        <v>0</v>
      </c>
      <c r="BU28" s="8"/>
      <c r="BV28" s="8">
        <v>0</v>
      </c>
      <c r="BW28" s="8"/>
      <c r="BX28" s="8"/>
      <c r="BY28" s="8"/>
      <c r="BZ28" s="17">
        <f t="shared" si="0"/>
        <v>719</v>
      </c>
      <c r="CA28" s="8" t="s">
        <v>195</v>
      </c>
      <c r="CC28">
        <f t="shared" si="1"/>
        <v>0.36300417246175243</v>
      </c>
      <c r="CD28" s="8">
        <f t="shared" si="2"/>
        <v>261</v>
      </c>
      <c r="CE28" s="8">
        <f t="shared" si="3"/>
        <v>713</v>
      </c>
      <c r="CF28" s="8">
        <f t="shared" si="4"/>
        <v>261</v>
      </c>
      <c r="CG28" s="19">
        <f t="shared" si="5"/>
        <v>0.36605890603085556</v>
      </c>
      <c r="CH28" t="s">
        <v>220</v>
      </c>
    </row>
    <row r="29" spans="1:86" x14ac:dyDescent="0.2">
      <c r="A29" s="10" t="s">
        <v>324</v>
      </c>
      <c r="B29" s="9" t="s">
        <v>323</v>
      </c>
      <c r="C29" s="11" t="s">
        <v>179</v>
      </c>
      <c r="D29" s="11" t="s">
        <v>325</v>
      </c>
      <c r="E29" s="11" t="s">
        <v>304</v>
      </c>
      <c r="F29" s="8">
        <v>410</v>
      </c>
      <c r="G29" s="11" t="s">
        <v>326</v>
      </c>
      <c r="H29" s="13">
        <v>3924190</v>
      </c>
      <c r="I29" s="13">
        <v>734640</v>
      </c>
      <c r="J29" s="12">
        <v>15</v>
      </c>
      <c r="K29" s="12"/>
      <c r="L29" s="14" t="s">
        <v>276</v>
      </c>
      <c r="M29" s="14" t="s">
        <v>232</v>
      </c>
      <c r="N29" s="15">
        <v>14711</v>
      </c>
      <c r="T29" s="8">
        <v>0</v>
      </c>
      <c r="U29" s="8">
        <v>0</v>
      </c>
      <c r="V29" s="8">
        <v>0</v>
      </c>
      <c r="W29" s="8">
        <v>0</v>
      </c>
      <c r="X29" s="8"/>
      <c r="Y29" s="8">
        <v>0</v>
      </c>
      <c r="Z29" s="8">
        <v>0</v>
      </c>
      <c r="AA29" s="8">
        <v>0</v>
      </c>
      <c r="AB29" s="8"/>
      <c r="AC29" s="8">
        <v>0</v>
      </c>
      <c r="AD29" s="8">
        <v>79</v>
      </c>
      <c r="AE29" s="8">
        <v>13</v>
      </c>
      <c r="AF29" s="8">
        <v>0</v>
      </c>
      <c r="AG29" s="8">
        <v>2</v>
      </c>
      <c r="AH29" s="8">
        <v>0</v>
      </c>
      <c r="AI29" s="8"/>
      <c r="AJ29" s="8">
        <v>0</v>
      </c>
      <c r="AK29" s="8"/>
      <c r="AL29" s="8">
        <v>0</v>
      </c>
      <c r="AM29" s="8">
        <v>0</v>
      </c>
      <c r="AN29" s="8">
        <v>0</v>
      </c>
      <c r="AO29" s="8"/>
      <c r="AP29" s="8">
        <v>1</v>
      </c>
      <c r="AQ29" s="8">
        <v>0</v>
      </c>
      <c r="AR29" s="8">
        <v>0</v>
      </c>
      <c r="AS29" s="8">
        <v>0</v>
      </c>
      <c r="AT29" s="8">
        <v>0</v>
      </c>
      <c r="AU29" s="8"/>
      <c r="AV29" s="8">
        <v>0</v>
      </c>
      <c r="AW29" s="8">
        <v>0</v>
      </c>
      <c r="AX29" s="8">
        <v>17</v>
      </c>
      <c r="AY29" s="8">
        <v>1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4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/>
      <c r="BQ29" s="8"/>
      <c r="BR29" s="8">
        <v>0</v>
      </c>
      <c r="BS29" s="8">
        <v>0</v>
      </c>
      <c r="BT29" s="8">
        <v>0</v>
      </c>
      <c r="BU29" s="8"/>
      <c r="BV29" s="8">
        <v>0</v>
      </c>
      <c r="BW29" s="8"/>
      <c r="BX29" s="8"/>
      <c r="BY29" s="8"/>
      <c r="BZ29" s="17">
        <f t="shared" si="0"/>
        <v>117</v>
      </c>
      <c r="CA29" s="8" t="s">
        <v>226</v>
      </c>
      <c r="CC29">
        <f t="shared" si="1"/>
        <v>0.14529914529914531</v>
      </c>
      <c r="CD29" s="8">
        <f t="shared" si="2"/>
        <v>17</v>
      </c>
      <c r="CE29" s="8">
        <f t="shared" si="3"/>
        <v>22</v>
      </c>
      <c r="CF29" s="8">
        <f t="shared" si="4"/>
        <v>1</v>
      </c>
      <c r="CG29" s="19">
        <f t="shared" si="5"/>
        <v>4.5454545454545456E-2</v>
      </c>
      <c r="CH29" t="s">
        <v>220</v>
      </c>
    </row>
    <row r="30" spans="1:86" x14ac:dyDescent="0.2">
      <c r="A30" s="10" t="s">
        <v>328</v>
      </c>
      <c r="B30" s="9" t="s">
        <v>327</v>
      </c>
      <c r="C30" s="11" t="s">
        <v>179</v>
      </c>
      <c r="D30" s="11" t="s">
        <v>329</v>
      </c>
      <c r="E30" s="11" t="s">
        <v>299</v>
      </c>
      <c r="F30" s="8">
        <v>410</v>
      </c>
      <c r="G30" s="11" t="s">
        <v>330</v>
      </c>
      <c r="H30" s="13">
        <v>3924830</v>
      </c>
      <c r="I30" s="13">
        <v>734650</v>
      </c>
      <c r="J30" s="12">
        <v>15</v>
      </c>
      <c r="K30" s="12"/>
      <c r="L30" s="14" t="s">
        <v>331</v>
      </c>
      <c r="M30" s="14" t="s">
        <v>318</v>
      </c>
      <c r="N30" s="15">
        <v>14711</v>
      </c>
      <c r="T30" s="8">
        <v>0</v>
      </c>
      <c r="U30" s="8">
        <v>0</v>
      </c>
      <c r="V30" s="8">
        <v>0</v>
      </c>
      <c r="W30" s="8">
        <v>0</v>
      </c>
      <c r="X30" s="8"/>
      <c r="Y30" s="8">
        <v>0</v>
      </c>
      <c r="Z30" s="8">
        <v>0</v>
      </c>
      <c r="AA30" s="8">
        <v>0</v>
      </c>
      <c r="AB30" s="8"/>
      <c r="AC30" s="8">
        <v>0</v>
      </c>
      <c r="AD30" s="8">
        <v>121</v>
      </c>
      <c r="AE30" s="8">
        <v>15</v>
      </c>
      <c r="AF30" s="8">
        <v>0</v>
      </c>
      <c r="AG30" s="8">
        <v>0</v>
      </c>
      <c r="AH30" s="8">
        <v>0</v>
      </c>
      <c r="AI30" s="8"/>
      <c r="AJ30" s="8">
        <v>0</v>
      </c>
      <c r="AK30" s="8"/>
      <c r="AL30" s="8">
        <v>0</v>
      </c>
      <c r="AM30" s="8">
        <v>0</v>
      </c>
      <c r="AN30" s="8">
        <v>0</v>
      </c>
      <c r="AO30" s="8"/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/>
      <c r="AV30" s="8">
        <v>0</v>
      </c>
      <c r="AW30" s="8">
        <v>0</v>
      </c>
      <c r="AX30" s="8">
        <v>22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/>
      <c r="BQ30" s="8"/>
      <c r="BR30" s="8">
        <v>0</v>
      </c>
      <c r="BS30" s="8">
        <v>0</v>
      </c>
      <c r="BT30" s="8">
        <v>0</v>
      </c>
      <c r="BU30" s="8"/>
      <c r="BV30" s="8">
        <v>0</v>
      </c>
      <c r="BW30" s="8"/>
      <c r="BX30" s="8"/>
      <c r="BY30" s="8"/>
      <c r="BZ30" s="17">
        <f t="shared" si="0"/>
        <v>158</v>
      </c>
      <c r="CA30" s="8" t="s">
        <v>262</v>
      </c>
      <c r="CC30">
        <f t="shared" si="1"/>
        <v>9.49367088607595E-2</v>
      </c>
      <c r="CD30" s="8">
        <f t="shared" si="2"/>
        <v>15</v>
      </c>
      <c r="CE30" s="8">
        <f t="shared" si="3"/>
        <v>22</v>
      </c>
      <c r="CF30" s="8">
        <f t="shared" si="4"/>
        <v>0</v>
      </c>
      <c r="CG30" s="19">
        <f t="shared" si="5"/>
        <v>0</v>
      </c>
      <c r="CH30" t="s">
        <v>220</v>
      </c>
    </row>
    <row r="31" spans="1:86" x14ac:dyDescent="0.2">
      <c r="A31" s="10" t="s">
        <v>333</v>
      </c>
      <c r="B31" s="9" t="s">
        <v>332</v>
      </c>
      <c r="C31" s="11" t="s">
        <v>179</v>
      </c>
      <c r="D31" s="11" t="s">
        <v>334</v>
      </c>
      <c r="E31" s="11" t="s">
        <v>304</v>
      </c>
      <c r="F31" s="8">
        <v>223</v>
      </c>
      <c r="G31" s="11" t="s">
        <v>335</v>
      </c>
      <c r="H31" s="13">
        <v>3911480</v>
      </c>
      <c r="I31" s="13">
        <v>730800</v>
      </c>
      <c r="J31" s="12">
        <v>15</v>
      </c>
      <c r="K31" s="12"/>
      <c r="L31" s="14" t="s">
        <v>336</v>
      </c>
      <c r="M31" s="14" t="s">
        <v>184</v>
      </c>
      <c r="N31" s="15">
        <v>14716</v>
      </c>
      <c r="O31" s="16" t="s">
        <v>185</v>
      </c>
      <c r="T31" s="8">
        <v>0</v>
      </c>
      <c r="U31" s="8">
        <v>0</v>
      </c>
      <c r="V31" s="8">
        <v>0</v>
      </c>
      <c r="W31" s="8">
        <v>0</v>
      </c>
      <c r="X31" s="8"/>
      <c r="Y31" s="8">
        <v>0</v>
      </c>
      <c r="Z31" s="8">
        <v>0</v>
      </c>
      <c r="AA31" s="8">
        <v>0</v>
      </c>
      <c r="AB31" s="8"/>
      <c r="AC31" s="8">
        <v>0</v>
      </c>
      <c r="AD31" s="8">
        <v>1140</v>
      </c>
      <c r="AE31" s="8">
        <v>126</v>
      </c>
      <c r="AF31" s="8">
        <v>0</v>
      </c>
      <c r="AG31" s="8">
        <v>0</v>
      </c>
      <c r="AH31" s="8">
        <v>0</v>
      </c>
      <c r="AI31" s="8"/>
      <c r="AJ31" s="8">
        <v>0</v>
      </c>
      <c r="AK31" s="8"/>
      <c r="AL31" s="8">
        <v>0</v>
      </c>
      <c r="AM31" s="8">
        <v>0</v>
      </c>
      <c r="AN31" s="8">
        <v>0</v>
      </c>
      <c r="AO31" s="8"/>
      <c r="AP31" s="8">
        <v>0</v>
      </c>
      <c r="AQ31" s="8">
        <v>0</v>
      </c>
      <c r="AR31" s="8">
        <v>2</v>
      </c>
      <c r="AS31" s="8">
        <v>0</v>
      </c>
      <c r="AT31" s="8">
        <v>0</v>
      </c>
      <c r="AU31" s="8"/>
      <c r="AV31" s="8">
        <v>0</v>
      </c>
      <c r="AW31" s="8">
        <v>0</v>
      </c>
      <c r="AX31" s="8">
        <v>204</v>
      </c>
      <c r="AY31" s="8">
        <v>0</v>
      </c>
      <c r="AZ31" s="8">
        <v>1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1</v>
      </c>
      <c r="BM31" s="8">
        <v>0</v>
      </c>
      <c r="BN31" s="8">
        <v>0</v>
      </c>
      <c r="BO31" s="8">
        <v>0</v>
      </c>
      <c r="BP31" s="8"/>
      <c r="BQ31" s="8"/>
      <c r="BR31" s="8">
        <v>0</v>
      </c>
      <c r="BS31" s="8">
        <v>0</v>
      </c>
      <c r="BT31" s="8">
        <v>0</v>
      </c>
      <c r="BU31" s="8"/>
      <c r="BV31" s="8">
        <v>0</v>
      </c>
      <c r="BW31" s="8"/>
      <c r="BX31" s="8"/>
      <c r="BY31" s="8"/>
      <c r="BZ31" s="17">
        <f t="shared" si="0"/>
        <v>1474</v>
      </c>
      <c r="CA31" s="8" t="s">
        <v>226</v>
      </c>
      <c r="CC31">
        <f t="shared" si="1"/>
        <v>8.819538670284939E-2</v>
      </c>
      <c r="CD31" s="8">
        <f t="shared" si="2"/>
        <v>130</v>
      </c>
      <c r="CE31" s="8">
        <f t="shared" si="3"/>
        <v>206</v>
      </c>
      <c r="CF31" s="8">
        <f t="shared" si="4"/>
        <v>2</v>
      </c>
      <c r="CG31" s="19">
        <f t="shared" si="5"/>
        <v>9.7087378640776691E-3</v>
      </c>
      <c r="CH31" t="s">
        <v>220</v>
      </c>
    </row>
    <row r="32" spans="1:86" x14ac:dyDescent="0.2">
      <c r="A32" s="10" t="s">
        <v>338</v>
      </c>
      <c r="B32" s="9" t="s">
        <v>337</v>
      </c>
      <c r="C32" s="11" t="s">
        <v>179</v>
      </c>
      <c r="D32" s="11" t="s">
        <v>339</v>
      </c>
      <c r="E32" s="11" t="s">
        <v>304</v>
      </c>
      <c r="F32" s="8">
        <v>223</v>
      </c>
      <c r="G32" s="11" t="s">
        <v>340</v>
      </c>
      <c r="H32" s="13">
        <v>3913360</v>
      </c>
      <c r="I32" s="13">
        <v>732350</v>
      </c>
      <c r="J32" s="12">
        <v>15</v>
      </c>
      <c r="K32" s="12"/>
      <c r="L32" s="14" t="s">
        <v>341</v>
      </c>
      <c r="M32" s="14" t="s">
        <v>184</v>
      </c>
      <c r="N32" s="15">
        <v>14716</v>
      </c>
      <c r="O32" s="16" t="s">
        <v>313</v>
      </c>
      <c r="T32" s="8">
        <v>0</v>
      </c>
      <c r="U32" s="8">
        <v>0</v>
      </c>
      <c r="V32" s="8">
        <v>0</v>
      </c>
      <c r="W32" s="8">
        <v>0</v>
      </c>
      <c r="X32" s="8"/>
      <c r="Y32" s="8">
        <v>0</v>
      </c>
      <c r="Z32" s="8">
        <v>0</v>
      </c>
      <c r="AA32" s="8">
        <v>0</v>
      </c>
      <c r="AB32" s="8"/>
      <c r="AC32" s="8">
        <v>0</v>
      </c>
      <c r="AD32" s="8">
        <v>5</v>
      </c>
      <c r="AE32" s="8">
        <v>1</v>
      </c>
      <c r="AF32" s="8">
        <v>0</v>
      </c>
      <c r="AG32" s="8">
        <v>0</v>
      </c>
      <c r="AH32" s="8">
        <v>0</v>
      </c>
      <c r="AI32" s="8"/>
      <c r="AJ32" s="8">
        <v>0</v>
      </c>
      <c r="AK32" s="8"/>
      <c r="AL32" s="8">
        <v>0</v>
      </c>
      <c r="AM32" s="8">
        <v>0</v>
      </c>
      <c r="AN32" s="8">
        <v>0</v>
      </c>
      <c r="AO32" s="8"/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/>
      <c r="AV32" s="8">
        <v>0</v>
      </c>
      <c r="AW32" s="8">
        <v>0</v>
      </c>
      <c r="AX32" s="8">
        <v>115</v>
      </c>
      <c r="AY32" s="8">
        <v>14</v>
      </c>
      <c r="AZ32" s="8">
        <v>10</v>
      </c>
      <c r="BA32" s="8">
        <v>2</v>
      </c>
      <c r="BB32" s="8">
        <v>0</v>
      </c>
      <c r="BC32" s="8">
        <v>0</v>
      </c>
      <c r="BD32" s="8">
        <v>0</v>
      </c>
      <c r="BE32" s="8">
        <v>0</v>
      </c>
      <c r="BF32" s="8">
        <v>1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2</v>
      </c>
      <c r="BM32" s="8">
        <v>0</v>
      </c>
      <c r="BN32" s="8">
        <v>0</v>
      </c>
      <c r="BO32" s="8">
        <v>0</v>
      </c>
      <c r="BP32" s="8"/>
      <c r="BQ32" s="8"/>
      <c r="BR32" s="8">
        <v>0</v>
      </c>
      <c r="BS32" s="8">
        <v>0</v>
      </c>
      <c r="BT32" s="8">
        <v>0</v>
      </c>
      <c r="BU32" s="8"/>
      <c r="BV32" s="8">
        <v>0</v>
      </c>
      <c r="BW32" s="8"/>
      <c r="BX32" s="8"/>
      <c r="BY32" s="8"/>
      <c r="BZ32" s="17">
        <f t="shared" si="0"/>
        <v>150</v>
      </c>
      <c r="CA32" s="8" t="s">
        <v>186</v>
      </c>
      <c r="CC32">
        <f t="shared" si="1"/>
        <v>0.19333333333333333</v>
      </c>
      <c r="CD32" s="8">
        <f t="shared" si="2"/>
        <v>29</v>
      </c>
      <c r="CE32" s="8">
        <f t="shared" si="3"/>
        <v>144</v>
      </c>
      <c r="CF32" s="8">
        <f t="shared" si="4"/>
        <v>28</v>
      </c>
      <c r="CG32" s="19">
        <f t="shared" si="5"/>
        <v>0.19444444444444445</v>
      </c>
      <c r="CH32" t="s">
        <v>220</v>
      </c>
    </row>
    <row r="33" spans="1:86" x14ac:dyDescent="0.2">
      <c r="A33" s="10" t="s">
        <v>343</v>
      </c>
      <c r="B33" s="9" t="s">
        <v>342</v>
      </c>
      <c r="C33" s="11" t="s">
        <v>179</v>
      </c>
      <c r="D33" s="11" t="s">
        <v>344</v>
      </c>
      <c r="E33" s="11" t="s">
        <v>304</v>
      </c>
      <c r="F33" s="8">
        <v>223</v>
      </c>
      <c r="G33" s="11" t="s">
        <v>345</v>
      </c>
      <c r="H33" s="13">
        <v>3916540</v>
      </c>
      <c r="I33" s="13">
        <v>736740</v>
      </c>
      <c r="J33" s="12">
        <v>15</v>
      </c>
      <c r="K33" s="12"/>
      <c r="L33" s="14" t="s">
        <v>216</v>
      </c>
      <c r="M33" s="14" t="s">
        <v>184</v>
      </c>
      <c r="N33" s="15">
        <v>14716</v>
      </c>
      <c r="O33" s="16" t="s">
        <v>313</v>
      </c>
      <c r="T33" s="8">
        <v>0</v>
      </c>
      <c r="U33" s="8">
        <v>0</v>
      </c>
      <c r="V33" s="8">
        <v>0</v>
      </c>
      <c r="W33" s="8">
        <v>0</v>
      </c>
      <c r="X33" s="8"/>
      <c r="Y33" s="8">
        <v>0</v>
      </c>
      <c r="Z33" s="8">
        <v>0</v>
      </c>
      <c r="AA33" s="8">
        <v>0</v>
      </c>
      <c r="AB33" s="8"/>
      <c r="AC33" s="8">
        <v>0</v>
      </c>
      <c r="AD33" s="8">
        <v>55</v>
      </c>
      <c r="AE33" s="8">
        <v>6</v>
      </c>
      <c r="AF33" s="8">
        <v>0</v>
      </c>
      <c r="AG33" s="8">
        <v>0</v>
      </c>
      <c r="AH33" s="8">
        <v>0</v>
      </c>
      <c r="AI33" s="8"/>
      <c r="AJ33" s="8">
        <v>0</v>
      </c>
      <c r="AK33" s="8"/>
      <c r="AL33" s="8">
        <v>0</v>
      </c>
      <c r="AM33" s="8">
        <v>0</v>
      </c>
      <c r="AN33" s="8">
        <v>0</v>
      </c>
      <c r="AO33" s="8"/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/>
      <c r="AV33" s="8">
        <v>0</v>
      </c>
      <c r="AW33" s="8">
        <v>0</v>
      </c>
      <c r="AX33" s="8">
        <v>2</v>
      </c>
      <c r="AY33" s="8">
        <v>8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/>
      <c r="BQ33" s="8"/>
      <c r="BR33" s="8">
        <v>0</v>
      </c>
      <c r="BS33" s="8">
        <v>0</v>
      </c>
      <c r="BT33" s="8">
        <v>0</v>
      </c>
      <c r="BU33" s="8"/>
      <c r="BV33" s="8">
        <v>0</v>
      </c>
      <c r="BW33" s="8"/>
      <c r="BX33" s="8"/>
      <c r="BY33" s="8"/>
      <c r="BZ33" s="17">
        <f t="shared" si="0"/>
        <v>71</v>
      </c>
      <c r="CA33" s="8" t="s">
        <v>226</v>
      </c>
      <c r="CC33">
        <f t="shared" si="1"/>
        <v>0.19718309859154928</v>
      </c>
      <c r="CD33" s="8">
        <f t="shared" si="2"/>
        <v>14</v>
      </c>
      <c r="CE33" s="8">
        <f t="shared" si="3"/>
        <v>10</v>
      </c>
      <c r="CF33" s="8">
        <f t="shared" si="4"/>
        <v>8</v>
      </c>
      <c r="CG33" s="19">
        <f t="shared" si="5"/>
        <v>0.8</v>
      </c>
      <c r="CH33" t="s">
        <v>220</v>
      </c>
    </row>
    <row r="34" spans="1:86" x14ac:dyDescent="0.2">
      <c r="A34" s="10" t="s">
        <v>347</v>
      </c>
      <c r="B34" s="9" t="s">
        <v>346</v>
      </c>
      <c r="C34" s="11" t="s">
        <v>179</v>
      </c>
      <c r="D34" s="11" t="s">
        <v>348</v>
      </c>
      <c r="E34" s="11" t="s">
        <v>205</v>
      </c>
      <c r="F34" s="8">
        <v>603</v>
      </c>
      <c r="G34" s="11" t="s">
        <v>349</v>
      </c>
      <c r="H34" s="13">
        <v>3931860</v>
      </c>
      <c r="I34" s="13">
        <v>761300</v>
      </c>
      <c r="J34" s="12">
        <v>15</v>
      </c>
      <c r="K34" s="12"/>
      <c r="L34" s="14" t="s">
        <v>350</v>
      </c>
      <c r="M34" s="14" t="s">
        <v>184</v>
      </c>
      <c r="N34" s="15">
        <v>14723</v>
      </c>
      <c r="O34" s="16" t="s">
        <v>185</v>
      </c>
      <c r="T34" s="8">
        <v>0</v>
      </c>
      <c r="U34" s="8">
        <v>0</v>
      </c>
      <c r="V34" s="8">
        <v>0</v>
      </c>
      <c r="W34" s="8">
        <v>0</v>
      </c>
      <c r="X34" s="8"/>
      <c r="Y34" s="8">
        <v>0</v>
      </c>
      <c r="Z34" s="8">
        <v>0</v>
      </c>
      <c r="AA34" s="8">
        <v>0</v>
      </c>
      <c r="AB34" s="8"/>
      <c r="AC34" s="8">
        <v>0</v>
      </c>
      <c r="AD34" s="8">
        <v>3</v>
      </c>
      <c r="AE34" s="8">
        <v>6</v>
      </c>
      <c r="AF34" s="8">
        <v>0</v>
      </c>
      <c r="AG34" s="8">
        <v>0</v>
      </c>
      <c r="AH34" s="8">
        <v>0</v>
      </c>
      <c r="AI34" s="8"/>
      <c r="AJ34" s="8">
        <v>0</v>
      </c>
      <c r="AK34" s="8"/>
      <c r="AL34" s="8">
        <v>0</v>
      </c>
      <c r="AM34" s="8">
        <v>0</v>
      </c>
      <c r="AN34" s="8">
        <v>0</v>
      </c>
      <c r="AO34" s="8"/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/>
      <c r="AV34" s="8">
        <v>0</v>
      </c>
      <c r="AW34" s="8">
        <v>1</v>
      </c>
      <c r="AX34" s="8">
        <v>47</v>
      </c>
      <c r="AY34" s="8">
        <v>0</v>
      </c>
      <c r="AZ34" s="8">
        <v>1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43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/>
      <c r="BQ34" s="8"/>
      <c r="BR34" s="8">
        <v>0</v>
      </c>
      <c r="BS34" s="8">
        <v>0</v>
      </c>
      <c r="BT34" s="8">
        <v>0</v>
      </c>
      <c r="BU34" s="8"/>
      <c r="BV34" s="8">
        <v>0</v>
      </c>
      <c r="BW34" s="8"/>
      <c r="BX34" s="8"/>
      <c r="BY34" s="8"/>
      <c r="BZ34" s="17">
        <f t="shared" si="0"/>
        <v>101</v>
      </c>
      <c r="CA34" s="17" t="s">
        <v>186</v>
      </c>
      <c r="CC34">
        <f t="shared" si="1"/>
        <v>7.9207920792079209E-2</v>
      </c>
      <c r="CD34" s="8">
        <f t="shared" si="2"/>
        <v>7</v>
      </c>
      <c r="CE34" s="8">
        <f t="shared" si="3"/>
        <v>91</v>
      </c>
      <c r="CF34" s="8">
        <f t="shared" si="4"/>
        <v>1</v>
      </c>
      <c r="CG34" s="19">
        <f t="shared" si="5"/>
        <v>1.098901098901099E-2</v>
      </c>
      <c r="CH34" t="s">
        <v>188</v>
      </c>
    </row>
    <row r="35" spans="1:86" x14ac:dyDescent="0.2">
      <c r="A35" s="10" t="s">
        <v>352</v>
      </c>
      <c r="B35" s="9" t="s">
        <v>351</v>
      </c>
      <c r="C35" s="11" t="s">
        <v>179</v>
      </c>
      <c r="D35" s="11" t="s">
        <v>353</v>
      </c>
      <c r="E35" s="11" t="s">
        <v>304</v>
      </c>
      <c r="F35" s="8">
        <v>406</v>
      </c>
      <c r="G35" s="11" t="s">
        <v>354</v>
      </c>
      <c r="H35" s="13">
        <f>LOOKUP(A35,'[1]AMASDA DATA'!B27:B203,'[1]AMASDA DATA'!H27:H203)</f>
        <v>3910900</v>
      </c>
      <c r="I35" s="13">
        <f>LOOKUP(A35,'[1]AMASDA DATA'!B27:B203,'[1]AMASDA DATA'!I27:I203)</f>
        <v>758280</v>
      </c>
      <c r="J35" s="12">
        <v>15</v>
      </c>
      <c r="K35" s="12"/>
      <c r="L35" s="14" t="s">
        <v>355</v>
      </c>
      <c r="M35" s="14" t="s">
        <v>184</v>
      </c>
      <c r="N35" s="15">
        <v>14724</v>
      </c>
      <c r="O35" s="16" t="s">
        <v>185</v>
      </c>
      <c r="T35" s="8">
        <v>0</v>
      </c>
      <c r="U35" s="8">
        <v>0</v>
      </c>
      <c r="V35" s="8">
        <v>0</v>
      </c>
      <c r="W35" s="8">
        <v>0</v>
      </c>
      <c r="X35" s="8"/>
      <c r="Y35" s="8">
        <v>0</v>
      </c>
      <c r="Z35" s="8">
        <v>0</v>
      </c>
      <c r="AA35" s="8">
        <v>0</v>
      </c>
      <c r="AB35" s="8"/>
      <c r="AC35" s="8">
        <v>0</v>
      </c>
      <c r="AD35" s="8">
        <v>43</v>
      </c>
      <c r="AE35" s="8">
        <v>14</v>
      </c>
      <c r="AF35" s="8">
        <v>0</v>
      </c>
      <c r="AG35" s="8">
        <v>0</v>
      </c>
      <c r="AH35" s="8">
        <v>0</v>
      </c>
      <c r="AI35" s="8"/>
      <c r="AJ35" s="8">
        <v>0</v>
      </c>
      <c r="AK35" s="8"/>
      <c r="AL35" s="8">
        <v>0</v>
      </c>
      <c r="AM35" s="8">
        <v>0</v>
      </c>
      <c r="AN35" s="8">
        <v>0</v>
      </c>
      <c r="AO35" s="8"/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/>
      <c r="AV35" s="8">
        <v>0</v>
      </c>
      <c r="AW35" s="8">
        <v>0</v>
      </c>
      <c r="AX35" s="8">
        <v>225</v>
      </c>
      <c r="AY35" s="8">
        <v>5</v>
      </c>
      <c r="AZ35" s="8">
        <v>1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222</v>
      </c>
      <c r="BG35" s="8">
        <v>1</v>
      </c>
      <c r="BH35" s="8">
        <v>0</v>
      </c>
      <c r="BI35" s="8">
        <v>0</v>
      </c>
      <c r="BJ35" s="8">
        <v>0</v>
      </c>
      <c r="BK35" s="8">
        <v>0</v>
      </c>
      <c r="BL35" s="8">
        <v>2</v>
      </c>
      <c r="BM35" s="8">
        <v>0</v>
      </c>
      <c r="BN35" s="8">
        <v>0</v>
      </c>
      <c r="BO35" s="8">
        <v>1</v>
      </c>
      <c r="BP35" s="8"/>
      <c r="BQ35" s="8"/>
      <c r="BR35" s="8">
        <v>0</v>
      </c>
      <c r="BS35" s="8">
        <v>0</v>
      </c>
      <c r="BT35" s="8">
        <v>0</v>
      </c>
      <c r="BU35" s="8"/>
      <c r="BV35" s="8">
        <v>0</v>
      </c>
      <c r="BW35" s="8"/>
      <c r="BX35" s="8"/>
      <c r="BY35" s="8"/>
      <c r="BZ35" s="17">
        <f t="shared" si="0"/>
        <v>514</v>
      </c>
      <c r="CA35" s="17" t="s">
        <v>186</v>
      </c>
      <c r="CC35">
        <f t="shared" si="1"/>
        <v>4.6692607003891051E-2</v>
      </c>
      <c r="CD35" s="8">
        <f t="shared" si="2"/>
        <v>24</v>
      </c>
      <c r="CE35" s="8">
        <f t="shared" si="3"/>
        <v>457</v>
      </c>
      <c r="CF35" s="8">
        <f t="shared" si="4"/>
        <v>10</v>
      </c>
      <c r="CG35" s="19">
        <f t="shared" si="5"/>
        <v>2.1881838074398249E-2</v>
      </c>
      <c r="CH35" t="s">
        <v>188</v>
      </c>
    </row>
    <row r="36" spans="1:86" x14ac:dyDescent="0.2">
      <c r="A36" s="10" t="s">
        <v>356</v>
      </c>
      <c r="B36" s="9" t="s">
        <v>351</v>
      </c>
      <c r="C36" s="11" t="s">
        <v>179</v>
      </c>
      <c r="D36" s="11" t="s">
        <v>353</v>
      </c>
      <c r="E36" s="11" t="s">
        <v>304</v>
      </c>
      <c r="F36" s="8">
        <v>406</v>
      </c>
      <c r="G36" s="11" t="s">
        <v>354</v>
      </c>
      <c r="H36" s="13">
        <v>3910900</v>
      </c>
      <c r="I36" s="13">
        <f>LOOKUP(A36,'[1]AMASDA DATA'!B28:B204,'[1]AMASDA DATA'!I28:I204)</f>
        <v>758280</v>
      </c>
      <c r="J36" s="12">
        <v>15</v>
      </c>
      <c r="K36" s="12"/>
      <c r="L36" s="14" t="s">
        <v>355</v>
      </c>
      <c r="M36" s="14" t="s">
        <v>184</v>
      </c>
      <c r="N36" s="15">
        <v>14724</v>
      </c>
      <c r="O36" s="16" t="s">
        <v>185</v>
      </c>
      <c r="T36" s="8">
        <v>0</v>
      </c>
      <c r="U36" s="8">
        <v>0</v>
      </c>
      <c r="V36" s="8">
        <v>0</v>
      </c>
      <c r="W36" s="8">
        <v>0</v>
      </c>
      <c r="X36" s="8"/>
      <c r="Y36" s="8">
        <v>0</v>
      </c>
      <c r="Z36" s="8">
        <v>0</v>
      </c>
      <c r="AA36" s="8">
        <v>1</v>
      </c>
      <c r="AB36" s="8"/>
      <c r="AC36" s="8">
        <v>0</v>
      </c>
      <c r="AD36" s="8">
        <v>3</v>
      </c>
      <c r="AE36" s="8">
        <v>3</v>
      </c>
      <c r="AF36" s="8">
        <v>0</v>
      </c>
      <c r="AG36" s="8">
        <v>4</v>
      </c>
      <c r="AH36" s="8">
        <v>0</v>
      </c>
      <c r="AI36" s="8"/>
      <c r="AJ36" s="8">
        <v>0</v>
      </c>
      <c r="AK36" s="8"/>
      <c r="AL36" s="8">
        <v>0</v>
      </c>
      <c r="AM36" s="8">
        <v>0</v>
      </c>
      <c r="AN36" s="8">
        <v>0</v>
      </c>
      <c r="AO36" s="8"/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/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/>
      <c r="BQ36" s="8"/>
      <c r="BR36" s="8">
        <v>0</v>
      </c>
      <c r="BS36" s="8">
        <v>0</v>
      </c>
      <c r="BT36" s="8">
        <v>0</v>
      </c>
      <c r="BU36" s="8"/>
      <c r="BV36" s="8">
        <v>0</v>
      </c>
      <c r="BW36" s="8"/>
      <c r="BX36" s="8"/>
      <c r="BY36" s="8"/>
      <c r="BZ36" s="17">
        <f t="shared" si="0"/>
        <v>11</v>
      </c>
      <c r="CA36" s="8" t="s">
        <v>247</v>
      </c>
      <c r="CC36">
        <f t="shared" si="1"/>
        <v>0.72727272727272729</v>
      </c>
      <c r="CD36" s="8">
        <f t="shared" si="2"/>
        <v>8</v>
      </c>
      <c r="CE36" s="8">
        <f t="shared" si="3"/>
        <v>0</v>
      </c>
      <c r="CF36" s="8">
        <f t="shared" si="4"/>
        <v>0</v>
      </c>
      <c r="CG36" s="19" t="e">
        <f t="shared" si="5"/>
        <v>#DIV/0!</v>
      </c>
      <c r="CH36" t="s">
        <v>188</v>
      </c>
    </row>
    <row r="37" spans="1:86" x14ac:dyDescent="0.2">
      <c r="A37" s="10" t="s">
        <v>358</v>
      </c>
      <c r="B37" s="9" t="s">
        <v>357</v>
      </c>
      <c r="C37" s="11" t="s">
        <v>179</v>
      </c>
      <c r="D37" s="11" t="s">
        <v>359</v>
      </c>
      <c r="E37" s="11" t="s">
        <v>304</v>
      </c>
      <c r="F37" s="8">
        <v>406</v>
      </c>
      <c r="G37" s="11" t="s">
        <v>360</v>
      </c>
      <c r="H37" s="13">
        <f>H39+(0.8*1.6+1000)</f>
        <v>3918541.28</v>
      </c>
      <c r="I37" s="13">
        <f>I39-(2*1.6*1000)</f>
        <v>753900</v>
      </c>
      <c r="J37" s="12">
        <v>15</v>
      </c>
      <c r="K37" s="12"/>
      <c r="L37" s="14" t="s">
        <v>361</v>
      </c>
      <c r="M37" s="14" t="s">
        <v>184</v>
      </c>
      <c r="N37" s="15">
        <v>14721</v>
      </c>
      <c r="O37" s="16" t="s">
        <v>185</v>
      </c>
      <c r="T37" s="8">
        <v>0</v>
      </c>
      <c r="U37" s="8">
        <v>0</v>
      </c>
      <c r="V37" s="8">
        <v>0</v>
      </c>
      <c r="W37" s="8">
        <v>0</v>
      </c>
      <c r="X37" s="8"/>
      <c r="Y37" s="8">
        <v>0</v>
      </c>
      <c r="Z37" s="8">
        <v>0</v>
      </c>
      <c r="AA37" s="8">
        <v>0</v>
      </c>
      <c r="AB37" s="8"/>
      <c r="AC37" s="8">
        <v>0</v>
      </c>
      <c r="AD37" s="8">
        <v>26</v>
      </c>
      <c r="AE37" s="8">
        <v>6</v>
      </c>
      <c r="AF37" s="8">
        <v>1</v>
      </c>
      <c r="AG37" s="8">
        <v>0</v>
      </c>
      <c r="AH37" s="8">
        <v>0</v>
      </c>
      <c r="AI37" s="8"/>
      <c r="AJ37" s="8">
        <v>0</v>
      </c>
      <c r="AK37" s="8"/>
      <c r="AL37" s="8">
        <v>0</v>
      </c>
      <c r="AM37" s="8">
        <v>0</v>
      </c>
      <c r="AN37" s="8">
        <v>0</v>
      </c>
      <c r="AO37" s="8"/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/>
      <c r="AV37" s="8">
        <v>0</v>
      </c>
      <c r="AW37" s="8">
        <v>0</v>
      </c>
      <c r="AX37" s="8">
        <v>112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94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/>
      <c r="BQ37" s="8"/>
      <c r="BR37" s="8">
        <v>0</v>
      </c>
      <c r="BS37" s="8">
        <v>0</v>
      </c>
      <c r="BT37" s="8">
        <v>0</v>
      </c>
      <c r="BU37" s="8"/>
      <c r="BV37" s="8">
        <v>0</v>
      </c>
      <c r="BW37" s="8"/>
      <c r="BX37" s="8"/>
      <c r="BY37" s="8"/>
      <c r="BZ37" s="17">
        <f t="shared" si="0"/>
        <v>239</v>
      </c>
      <c r="CA37" s="8" t="s">
        <v>186</v>
      </c>
      <c r="CC37">
        <f t="shared" si="1"/>
        <v>2.9288702928870293E-2</v>
      </c>
      <c r="CD37" s="8">
        <f t="shared" si="2"/>
        <v>7</v>
      </c>
      <c r="CE37" s="8">
        <f t="shared" si="3"/>
        <v>206</v>
      </c>
      <c r="CF37" s="8">
        <f t="shared" si="4"/>
        <v>0</v>
      </c>
      <c r="CG37" s="19">
        <f t="shared" si="5"/>
        <v>0</v>
      </c>
      <c r="CH37" t="s">
        <v>188</v>
      </c>
    </row>
    <row r="38" spans="1:86" x14ac:dyDescent="0.2">
      <c r="A38" s="10" t="s">
        <v>363</v>
      </c>
      <c r="B38" s="9" t="s">
        <v>362</v>
      </c>
      <c r="C38" s="11" t="s">
        <v>179</v>
      </c>
      <c r="D38" s="11" t="s">
        <v>364</v>
      </c>
      <c r="E38" s="11" t="s">
        <v>304</v>
      </c>
      <c r="F38" s="8">
        <v>279</v>
      </c>
      <c r="G38" s="11" t="s">
        <v>365</v>
      </c>
      <c r="H38" s="13">
        <f>H39-(0.2*1.6*1000)</f>
        <v>3917220</v>
      </c>
      <c r="I38" s="13">
        <f>I39-(2.2*1.6*1000)</f>
        <v>753580</v>
      </c>
      <c r="J38" s="12">
        <v>15</v>
      </c>
      <c r="K38" s="12"/>
      <c r="L38" s="14" t="s">
        <v>366</v>
      </c>
      <c r="M38" s="14" t="s">
        <v>184</v>
      </c>
      <c r="N38" s="15">
        <v>14725</v>
      </c>
      <c r="T38" s="8">
        <v>0</v>
      </c>
      <c r="U38" s="8">
        <v>0</v>
      </c>
      <c r="V38" s="8">
        <v>0</v>
      </c>
      <c r="W38" s="8">
        <v>0</v>
      </c>
      <c r="X38" s="8"/>
      <c r="Y38" s="8">
        <v>0</v>
      </c>
      <c r="Z38" s="8">
        <v>0</v>
      </c>
      <c r="AA38" s="8">
        <v>0</v>
      </c>
      <c r="AB38" s="8"/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/>
      <c r="AJ38" s="8">
        <v>0</v>
      </c>
      <c r="AK38" s="8"/>
      <c r="AL38" s="8">
        <v>0</v>
      </c>
      <c r="AM38" s="8">
        <v>0</v>
      </c>
      <c r="AN38" s="8">
        <v>0</v>
      </c>
      <c r="AO38" s="8"/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/>
      <c r="AV38" s="8">
        <v>0</v>
      </c>
      <c r="AW38" s="8">
        <v>0</v>
      </c>
      <c r="AX38" s="8">
        <v>2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4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/>
      <c r="BQ38" s="8"/>
      <c r="BR38" s="8">
        <v>0</v>
      </c>
      <c r="BS38" s="8">
        <v>0</v>
      </c>
      <c r="BT38" s="8">
        <v>0</v>
      </c>
      <c r="BU38" s="8"/>
      <c r="BV38" s="8">
        <v>0</v>
      </c>
      <c r="BW38" s="8"/>
      <c r="BX38" s="8"/>
      <c r="BY38" s="8"/>
      <c r="BZ38" s="17">
        <f t="shared" si="0"/>
        <v>6</v>
      </c>
      <c r="CA38" s="8" t="s">
        <v>247</v>
      </c>
      <c r="CC38">
        <f t="shared" si="1"/>
        <v>0</v>
      </c>
      <c r="CD38" s="8">
        <f t="shared" si="2"/>
        <v>0</v>
      </c>
      <c r="CE38" s="8">
        <f t="shared" si="3"/>
        <v>6</v>
      </c>
      <c r="CF38" s="8">
        <f t="shared" si="4"/>
        <v>0</v>
      </c>
      <c r="CG38" s="19">
        <f t="shared" si="5"/>
        <v>0</v>
      </c>
      <c r="CH38" t="s">
        <v>188</v>
      </c>
    </row>
    <row r="39" spans="1:86" x14ac:dyDescent="0.2">
      <c r="A39" s="10" t="s">
        <v>368</v>
      </c>
      <c r="B39" s="9" t="s">
        <v>367</v>
      </c>
      <c r="C39" s="11" t="s">
        <v>179</v>
      </c>
      <c r="D39" s="11" t="s">
        <v>369</v>
      </c>
      <c r="E39" s="11" t="s">
        <v>304</v>
      </c>
      <c r="F39" s="8">
        <v>406</v>
      </c>
      <c r="G39" s="11" t="s">
        <v>370</v>
      </c>
      <c r="H39" s="13">
        <v>3917540</v>
      </c>
      <c r="I39" s="13">
        <v>757100</v>
      </c>
      <c r="J39" s="12">
        <v>15</v>
      </c>
      <c r="K39" s="12"/>
      <c r="L39" s="14" t="s">
        <v>366</v>
      </c>
      <c r="M39" s="14" t="s">
        <v>184</v>
      </c>
      <c r="N39" s="15">
        <v>14725</v>
      </c>
      <c r="O39" s="16" t="s">
        <v>185</v>
      </c>
      <c r="T39" s="8">
        <v>0</v>
      </c>
      <c r="U39" s="8">
        <v>0</v>
      </c>
      <c r="V39" s="8">
        <v>0</v>
      </c>
      <c r="W39" s="8">
        <v>0</v>
      </c>
      <c r="X39" s="8"/>
      <c r="Y39" s="8">
        <v>0</v>
      </c>
      <c r="Z39" s="8">
        <v>0</v>
      </c>
      <c r="AA39" s="8">
        <v>0</v>
      </c>
      <c r="AB39" s="8"/>
      <c r="AC39" s="8">
        <v>0</v>
      </c>
      <c r="AD39" s="8">
        <v>10</v>
      </c>
      <c r="AE39" s="8">
        <v>0</v>
      </c>
      <c r="AF39" s="8">
        <v>0</v>
      </c>
      <c r="AG39" s="8">
        <v>0</v>
      </c>
      <c r="AH39" s="8">
        <v>0</v>
      </c>
      <c r="AI39" s="8"/>
      <c r="AJ39" s="8">
        <v>0</v>
      </c>
      <c r="AK39" s="8"/>
      <c r="AL39" s="8">
        <v>0</v>
      </c>
      <c r="AM39" s="8">
        <v>0</v>
      </c>
      <c r="AN39" s="8">
        <v>0</v>
      </c>
      <c r="AO39" s="8"/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/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1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/>
      <c r="BQ39" s="8"/>
      <c r="BR39" s="8">
        <v>0</v>
      </c>
      <c r="BS39" s="8">
        <v>0</v>
      </c>
      <c r="BT39" s="8">
        <v>0</v>
      </c>
      <c r="BU39" s="8"/>
      <c r="BV39" s="8">
        <v>0</v>
      </c>
      <c r="BW39" s="8"/>
      <c r="BX39" s="8"/>
      <c r="BY39" s="8"/>
      <c r="BZ39" s="17">
        <f t="shared" si="0"/>
        <v>11</v>
      </c>
      <c r="CA39" s="8" t="s">
        <v>247</v>
      </c>
      <c r="CC39">
        <f t="shared" si="1"/>
        <v>0</v>
      </c>
      <c r="CD39" s="8">
        <f t="shared" si="2"/>
        <v>0</v>
      </c>
      <c r="CE39" s="8">
        <f t="shared" si="3"/>
        <v>1</v>
      </c>
      <c r="CF39" s="8">
        <f t="shared" si="4"/>
        <v>0</v>
      </c>
      <c r="CG39" s="19">
        <f t="shared" si="5"/>
        <v>0</v>
      </c>
      <c r="CH39" t="s">
        <v>188</v>
      </c>
    </row>
    <row r="40" spans="1:86" x14ac:dyDescent="0.2">
      <c r="A40" s="10" t="s">
        <v>372</v>
      </c>
      <c r="B40" s="9" t="s">
        <v>371</v>
      </c>
      <c r="C40" s="11" t="s">
        <v>179</v>
      </c>
      <c r="D40" s="11" t="s">
        <v>373</v>
      </c>
      <c r="E40" s="11" t="s">
        <v>374</v>
      </c>
      <c r="F40" s="8">
        <v>459</v>
      </c>
      <c r="G40" s="11" t="s">
        <v>375</v>
      </c>
      <c r="H40" s="13">
        <v>3883280</v>
      </c>
      <c r="I40" s="13">
        <v>711650</v>
      </c>
      <c r="J40" s="12">
        <v>15</v>
      </c>
      <c r="K40" s="12"/>
      <c r="L40" s="14" t="s">
        <v>376</v>
      </c>
      <c r="M40" s="14" t="s">
        <v>292</v>
      </c>
      <c r="N40" s="15">
        <v>14703</v>
      </c>
      <c r="T40" s="8">
        <v>0</v>
      </c>
      <c r="U40" s="8">
        <v>0</v>
      </c>
      <c r="V40" s="8">
        <v>0</v>
      </c>
      <c r="W40" s="8">
        <v>0</v>
      </c>
      <c r="X40" s="8"/>
      <c r="Y40" s="8">
        <v>0</v>
      </c>
      <c r="Z40" s="8">
        <v>0</v>
      </c>
      <c r="AA40" s="8">
        <v>0</v>
      </c>
      <c r="AB40" s="8"/>
      <c r="AC40" s="8">
        <v>0</v>
      </c>
      <c r="AD40" s="8">
        <v>518</v>
      </c>
      <c r="AE40" s="8">
        <v>146</v>
      </c>
      <c r="AF40" s="8">
        <v>0</v>
      </c>
      <c r="AG40" s="8">
        <v>0</v>
      </c>
      <c r="AH40" s="8">
        <v>16</v>
      </c>
      <c r="AI40" s="8"/>
      <c r="AJ40" s="8">
        <v>0</v>
      </c>
      <c r="AK40" s="8"/>
      <c r="AL40" s="8">
        <v>0</v>
      </c>
      <c r="AM40" s="8">
        <v>0</v>
      </c>
      <c r="AN40" s="8">
        <v>0</v>
      </c>
      <c r="AO40" s="8"/>
      <c r="AP40" s="8">
        <v>0</v>
      </c>
      <c r="AQ40" s="8">
        <v>3</v>
      </c>
      <c r="AR40" s="8">
        <v>0</v>
      </c>
      <c r="AS40" s="8">
        <v>0</v>
      </c>
      <c r="AT40" s="8">
        <v>0</v>
      </c>
      <c r="AU40" s="8"/>
      <c r="AV40" s="8">
        <v>0</v>
      </c>
      <c r="AW40" s="8">
        <v>1</v>
      </c>
      <c r="AX40" s="8">
        <v>18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/>
      <c r="BQ40" s="8"/>
      <c r="BR40" s="8">
        <v>0</v>
      </c>
      <c r="BS40" s="8">
        <v>0</v>
      </c>
      <c r="BT40" s="8">
        <v>0</v>
      </c>
      <c r="BU40" s="8"/>
      <c r="BV40" s="8">
        <v>0</v>
      </c>
      <c r="BW40" s="8"/>
      <c r="BX40" s="8"/>
      <c r="BY40" s="8"/>
      <c r="BZ40" s="17">
        <f t="shared" si="0"/>
        <v>702</v>
      </c>
      <c r="CA40" s="8" t="s">
        <v>262</v>
      </c>
      <c r="CC40">
        <f t="shared" si="1"/>
        <v>0.23646723646723647</v>
      </c>
      <c r="CD40" s="8">
        <f t="shared" si="2"/>
        <v>165</v>
      </c>
      <c r="CE40" s="8">
        <f t="shared" si="3"/>
        <v>18</v>
      </c>
      <c r="CF40" s="8">
        <f t="shared" si="4"/>
        <v>0</v>
      </c>
      <c r="CG40" s="19">
        <f t="shared" si="5"/>
        <v>0</v>
      </c>
      <c r="CH40" t="s">
        <v>220</v>
      </c>
    </row>
    <row r="41" spans="1:86" x14ac:dyDescent="0.2">
      <c r="A41" s="10" t="s">
        <v>378</v>
      </c>
      <c r="B41" s="9" t="s">
        <v>377</v>
      </c>
      <c r="C41" s="11" t="s">
        <v>179</v>
      </c>
      <c r="D41" s="11" t="s">
        <v>379</v>
      </c>
      <c r="E41" s="11" t="s">
        <v>374</v>
      </c>
      <c r="F41" s="8">
        <v>459</v>
      </c>
      <c r="G41" s="11" t="s">
        <v>380</v>
      </c>
      <c r="H41" s="13">
        <f>LOOKUP(A41,'[1]AMASDA DATA'!B33:B209,'[1]AMASDA DATA'!H33:H209)</f>
        <v>3878020</v>
      </c>
      <c r="I41" s="13">
        <f>LOOKUP(A41,'[1]AMASDA DATA'!B33:B209,'[1]AMASDA DATA'!I33:I209)</f>
        <v>710760</v>
      </c>
      <c r="J41" s="12">
        <v>15</v>
      </c>
      <c r="K41" s="12"/>
      <c r="L41" s="14" t="s">
        <v>268</v>
      </c>
      <c r="M41" s="14" t="s">
        <v>268</v>
      </c>
      <c r="N41" s="15">
        <v>14703</v>
      </c>
      <c r="T41" s="8">
        <v>0</v>
      </c>
      <c r="U41" s="8">
        <v>0</v>
      </c>
      <c r="V41" s="8">
        <v>0</v>
      </c>
      <c r="W41" s="8">
        <v>0</v>
      </c>
      <c r="X41" s="8"/>
      <c r="Y41" s="8">
        <v>0</v>
      </c>
      <c r="Z41" s="8">
        <v>0</v>
      </c>
      <c r="AA41" s="8">
        <v>0</v>
      </c>
      <c r="AB41" s="8"/>
      <c r="AC41" s="8">
        <v>0</v>
      </c>
      <c r="AD41" s="8">
        <v>66</v>
      </c>
      <c r="AE41" s="8">
        <v>3</v>
      </c>
      <c r="AF41" s="8">
        <v>0</v>
      </c>
      <c r="AG41" s="8">
        <v>0</v>
      </c>
      <c r="AH41" s="8">
        <v>0</v>
      </c>
      <c r="AI41" s="8"/>
      <c r="AJ41" s="8">
        <v>0</v>
      </c>
      <c r="AK41" s="8"/>
      <c r="AL41" s="8">
        <v>0</v>
      </c>
      <c r="AM41" s="8">
        <v>0</v>
      </c>
      <c r="AN41" s="8">
        <v>0</v>
      </c>
      <c r="AO41" s="8"/>
      <c r="AP41" s="8">
        <v>0</v>
      </c>
      <c r="AQ41" s="8">
        <v>2</v>
      </c>
      <c r="AR41" s="8">
        <v>0</v>
      </c>
      <c r="AS41" s="8">
        <v>0</v>
      </c>
      <c r="AT41" s="8">
        <v>0</v>
      </c>
      <c r="AU41" s="8"/>
      <c r="AV41" s="8">
        <v>0</v>
      </c>
      <c r="AW41" s="8">
        <v>2</v>
      </c>
      <c r="AX41" s="8">
        <v>45</v>
      </c>
      <c r="AY41" s="8">
        <v>15</v>
      </c>
      <c r="AZ41" s="8">
        <v>2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43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5</v>
      </c>
      <c r="BM41" s="8">
        <v>0</v>
      </c>
      <c r="BN41" s="8">
        <v>0</v>
      </c>
      <c r="BO41" s="8">
        <v>1</v>
      </c>
      <c r="BP41" s="8"/>
      <c r="BQ41" s="8"/>
      <c r="BR41" s="8">
        <v>0</v>
      </c>
      <c r="BS41" s="8">
        <v>0</v>
      </c>
      <c r="BT41" s="8">
        <v>0</v>
      </c>
      <c r="BU41" s="8"/>
      <c r="BV41" s="8">
        <v>0</v>
      </c>
      <c r="BW41" s="8"/>
      <c r="BX41" s="8"/>
      <c r="BY41" s="8"/>
      <c r="BZ41" s="17">
        <f t="shared" si="0"/>
        <v>184</v>
      </c>
      <c r="CA41" s="17" t="s">
        <v>247</v>
      </c>
      <c r="CC41">
        <f t="shared" si="1"/>
        <v>0.16304347826086957</v>
      </c>
      <c r="CD41" s="8">
        <f t="shared" si="2"/>
        <v>28</v>
      </c>
      <c r="CE41" s="8">
        <f t="shared" si="3"/>
        <v>111</v>
      </c>
      <c r="CF41" s="8">
        <f t="shared" si="4"/>
        <v>23</v>
      </c>
      <c r="CG41" s="19">
        <f t="shared" si="5"/>
        <v>0.2072072072072072</v>
      </c>
      <c r="CH41" t="s">
        <v>220</v>
      </c>
    </row>
    <row r="42" spans="1:86" x14ac:dyDescent="0.2">
      <c r="A42" s="10" t="s">
        <v>382</v>
      </c>
      <c r="B42" s="9" t="s">
        <v>381</v>
      </c>
      <c r="C42" s="11" t="s">
        <v>179</v>
      </c>
      <c r="D42" s="11" t="s">
        <v>383</v>
      </c>
      <c r="E42" s="11" t="s">
        <v>374</v>
      </c>
      <c r="F42" s="8">
        <v>477</v>
      </c>
      <c r="G42" s="11" t="s">
        <v>384</v>
      </c>
      <c r="H42" s="13">
        <v>3888530</v>
      </c>
      <c r="I42" s="13">
        <v>722840</v>
      </c>
      <c r="J42" s="12">
        <v>15</v>
      </c>
      <c r="K42" s="12"/>
      <c r="L42" s="14" t="s">
        <v>322</v>
      </c>
      <c r="M42" s="14" t="s">
        <v>225</v>
      </c>
      <c r="N42" s="15">
        <v>14704</v>
      </c>
      <c r="O42" s="16" t="s">
        <v>185</v>
      </c>
      <c r="T42" s="8">
        <v>0</v>
      </c>
      <c r="U42" s="8">
        <v>0</v>
      </c>
      <c r="V42" s="8">
        <v>0</v>
      </c>
      <c r="W42" s="8">
        <v>0</v>
      </c>
      <c r="X42" s="8"/>
      <c r="Y42" s="8">
        <v>0</v>
      </c>
      <c r="Z42" s="8">
        <v>0</v>
      </c>
      <c r="AA42" s="8">
        <v>0</v>
      </c>
      <c r="AB42" s="8"/>
      <c r="AC42" s="8">
        <v>0</v>
      </c>
      <c r="AD42" s="8">
        <v>810</v>
      </c>
      <c r="AE42" s="8">
        <v>134</v>
      </c>
      <c r="AF42" s="8">
        <v>25</v>
      </c>
      <c r="AG42" s="8">
        <v>0</v>
      </c>
      <c r="AH42" s="8">
        <v>0</v>
      </c>
      <c r="AI42" s="8"/>
      <c r="AJ42" s="8">
        <v>0</v>
      </c>
      <c r="AK42" s="8"/>
      <c r="AL42" s="8">
        <v>0</v>
      </c>
      <c r="AM42" s="8">
        <v>0</v>
      </c>
      <c r="AN42" s="8">
        <v>0</v>
      </c>
      <c r="AO42" s="8"/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/>
      <c r="AV42" s="8">
        <v>0</v>
      </c>
      <c r="AW42" s="8">
        <v>1</v>
      </c>
      <c r="AX42" s="8">
        <v>204</v>
      </c>
      <c r="AY42" s="8">
        <v>0</v>
      </c>
      <c r="AZ42" s="8">
        <v>5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7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1</v>
      </c>
      <c r="BM42" s="8">
        <v>0</v>
      </c>
      <c r="BN42" s="8">
        <v>0</v>
      </c>
      <c r="BO42" s="8">
        <v>0</v>
      </c>
      <c r="BP42" s="8"/>
      <c r="BQ42" s="8"/>
      <c r="BR42" s="8">
        <v>0</v>
      </c>
      <c r="BS42" s="8">
        <v>0</v>
      </c>
      <c r="BT42" s="8">
        <v>0</v>
      </c>
      <c r="BU42" s="8"/>
      <c r="BV42" s="8">
        <v>0</v>
      </c>
      <c r="BW42" s="8"/>
      <c r="BX42" s="8"/>
      <c r="BY42" s="8"/>
      <c r="BZ42" s="17">
        <f t="shared" si="0"/>
        <v>1187</v>
      </c>
      <c r="CA42" s="8" t="s">
        <v>226</v>
      </c>
      <c r="CC42">
        <f t="shared" si="1"/>
        <v>0.13984835720303285</v>
      </c>
      <c r="CD42" s="8">
        <f t="shared" si="2"/>
        <v>165</v>
      </c>
      <c r="CE42" s="8">
        <f t="shared" si="3"/>
        <v>217</v>
      </c>
      <c r="CF42" s="8">
        <f t="shared" si="4"/>
        <v>6</v>
      </c>
      <c r="CG42" s="19">
        <f t="shared" si="5"/>
        <v>2.7649769585253458E-2</v>
      </c>
      <c r="CH42" t="s">
        <v>220</v>
      </c>
    </row>
    <row r="43" spans="1:86" x14ac:dyDescent="0.2">
      <c r="A43" s="10" t="s">
        <v>385</v>
      </c>
      <c r="B43" s="9" t="s">
        <v>381</v>
      </c>
      <c r="C43" s="11" t="s">
        <v>179</v>
      </c>
      <c r="D43" s="11" t="s">
        <v>383</v>
      </c>
      <c r="E43" s="11" t="s">
        <v>374</v>
      </c>
      <c r="F43" s="8">
        <v>477</v>
      </c>
      <c r="G43" s="11" t="s">
        <v>384</v>
      </c>
      <c r="H43" s="13">
        <v>3888530</v>
      </c>
      <c r="I43" s="13">
        <v>722840</v>
      </c>
      <c r="J43" s="12">
        <v>15</v>
      </c>
      <c r="K43" s="12"/>
      <c r="L43" s="14" t="s">
        <v>386</v>
      </c>
      <c r="M43" s="14" t="s">
        <v>225</v>
      </c>
      <c r="N43" s="15">
        <v>14704</v>
      </c>
      <c r="O43" s="16" t="s">
        <v>185</v>
      </c>
      <c r="T43" s="8">
        <v>0</v>
      </c>
      <c r="U43" s="8">
        <v>0</v>
      </c>
      <c r="V43" s="8">
        <v>0</v>
      </c>
      <c r="W43" s="8">
        <v>0</v>
      </c>
      <c r="X43" s="8"/>
      <c r="Y43" s="8">
        <v>0</v>
      </c>
      <c r="Z43" s="8">
        <v>0</v>
      </c>
      <c r="AA43" s="8">
        <v>0</v>
      </c>
      <c r="AB43" s="8"/>
      <c r="AC43" s="8">
        <v>0</v>
      </c>
      <c r="AD43" s="8">
        <v>234</v>
      </c>
      <c r="AE43" s="8">
        <v>46</v>
      </c>
      <c r="AF43" s="8">
        <v>0</v>
      </c>
      <c r="AG43" s="8">
        <v>2</v>
      </c>
      <c r="AH43" s="8">
        <v>0</v>
      </c>
      <c r="AI43" s="8"/>
      <c r="AJ43" s="8">
        <v>0</v>
      </c>
      <c r="AK43" s="8"/>
      <c r="AL43" s="8">
        <v>0</v>
      </c>
      <c r="AM43" s="8">
        <v>0</v>
      </c>
      <c r="AN43" s="8">
        <v>0</v>
      </c>
      <c r="AO43" s="8"/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/>
      <c r="AV43" s="8">
        <v>0</v>
      </c>
      <c r="AW43" s="8">
        <v>0</v>
      </c>
      <c r="AX43" s="8">
        <v>3</v>
      </c>
      <c r="AY43" s="8">
        <v>1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1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/>
      <c r="BQ43" s="8"/>
      <c r="BR43" s="8">
        <v>0</v>
      </c>
      <c r="BS43" s="8">
        <v>0</v>
      </c>
      <c r="BT43" s="8">
        <v>0</v>
      </c>
      <c r="BU43" s="8"/>
      <c r="BV43" s="8">
        <v>0</v>
      </c>
      <c r="BW43" s="8"/>
      <c r="BX43" s="8"/>
      <c r="BY43" s="8"/>
      <c r="BZ43" s="17">
        <f t="shared" si="0"/>
        <v>287</v>
      </c>
      <c r="CA43" s="8" t="s">
        <v>262</v>
      </c>
      <c r="CC43">
        <f t="shared" si="1"/>
        <v>0.17073170731707318</v>
      </c>
      <c r="CD43" s="8">
        <f t="shared" si="2"/>
        <v>49</v>
      </c>
      <c r="CE43" s="8">
        <f t="shared" si="3"/>
        <v>5</v>
      </c>
      <c r="CF43" s="8">
        <f t="shared" si="4"/>
        <v>1</v>
      </c>
      <c r="CG43" s="19">
        <f t="shared" si="5"/>
        <v>0.2</v>
      </c>
      <c r="CH43" t="s">
        <v>220</v>
      </c>
    </row>
    <row r="44" spans="1:86" x14ac:dyDescent="0.2">
      <c r="A44" s="10" t="s">
        <v>388</v>
      </c>
      <c r="B44" s="9" t="s">
        <v>387</v>
      </c>
      <c r="C44" s="11" t="s">
        <v>179</v>
      </c>
      <c r="D44" s="11" t="s">
        <v>389</v>
      </c>
      <c r="E44" s="11" t="s">
        <v>374</v>
      </c>
      <c r="F44" s="8">
        <v>459</v>
      </c>
      <c r="G44" s="11" t="s">
        <v>390</v>
      </c>
      <c r="H44" s="13">
        <v>3745720</v>
      </c>
      <c r="I44" s="13">
        <v>707320</v>
      </c>
      <c r="J44" s="12">
        <v>15</v>
      </c>
      <c r="K44" s="12"/>
      <c r="L44" s="14" t="s">
        <v>391</v>
      </c>
      <c r="M44" s="14" t="s">
        <v>292</v>
      </c>
      <c r="N44" s="15">
        <v>14704</v>
      </c>
      <c r="O44" s="16" t="s">
        <v>185</v>
      </c>
      <c r="T44" s="8">
        <v>0</v>
      </c>
      <c r="U44" s="8">
        <v>0</v>
      </c>
      <c r="V44" s="8">
        <v>0</v>
      </c>
      <c r="W44" s="8">
        <v>0</v>
      </c>
      <c r="X44" s="8"/>
      <c r="Y44" s="8">
        <v>0</v>
      </c>
      <c r="Z44" s="8">
        <v>0</v>
      </c>
      <c r="AA44" s="8">
        <v>0</v>
      </c>
      <c r="AB44" s="8"/>
      <c r="AC44" s="8">
        <v>0</v>
      </c>
      <c r="AD44" s="8">
        <v>27</v>
      </c>
      <c r="AE44" s="8">
        <v>3</v>
      </c>
      <c r="AF44" s="8">
        <v>0</v>
      </c>
      <c r="AG44" s="8">
        <v>0</v>
      </c>
      <c r="AH44" s="8">
        <v>0</v>
      </c>
      <c r="AI44" s="8"/>
      <c r="AJ44" s="8">
        <v>0</v>
      </c>
      <c r="AK44" s="8"/>
      <c r="AL44" s="8">
        <v>0</v>
      </c>
      <c r="AM44" s="8">
        <v>0</v>
      </c>
      <c r="AN44" s="8">
        <v>0</v>
      </c>
      <c r="AO44" s="8"/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/>
      <c r="AV44" s="8">
        <v>0</v>
      </c>
      <c r="AW44" s="8">
        <v>0</v>
      </c>
      <c r="AX44" s="8">
        <v>1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2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/>
      <c r="BQ44" s="8"/>
      <c r="BR44" s="8">
        <v>0</v>
      </c>
      <c r="BS44" s="8">
        <v>0</v>
      </c>
      <c r="BT44" s="8">
        <v>0</v>
      </c>
      <c r="BU44" s="8"/>
      <c r="BV44" s="8">
        <v>0</v>
      </c>
      <c r="BW44" s="8"/>
      <c r="BX44" s="8"/>
      <c r="BY44" s="8"/>
      <c r="BZ44" s="17">
        <f t="shared" si="0"/>
        <v>33</v>
      </c>
      <c r="CA44" s="8" t="s">
        <v>247</v>
      </c>
      <c r="CC44">
        <f t="shared" si="1"/>
        <v>9.0909090909090912E-2</v>
      </c>
      <c r="CD44" s="8">
        <f t="shared" si="2"/>
        <v>3</v>
      </c>
      <c r="CE44" s="8">
        <f t="shared" si="3"/>
        <v>3</v>
      </c>
      <c r="CF44" s="8">
        <f t="shared" si="4"/>
        <v>0</v>
      </c>
      <c r="CG44" s="19">
        <f t="shared" si="5"/>
        <v>0</v>
      </c>
      <c r="CH44" t="s">
        <v>220</v>
      </c>
    </row>
    <row r="45" spans="1:86" x14ac:dyDescent="0.2">
      <c r="A45" s="10" t="s">
        <v>393</v>
      </c>
      <c r="B45" s="9" t="s">
        <v>392</v>
      </c>
      <c r="C45" s="11" t="s">
        <v>179</v>
      </c>
      <c r="D45" s="11" t="s">
        <v>394</v>
      </c>
      <c r="E45" s="11" t="s">
        <v>374</v>
      </c>
      <c r="F45" s="8">
        <v>465</v>
      </c>
      <c r="G45" s="11" t="s">
        <v>395</v>
      </c>
      <c r="H45" s="13">
        <v>3891230</v>
      </c>
      <c r="I45" s="13">
        <v>712120</v>
      </c>
      <c r="J45" s="12">
        <v>15</v>
      </c>
      <c r="K45" s="12"/>
      <c r="L45" s="14" t="s">
        <v>276</v>
      </c>
      <c r="M45" s="14" t="s">
        <v>225</v>
      </c>
      <c r="N45" s="15">
        <v>14705</v>
      </c>
      <c r="T45" s="8">
        <v>0</v>
      </c>
      <c r="U45" s="8">
        <v>0</v>
      </c>
      <c r="V45" s="8">
        <v>0</v>
      </c>
      <c r="W45" s="8">
        <v>0</v>
      </c>
      <c r="X45" s="8"/>
      <c r="Y45" s="8">
        <v>0</v>
      </c>
      <c r="Z45" s="8">
        <v>0</v>
      </c>
      <c r="AA45" s="8">
        <v>0</v>
      </c>
      <c r="AB45" s="8"/>
      <c r="AC45" s="8">
        <v>0</v>
      </c>
      <c r="AD45" s="8">
        <v>174</v>
      </c>
      <c r="AE45" s="8">
        <v>108</v>
      </c>
      <c r="AF45" s="8">
        <v>0</v>
      </c>
      <c r="AG45" s="8">
        <v>0</v>
      </c>
      <c r="AH45" s="8">
        <v>0</v>
      </c>
      <c r="AI45" s="8"/>
      <c r="AJ45" s="8">
        <v>0</v>
      </c>
      <c r="AK45" s="8"/>
      <c r="AL45" s="8">
        <v>0</v>
      </c>
      <c r="AM45" s="8">
        <v>0</v>
      </c>
      <c r="AN45" s="8">
        <v>0</v>
      </c>
      <c r="AO45" s="8"/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/>
      <c r="AV45" s="8">
        <v>0</v>
      </c>
      <c r="AW45" s="8">
        <v>0</v>
      </c>
      <c r="AX45" s="8">
        <v>3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/>
      <c r="BQ45" s="8"/>
      <c r="BR45" s="8">
        <v>0</v>
      </c>
      <c r="BS45" s="8">
        <v>0</v>
      </c>
      <c r="BT45" s="8">
        <v>0</v>
      </c>
      <c r="BU45" s="8"/>
      <c r="BV45" s="8">
        <v>0</v>
      </c>
      <c r="BW45" s="8"/>
      <c r="BX45" s="8"/>
      <c r="BY45" s="8"/>
      <c r="BZ45" s="17">
        <f t="shared" si="0"/>
        <v>285</v>
      </c>
      <c r="CA45" s="8" t="s">
        <v>262</v>
      </c>
      <c r="CC45">
        <f t="shared" si="1"/>
        <v>0.37894736842105264</v>
      </c>
      <c r="CD45" s="8">
        <f t="shared" si="2"/>
        <v>108</v>
      </c>
      <c r="CE45" s="8">
        <f t="shared" si="3"/>
        <v>3</v>
      </c>
      <c r="CF45" s="8">
        <f t="shared" si="4"/>
        <v>0</v>
      </c>
      <c r="CG45" s="19">
        <f t="shared" si="5"/>
        <v>0</v>
      </c>
      <c r="CH45" t="s">
        <v>220</v>
      </c>
    </row>
    <row r="46" spans="1:86" x14ac:dyDescent="0.2">
      <c r="A46" s="10" t="s">
        <v>397</v>
      </c>
      <c r="B46" s="9" t="s">
        <v>396</v>
      </c>
      <c r="C46" s="11" t="s">
        <v>179</v>
      </c>
      <c r="D46" s="11" t="s">
        <v>398</v>
      </c>
      <c r="E46" s="11" t="s">
        <v>374</v>
      </c>
      <c r="F46" s="8">
        <v>477</v>
      </c>
      <c r="G46" s="11" t="s">
        <v>399</v>
      </c>
      <c r="H46" s="13">
        <v>3888590</v>
      </c>
      <c r="I46" s="13">
        <v>727000</v>
      </c>
      <c r="J46" s="12">
        <v>15</v>
      </c>
      <c r="K46" s="12"/>
      <c r="T46" s="8">
        <v>0</v>
      </c>
      <c r="U46" s="8">
        <v>0</v>
      </c>
      <c r="V46" s="8">
        <v>0</v>
      </c>
      <c r="W46" s="8">
        <v>0</v>
      </c>
      <c r="X46" s="8"/>
      <c r="Y46" s="8">
        <v>0</v>
      </c>
      <c r="Z46" s="8">
        <v>0</v>
      </c>
      <c r="AA46" s="8">
        <v>0</v>
      </c>
      <c r="AB46" s="8"/>
      <c r="AC46" s="8">
        <v>0</v>
      </c>
      <c r="AD46" s="8">
        <v>65</v>
      </c>
      <c r="AE46" s="8">
        <v>33</v>
      </c>
      <c r="AF46" s="8">
        <v>3</v>
      </c>
      <c r="AG46" s="8">
        <v>0</v>
      </c>
      <c r="AH46" s="8">
        <v>0</v>
      </c>
      <c r="AI46" s="8"/>
      <c r="AJ46" s="8">
        <v>0</v>
      </c>
      <c r="AK46" s="8"/>
      <c r="AL46" s="8">
        <v>0</v>
      </c>
      <c r="AM46" s="8">
        <v>0</v>
      </c>
      <c r="AN46" s="8">
        <v>0</v>
      </c>
      <c r="AO46" s="8"/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/>
      <c r="AV46" s="8">
        <v>0</v>
      </c>
      <c r="AW46" s="8">
        <v>0</v>
      </c>
      <c r="AX46" s="8">
        <v>8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/>
      <c r="BQ46" s="8"/>
      <c r="BR46" s="8">
        <v>0</v>
      </c>
      <c r="BS46" s="8">
        <v>0</v>
      </c>
      <c r="BT46" s="8">
        <v>0</v>
      </c>
      <c r="BU46" s="8"/>
      <c r="BV46" s="8">
        <v>0</v>
      </c>
      <c r="BW46" s="8"/>
      <c r="BX46" s="8"/>
      <c r="BY46" s="8"/>
      <c r="BZ46" s="17">
        <f t="shared" si="0"/>
        <v>109</v>
      </c>
      <c r="CA46" s="8" t="s">
        <v>262</v>
      </c>
      <c r="CC46">
        <f t="shared" si="1"/>
        <v>0.33027522935779818</v>
      </c>
      <c r="CD46" s="8">
        <f t="shared" si="2"/>
        <v>36</v>
      </c>
      <c r="CE46" s="8">
        <f t="shared" si="3"/>
        <v>8</v>
      </c>
      <c r="CF46" s="8">
        <f t="shared" si="4"/>
        <v>0</v>
      </c>
      <c r="CG46" s="19">
        <f t="shared" si="5"/>
        <v>0</v>
      </c>
      <c r="CH46" t="s">
        <v>220</v>
      </c>
    </row>
    <row r="47" spans="1:86" x14ac:dyDescent="0.2">
      <c r="A47" s="10" t="s">
        <v>401</v>
      </c>
      <c r="B47" s="9" t="s">
        <v>400</v>
      </c>
      <c r="C47" s="11" t="s">
        <v>179</v>
      </c>
      <c r="D47" s="11" t="s">
        <v>402</v>
      </c>
      <c r="E47" s="11" t="s">
        <v>374</v>
      </c>
      <c r="F47" s="8">
        <v>459</v>
      </c>
      <c r="G47" s="11" t="s">
        <v>403</v>
      </c>
      <c r="H47" s="13">
        <v>3880450</v>
      </c>
      <c r="I47" s="13">
        <v>708240</v>
      </c>
      <c r="J47" s="12">
        <v>15</v>
      </c>
      <c r="K47" s="12"/>
      <c r="L47" s="14" t="s">
        <v>287</v>
      </c>
      <c r="M47" s="14" t="s">
        <v>404</v>
      </c>
      <c r="N47" s="15">
        <v>14689</v>
      </c>
      <c r="T47" s="8">
        <v>0</v>
      </c>
      <c r="U47" s="8">
        <v>0</v>
      </c>
      <c r="V47" s="8">
        <v>0</v>
      </c>
      <c r="W47" s="8">
        <v>0</v>
      </c>
      <c r="X47" s="8"/>
      <c r="Y47" s="8">
        <v>0</v>
      </c>
      <c r="Z47" s="8">
        <v>0</v>
      </c>
      <c r="AA47" s="8">
        <v>0</v>
      </c>
      <c r="AB47" s="8"/>
      <c r="AC47" s="8">
        <v>0</v>
      </c>
      <c r="AD47" s="8">
        <v>4</v>
      </c>
      <c r="AE47" s="8">
        <v>1</v>
      </c>
      <c r="AF47" s="8">
        <v>0</v>
      </c>
      <c r="AG47" s="8">
        <v>0</v>
      </c>
      <c r="AH47" s="8">
        <v>0</v>
      </c>
      <c r="AI47" s="8"/>
      <c r="AJ47" s="8">
        <v>0</v>
      </c>
      <c r="AK47" s="8"/>
      <c r="AL47" s="8">
        <v>0</v>
      </c>
      <c r="AM47" s="8">
        <v>0</v>
      </c>
      <c r="AN47" s="8">
        <v>0</v>
      </c>
      <c r="AO47" s="8"/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/>
      <c r="AV47" s="8">
        <v>0</v>
      </c>
      <c r="AW47" s="8">
        <v>0</v>
      </c>
      <c r="AX47" s="8">
        <v>192</v>
      </c>
      <c r="AY47" s="8">
        <v>27</v>
      </c>
      <c r="AZ47" s="8">
        <v>0</v>
      </c>
      <c r="BA47" s="8">
        <v>0</v>
      </c>
      <c r="BB47" s="8">
        <v>0</v>
      </c>
      <c r="BC47" s="8">
        <v>1</v>
      </c>
      <c r="BD47" s="8">
        <v>2</v>
      </c>
      <c r="BE47" s="8">
        <v>0</v>
      </c>
      <c r="BF47" s="8">
        <v>16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10</v>
      </c>
      <c r="BM47" s="8">
        <v>0</v>
      </c>
      <c r="BN47" s="8">
        <v>0</v>
      </c>
      <c r="BO47" s="8">
        <v>0</v>
      </c>
      <c r="BP47" s="8"/>
      <c r="BQ47" s="8"/>
      <c r="BR47" s="8">
        <v>0</v>
      </c>
      <c r="BS47" s="8">
        <v>0</v>
      </c>
      <c r="BT47" s="8">
        <v>0</v>
      </c>
      <c r="BU47" s="8"/>
      <c r="BV47" s="8">
        <v>0</v>
      </c>
      <c r="BW47" s="8"/>
      <c r="BX47" s="8"/>
      <c r="BY47" s="8"/>
      <c r="BZ47" s="17">
        <f t="shared" si="0"/>
        <v>253</v>
      </c>
      <c r="CA47" s="8" t="s">
        <v>195</v>
      </c>
      <c r="CC47">
        <f t="shared" si="1"/>
        <v>0.16205533596837945</v>
      </c>
      <c r="CD47" s="8">
        <f t="shared" si="2"/>
        <v>41</v>
      </c>
      <c r="CE47" s="8">
        <f t="shared" si="3"/>
        <v>248</v>
      </c>
      <c r="CF47" s="8">
        <f t="shared" si="4"/>
        <v>40</v>
      </c>
      <c r="CG47" s="19">
        <f t="shared" si="5"/>
        <v>0.16129032258064516</v>
      </c>
      <c r="CH47" t="s">
        <v>220</v>
      </c>
    </row>
    <row r="48" spans="1:86" x14ac:dyDescent="0.2">
      <c r="A48" s="10" t="s">
        <v>406</v>
      </c>
      <c r="B48" s="9" t="s">
        <v>405</v>
      </c>
      <c r="C48" s="11" t="s">
        <v>179</v>
      </c>
      <c r="D48" s="11" t="s">
        <v>407</v>
      </c>
      <c r="E48" s="11" t="s">
        <v>218</v>
      </c>
      <c r="F48" s="8">
        <v>694</v>
      </c>
      <c r="G48" s="11" t="s">
        <v>408</v>
      </c>
      <c r="H48" s="13">
        <v>3901650</v>
      </c>
      <c r="I48" s="13">
        <v>717460</v>
      </c>
      <c r="J48" s="12">
        <v>15</v>
      </c>
      <c r="K48" s="12"/>
      <c r="L48" s="14" t="s">
        <v>409</v>
      </c>
      <c r="M48" s="14" t="s">
        <v>232</v>
      </c>
      <c r="N48" s="15">
        <v>14698</v>
      </c>
      <c r="O48" s="16" t="s">
        <v>185</v>
      </c>
      <c r="T48" s="8">
        <v>0</v>
      </c>
      <c r="U48" s="8">
        <v>0</v>
      </c>
      <c r="V48" s="8">
        <v>0</v>
      </c>
      <c r="W48" s="8">
        <v>0</v>
      </c>
      <c r="X48" s="8"/>
      <c r="Y48" s="8">
        <v>0</v>
      </c>
      <c r="Z48" s="8">
        <v>0</v>
      </c>
      <c r="AA48" s="8">
        <v>0</v>
      </c>
      <c r="AB48" s="8"/>
      <c r="AC48" s="8">
        <v>0</v>
      </c>
      <c r="AD48" s="8">
        <v>3</v>
      </c>
      <c r="AE48" s="8">
        <v>2</v>
      </c>
      <c r="AF48" s="8">
        <v>0</v>
      </c>
      <c r="AG48" s="8">
        <v>0</v>
      </c>
      <c r="AH48" s="8">
        <v>0</v>
      </c>
      <c r="AI48" s="8"/>
      <c r="AJ48" s="8">
        <v>0</v>
      </c>
      <c r="AK48" s="8"/>
      <c r="AL48" s="8">
        <v>0</v>
      </c>
      <c r="AM48" s="8">
        <v>0</v>
      </c>
      <c r="AN48" s="8">
        <v>0</v>
      </c>
      <c r="AO48" s="8"/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/>
      <c r="AV48" s="8">
        <v>0</v>
      </c>
      <c r="AW48" s="8">
        <v>1</v>
      </c>
      <c r="AX48" s="8">
        <v>1123</v>
      </c>
      <c r="AY48" s="8">
        <v>154</v>
      </c>
      <c r="AZ48" s="8">
        <v>62</v>
      </c>
      <c r="BA48" s="8">
        <v>1</v>
      </c>
      <c r="BB48" s="8">
        <v>1</v>
      </c>
      <c r="BC48" s="8">
        <v>1</v>
      </c>
      <c r="BD48" s="8">
        <v>0</v>
      </c>
      <c r="BE48" s="8">
        <v>0</v>
      </c>
      <c r="BF48" s="8">
        <v>35</v>
      </c>
      <c r="BG48" s="8">
        <v>1</v>
      </c>
      <c r="BH48" s="8">
        <v>0</v>
      </c>
      <c r="BI48" s="8">
        <v>0</v>
      </c>
      <c r="BJ48" s="8">
        <v>0</v>
      </c>
      <c r="BK48" s="8">
        <v>0</v>
      </c>
      <c r="BL48" s="8">
        <v>22</v>
      </c>
      <c r="BM48" s="8">
        <v>0</v>
      </c>
      <c r="BN48" s="8">
        <v>0</v>
      </c>
      <c r="BO48" s="8">
        <v>0</v>
      </c>
      <c r="BP48" s="8"/>
      <c r="BQ48" s="8"/>
      <c r="BR48" s="8">
        <v>0</v>
      </c>
      <c r="BS48" s="8">
        <v>0</v>
      </c>
      <c r="BT48" s="8">
        <v>0</v>
      </c>
      <c r="BU48" s="8"/>
      <c r="BV48" s="8">
        <v>0</v>
      </c>
      <c r="BW48" s="8"/>
      <c r="BX48" s="8"/>
      <c r="BY48" s="8"/>
      <c r="BZ48" s="17">
        <f t="shared" si="0"/>
        <v>1406</v>
      </c>
      <c r="CA48" s="8" t="s">
        <v>195</v>
      </c>
      <c r="CC48">
        <f t="shared" si="1"/>
        <v>0.17425320056899005</v>
      </c>
      <c r="CD48" s="8">
        <f t="shared" si="2"/>
        <v>244</v>
      </c>
      <c r="CE48" s="8">
        <f t="shared" si="3"/>
        <v>1400</v>
      </c>
      <c r="CF48" s="8">
        <f t="shared" si="4"/>
        <v>242</v>
      </c>
      <c r="CG48" s="19">
        <f t="shared" si="5"/>
        <v>0.17285714285714285</v>
      </c>
      <c r="CH48" t="s">
        <v>220</v>
      </c>
    </row>
    <row r="49" spans="1:86" x14ac:dyDescent="0.2">
      <c r="A49" s="10" t="s">
        <v>410</v>
      </c>
      <c r="B49" s="9" t="s">
        <v>405</v>
      </c>
      <c r="C49" s="11" t="s">
        <v>179</v>
      </c>
      <c r="D49" s="11" t="s">
        <v>407</v>
      </c>
      <c r="E49" s="11" t="s">
        <v>218</v>
      </c>
      <c r="F49" s="8">
        <v>694</v>
      </c>
      <c r="G49" s="11" t="s">
        <v>408</v>
      </c>
      <c r="H49" s="13">
        <v>3901650</v>
      </c>
      <c r="I49" s="13">
        <v>717460</v>
      </c>
      <c r="J49" s="12">
        <v>15</v>
      </c>
      <c r="K49" s="12"/>
      <c r="L49" s="14" t="s">
        <v>409</v>
      </c>
      <c r="M49" s="14" t="s">
        <v>232</v>
      </c>
      <c r="N49" s="15">
        <v>14698</v>
      </c>
      <c r="O49" s="16" t="s">
        <v>185</v>
      </c>
      <c r="T49" s="8">
        <v>0</v>
      </c>
      <c r="U49" s="8">
        <v>0</v>
      </c>
      <c r="V49" s="8">
        <v>0</v>
      </c>
      <c r="W49" s="8">
        <v>0</v>
      </c>
      <c r="X49" s="8"/>
      <c r="Y49" s="8">
        <v>0</v>
      </c>
      <c r="Z49" s="8">
        <v>0</v>
      </c>
      <c r="AA49" s="8">
        <v>0</v>
      </c>
      <c r="AB49" s="8"/>
      <c r="AC49" s="8">
        <v>0</v>
      </c>
      <c r="AD49" s="8">
        <v>48</v>
      </c>
      <c r="AE49" s="8">
        <v>27</v>
      </c>
      <c r="AF49" s="8">
        <v>0</v>
      </c>
      <c r="AG49" s="8">
        <v>0</v>
      </c>
      <c r="AH49" s="8">
        <v>0</v>
      </c>
      <c r="AI49" s="8"/>
      <c r="AJ49" s="8">
        <v>0</v>
      </c>
      <c r="AK49" s="8"/>
      <c r="AL49" s="8">
        <v>0</v>
      </c>
      <c r="AM49" s="8">
        <v>0</v>
      </c>
      <c r="AN49" s="8">
        <v>0</v>
      </c>
      <c r="AO49" s="8"/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/>
      <c r="AV49" s="8">
        <v>0</v>
      </c>
      <c r="AW49" s="8">
        <v>0</v>
      </c>
      <c r="AX49" s="8">
        <v>193</v>
      </c>
      <c r="AY49" s="8">
        <v>0</v>
      </c>
      <c r="AZ49" s="8">
        <v>1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2</v>
      </c>
      <c r="BG49" s="8">
        <v>1</v>
      </c>
      <c r="BH49" s="8">
        <v>0</v>
      </c>
      <c r="BI49" s="8">
        <v>0</v>
      </c>
      <c r="BJ49" s="8">
        <v>0</v>
      </c>
      <c r="BK49" s="8">
        <v>0</v>
      </c>
      <c r="BL49" s="8">
        <v>1</v>
      </c>
      <c r="BM49" s="8">
        <v>0</v>
      </c>
      <c r="BN49" s="8">
        <v>0</v>
      </c>
      <c r="BO49" s="8">
        <v>0</v>
      </c>
      <c r="BP49" s="8"/>
      <c r="BQ49" s="8"/>
      <c r="BR49" s="8">
        <v>0</v>
      </c>
      <c r="BS49" s="8">
        <v>0</v>
      </c>
      <c r="BT49" s="8">
        <v>0</v>
      </c>
      <c r="BU49" s="8"/>
      <c r="BV49" s="8">
        <v>0</v>
      </c>
      <c r="BW49" s="8"/>
      <c r="BX49" s="8"/>
      <c r="BY49" s="8"/>
      <c r="BZ49" s="17">
        <f t="shared" si="0"/>
        <v>273</v>
      </c>
      <c r="CA49" s="8" t="s">
        <v>186</v>
      </c>
      <c r="CC49">
        <f t="shared" si="1"/>
        <v>0.10989010989010989</v>
      </c>
      <c r="CD49" s="8">
        <f t="shared" si="2"/>
        <v>30</v>
      </c>
      <c r="CE49" s="8">
        <f t="shared" si="3"/>
        <v>198</v>
      </c>
      <c r="CF49" s="8">
        <f t="shared" si="4"/>
        <v>3</v>
      </c>
      <c r="CG49" s="19">
        <f t="shared" si="5"/>
        <v>1.5151515151515152E-2</v>
      </c>
      <c r="CH49" t="s">
        <v>220</v>
      </c>
    </row>
    <row r="50" spans="1:86" x14ac:dyDescent="0.2">
      <c r="A50" s="10" t="s">
        <v>412</v>
      </c>
      <c r="B50" s="9" t="s">
        <v>411</v>
      </c>
      <c r="C50" s="11" t="s">
        <v>179</v>
      </c>
      <c r="D50" s="11" t="s">
        <v>413</v>
      </c>
      <c r="E50" s="11" t="s">
        <v>374</v>
      </c>
      <c r="F50" s="8">
        <v>459</v>
      </c>
      <c r="G50" s="11" t="s">
        <v>414</v>
      </c>
      <c r="H50" s="13">
        <v>3888750</v>
      </c>
      <c r="I50" s="13">
        <f>LOOKUP(A50,'[1]AMASDA DATA'!B42:B218,'[1]AMASDA DATA'!I42:I218)</f>
        <v>710000</v>
      </c>
      <c r="J50" s="12">
        <v>15</v>
      </c>
      <c r="K50" s="12"/>
      <c r="L50" s="14" t="s">
        <v>350</v>
      </c>
      <c r="M50" s="14" t="s">
        <v>415</v>
      </c>
      <c r="N50" s="15">
        <v>14689</v>
      </c>
      <c r="O50" s="16" t="s">
        <v>185</v>
      </c>
      <c r="T50" s="8">
        <v>0</v>
      </c>
      <c r="U50" s="8">
        <v>0</v>
      </c>
      <c r="V50" s="8">
        <v>0</v>
      </c>
      <c r="W50" s="8">
        <v>0</v>
      </c>
      <c r="X50" s="8"/>
      <c r="Y50" s="8">
        <v>0</v>
      </c>
      <c r="Z50" s="8">
        <v>0</v>
      </c>
      <c r="AA50" s="8">
        <v>0</v>
      </c>
      <c r="AB50" s="8"/>
      <c r="AC50" s="8">
        <v>0</v>
      </c>
      <c r="AD50" s="8">
        <v>1</v>
      </c>
      <c r="AE50" s="8">
        <v>0</v>
      </c>
      <c r="AF50" s="8">
        <v>0</v>
      </c>
      <c r="AG50" s="8">
        <v>1</v>
      </c>
      <c r="AH50" s="8">
        <v>0</v>
      </c>
      <c r="AI50" s="8"/>
      <c r="AJ50" s="8">
        <v>0</v>
      </c>
      <c r="AK50" s="8"/>
      <c r="AL50" s="8">
        <v>0</v>
      </c>
      <c r="AM50" s="8">
        <v>0</v>
      </c>
      <c r="AN50" s="8">
        <v>0</v>
      </c>
      <c r="AO50" s="8"/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/>
      <c r="AV50" s="8">
        <v>0</v>
      </c>
      <c r="AW50" s="8">
        <v>1</v>
      </c>
      <c r="AX50" s="8">
        <v>486</v>
      </c>
      <c r="AY50" s="8">
        <v>48</v>
      </c>
      <c r="AZ50" s="8">
        <v>71</v>
      </c>
      <c r="BA50" s="8">
        <v>0</v>
      </c>
      <c r="BB50" s="8">
        <v>0</v>
      </c>
      <c r="BC50" s="8">
        <v>1</v>
      </c>
      <c r="BD50" s="8">
        <v>0</v>
      </c>
      <c r="BE50" s="8">
        <v>0</v>
      </c>
      <c r="BF50" s="8">
        <v>6</v>
      </c>
      <c r="BG50" s="8">
        <v>6</v>
      </c>
      <c r="BH50" s="8">
        <v>1</v>
      </c>
      <c r="BI50" s="8">
        <v>0</v>
      </c>
      <c r="BJ50" s="8">
        <v>0</v>
      </c>
      <c r="BK50" s="8">
        <v>0</v>
      </c>
      <c r="BL50" s="8">
        <v>100</v>
      </c>
      <c r="BM50" s="8">
        <v>0</v>
      </c>
      <c r="BN50" s="8">
        <v>0</v>
      </c>
      <c r="BO50" s="8">
        <v>2</v>
      </c>
      <c r="BP50" s="8"/>
      <c r="BQ50" s="8"/>
      <c r="BR50" s="8">
        <v>0</v>
      </c>
      <c r="BS50" s="8">
        <v>0</v>
      </c>
      <c r="BT50" s="8">
        <v>0</v>
      </c>
      <c r="BU50" s="8"/>
      <c r="BV50" s="8">
        <v>0</v>
      </c>
      <c r="BW50" s="8"/>
      <c r="BX50" s="8"/>
      <c r="BY50" s="8"/>
      <c r="BZ50" s="17">
        <f t="shared" si="0"/>
        <v>724</v>
      </c>
      <c r="CA50" s="8" t="s">
        <v>195</v>
      </c>
      <c r="CC50">
        <f t="shared" si="1"/>
        <v>0.31906077348066297</v>
      </c>
      <c r="CD50" s="8">
        <f t="shared" si="2"/>
        <v>230</v>
      </c>
      <c r="CE50" s="8">
        <f t="shared" si="3"/>
        <v>721</v>
      </c>
      <c r="CF50" s="8">
        <f t="shared" si="4"/>
        <v>229</v>
      </c>
      <c r="CG50" s="19">
        <f t="shared" si="5"/>
        <v>0.31761442441054094</v>
      </c>
      <c r="CH50" t="s">
        <v>220</v>
      </c>
    </row>
    <row r="51" spans="1:86" x14ac:dyDescent="0.2">
      <c r="A51" s="10" t="s">
        <v>417</v>
      </c>
      <c r="B51" s="9" t="s">
        <v>416</v>
      </c>
      <c r="C51" s="11" t="s">
        <v>179</v>
      </c>
      <c r="D51" s="11" t="s">
        <v>418</v>
      </c>
      <c r="E51" s="11" t="s">
        <v>218</v>
      </c>
      <c r="F51" s="8">
        <v>465</v>
      </c>
      <c r="G51" s="11" t="s">
        <v>419</v>
      </c>
      <c r="H51" s="13">
        <v>3900660</v>
      </c>
      <c r="I51" s="13">
        <v>712820</v>
      </c>
      <c r="J51" s="12">
        <v>15</v>
      </c>
      <c r="K51" s="12"/>
      <c r="L51" s="14" t="s">
        <v>350</v>
      </c>
      <c r="M51" s="14" t="s">
        <v>232</v>
      </c>
      <c r="N51" s="15">
        <v>14698</v>
      </c>
      <c r="O51" s="16" t="s">
        <v>185</v>
      </c>
      <c r="T51" s="8">
        <v>0</v>
      </c>
      <c r="U51" s="8">
        <v>0</v>
      </c>
      <c r="V51" s="8">
        <v>0</v>
      </c>
      <c r="W51" s="8">
        <v>0</v>
      </c>
      <c r="X51" s="8"/>
      <c r="Y51" s="8">
        <v>0</v>
      </c>
      <c r="Z51" s="8">
        <v>0</v>
      </c>
      <c r="AA51" s="8">
        <v>0</v>
      </c>
      <c r="AB51" s="8"/>
      <c r="AC51" s="8">
        <v>0</v>
      </c>
      <c r="AD51" s="8">
        <v>116</v>
      </c>
      <c r="AE51" s="8">
        <v>50</v>
      </c>
      <c r="AF51" s="8">
        <v>0</v>
      </c>
      <c r="AG51" s="8">
        <v>0</v>
      </c>
      <c r="AH51" s="8">
        <v>0</v>
      </c>
      <c r="AI51" s="8"/>
      <c r="AJ51" s="8">
        <v>0</v>
      </c>
      <c r="AK51" s="8"/>
      <c r="AL51" s="8">
        <v>0</v>
      </c>
      <c r="AM51" s="8">
        <v>0</v>
      </c>
      <c r="AN51" s="8">
        <v>0</v>
      </c>
      <c r="AO51" s="8"/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/>
      <c r="AV51" s="8">
        <v>0</v>
      </c>
      <c r="AW51" s="8">
        <v>0</v>
      </c>
      <c r="AX51" s="8">
        <v>505</v>
      </c>
      <c r="AY51" s="8">
        <v>5</v>
      </c>
      <c r="AZ51" s="8">
        <v>9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5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8</v>
      </c>
      <c r="BM51" s="8">
        <v>0</v>
      </c>
      <c r="BN51" s="8">
        <v>0</v>
      </c>
      <c r="BO51" s="8">
        <v>0</v>
      </c>
      <c r="BP51" s="8"/>
      <c r="BQ51" s="8"/>
      <c r="BR51" s="8">
        <v>0</v>
      </c>
      <c r="BS51" s="8">
        <v>0</v>
      </c>
      <c r="BT51" s="8">
        <v>0</v>
      </c>
      <c r="BU51" s="8"/>
      <c r="BV51" s="8">
        <v>0</v>
      </c>
      <c r="BW51" s="8"/>
      <c r="BX51" s="8"/>
      <c r="BY51" s="8"/>
      <c r="BZ51" s="17">
        <f t="shared" si="0"/>
        <v>698</v>
      </c>
      <c r="CA51" s="8" t="s">
        <v>186</v>
      </c>
      <c r="CC51">
        <f t="shared" si="1"/>
        <v>0.10315186246418338</v>
      </c>
      <c r="CD51" s="8">
        <f t="shared" si="2"/>
        <v>72</v>
      </c>
      <c r="CE51" s="8">
        <f t="shared" si="3"/>
        <v>532</v>
      </c>
      <c r="CF51" s="8">
        <f t="shared" si="4"/>
        <v>22</v>
      </c>
      <c r="CG51" s="19">
        <f t="shared" si="5"/>
        <v>4.1353383458646614E-2</v>
      </c>
      <c r="CH51" t="s">
        <v>220</v>
      </c>
    </row>
    <row r="52" spans="1:86" x14ac:dyDescent="0.2">
      <c r="A52" s="10" t="s">
        <v>421</v>
      </c>
      <c r="B52" s="9" t="s">
        <v>420</v>
      </c>
      <c r="C52" s="11" t="s">
        <v>179</v>
      </c>
      <c r="D52" s="11" t="s">
        <v>422</v>
      </c>
      <c r="E52" s="11" t="s">
        <v>218</v>
      </c>
      <c r="F52" s="8">
        <v>465</v>
      </c>
      <c r="G52" s="11" t="s">
        <v>423</v>
      </c>
      <c r="H52" s="13">
        <v>3898930</v>
      </c>
      <c r="I52" s="13">
        <v>714520</v>
      </c>
      <c r="J52" s="12">
        <v>15</v>
      </c>
      <c r="K52" s="12"/>
      <c r="L52" s="14" t="s">
        <v>424</v>
      </c>
      <c r="M52" s="14" t="s">
        <v>232</v>
      </c>
      <c r="N52" s="15">
        <v>14698</v>
      </c>
      <c r="O52" s="16" t="s">
        <v>185</v>
      </c>
      <c r="T52" s="8">
        <v>0</v>
      </c>
      <c r="U52" s="8">
        <v>0</v>
      </c>
      <c r="V52" s="8">
        <v>0</v>
      </c>
      <c r="W52" s="8">
        <v>0</v>
      </c>
      <c r="X52" s="8"/>
      <c r="Y52" s="8">
        <v>0</v>
      </c>
      <c r="Z52" s="8">
        <v>0</v>
      </c>
      <c r="AA52" s="8">
        <v>0</v>
      </c>
      <c r="AB52" s="8"/>
      <c r="AC52" s="8">
        <v>0</v>
      </c>
      <c r="AD52" s="8">
        <v>172</v>
      </c>
      <c r="AE52" s="8">
        <v>20</v>
      </c>
      <c r="AF52" s="8">
        <v>0</v>
      </c>
      <c r="AG52" s="8">
        <v>0</v>
      </c>
      <c r="AH52" s="8">
        <v>0</v>
      </c>
      <c r="AI52" s="8"/>
      <c r="AJ52" s="8">
        <v>0</v>
      </c>
      <c r="AK52" s="8"/>
      <c r="AL52" s="8">
        <v>0</v>
      </c>
      <c r="AM52" s="8">
        <v>0</v>
      </c>
      <c r="AN52" s="8">
        <v>0</v>
      </c>
      <c r="AO52" s="8"/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/>
      <c r="AV52" s="8">
        <v>0</v>
      </c>
      <c r="AW52" s="8">
        <v>0</v>
      </c>
      <c r="AX52" s="8">
        <v>28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3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/>
      <c r="BQ52" s="8"/>
      <c r="BR52" s="8">
        <v>0</v>
      </c>
      <c r="BS52" s="8">
        <v>0</v>
      </c>
      <c r="BT52" s="8">
        <v>0</v>
      </c>
      <c r="BU52" s="8"/>
      <c r="BV52" s="8">
        <v>0</v>
      </c>
      <c r="BW52" s="8"/>
      <c r="BX52" s="8"/>
      <c r="BY52" s="8"/>
      <c r="BZ52" s="17">
        <f t="shared" si="0"/>
        <v>223</v>
      </c>
      <c r="CA52" s="8" t="s">
        <v>262</v>
      </c>
      <c r="CC52">
        <f t="shared" si="1"/>
        <v>8.9686098654708515E-2</v>
      </c>
      <c r="CD52" s="8">
        <f t="shared" si="2"/>
        <v>20</v>
      </c>
      <c r="CE52" s="8">
        <f t="shared" si="3"/>
        <v>31</v>
      </c>
      <c r="CF52" s="8">
        <f t="shared" si="4"/>
        <v>0</v>
      </c>
      <c r="CG52" s="19">
        <f t="shared" si="5"/>
        <v>0</v>
      </c>
      <c r="CH52" t="s">
        <v>220</v>
      </c>
    </row>
    <row r="53" spans="1:86" x14ac:dyDescent="0.2">
      <c r="A53" s="10" t="s">
        <v>426</v>
      </c>
      <c r="B53" s="9" t="s">
        <v>425</v>
      </c>
      <c r="C53" s="11" t="s">
        <v>179</v>
      </c>
      <c r="D53" s="11" t="s">
        <v>427</v>
      </c>
      <c r="E53" s="11" t="s">
        <v>218</v>
      </c>
      <c r="F53" s="8">
        <v>694</v>
      </c>
      <c r="G53" s="11" t="s">
        <v>428</v>
      </c>
      <c r="H53" s="13">
        <v>3894330</v>
      </c>
      <c r="I53" s="13">
        <v>720150</v>
      </c>
      <c r="J53" s="12">
        <v>15</v>
      </c>
      <c r="K53" s="12"/>
      <c r="L53" s="14" t="s">
        <v>429</v>
      </c>
      <c r="M53" s="14" t="s">
        <v>268</v>
      </c>
      <c r="N53" s="15">
        <v>14703</v>
      </c>
      <c r="O53" s="16" t="s">
        <v>430</v>
      </c>
      <c r="T53" s="8">
        <v>0</v>
      </c>
      <c r="U53" s="8">
        <v>0</v>
      </c>
      <c r="V53" s="8">
        <v>0</v>
      </c>
      <c r="W53" s="8">
        <v>0</v>
      </c>
      <c r="X53" s="8"/>
      <c r="Y53" s="8">
        <v>0</v>
      </c>
      <c r="Z53" s="8">
        <v>0</v>
      </c>
      <c r="AA53" s="8">
        <v>0</v>
      </c>
      <c r="AB53" s="8"/>
      <c r="AC53" s="8">
        <v>0</v>
      </c>
      <c r="AD53" s="8">
        <v>460</v>
      </c>
      <c r="AE53" s="8">
        <v>17</v>
      </c>
      <c r="AF53" s="8">
        <v>0</v>
      </c>
      <c r="AG53" s="8">
        <v>0</v>
      </c>
      <c r="AH53" s="8">
        <v>0</v>
      </c>
      <c r="AI53" s="8"/>
      <c r="AJ53" s="8">
        <v>0</v>
      </c>
      <c r="AK53" s="8"/>
      <c r="AL53" s="8">
        <v>0</v>
      </c>
      <c r="AM53" s="8">
        <v>0</v>
      </c>
      <c r="AN53" s="8">
        <v>0</v>
      </c>
      <c r="AO53" s="8"/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/>
      <c r="AV53" s="8">
        <v>0</v>
      </c>
      <c r="AW53" s="8">
        <v>1</v>
      </c>
      <c r="AX53" s="8">
        <v>9</v>
      </c>
      <c r="AY53" s="8">
        <v>0</v>
      </c>
      <c r="AZ53" s="8">
        <v>1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/>
      <c r="BQ53" s="8"/>
      <c r="BR53" s="8">
        <v>0</v>
      </c>
      <c r="BS53" s="8">
        <v>0</v>
      </c>
      <c r="BT53" s="8">
        <v>0</v>
      </c>
      <c r="BU53" s="8"/>
      <c r="BV53" s="8">
        <v>0</v>
      </c>
      <c r="BW53" s="8"/>
      <c r="BX53" s="8"/>
      <c r="BY53" s="8"/>
      <c r="BZ53" s="17">
        <f t="shared" si="0"/>
        <v>488</v>
      </c>
      <c r="CA53" s="8" t="s">
        <v>226</v>
      </c>
      <c r="CC53">
        <f t="shared" si="1"/>
        <v>3.8934426229508198E-2</v>
      </c>
      <c r="CD53" s="8">
        <f t="shared" si="2"/>
        <v>18</v>
      </c>
      <c r="CE53" s="8">
        <f t="shared" si="3"/>
        <v>10</v>
      </c>
      <c r="CF53" s="8">
        <f t="shared" si="4"/>
        <v>1</v>
      </c>
      <c r="CG53" s="19">
        <f t="shared" si="5"/>
        <v>0.1</v>
      </c>
      <c r="CH53" t="s">
        <v>220</v>
      </c>
    </row>
    <row r="54" spans="1:86" x14ac:dyDescent="0.2">
      <c r="A54" s="10" t="s">
        <v>432</v>
      </c>
      <c r="B54" s="9" t="s">
        <v>431</v>
      </c>
      <c r="C54" s="11" t="s">
        <v>179</v>
      </c>
      <c r="D54" s="11" t="s">
        <v>433</v>
      </c>
      <c r="E54" s="11" t="s">
        <v>218</v>
      </c>
      <c r="F54" s="8">
        <v>694</v>
      </c>
      <c r="G54" s="11" t="s">
        <v>434</v>
      </c>
      <c r="H54" s="13">
        <v>3896200</v>
      </c>
      <c r="I54" s="13">
        <v>721340</v>
      </c>
      <c r="J54" s="12">
        <v>15</v>
      </c>
      <c r="K54" s="12"/>
      <c r="L54" s="14" t="s">
        <v>435</v>
      </c>
      <c r="M54" s="14" t="s">
        <v>436</v>
      </c>
      <c r="N54" s="15">
        <v>14721</v>
      </c>
      <c r="T54" s="8">
        <v>0</v>
      </c>
      <c r="U54" s="8">
        <v>0</v>
      </c>
      <c r="V54" s="8">
        <v>0</v>
      </c>
      <c r="W54" s="8">
        <v>0</v>
      </c>
      <c r="X54" s="8"/>
      <c r="Y54" s="8">
        <v>0</v>
      </c>
      <c r="Z54" s="8">
        <v>0</v>
      </c>
      <c r="AA54" s="8">
        <v>0</v>
      </c>
      <c r="AB54" s="8"/>
      <c r="AC54" s="8">
        <v>0</v>
      </c>
      <c r="AD54" s="8">
        <v>23</v>
      </c>
      <c r="AE54" s="8">
        <v>0</v>
      </c>
      <c r="AF54" s="8">
        <v>0</v>
      </c>
      <c r="AG54" s="8">
        <v>0</v>
      </c>
      <c r="AH54" s="8">
        <v>0</v>
      </c>
      <c r="AI54" s="8"/>
      <c r="AJ54" s="8">
        <v>0</v>
      </c>
      <c r="AK54" s="8"/>
      <c r="AL54" s="8">
        <v>0</v>
      </c>
      <c r="AM54" s="8">
        <v>0</v>
      </c>
      <c r="AN54" s="8">
        <v>0</v>
      </c>
      <c r="AO54" s="8"/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/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/>
      <c r="BQ54" s="8"/>
      <c r="BR54" s="8">
        <v>0</v>
      </c>
      <c r="BS54" s="8">
        <v>0</v>
      </c>
      <c r="BT54" s="8">
        <v>0</v>
      </c>
      <c r="BU54" s="8"/>
      <c r="BV54" s="8">
        <v>0</v>
      </c>
      <c r="BW54" s="8"/>
      <c r="BX54" s="8"/>
      <c r="BY54" s="8"/>
      <c r="BZ54" s="17">
        <f t="shared" si="0"/>
        <v>23</v>
      </c>
      <c r="CA54" s="8" t="s">
        <v>247</v>
      </c>
      <c r="CC54">
        <f t="shared" si="1"/>
        <v>0</v>
      </c>
      <c r="CD54" s="8">
        <f t="shared" si="2"/>
        <v>0</v>
      </c>
      <c r="CE54" s="8">
        <f t="shared" si="3"/>
        <v>0</v>
      </c>
      <c r="CF54" s="8">
        <f t="shared" si="4"/>
        <v>0</v>
      </c>
      <c r="CG54" s="19" t="e">
        <f t="shared" si="5"/>
        <v>#DIV/0!</v>
      </c>
      <c r="CH54" t="s">
        <v>220</v>
      </c>
    </row>
    <row r="55" spans="1:86" x14ac:dyDescent="0.2">
      <c r="A55" s="10" t="s">
        <v>438</v>
      </c>
      <c r="B55" s="9" t="s">
        <v>437</v>
      </c>
      <c r="C55" s="11" t="s">
        <v>179</v>
      </c>
      <c r="D55" s="11" t="s">
        <v>439</v>
      </c>
      <c r="E55" s="11" t="s">
        <v>440</v>
      </c>
      <c r="F55" s="8">
        <v>416</v>
      </c>
      <c r="G55" s="11" t="s">
        <v>441</v>
      </c>
      <c r="H55" s="13">
        <v>3851260</v>
      </c>
      <c r="I55" s="13">
        <v>717650</v>
      </c>
      <c r="J55" s="12">
        <v>15</v>
      </c>
      <c r="K55" s="12"/>
      <c r="L55" s="14" t="s">
        <v>442</v>
      </c>
      <c r="M55" s="14" t="s">
        <v>292</v>
      </c>
      <c r="N55" s="15">
        <v>14703</v>
      </c>
      <c r="T55" s="8">
        <v>0</v>
      </c>
      <c r="U55" s="8">
        <v>0</v>
      </c>
      <c r="V55" s="8">
        <v>0</v>
      </c>
      <c r="W55" s="8">
        <v>0</v>
      </c>
      <c r="X55" s="8"/>
      <c r="Y55" s="8">
        <v>0</v>
      </c>
      <c r="Z55" s="8">
        <v>0</v>
      </c>
      <c r="AA55" s="8">
        <v>0</v>
      </c>
      <c r="AB55" s="8"/>
      <c r="AC55" s="8">
        <v>0</v>
      </c>
      <c r="AD55" s="8">
        <v>49</v>
      </c>
      <c r="AE55" s="8">
        <v>127</v>
      </c>
      <c r="AF55" s="8">
        <v>0</v>
      </c>
      <c r="AG55" s="8">
        <v>0</v>
      </c>
      <c r="AH55" s="8">
        <v>0</v>
      </c>
      <c r="AI55" s="8"/>
      <c r="AJ55" s="8">
        <v>0</v>
      </c>
      <c r="AK55" s="8"/>
      <c r="AL55" s="8">
        <v>2</v>
      </c>
      <c r="AM55" s="8">
        <v>0</v>
      </c>
      <c r="AN55" s="8">
        <v>0</v>
      </c>
      <c r="AO55" s="8"/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/>
      <c r="AV55" s="8">
        <v>0</v>
      </c>
      <c r="AW55" s="8">
        <v>0</v>
      </c>
      <c r="AX55" s="8">
        <v>3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/>
      <c r="BQ55" s="8"/>
      <c r="BR55" s="8">
        <v>0</v>
      </c>
      <c r="BS55" s="8">
        <v>0</v>
      </c>
      <c r="BT55" s="8">
        <v>0</v>
      </c>
      <c r="BU55" s="8"/>
      <c r="BV55" s="8">
        <v>0</v>
      </c>
      <c r="BW55" s="8"/>
      <c r="BX55" s="8"/>
      <c r="BY55" s="8"/>
      <c r="BZ55" s="17">
        <f t="shared" si="0"/>
        <v>181</v>
      </c>
      <c r="CA55" s="8" t="s">
        <v>262</v>
      </c>
      <c r="CC55">
        <f t="shared" si="1"/>
        <v>0.71270718232044195</v>
      </c>
      <c r="CD55" s="8">
        <f t="shared" si="2"/>
        <v>129</v>
      </c>
      <c r="CE55" s="8">
        <f t="shared" si="3"/>
        <v>3</v>
      </c>
      <c r="CF55" s="8">
        <f t="shared" si="4"/>
        <v>0</v>
      </c>
      <c r="CG55" s="19">
        <f t="shared" si="5"/>
        <v>0</v>
      </c>
      <c r="CH55" t="s">
        <v>220</v>
      </c>
    </row>
    <row r="56" spans="1:86" x14ac:dyDescent="0.2">
      <c r="A56" s="10" t="s">
        <v>444</v>
      </c>
      <c r="B56" s="9" t="s">
        <v>443</v>
      </c>
      <c r="C56" s="11" t="s">
        <v>179</v>
      </c>
      <c r="D56" s="11" t="s">
        <v>445</v>
      </c>
      <c r="E56" s="11" t="s">
        <v>304</v>
      </c>
      <c r="F56" s="8">
        <v>975</v>
      </c>
      <c r="G56" s="11" t="s">
        <v>446</v>
      </c>
      <c r="H56" s="13">
        <v>3887490</v>
      </c>
      <c r="I56" s="13">
        <v>746480</v>
      </c>
      <c r="J56" s="12">
        <v>15</v>
      </c>
      <c r="K56" s="12"/>
      <c r="L56" s="14" t="s">
        <v>447</v>
      </c>
      <c r="M56" s="14" t="s">
        <v>277</v>
      </c>
      <c r="N56" s="15">
        <v>14716</v>
      </c>
      <c r="O56" s="16" t="s">
        <v>185</v>
      </c>
      <c r="T56" s="8">
        <v>0</v>
      </c>
      <c r="U56" s="8">
        <v>0</v>
      </c>
      <c r="V56" s="8">
        <v>0</v>
      </c>
      <c r="W56" s="8">
        <v>0</v>
      </c>
      <c r="X56" s="8"/>
      <c r="Y56" s="8">
        <v>0</v>
      </c>
      <c r="Z56" s="8">
        <v>0</v>
      </c>
      <c r="AA56" s="8">
        <v>0</v>
      </c>
      <c r="AB56" s="8"/>
      <c r="AC56" s="8">
        <v>0</v>
      </c>
      <c r="AD56" s="8">
        <v>40</v>
      </c>
      <c r="AE56" s="8">
        <v>2</v>
      </c>
      <c r="AF56" s="8">
        <v>0</v>
      </c>
      <c r="AG56" s="8">
        <v>0</v>
      </c>
      <c r="AH56" s="8">
        <v>0</v>
      </c>
      <c r="AI56" s="8"/>
      <c r="AJ56" s="8">
        <v>0</v>
      </c>
      <c r="AK56" s="8"/>
      <c r="AL56" s="8">
        <v>0</v>
      </c>
      <c r="AM56" s="8">
        <v>0</v>
      </c>
      <c r="AN56" s="8">
        <v>0</v>
      </c>
      <c r="AO56" s="8"/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/>
      <c r="AV56" s="8">
        <v>0</v>
      </c>
      <c r="AW56" s="8">
        <v>0</v>
      </c>
      <c r="AX56" s="8">
        <v>351</v>
      </c>
      <c r="AY56" s="8">
        <v>1</v>
      </c>
      <c r="AZ56" s="8">
        <v>19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78</v>
      </c>
      <c r="BG56" s="8">
        <v>0</v>
      </c>
      <c r="BH56" s="8">
        <v>0</v>
      </c>
      <c r="BI56" s="8">
        <v>0</v>
      </c>
      <c r="BJ56" s="8">
        <v>0</v>
      </c>
      <c r="BK56" s="8">
        <v>4</v>
      </c>
      <c r="BL56" s="8">
        <v>1</v>
      </c>
      <c r="BM56" s="8">
        <v>0</v>
      </c>
      <c r="BN56" s="8">
        <v>0</v>
      </c>
      <c r="BO56" s="8">
        <v>1</v>
      </c>
      <c r="BP56" s="8"/>
      <c r="BQ56" s="8"/>
      <c r="BR56" s="8">
        <v>0</v>
      </c>
      <c r="BS56" s="8">
        <v>0</v>
      </c>
      <c r="BT56" s="8">
        <v>0</v>
      </c>
      <c r="BU56" s="8"/>
      <c r="BV56" s="8">
        <v>0</v>
      </c>
      <c r="BW56" s="8"/>
      <c r="BX56" s="8"/>
      <c r="BY56" s="8"/>
      <c r="BZ56" s="17">
        <f t="shared" si="0"/>
        <v>497</v>
      </c>
      <c r="CA56" s="17" t="s">
        <v>186</v>
      </c>
      <c r="CC56">
        <f t="shared" si="1"/>
        <v>5.6338028169014086E-2</v>
      </c>
      <c r="CD56" s="8">
        <f t="shared" si="2"/>
        <v>28</v>
      </c>
      <c r="CE56" s="8">
        <f t="shared" si="3"/>
        <v>455</v>
      </c>
      <c r="CF56" s="8">
        <f t="shared" si="4"/>
        <v>26</v>
      </c>
      <c r="CG56" s="19">
        <f t="shared" si="5"/>
        <v>5.7142857142857141E-2</v>
      </c>
      <c r="CH56" t="s">
        <v>188</v>
      </c>
    </row>
    <row r="57" spans="1:86" x14ac:dyDescent="0.2">
      <c r="A57" s="10" t="s">
        <v>448</v>
      </c>
      <c r="B57" s="9" t="s">
        <v>45</v>
      </c>
      <c r="C57" s="11" t="s">
        <v>179</v>
      </c>
      <c r="D57" s="11" t="s">
        <v>449</v>
      </c>
      <c r="E57" s="11" t="s">
        <v>304</v>
      </c>
      <c r="F57" s="8">
        <v>975</v>
      </c>
      <c r="G57" s="11" t="s">
        <v>450</v>
      </c>
      <c r="H57" s="13">
        <v>3878800</v>
      </c>
      <c r="I57" s="13">
        <v>741000</v>
      </c>
      <c r="J57" s="12">
        <v>15</v>
      </c>
      <c r="K57" s="12"/>
      <c r="T57" s="8">
        <v>0</v>
      </c>
      <c r="U57" s="8">
        <v>0</v>
      </c>
      <c r="V57" s="8">
        <v>0</v>
      </c>
      <c r="W57" s="8">
        <v>0</v>
      </c>
      <c r="X57" s="8"/>
      <c r="Y57" s="8">
        <v>0</v>
      </c>
      <c r="Z57" s="8">
        <v>0</v>
      </c>
      <c r="AA57" s="8">
        <v>0</v>
      </c>
      <c r="AB57" s="8"/>
      <c r="AC57" s="8">
        <v>0</v>
      </c>
      <c r="AD57" s="8">
        <v>98</v>
      </c>
      <c r="AE57" s="8">
        <v>25</v>
      </c>
      <c r="AF57" s="8">
        <v>15</v>
      </c>
      <c r="AG57" s="8">
        <v>0</v>
      </c>
      <c r="AH57" s="8">
        <v>0</v>
      </c>
      <c r="AI57" s="8"/>
      <c r="AJ57" s="8">
        <v>0</v>
      </c>
      <c r="AK57" s="8"/>
      <c r="AL57" s="8">
        <v>0</v>
      </c>
      <c r="AM57" s="8">
        <v>0</v>
      </c>
      <c r="AN57" s="8">
        <v>0</v>
      </c>
      <c r="AO57" s="8"/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/>
      <c r="AV57" s="8">
        <v>3</v>
      </c>
      <c r="AW57" s="8">
        <v>0</v>
      </c>
      <c r="AX57" s="8">
        <v>247</v>
      </c>
      <c r="AY57" s="8">
        <v>40</v>
      </c>
      <c r="AZ57" s="8">
        <v>11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132</v>
      </c>
      <c r="BG57" s="8">
        <v>6</v>
      </c>
      <c r="BH57" s="8">
        <v>0</v>
      </c>
      <c r="BI57" s="8">
        <v>2</v>
      </c>
      <c r="BJ57" s="8">
        <v>1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/>
      <c r="BQ57" s="8"/>
      <c r="BR57" s="8">
        <v>0</v>
      </c>
      <c r="BS57" s="8">
        <v>0</v>
      </c>
      <c r="BT57" s="8">
        <v>0</v>
      </c>
      <c r="BU57" s="8"/>
      <c r="BV57" s="8">
        <v>0</v>
      </c>
      <c r="BW57" s="8"/>
      <c r="BX57" s="8"/>
      <c r="BY57" s="8"/>
      <c r="BZ57" s="17">
        <f t="shared" si="0"/>
        <v>580</v>
      </c>
      <c r="CA57" s="17" t="s">
        <v>186</v>
      </c>
      <c r="CC57">
        <f t="shared" si="1"/>
        <v>0.17758620689655172</v>
      </c>
      <c r="CD57" s="8">
        <f t="shared" si="2"/>
        <v>103</v>
      </c>
      <c r="CE57" s="8">
        <f t="shared" si="3"/>
        <v>439</v>
      </c>
      <c r="CF57" s="8">
        <f t="shared" si="4"/>
        <v>60</v>
      </c>
      <c r="CG57" s="19">
        <f t="shared" si="5"/>
        <v>0.1366742596810934</v>
      </c>
      <c r="CH57" t="s">
        <v>188</v>
      </c>
    </row>
    <row r="58" spans="1:86" x14ac:dyDescent="0.2">
      <c r="A58" s="10" t="s">
        <v>451</v>
      </c>
      <c r="B58" s="9" t="s">
        <v>45</v>
      </c>
      <c r="C58" s="11" t="s">
        <v>179</v>
      </c>
      <c r="D58" s="11" t="s">
        <v>449</v>
      </c>
      <c r="E58" s="11" t="s">
        <v>304</v>
      </c>
      <c r="F58" s="8">
        <v>975</v>
      </c>
      <c r="G58" s="11" t="s">
        <v>450</v>
      </c>
      <c r="H58" s="13">
        <v>3878800</v>
      </c>
      <c r="I58" s="13">
        <v>741000</v>
      </c>
      <c r="J58" s="12">
        <v>15</v>
      </c>
      <c r="K58" s="12"/>
      <c r="T58" s="8">
        <v>0</v>
      </c>
      <c r="U58" s="8">
        <v>0</v>
      </c>
      <c r="V58" s="8">
        <v>0</v>
      </c>
      <c r="W58" s="8">
        <v>0</v>
      </c>
      <c r="X58" s="8"/>
      <c r="Y58" s="8">
        <v>0</v>
      </c>
      <c r="Z58" s="8">
        <v>0</v>
      </c>
      <c r="AA58" s="8">
        <v>0</v>
      </c>
      <c r="AB58" s="8"/>
      <c r="AC58" s="8">
        <v>0</v>
      </c>
      <c r="AD58" s="8">
        <v>367</v>
      </c>
      <c r="AE58" s="8">
        <v>51</v>
      </c>
      <c r="AF58" s="8">
        <v>45</v>
      </c>
      <c r="AG58" s="8">
        <v>0</v>
      </c>
      <c r="AH58" s="8">
        <v>0</v>
      </c>
      <c r="AI58" s="8"/>
      <c r="AJ58" s="8">
        <v>0</v>
      </c>
      <c r="AK58" s="8"/>
      <c r="AL58" s="8">
        <v>0</v>
      </c>
      <c r="AM58" s="8">
        <v>0</v>
      </c>
      <c r="AN58" s="8">
        <v>0</v>
      </c>
      <c r="AO58" s="8"/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/>
      <c r="AV58" s="8">
        <v>1</v>
      </c>
      <c r="AW58" s="8">
        <v>0</v>
      </c>
      <c r="AX58" s="8">
        <v>8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13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2</v>
      </c>
      <c r="BM58" s="8">
        <v>0</v>
      </c>
      <c r="BN58" s="8">
        <v>0</v>
      </c>
      <c r="BO58" s="8">
        <v>0</v>
      </c>
      <c r="BP58" s="8"/>
      <c r="BQ58" s="8"/>
      <c r="BR58" s="8">
        <v>0</v>
      </c>
      <c r="BS58" s="8">
        <v>0</v>
      </c>
      <c r="BT58" s="8">
        <v>0</v>
      </c>
      <c r="BU58" s="8"/>
      <c r="BV58" s="8">
        <v>0</v>
      </c>
      <c r="BW58" s="8"/>
      <c r="BX58" s="8"/>
      <c r="BY58" s="8"/>
      <c r="BZ58" s="17">
        <f t="shared" si="0"/>
        <v>487</v>
      </c>
      <c r="CA58" s="17" t="s">
        <v>262</v>
      </c>
      <c r="CC58">
        <f t="shared" si="1"/>
        <v>0.20328542094455851</v>
      </c>
      <c r="CD58" s="8">
        <f t="shared" si="2"/>
        <v>99</v>
      </c>
      <c r="CE58" s="8">
        <f t="shared" si="3"/>
        <v>23</v>
      </c>
      <c r="CF58" s="8">
        <f t="shared" si="4"/>
        <v>2</v>
      </c>
      <c r="CG58" s="19">
        <f t="shared" si="5"/>
        <v>8.6956521739130432E-2</v>
      </c>
      <c r="CH58" t="s">
        <v>188</v>
      </c>
    </row>
    <row r="59" spans="1:86" x14ac:dyDescent="0.2">
      <c r="A59" s="10" t="s">
        <v>453</v>
      </c>
      <c r="B59" s="9" t="s">
        <v>452</v>
      </c>
      <c r="C59" s="11" t="s">
        <v>179</v>
      </c>
      <c r="D59" s="11" t="s">
        <v>454</v>
      </c>
      <c r="E59" s="11" t="s">
        <v>374</v>
      </c>
      <c r="F59" s="8">
        <v>920</v>
      </c>
      <c r="G59" s="11" t="s">
        <v>455</v>
      </c>
      <c r="H59" s="13">
        <v>3877520</v>
      </c>
      <c r="I59" s="13">
        <v>735360</v>
      </c>
      <c r="J59" s="12">
        <v>15</v>
      </c>
      <c r="K59" s="12"/>
      <c r="L59" s="14" t="s">
        <v>361</v>
      </c>
      <c r="M59" s="14" t="s">
        <v>277</v>
      </c>
      <c r="N59" s="15">
        <v>14716</v>
      </c>
      <c r="O59" s="16" t="s">
        <v>185</v>
      </c>
      <c r="T59" s="8">
        <v>0</v>
      </c>
      <c r="U59" s="8">
        <v>0</v>
      </c>
      <c r="V59" s="8">
        <v>0</v>
      </c>
      <c r="W59" s="8">
        <v>0</v>
      </c>
      <c r="X59" s="8"/>
      <c r="Y59" s="8">
        <v>0</v>
      </c>
      <c r="Z59" s="8">
        <v>0</v>
      </c>
      <c r="AA59" s="8">
        <v>0</v>
      </c>
      <c r="AB59" s="8"/>
      <c r="AC59" s="8">
        <v>0</v>
      </c>
      <c r="AD59" s="8">
        <v>110</v>
      </c>
      <c r="AE59" s="8">
        <v>150</v>
      </c>
      <c r="AF59" s="8">
        <v>0</v>
      </c>
      <c r="AG59" s="8">
        <v>0</v>
      </c>
      <c r="AH59" s="8">
        <v>0</v>
      </c>
      <c r="AI59" s="8"/>
      <c r="AJ59" s="8">
        <v>0</v>
      </c>
      <c r="AK59" s="8"/>
      <c r="AL59" s="8">
        <v>0</v>
      </c>
      <c r="AM59" s="8">
        <v>0</v>
      </c>
      <c r="AN59" s="8">
        <v>0</v>
      </c>
      <c r="AO59" s="8"/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/>
      <c r="AV59" s="8">
        <v>0</v>
      </c>
      <c r="AW59" s="8">
        <v>0</v>
      </c>
      <c r="AX59" s="8">
        <v>1</v>
      </c>
      <c r="AY59" s="8">
        <v>0</v>
      </c>
      <c r="AZ59" s="8">
        <v>1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3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/>
      <c r="BQ59" s="8"/>
      <c r="BR59" s="8">
        <v>0</v>
      </c>
      <c r="BS59" s="8">
        <v>0</v>
      </c>
      <c r="BT59" s="8">
        <v>0</v>
      </c>
      <c r="BU59" s="8"/>
      <c r="BV59" s="8">
        <v>0</v>
      </c>
      <c r="BW59" s="8"/>
      <c r="BX59" s="8"/>
      <c r="BY59" s="8"/>
      <c r="BZ59" s="17">
        <f t="shared" si="0"/>
        <v>265</v>
      </c>
      <c r="CA59" s="17" t="s">
        <v>262</v>
      </c>
      <c r="CB59" s="18" t="s">
        <v>456</v>
      </c>
      <c r="CC59">
        <f t="shared" si="1"/>
        <v>0.56981132075471697</v>
      </c>
      <c r="CD59" s="8">
        <f t="shared" si="2"/>
        <v>151</v>
      </c>
      <c r="CE59" s="8">
        <f t="shared" si="3"/>
        <v>5</v>
      </c>
      <c r="CF59" s="8">
        <f t="shared" si="4"/>
        <v>1</v>
      </c>
      <c r="CG59" s="19">
        <f t="shared" si="5"/>
        <v>0.2</v>
      </c>
      <c r="CH59" t="s">
        <v>188</v>
      </c>
    </row>
    <row r="60" spans="1:86" x14ac:dyDescent="0.2">
      <c r="A60" s="10" t="s">
        <v>458</v>
      </c>
      <c r="B60" s="9" t="s">
        <v>457</v>
      </c>
      <c r="C60" s="11" t="s">
        <v>179</v>
      </c>
      <c r="D60" s="11" t="s">
        <v>459</v>
      </c>
      <c r="E60" s="11" t="s">
        <v>374</v>
      </c>
      <c r="F60" s="8">
        <v>920</v>
      </c>
      <c r="G60" s="11" t="s">
        <v>460</v>
      </c>
      <c r="H60" s="13">
        <v>3878460</v>
      </c>
      <c r="I60" s="13">
        <v>734540</v>
      </c>
      <c r="J60" s="12">
        <v>15</v>
      </c>
      <c r="K60" s="12"/>
      <c r="L60" s="14" t="s">
        <v>461</v>
      </c>
      <c r="M60" s="14" t="s">
        <v>272</v>
      </c>
      <c r="N60" s="15">
        <v>14716</v>
      </c>
      <c r="O60" s="16" t="s">
        <v>185</v>
      </c>
      <c r="T60" s="8">
        <v>0</v>
      </c>
      <c r="U60" s="8">
        <v>0</v>
      </c>
      <c r="V60" s="8">
        <v>0</v>
      </c>
      <c r="W60" s="8">
        <v>0</v>
      </c>
      <c r="X60" s="8"/>
      <c r="Y60" s="8">
        <v>0</v>
      </c>
      <c r="Z60" s="8">
        <v>0</v>
      </c>
      <c r="AA60" s="8">
        <v>0</v>
      </c>
      <c r="AB60" s="8"/>
      <c r="AC60" s="8">
        <v>0</v>
      </c>
      <c r="AD60" s="8">
        <v>273</v>
      </c>
      <c r="AE60" s="8">
        <v>97</v>
      </c>
      <c r="AF60" s="8">
        <v>16</v>
      </c>
      <c r="AG60" s="8">
        <v>0</v>
      </c>
      <c r="AH60" s="8">
        <v>0</v>
      </c>
      <c r="AI60" s="8"/>
      <c r="AJ60" s="8">
        <v>0</v>
      </c>
      <c r="AK60" s="8"/>
      <c r="AL60" s="8">
        <v>0</v>
      </c>
      <c r="AM60" s="8">
        <v>0</v>
      </c>
      <c r="AN60" s="8">
        <v>0</v>
      </c>
      <c r="AO60" s="8"/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/>
      <c r="AV60" s="8">
        <v>1</v>
      </c>
      <c r="AW60" s="8">
        <v>0</v>
      </c>
      <c r="AX60" s="8">
        <v>6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3</v>
      </c>
      <c r="BM60" s="8">
        <v>0</v>
      </c>
      <c r="BN60" s="8">
        <v>0</v>
      </c>
      <c r="BO60" s="8">
        <v>0</v>
      </c>
      <c r="BP60" s="8"/>
      <c r="BQ60" s="8"/>
      <c r="BR60" s="8">
        <v>0</v>
      </c>
      <c r="BS60" s="8">
        <v>0</v>
      </c>
      <c r="BT60" s="8">
        <v>0</v>
      </c>
      <c r="BU60" s="8"/>
      <c r="BV60" s="8">
        <v>0</v>
      </c>
      <c r="BW60" s="8"/>
      <c r="BX60" s="8"/>
      <c r="BY60" s="8"/>
      <c r="BZ60" s="17">
        <f t="shared" si="0"/>
        <v>396</v>
      </c>
      <c r="CA60" s="17" t="s">
        <v>262</v>
      </c>
      <c r="CC60">
        <f t="shared" si="1"/>
        <v>0.29545454545454547</v>
      </c>
      <c r="CD60" s="8">
        <f t="shared" si="2"/>
        <v>117</v>
      </c>
      <c r="CE60" s="8">
        <f t="shared" si="3"/>
        <v>9</v>
      </c>
      <c r="CF60" s="8">
        <f t="shared" si="4"/>
        <v>3</v>
      </c>
      <c r="CG60" s="19">
        <f t="shared" si="5"/>
        <v>0.33333333333333331</v>
      </c>
      <c r="CH60" t="s">
        <v>188</v>
      </c>
    </row>
    <row r="61" spans="1:86" x14ac:dyDescent="0.2">
      <c r="A61" s="10" t="s">
        <v>88</v>
      </c>
      <c r="B61" s="9" t="s">
        <v>462</v>
      </c>
      <c r="C61" s="11" t="s">
        <v>179</v>
      </c>
      <c r="D61" s="11" t="s">
        <v>463</v>
      </c>
      <c r="E61" s="11" t="s">
        <v>374</v>
      </c>
      <c r="F61" s="8">
        <v>920</v>
      </c>
      <c r="G61" s="11" t="s">
        <v>464</v>
      </c>
      <c r="H61" s="13">
        <v>3876440</v>
      </c>
      <c r="I61" s="13">
        <v>729450</v>
      </c>
      <c r="J61" s="12">
        <v>15</v>
      </c>
      <c r="K61" s="12"/>
      <c r="L61" s="14" t="s">
        <v>465</v>
      </c>
      <c r="M61" s="14" t="s">
        <v>466</v>
      </c>
      <c r="N61" s="15">
        <v>14716</v>
      </c>
      <c r="O61" s="16" t="s">
        <v>307</v>
      </c>
      <c r="T61" s="8">
        <v>0</v>
      </c>
      <c r="U61" s="8">
        <v>0</v>
      </c>
      <c r="V61" s="8">
        <v>0</v>
      </c>
      <c r="W61" s="8">
        <v>0</v>
      </c>
      <c r="X61" s="8"/>
      <c r="Y61" s="8">
        <v>0</v>
      </c>
      <c r="Z61" s="8">
        <v>0</v>
      </c>
      <c r="AA61" s="8">
        <v>0</v>
      </c>
      <c r="AB61" s="8"/>
      <c r="AC61" s="8">
        <v>0</v>
      </c>
      <c r="AD61" s="8">
        <v>6</v>
      </c>
      <c r="AE61" s="8">
        <v>10</v>
      </c>
      <c r="AF61" s="8">
        <v>0</v>
      </c>
      <c r="AG61" s="8">
        <v>3</v>
      </c>
      <c r="AH61" s="8">
        <v>0</v>
      </c>
      <c r="AI61" s="8"/>
      <c r="AJ61" s="8">
        <v>0</v>
      </c>
      <c r="AK61" s="8"/>
      <c r="AL61" s="8">
        <v>0</v>
      </c>
      <c r="AM61" s="8">
        <v>0</v>
      </c>
      <c r="AN61" s="8">
        <v>0</v>
      </c>
      <c r="AO61" s="8"/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/>
      <c r="AV61" s="8">
        <v>0</v>
      </c>
      <c r="AW61" s="8">
        <v>0</v>
      </c>
      <c r="AX61" s="8">
        <v>814</v>
      </c>
      <c r="AY61" s="8">
        <v>91</v>
      </c>
      <c r="AZ61" s="8">
        <v>27</v>
      </c>
      <c r="BA61" s="8">
        <v>1</v>
      </c>
      <c r="BB61" s="8">
        <v>0</v>
      </c>
      <c r="BC61" s="8">
        <v>3</v>
      </c>
      <c r="BD61" s="8">
        <v>0</v>
      </c>
      <c r="BE61" s="8">
        <v>0</v>
      </c>
      <c r="BF61" s="8">
        <v>56</v>
      </c>
      <c r="BG61" s="8">
        <v>9</v>
      </c>
      <c r="BH61" s="8">
        <v>0</v>
      </c>
      <c r="BI61" s="8">
        <v>0</v>
      </c>
      <c r="BJ61" s="8">
        <v>0</v>
      </c>
      <c r="BK61" s="8">
        <v>0</v>
      </c>
      <c r="BL61" s="8">
        <v>7</v>
      </c>
      <c r="BM61" s="8">
        <v>0</v>
      </c>
      <c r="BN61" s="8">
        <v>0</v>
      </c>
      <c r="BO61" s="8">
        <v>0</v>
      </c>
      <c r="BP61" s="8"/>
      <c r="BQ61" s="8"/>
      <c r="BR61" s="8">
        <v>0</v>
      </c>
      <c r="BS61" s="8">
        <v>0</v>
      </c>
      <c r="BT61" s="8">
        <v>0</v>
      </c>
      <c r="BU61" s="8"/>
      <c r="BV61" s="8">
        <v>0</v>
      </c>
      <c r="BW61" s="8"/>
      <c r="BX61" s="8"/>
      <c r="BY61" s="8"/>
      <c r="BZ61" s="17">
        <f t="shared" si="0"/>
        <v>1027</v>
      </c>
      <c r="CA61" s="17" t="s">
        <v>186</v>
      </c>
      <c r="CC61">
        <f t="shared" si="1"/>
        <v>0.14703018500486856</v>
      </c>
      <c r="CD61" s="8">
        <f t="shared" si="2"/>
        <v>151</v>
      </c>
      <c r="CE61" s="8">
        <f t="shared" si="3"/>
        <v>1008</v>
      </c>
      <c r="CF61" s="8">
        <f t="shared" si="4"/>
        <v>138</v>
      </c>
      <c r="CG61" s="19">
        <f t="shared" si="5"/>
        <v>0.13690476190476192</v>
      </c>
      <c r="CH61" t="s">
        <v>188</v>
      </c>
    </row>
    <row r="62" spans="1:86" x14ac:dyDescent="0.2">
      <c r="A62" s="10" t="s">
        <v>468</v>
      </c>
      <c r="B62" s="9" t="s">
        <v>467</v>
      </c>
      <c r="C62" s="11" t="s">
        <v>179</v>
      </c>
      <c r="D62" s="11" t="s">
        <v>469</v>
      </c>
      <c r="E62" s="11" t="s">
        <v>304</v>
      </c>
      <c r="F62" s="8">
        <v>975</v>
      </c>
      <c r="G62" s="11" t="s">
        <v>470</v>
      </c>
      <c r="H62" s="13">
        <v>3881800</v>
      </c>
      <c r="I62" s="13">
        <v>749500</v>
      </c>
      <c r="J62" s="12">
        <v>15</v>
      </c>
      <c r="K62" s="12"/>
      <c r="L62" s="14" t="s">
        <v>471</v>
      </c>
      <c r="M62" s="14" t="s">
        <v>466</v>
      </c>
      <c r="N62" s="15">
        <v>14717</v>
      </c>
      <c r="O62" s="16" t="s">
        <v>185</v>
      </c>
      <c r="T62" s="8">
        <v>0</v>
      </c>
      <c r="U62" s="8">
        <v>0</v>
      </c>
      <c r="V62" s="8">
        <v>0</v>
      </c>
      <c r="W62" s="8">
        <v>0</v>
      </c>
      <c r="X62" s="8"/>
      <c r="Y62" s="8">
        <v>0</v>
      </c>
      <c r="Z62" s="8">
        <v>0</v>
      </c>
      <c r="AA62" s="8">
        <v>0</v>
      </c>
      <c r="AB62" s="8"/>
      <c r="AC62" s="8">
        <v>0</v>
      </c>
      <c r="AD62" s="8">
        <v>6</v>
      </c>
      <c r="AE62" s="8">
        <v>0</v>
      </c>
      <c r="AF62" s="8">
        <v>0</v>
      </c>
      <c r="AG62" s="8">
        <v>0</v>
      </c>
      <c r="AH62" s="8">
        <v>0</v>
      </c>
      <c r="AI62" s="8"/>
      <c r="AJ62" s="8">
        <v>0</v>
      </c>
      <c r="AK62" s="8"/>
      <c r="AL62" s="8">
        <v>0</v>
      </c>
      <c r="AM62" s="8">
        <v>0</v>
      </c>
      <c r="AN62" s="8">
        <v>0</v>
      </c>
      <c r="AO62" s="8"/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/>
      <c r="AV62" s="8">
        <v>0</v>
      </c>
      <c r="AW62" s="8">
        <v>0</v>
      </c>
      <c r="AX62" s="8">
        <v>30</v>
      </c>
      <c r="AY62" s="8">
        <v>1</v>
      </c>
      <c r="AZ62" s="8">
        <v>1</v>
      </c>
      <c r="BA62" s="8">
        <v>0</v>
      </c>
      <c r="BB62" s="8">
        <v>0</v>
      </c>
      <c r="BC62" s="8">
        <v>1</v>
      </c>
      <c r="BD62" s="8">
        <v>0</v>
      </c>
      <c r="BE62" s="8">
        <v>0</v>
      </c>
      <c r="BF62" s="8">
        <v>46</v>
      </c>
      <c r="BG62" s="8">
        <v>3</v>
      </c>
      <c r="BH62" s="8">
        <v>0</v>
      </c>
      <c r="BI62" s="8">
        <v>1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/>
      <c r="BQ62" s="8"/>
      <c r="BR62" s="8">
        <v>0</v>
      </c>
      <c r="BS62" s="8">
        <v>0</v>
      </c>
      <c r="BT62" s="8">
        <v>0</v>
      </c>
      <c r="BU62" s="8"/>
      <c r="BV62" s="8">
        <v>0</v>
      </c>
      <c r="BW62" s="8"/>
      <c r="BX62" s="8"/>
      <c r="BY62" s="8"/>
      <c r="BZ62" s="17">
        <f t="shared" si="0"/>
        <v>89</v>
      </c>
      <c r="CA62" s="17" t="s">
        <v>186</v>
      </c>
      <c r="CC62">
        <f t="shared" si="1"/>
        <v>7.8651685393258425E-2</v>
      </c>
      <c r="CD62" s="8">
        <f t="shared" si="2"/>
        <v>7</v>
      </c>
      <c r="CE62" s="8">
        <f t="shared" si="3"/>
        <v>83</v>
      </c>
      <c r="CF62" s="8">
        <f t="shared" si="4"/>
        <v>7</v>
      </c>
      <c r="CG62" s="19">
        <f t="shared" si="5"/>
        <v>8.4337349397590355E-2</v>
      </c>
      <c r="CH62" t="s">
        <v>188</v>
      </c>
    </row>
    <row r="63" spans="1:86" x14ac:dyDescent="0.2">
      <c r="A63" s="10" t="s">
        <v>473</v>
      </c>
      <c r="B63" s="9" t="s">
        <v>472</v>
      </c>
      <c r="C63" s="11" t="s">
        <v>179</v>
      </c>
      <c r="D63" s="11" t="s">
        <v>474</v>
      </c>
      <c r="E63" s="11" t="s">
        <v>304</v>
      </c>
      <c r="F63" s="8">
        <v>261</v>
      </c>
      <c r="G63" s="11" t="s">
        <v>475</v>
      </c>
      <c r="H63" s="13">
        <v>3885300</v>
      </c>
      <c r="I63" s="13">
        <v>751720</v>
      </c>
      <c r="J63" s="12">
        <v>15</v>
      </c>
      <c r="K63" s="12"/>
      <c r="L63" s="14" t="s">
        <v>350</v>
      </c>
      <c r="M63" s="14" t="s">
        <v>466</v>
      </c>
      <c r="N63" s="15">
        <v>14717</v>
      </c>
      <c r="O63" s="16" t="s">
        <v>185</v>
      </c>
      <c r="T63" s="8">
        <v>0</v>
      </c>
      <c r="U63" s="8">
        <v>0</v>
      </c>
      <c r="V63" s="8">
        <v>0</v>
      </c>
      <c r="W63" s="8">
        <v>0</v>
      </c>
      <c r="X63" s="8"/>
      <c r="Y63" s="8">
        <v>0</v>
      </c>
      <c r="Z63" s="8">
        <v>0</v>
      </c>
      <c r="AA63" s="8">
        <v>0</v>
      </c>
      <c r="AB63" s="8"/>
      <c r="AC63" s="8">
        <v>0</v>
      </c>
      <c r="AD63" s="8">
        <v>25</v>
      </c>
      <c r="AE63" s="8">
        <v>9</v>
      </c>
      <c r="AF63" s="8">
        <v>0</v>
      </c>
      <c r="AG63" s="8">
        <v>0</v>
      </c>
      <c r="AH63" s="8">
        <v>0</v>
      </c>
      <c r="AI63" s="8"/>
      <c r="AJ63" s="8">
        <v>0</v>
      </c>
      <c r="AK63" s="8"/>
      <c r="AL63" s="8">
        <v>0</v>
      </c>
      <c r="AM63" s="8">
        <v>0</v>
      </c>
      <c r="AN63" s="8">
        <v>0</v>
      </c>
      <c r="AO63" s="8"/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/>
      <c r="AV63" s="8">
        <v>1</v>
      </c>
      <c r="AW63" s="8">
        <v>4</v>
      </c>
      <c r="AX63" s="8">
        <v>1193</v>
      </c>
      <c r="AY63" s="8">
        <v>97</v>
      </c>
      <c r="AZ63" s="8">
        <v>33</v>
      </c>
      <c r="BA63" s="8">
        <v>7</v>
      </c>
      <c r="BB63" s="8">
        <v>0</v>
      </c>
      <c r="BC63" s="8">
        <v>1</v>
      </c>
      <c r="BD63" s="8">
        <v>0</v>
      </c>
      <c r="BE63" s="8">
        <v>0</v>
      </c>
      <c r="BF63" s="8">
        <v>1817</v>
      </c>
      <c r="BG63" s="8">
        <v>1</v>
      </c>
      <c r="BH63" s="8">
        <v>5</v>
      </c>
      <c r="BI63" s="8">
        <v>5</v>
      </c>
      <c r="BJ63" s="8">
        <v>0</v>
      </c>
      <c r="BK63" s="8">
        <v>3</v>
      </c>
      <c r="BL63" s="8">
        <v>14</v>
      </c>
      <c r="BM63" s="8">
        <v>0</v>
      </c>
      <c r="BN63" s="8">
        <v>0</v>
      </c>
      <c r="BO63" s="8">
        <v>2</v>
      </c>
      <c r="BP63" s="8"/>
      <c r="BQ63" s="8"/>
      <c r="BR63" s="8">
        <v>0</v>
      </c>
      <c r="BS63" s="8">
        <v>0</v>
      </c>
      <c r="BT63" s="8">
        <v>0</v>
      </c>
      <c r="BU63" s="8"/>
      <c r="BV63" s="8">
        <v>0</v>
      </c>
      <c r="BW63" s="8"/>
      <c r="BX63" s="8"/>
      <c r="BY63" s="8"/>
      <c r="BZ63" s="17">
        <f t="shared" si="0"/>
        <v>3217</v>
      </c>
      <c r="CA63" s="17" t="s">
        <v>195</v>
      </c>
      <c r="CC63">
        <f t="shared" si="1"/>
        <v>5.6574448243705312E-2</v>
      </c>
      <c r="CD63" s="8">
        <f t="shared" si="2"/>
        <v>178</v>
      </c>
      <c r="CE63" s="8">
        <f t="shared" si="3"/>
        <v>3178</v>
      </c>
      <c r="CF63" s="8">
        <f t="shared" si="4"/>
        <v>168</v>
      </c>
      <c r="CG63" s="19">
        <f t="shared" si="5"/>
        <v>5.2863436123348019E-2</v>
      </c>
      <c r="CH63" t="s">
        <v>188</v>
      </c>
    </row>
    <row r="64" spans="1:86" x14ac:dyDescent="0.2">
      <c r="A64" s="10" t="s">
        <v>477</v>
      </c>
      <c r="B64" s="9" t="s">
        <v>476</v>
      </c>
      <c r="C64" s="11" t="s">
        <v>478</v>
      </c>
      <c r="D64" s="11" t="s">
        <v>479</v>
      </c>
      <c r="E64" s="11" t="s">
        <v>205</v>
      </c>
      <c r="F64" s="8">
        <v>93</v>
      </c>
      <c r="G64" s="11" t="s">
        <v>480</v>
      </c>
      <c r="H64" s="13">
        <v>3896399</v>
      </c>
      <c r="I64" s="13">
        <v>753963</v>
      </c>
      <c r="J64" s="12">
        <v>15</v>
      </c>
      <c r="K64" s="12"/>
      <c r="T64" s="8">
        <v>0</v>
      </c>
      <c r="U64" s="8">
        <v>0</v>
      </c>
      <c r="V64" s="8">
        <v>0</v>
      </c>
      <c r="W64" s="8">
        <v>0</v>
      </c>
      <c r="X64" s="8"/>
      <c r="Y64" s="8">
        <v>0</v>
      </c>
      <c r="Z64" s="8">
        <v>0</v>
      </c>
      <c r="AA64" s="8">
        <v>0</v>
      </c>
      <c r="AB64" s="8"/>
      <c r="AC64" s="8">
        <v>0</v>
      </c>
      <c r="AD64" s="8">
        <v>15</v>
      </c>
      <c r="AE64" s="8">
        <v>0</v>
      </c>
      <c r="AF64" s="8">
        <v>0</v>
      </c>
      <c r="AG64" s="8">
        <v>0</v>
      </c>
      <c r="AH64" s="8">
        <v>0</v>
      </c>
      <c r="AI64" s="8"/>
      <c r="AJ64" s="8">
        <v>0</v>
      </c>
      <c r="AK64" s="8"/>
      <c r="AL64" s="8">
        <v>0</v>
      </c>
      <c r="AM64" s="8">
        <v>0</v>
      </c>
      <c r="AN64" s="8">
        <v>0</v>
      </c>
      <c r="AO64" s="8"/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/>
      <c r="AV64" s="8">
        <v>0</v>
      </c>
      <c r="AW64" s="8">
        <v>0</v>
      </c>
      <c r="AX64" s="8">
        <v>131</v>
      </c>
      <c r="AY64" s="8">
        <v>30</v>
      </c>
      <c r="AZ64" s="8">
        <v>11</v>
      </c>
      <c r="BA64" s="8">
        <v>1</v>
      </c>
      <c r="BB64" s="8">
        <v>1</v>
      </c>
      <c r="BC64" s="8">
        <v>1</v>
      </c>
      <c r="BD64" s="8">
        <v>0</v>
      </c>
      <c r="BE64" s="8">
        <v>0</v>
      </c>
      <c r="BF64" s="8">
        <v>288</v>
      </c>
      <c r="BG64" s="8">
        <v>2</v>
      </c>
      <c r="BH64" s="8">
        <v>5</v>
      </c>
      <c r="BI64" s="8">
        <v>4</v>
      </c>
      <c r="BJ64" s="8">
        <v>2</v>
      </c>
      <c r="BK64" s="8">
        <v>0</v>
      </c>
      <c r="BL64" s="8">
        <v>5</v>
      </c>
      <c r="BM64" s="8">
        <v>0</v>
      </c>
      <c r="BN64" s="8">
        <v>0</v>
      </c>
      <c r="BO64" s="8">
        <v>0</v>
      </c>
      <c r="BP64" s="8"/>
      <c r="BQ64" s="8"/>
      <c r="BR64" s="8">
        <v>0</v>
      </c>
      <c r="BS64" s="8">
        <v>0</v>
      </c>
      <c r="BT64" s="8">
        <v>0</v>
      </c>
      <c r="BU64" s="8"/>
      <c r="BV64" s="8">
        <v>0</v>
      </c>
      <c r="BW64" s="8"/>
      <c r="BX64" s="8"/>
      <c r="BY64" s="8"/>
      <c r="BZ64" s="17">
        <f t="shared" si="0"/>
        <v>496</v>
      </c>
      <c r="CA64" s="17" t="s">
        <v>195</v>
      </c>
      <c r="CC64">
        <f t="shared" si="1"/>
        <v>0.125</v>
      </c>
      <c r="CD64" s="8">
        <f t="shared" si="2"/>
        <v>62</v>
      </c>
      <c r="CE64" s="8">
        <f t="shared" si="3"/>
        <v>481</v>
      </c>
      <c r="CF64" s="8">
        <f t="shared" si="4"/>
        <v>62</v>
      </c>
      <c r="CG64" s="19">
        <f t="shared" si="5"/>
        <v>0.12889812889812891</v>
      </c>
      <c r="CH64" t="s">
        <v>188</v>
      </c>
    </row>
    <row r="65" spans="1:86" x14ac:dyDescent="0.2">
      <c r="A65" s="10" t="s">
        <v>482</v>
      </c>
      <c r="B65" s="9" t="s">
        <v>481</v>
      </c>
      <c r="C65" s="11" t="s">
        <v>179</v>
      </c>
      <c r="D65" s="11" t="s">
        <v>483</v>
      </c>
      <c r="E65" s="11" t="s">
        <v>440</v>
      </c>
      <c r="F65" s="8">
        <v>352</v>
      </c>
      <c r="G65" s="11" t="s">
        <v>484</v>
      </c>
      <c r="H65" s="13">
        <v>3861600</v>
      </c>
      <c r="I65" s="13">
        <v>702850</v>
      </c>
      <c r="J65" s="12">
        <v>15</v>
      </c>
      <c r="K65" s="12"/>
      <c r="L65" s="14" t="s">
        <v>350</v>
      </c>
      <c r="M65" s="14" t="s">
        <v>404</v>
      </c>
      <c r="N65" s="15">
        <v>14688</v>
      </c>
      <c r="O65" s="16" t="s">
        <v>185</v>
      </c>
      <c r="T65" s="8">
        <v>0</v>
      </c>
      <c r="U65" s="8">
        <v>0</v>
      </c>
      <c r="V65" s="8">
        <v>0</v>
      </c>
      <c r="W65" s="8">
        <v>0</v>
      </c>
      <c r="X65" s="8"/>
      <c r="Y65" s="8">
        <v>0</v>
      </c>
      <c r="Z65" s="8">
        <v>0</v>
      </c>
      <c r="AA65" s="8">
        <v>0</v>
      </c>
      <c r="AB65" s="8"/>
      <c r="AC65" s="8">
        <v>0</v>
      </c>
      <c r="AD65" s="8">
        <v>740</v>
      </c>
      <c r="AE65" s="8">
        <v>69</v>
      </c>
      <c r="AF65" s="8">
        <v>0</v>
      </c>
      <c r="AG65" s="8">
        <v>0</v>
      </c>
      <c r="AH65" s="8">
        <v>0</v>
      </c>
      <c r="AI65" s="8"/>
      <c r="AJ65" s="8">
        <v>1</v>
      </c>
      <c r="AK65" s="8"/>
      <c r="AL65" s="8">
        <v>0</v>
      </c>
      <c r="AM65" s="8">
        <v>0</v>
      </c>
      <c r="AN65" s="8">
        <v>0</v>
      </c>
      <c r="AO65" s="8"/>
      <c r="AP65" s="8">
        <v>2</v>
      </c>
      <c r="AQ65" s="8">
        <v>0</v>
      </c>
      <c r="AR65" s="8">
        <v>0</v>
      </c>
      <c r="AS65" s="8">
        <v>0</v>
      </c>
      <c r="AT65" s="8">
        <v>0</v>
      </c>
      <c r="AU65" s="8"/>
      <c r="AV65" s="8">
        <v>3</v>
      </c>
      <c r="AW65" s="8">
        <v>0</v>
      </c>
      <c r="AX65" s="8">
        <v>4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2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/>
      <c r="BQ65" s="8"/>
      <c r="BR65" s="8">
        <v>0</v>
      </c>
      <c r="BS65" s="8">
        <v>0</v>
      </c>
      <c r="BT65" s="8">
        <v>0</v>
      </c>
      <c r="BU65" s="8"/>
      <c r="BV65" s="8">
        <v>0</v>
      </c>
      <c r="BW65" s="8"/>
      <c r="BX65" s="8"/>
      <c r="BY65" s="8"/>
      <c r="BZ65" s="17">
        <f t="shared" si="0"/>
        <v>821</v>
      </c>
      <c r="CA65" s="17" t="s">
        <v>262</v>
      </c>
      <c r="CC65">
        <f t="shared" si="1"/>
        <v>9.1352009744214369E-2</v>
      </c>
      <c r="CD65" s="8">
        <f t="shared" si="2"/>
        <v>75</v>
      </c>
      <c r="CE65" s="8">
        <f t="shared" si="3"/>
        <v>6</v>
      </c>
      <c r="CF65" s="8">
        <f t="shared" si="4"/>
        <v>0</v>
      </c>
      <c r="CG65" s="19">
        <f t="shared" si="5"/>
        <v>0</v>
      </c>
      <c r="CH65" t="s">
        <v>188</v>
      </c>
    </row>
    <row r="66" spans="1:86" x14ac:dyDescent="0.2">
      <c r="A66" s="10" t="s">
        <v>486</v>
      </c>
      <c r="B66" s="9" t="s">
        <v>485</v>
      </c>
      <c r="C66" s="11" t="s">
        <v>179</v>
      </c>
      <c r="D66" s="11" t="s">
        <v>487</v>
      </c>
      <c r="E66" s="11" t="s">
        <v>374</v>
      </c>
      <c r="F66" s="8">
        <v>123</v>
      </c>
      <c r="G66" s="11" t="s">
        <v>488</v>
      </c>
      <c r="H66" s="13">
        <v>3871500</v>
      </c>
      <c r="I66" s="13">
        <v>724350</v>
      </c>
      <c r="J66" s="12">
        <v>15</v>
      </c>
      <c r="K66" s="12"/>
      <c r="L66" s="14" t="s">
        <v>489</v>
      </c>
      <c r="M66" s="14" t="s">
        <v>232</v>
      </c>
      <c r="N66" s="15">
        <v>14684</v>
      </c>
      <c r="O66" s="16" t="s">
        <v>185</v>
      </c>
      <c r="T66" s="8">
        <v>0</v>
      </c>
      <c r="U66" s="8">
        <v>0</v>
      </c>
      <c r="V66" s="8">
        <v>0</v>
      </c>
      <c r="W66" s="8">
        <v>0</v>
      </c>
      <c r="X66" s="8"/>
      <c r="Y66" s="8">
        <v>0</v>
      </c>
      <c r="Z66" s="8">
        <v>0</v>
      </c>
      <c r="AA66" s="8">
        <v>0</v>
      </c>
      <c r="AB66" s="8"/>
      <c r="AC66" s="8">
        <v>0</v>
      </c>
      <c r="AD66" s="8">
        <v>1</v>
      </c>
      <c r="AE66" s="8">
        <v>1</v>
      </c>
      <c r="AF66" s="8">
        <v>0</v>
      </c>
      <c r="AG66" s="8">
        <v>0</v>
      </c>
      <c r="AH66" s="8">
        <v>0</v>
      </c>
      <c r="AI66" s="8"/>
      <c r="AJ66" s="8">
        <v>0</v>
      </c>
      <c r="AK66" s="8"/>
      <c r="AL66" s="8">
        <v>0</v>
      </c>
      <c r="AM66" s="8">
        <v>0</v>
      </c>
      <c r="AN66" s="8">
        <v>0</v>
      </c>
      <c r="AO66" s="8"/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/>
      <c r="AV66" s="8">
        <v>0</v>
      </c>
      <c r="AW66" s="8">
        <v>0</v>
      </c>
      <c r="AX66" s="8">
        <v>18</v>
      </c>
      <c r="AY66" s="8">
        <v>3</v>
      </c>
      <c r="AZ66" s="8">
        <v>1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1</v>
      </c>
      <c r="BG66" s="8">
        <v>1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/>
      <c r="BQ66" s="8"/>
      <c r="BR66" s="8">
        <v>0</v>
      </c>
      <c r="BS66" s="8">
        <v>0</v>
      </c>
      <c r="BT66" s="8">
        <v>0</v>
      </c>
      <c r="BU66" s="8"/>
      <c r="BV66" s="8">
        <v>0</v>
      </c>
      <c r="BW66" s="8"/>
      <c r="BX66" s="8"/>
      <c r="BY66" s="8"/>
      <c r="BZ66" s="17">
        <f t="shared" ref="BZ66:BZ129" si="6">SUM(T66:BY66)</f>
        <v>26</v>
      </c>
      <c r="CA66" s="8" t="s">
        <v>247</v>
      </c>
      <c r="CC66">
        <f t="shared" ref="CC66:CC129" si="7">SUM(BG66:BV66,AE66:AW66,AY66:BE66,T66:AC66)/BZ66</f>
        <v>0.23076923076923078</v>
      </c>
      <c r="CD66" s="8">
        <f t="shared" ref="CD66:CD129" si="8">BZ66-SUM(BF66,AX66,AW66,AD66,W66)</f>
        <v>6</v>
      </c>
      <c r="CE66" s="8">
        <f t="shared" ref="CE66:CE129" si="9">SUM(AX66:BV66)</f>
        <v>24</v>
      </c>
      <c r="CF66" s="8">
        <f t="shared" ref="CF66:CF129" si="10">SUM(BG66:BV66,AY66:BE66)</f>
        <v>5</v>
      </c>
      <c r="CG66" s="19">
        <f t="shared" ref="CG66:CG129" si="11">CF66/CE66</f>
        <v>0.20833333333333334</v>
      </c>
      <c r="CH66" t="s">
        <v>188</v>
      </c>
    </row>
    <row r="67" spans="1:86" x14ac:dyDescent="0.2">
      <c r="A67" s="10" t="s">
        <v>491</v>
      </c>
      <c r="B67" s="9" t="s">
        <v>490</v>
      </c>
      <c r="C67" s="11" t="s">
        <v>179</v>
      </c>
      <c r="D67" s="11" t="s">
        <v>492</v>
      </c>
      <c r="E67" s="11" t="s">
        <v>440</v>
      </c>
      <c r="F67" s="8">
        <v>416</v>
      </c>
      <c r="G67" s="11" t="s">
        <v>493</v>
      </c>
      <c r="H67" s="13">
        <v>3855100</v>
      </c>
      <c r="I67" s="13">
        <v>726680</v>
      </c>
      <c r="J67" s="12">
        <v>15</v>
      </c>
      <c r="K67" s="12"/>
      <c r="L67" s="14" t="s">
        <v>494</v>
      </c>
      <c r="M67" s="14" t="s">
        <v>495</v>
      </c>
      <c r="N67" s="15">
        <v>14684</v>
      </c>
      <c r="T67" s="8">
        <v>0</v>
      </c>
      <c r="U67" s="8">
        <v>0</v>
      </c>
      <c r="V67" s="8">
        <v>0</v>
      </c>
      <c r="W67" s="8">
        <v>0</v>
      </c>
      <c r="X67" s="8"/>
      <c r="Y67" s="8">
        <v>0</v>
      </c>
      <c r="Z67" s="8">
        <v>0</v>
      </c>
      <c r="AA67" s="8">
        <v>0</v>
      </c>
      <c r="AB67" s="8"/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/>
      <c r="AJ67" s="8">
        <v>0</v>
      </c>
      <c r="AK67" s="8"/>
      <c r="AL67" s="8">
        <v>0</v>
      </c>
      <c r="AM67" s="8">
        <v>0</v>
      </c>
      <c r="AN67" s="8">
        <v>0</v>
      </c>
      <c r="AO67" s="8"/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/>
      <c r="AV67" s="8">
        <v>0</v>
      </c>
      <c r="AW67" s="8">
        <v>0</v>
      </c>
      <c r="AX67" s="8">
        <v>3</v>
      </c>
      <c r="AY67" s="8">
        <v>0</v>
      </c>
      <c r="AZ67" s="8">
        <v>2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2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5</v>
      </c>
      <c r="BP67" s="8"/>
      <c r="BQ67" s="8"/>
      <c r="BR67" s="8">
        <v>0</v>
      </c>
      <c r="BS67" s="8">
        <v>0</v>
      </c>
      <c r="BT67" s="8">
        <v>0</v>
      </c>
      <c r="BU67" s="8"/>
      <c r="BV67" s="8">
        <v>0</v>
      </c>
      <c r="BW67" s="8"/>
      <c r="BX67" s="8"/>
      <c r="BY67" s="8"/>
      <c r="BZ67" s="17">
        <f t="shared" si="6"/>
        <v>12</v>
      </c>
      <c r="CA67" s="8" t="s">
        <v>247</v>
      </c>
      <c r="CC67">
        <f t="shared" si="7"/>
        <v>0.58333333333333337</v>
      </c>
      <c r="CD67" s="8">
        <f t="shared" si="8"/>
        <v>7</v>
      </c>
      <c r="CE67" s="8">
        <f t="shared" si="9"/>
        <v>12</v>
      </c>
      <c r="CF67" s="8">
        <f t="shared" si="10"/>
        <v>7</v>
      </c>
      <c r="CG67" s="19">
        <f t="shared" si="11"/>
        <v>0.58333333333333337</v>
      </c>
      <c r="CH67" t="s">
        <v>188</v>
      </c>
    </row>
    <row r="68" spans="1:86" x14ac:dyDescent="0.2">
      <c r="A68" s="10" t="s">
        <v>497</v>
      </c>
      <c r="B68" s="9" t="s">
        <v>496</v>
      </c>
      <c r="C68" s="11" t="s">
        <v>179</v>
      </c>
      <c r="D68" s="11" t="s">
        <v>498</v>
      </c>
      <c r="E68" s="11" t="s">
        <v>440</v>
      </c>
      <c r="F68" s="8">
        <v>416</v>
      </c>
      <c r="G68" s="11" t="s">
        <v>499</v>
      </c>
      <c r="H68" s="13">
        <v>3848720</v>
      </c>
      <c r="I68" s="13">
        <v>718180</v>
      </c>
      <c r="J68" s="12">
        <v>15</v>
      </c>
      <c r="K68" s="12"/>
      <c r="L68" s="14" t="s">
        <v>500</v>
      </c>
      <c r="M68" s="14" t="s">
        <v>272</v>
      </c>
      <c r="N68" s="15">
        <v>14689</v>
      </c>
      <c r="O68" s="16" t="s">
        <v>185</v>
      </c>
      <c r="T68" s="8">
        <v>0</v>
      </c>
      <c r="U68" s="8">
        <v>0</v>
      </c>
      <c r="V68" s="8">
        <v>0</v>
      </c>
      <c r="W68" s="8">
        <v>0</v>
      </c>
      <c r="X68" s="8"/>
      <c r="Y68" s="8">
        <v>0</v>
      </c>
      <c r="Z68" s="8">
        <v>0</v>
      </c>
      <c r="AA68" s="8">
        <v>0</v>
      </c>
      <c r="AB68" s="8"/>
      <c r="AC68" s="8">
        <v>0</v>
      </c>
      <c r="AD68" s="8">
        <v>57</v>
      </c>
      <c r="AE68" s="8">
        <v>1</v>
      </c>
      <c r="AF68" s="8">
        <v>0</v>
      </c>
      <c r="AG68" s="8">
        <v>0</v>
      </c>
      <c r="AH68" s="8">
        <v>0</v>
      </c>
      <c r="AI68" s="8"/>
      <c r="AJ68" s="8">
        <v>0</v>
      </c>
      <c r="AK68" s="8"/>
      <c r="AL68" s="8">
        <v>0</v>
      </c>
      <c r="AM68" s="8">
        <v>0</v>
      </c>
      <c r="AN68" s="8">
        <v>0</v>
      </c>
      <c r="AO68" s="8"/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/>
      <c r="AV68" s="8">
        <v>0</v>
      </c>
      <c r="AW68" s="8">
        <v>0</v>
      </c>
      <c r="AX68" s="8">
        <v>373</v>
      </c>
      <c r="AY68" s="8">
        <v>11</v>
      </c>
      <c r="AZ68" s="8">
        <v>28</v>
      </c>
      <c r="BA68" s="8">
        <v>2</v>
      </c>
      <c r="BB68" s="8">
        <v>0</v>
      </c>
      <c r="BC68" s="8">
        <v>0</v>
      </c>
      <c r="BD68" s="8">
        <v>0</v>
      </c>
      <c r="BE68" s="8">
        <v>0</v>
      </c>
      <c r="BF68" s="8">
        <v>49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52</v>
      </c>
      <c r="BM68" s="8">
        <v>0</v>
      </c>
      <c r="BN68" s="8">
        <v>0</v>
      </c>
      <c r="BO68" s="8">
        <v>0</v>
      </c>
      <c r="BP68" s="8"/>
      <c r="BQ68" s="8"/>
      <c r="BR68" s="8">
        <v>0</v>
      </c>
      <c r="BS68" s="8">
        <v>0</v>
      </c>
      <c r="BT68" s="8">
        <v>0</v>
      </c>
      <c r="BU68" s="8"/>
      <c r="BV68" s="8">
        <v>0</v>
      </c>
      <c r="BW68" s="8"/>
      <c r="BX68" s="8"/>
      <c r="BY68" s="8"/>
      <c r="BZ68" s="17">
        <f t="shared" si="6"/>
        <v>573</v>
      </c>
      <c r="CA68" s="17" t="s">
        <v>226</v>
      </c>
      <c r="CC68">
        <f t="shared" si="7"/>
        <v>0.16404886561954624</v>
      </c>
      <c r="CD68" s="8">
        <f t="shared" si="8"/>
        <v>94</v>
      </c>
      <c r="CE68" s="8">
        <f t="shared" si="9"/>
        <v>515</v>
      </c>
      <c r="CF68" s="8">
        <f t="shared" si="10"/>
        <v>93</v>
      </c>
      <c r="CG68" s="19">
        <f t="shared" si="11"/>
        <v>0.18058252427184465</v>
      </c>
      <c r="CH68" t="s">
        <v>188</v>
      </c>
    </row>
    <row r="69" spans="1:86" x14ac:dyDescent="0.2">
      <c r="A69" s="10" t="s">
        <v>502</v>
      </c>
      <c r="B69" s="9" t="s">
        <v>501</v>
      </c>
      <c r="C69" s="11" t="s">
        <v>179</v>
      </c>
      <c r="D69" s="11" t="s">
        <v>503</v>
      </c>
      <c r="E69" s="11" t="s">
        <v>440</v>
      </c>
      <c r="F69" s="8">
        <v>416</v>
      </c>
      <c r="G69" s="11" t="s">
        <v>493</v>
      </c>
      <c r="H69" s="13">
        <v>3854080</v>
      </c>
      <c r="I69" s="13">
        <v>725340</v>
      </c>
      <c r="J69" s="12">
        <v>15</v>
      </c>
      <c r="K69" s="12"/>
      <c r="L69" s="14" t="s">
        <v>350</v>
      </c>
      <c r="M69" s="14" t="s">
        <v>495</v>
      </c>
      <c r="N69" s="15">
        <v>14684</v>
      </c>
      <c r="O69" s="16" t="s">
        <v>185</v>
      </c>
      <c r="T69" s="8">
        <v>0</v>
      </c>
      <c r="U69" s="8">
        <v>0</v>
      </c>
      <c r="V69" s="8">
        <v>0</v>
      </c>
      <c r="W69" s="8">
        <v>0</v>
      </c>
      <c r="X69" s="8"/>
      <c r="Y69" s="8">
        <v>0</v>
      </c>
      <c r="Z69" s="8">
        <v>0</v>
      </c>
      <c r="AA69" s="8">
        <v>0</v>
      </c>
      <c r="AB69" s="8"/>
      <c r="AC69" s="8">
        <v>0</v>
      </c>
      <c r="AD69" s="8">
        <v>101</v>
      </c>
      <c r="AE69" s="8">
        <v>41</v>
      </c>
      <c r="AF69" s="8">
        <v>7</v>
      </c>
      <c r="AG69" s="8">
        <v>0</v>
      </c>
      <c r="AH69" s="8">
        <v>0</v>
      </c>
      <c r="AI69" s="8"/>
      <c r="AJ69" s="8">
        <v>0</v>
      </c>
      <c r="AK69" s="8"/>
      <c r="AL69" s="8">
        <v>0</v>
      </c>
      <c r="AM69" s="8">
        <v>0</v>
      </c>
      <c r="AN69" s="8">
        <v>0</v>
      </c>
      <c r="AO69" s="8"/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/>
      <c r="AV69" s="8">
        <v>0</v>
      </c>
      <c r="AW69" s="8">
        <v>0</v>
      </c>
      <c r="AX69" s="8">
        <v>14</v>
      </c>
      <c r="AY69" s="8">
        <v>7</v>
      </c>
      <c r="AZ69" s="8">
        <v>3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31</v>
      </c>
      <c r="BG69" s="8">
        <v>0</v>
      </c>
      <c r="BH69" s="8">
        <v>1</v>
      </c>
      <c r="BI69" s="8">
        <v>0</v>
      </c>
      <c r="BJ69" s="8">
        <v>0</v>
      </c>
      <c r="BK69" s="8">
        <v>0</v>
      </c>
      <c r="BL69" s="8">
        <v>3</v>
      </c>
      <c r="BM69" s="8">
        <v>0</v>
      </c>
      <c r="BN69" s="8">
        <v>0</v>
      </c>
      <c r="BO69" s="8">
        <v>0</v>
      </c>
      <c r="BP69" s="8"/>
      <c r="BQ69" s="8"/>
      <c r="BR69" s="8">
        <v>0</v>
      </c>
      <c r="BS69" s="8">
        <v>0</v>
      </c>
      <c r="BT69" s="8">
        <v>0</v>
      </c>
      <c r="BU69" s="8"/>
      <c r="BV69" s="8">
        <v>0</v>
      </c>
      <c r="BW69" s="8"/>
      <c r="BX69" s="8"/>
      <c r="BY69" s="8"/>
      <c r="BZ69" s="17">
        <f t="shared" si="6"/>
        <v>208</v>
      </c>
      <c r="CA69" s="17" t="s">
        <v>226</v>
      </c>
      <c r="CC69">
        <f t="shared" si="7"/>
        <v>0.29807692307692307</v>
      </c>
      <c r="CD69" s="8">
        <f t="shared" si="8"/>
        <v>62</v>
      </c>
      <c r="CE69" s="8">
        <f t="shared" si="9"/>
        <v>59</v>
      </c>
      <c r="CF69" s="8">
        <f t="shared" si="10"/>
        <v>14</v>
      </c>
      <c r="CG69" s="19">
        <f t="shared" si="11"/>
        <v>0.23728813559322035</v>
      </c>
      <c r="CH69" t="s">
        <v>188</v>
      </c>
    </row>
    <row r="70" spans="1:86" x14ac:dyDescent="0.2">
      <c r="A70" s="10" t="s">
        <v>504</v>
      </c>
      <c r="B70" s="9" t="s">
        <v>501</v>
      </c>
      <c r="C70" s="11" t="s">
        <v>179</v>
      </c>
      <c r="D70" s="11" t="s">
        <v>503</v>
      </c>
      <c r="E70" s="11" t="s">
        <v>440</v>
      </c>
      <c r="F70" s="8">
        <v>416</v>
      </c>
      <c r="G70" s="11" t="s">
        <v>493</v>
      </c>
      <c r="H70" s="13">
        <v>3854080</v>
      </c>
      <c r="I70" s="13">
        <v>725340</v>
      </c>
      <c r="J70" s="12">
        <v>15</v>
      </c>
      <c r="K70" s="12"/>
      <c r="L70" s="14" t="s">
        <v>350</v>
      </c>
      <c r="M70" s="14" t="s">
        <v>495</v>
      </c>
      <c r="N70" s="15">
        <v>14684</v>
      </c>
      <c r="O70" s="16" t="s">
        <v>185</v>
      </c>
      <c r="T70" s="8">
        <v>0</v>
      </c>
      <c r="U70" s="8">
        <v>0</v>
      </c>
      <c r="V70" s="8">
        <v>0</v>
      </c>
      <c r="W70" s="8">
        <v>0</v>
      </c>
      <c r="X70" s="8"/>
      <c r="Y70" s="8">
        <v>0</v>
      </c>
      <c r="Z70" s="8">
        <v>0</v>
      </c>
      <c r="AA70" s="8">
        <v>0</v>
      </c>
      <c r="AB70" s="8"/>
      <c r="AC70" s="8">
        <v>0</v>
      </c>
      <c r="AD70" s="8">
        <v>120</v>
      </c>
      <c r="AE70" s="8">
        <v>46</v>
      </c>
      <c r="AF70" s="8">
        <v>29</v>
      </c>
      <c r="AG70" s="8">
        <v>0</v>
      </c>
      <c r="AH70" s="8">
        <v>0</v>
      </c>
      <c r="AI70" s="8"/>
      <c r="AJ70" s="8">
        <v>0</v>
      </c>
      <c r="AK70" s="8"/>
      <c r="AL70" s="8">
        <v>0</v>
      </c>
      <c r="AM70" s="8">
        <v>0</v>
      </c>
      <c r="AN70" s="8">
        <v>0</v>
      </c>
      <c r="AO70" s="8"/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/>
      <c r="AV70" s="8">
        <v>0</v>
      </c>
      <c r="AW70" s="8">
        <v>0</v>
      </c>
      <c r="AX70" s="8">
        <v>23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/>
      <c r="BQ70" s="8"/>
      <c r="BR70" s="8">
        <v>0</v>
      </c>
      <c r="BS70" s="8">
        <v>0</v>
      </c>
      <c r="BT70" s="8">
        <v>0</v>
      </c>
      <c r="BU70" s="8"/>
      <c r="BV70" s="8">
        <v>0</v>
      </c>
      <c r="BW70" s="8"/>
      <c r="BX70" s="8"/>
      <c r="BY70" s="8"/>
      <c r="BZ70" s="17">
        <f t="shared" si="6"/>
        <v>218</v>
      </c>
      <c r="CA70" s="17" t="s">
        <v>226</v>
      </c>
      <c r="CC70">
        <f t="shared" si="7"/>
        <v>0.34403669724770641</v>
      </c>
      <c r="CD70" s="8">
        <f t="shared" si="8"/>
        <v>75</v>
      </c>
      <c r="CE70" s="8">
        <f t="shared" si="9"/>
        <v>23</v>
      </c>
      <c r="CF70" s="8">
        <f t="shared" si="10"/>
        <v>0</v>
      </c>
      <c r="CG70" s="19">
        <f t="shared" si="11"/>
        <v>0</v>
      </c>
      <c r="CH70" t="s">
        <v>188</v>
      </c>
    </row>
    <row r="71" spans="1:86" x14ac:dyDescent="0.2">
      <c r="A71" s="10" t="s">
        <v>506</v>
      </c>
      <c r="B71" s="9" t="s">
        <v>505</v>
      </c>
      <c r="C71" s="11" t="s">
        <v>179</v>
      </c>
      <c r="D71" s="11" t="s">
        <v>507</v>
      </c>
      <c r="E71" s="11" t="s">
        <v>374</v>
      </c>
      <c r="F71" s="8">
        <v>172</v>
      </c>
      <c r="G71" s="11" t="s">
        <v>508</v>
      </c>
      <c r="H71" s="13">
        <v>3867210</v>
      </c>
      <c r="I71" s="13">
        <v>721550</v>
      </c>
      <c r="J71" s="12">
        <v>15</v>
      </c>
      <c r="K71" s="12"/>
      <c r="L71" s="14" t="s">
        <v>361</v>
      </c>
      <c r="M71" s="14" t="s">
        <v>277</v>
      </c>
      <c r="N71" s="15">
        <v>14689</v>
      </c>
      <c r="O71" s="16" t="s">
        <v>185</v>
      </c>
      <c r="T71" s="8">
        <v>0</v>
      </c>
      <c r="U71" s="8">
        <v>0</v>
      </c>
      <c r="V71" s="8">
        <v>0</v>
      </c>
      <c r="W71" s="8">
        <v>0</v>
      </c>
      <c r="X71" s="8"/>
      <c r="Y71" s="8">
        <v>0</v>
      </c>
      <c r="Z71" s="8">
        <v>0</v>
      </c>
      <c r="AA71" s="8">
        <v>0</v>
      </c>
      <c r="AB71" s="8"/>
      <c r="AC71" s="8">
        <v>0</v>
      </c>
      <c r="AD71" s="8">
        <v>233</v>
      </c>
      <c r="AE71" s="8">
        <v>147</v>
      </c>
      <c r="AF71" s="8">
        <v>19</v>
      </c>
      <c r="AG71" s="8">
        <v>0</v>
      </c>
      <c r="AH71" s="8">
        <v>0</v>
      </c>
      <c r="AI71" s="8"/>
      <c r="AJ71" s="8">
        <v>1</v>
      </c>
      <c r="AK71" s="8"/>
      <c r="AL71" s="8">
        <v>0</v>
      </c>
      <c r="AM71" s="8">
        <v>0</v>
      </c>
      <c r="AN71" s="8">
        <v>0</v>
      </c>
      <c r="AO71" s="8"/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/>
      <c r="AV71" s="8">
        <v>0</v>
      </c>
      <c r="AW71" s="8">
        <v>0</v>
      </c>
      <c r="AX71" s="8">
        <v>66</v>
      </c>
      <c r="AY71" s="8">
        <v>1</v>
      </c>
      <c r="AZ71" s="8">
        <v>5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3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2</v>
      </c>
      <c r="BM71" s="8">
        <v>0</v>
      </c>
      <c r="BN71" s="8">
        <v>0</v>
      </c>
      <c r="BO71" s="8">
        <v>0</v>
      </c>
      <c r="BP71" s="8"/>
      <c r="BQ71" s="8"/>
      <c r="BR71" s="8">
        <v>0</v>
      </c>
      <c r="BS71" s="8">
        <v>0</v>
      </c>
      <c r="BT71" s="8">
        <v>0</v>
      </c>
      <c r="BU71" s="8"/>
      <c r="BV71" s="8">
        <v>0</v>
      </c>
      <c r="BW71" s="8"/>
      <c r="BX71" s="8"/>
      <c r="BY71" s="8"/>
      <c r="BZ71" s="17">
        <f t="shared" si="6"/>
        <v>477</v>
      </c>
      <c r="CA71" s="17" t="s">
        <v>226</v>
      </c>
      <c r="CC71">
        <f t="shared" si="7"/>
        <v>0.3668763102725367</v>
      </c>
      <c r="CD71" s="8">
        <f t="shared" si="8"/>
        <v>175</v>
      </c>
      <c r="CE71" s="8">
        <f t="shared" si="9"/>
        <v>77</v>
      </c>
      <c r="CF71" s="8">
        <f t="shared" si="10"/>
        <v>8</v>
      </c>
      <c r="CG71" s="19">
        <f t="shared" si="11"/>
        <v>0.1038961038961039</v>
      </c>
      <c r="CH71" t="s">
        <v>188</v>
      </c>
    </row>
    <row r="72" spans="1:86" x14ac:dyDescent="0.2">
      <c r="A72" s="10" t="s">
        <v>509</v>
      </c>
      <c r="B72" s="9" t="s">
        <v>50</v>
      </c>
      <c r="C72" s="11" t="s">
        <v>179</v>
      </c>
      <c r="D72" s="11" t="s">
        <v>510</v>
      </c>
      <c r="E72" s="11" t="s">
        <v>440</v>
      </c>
      <c r="F72" s="8">
        <v>434</v>
      </c>
      <c r="G72" s="11" t="s">
        <v>511</v>
      </c>
      <c r="H72" s="13">
        <v>3859600</v>
      </c>
      <c r="I72" s="13">
        <v>711300</v>
      </c>
      <c r="J72" s="12">
        <v>15</v>
      </c>
      <c r="K72" s="12"/>
      <c r="L72" s="14" t="s">
        <v>512</v>
      </c>
      <c r="M72" s="14" t="s">
        <v>495</v>
      </c>
      <c r="N72" s="15">
        <v>14685</v>
      </c>
      <c r="T72" s="8">
        <v>0</v>
      </c>
      <c r="U72" s="8">
        <v>0</v>
      </c>
      <c r="V72" s="8">
        <v>0</v>
      </c>
      <c r="W72" s="8">
        <v>0</v>
      </c>
      <c r="X72" s="8"/>
      <c r="Y72" s="8">
        <v>0</v>
      </c>
      <c r="Z72" s="8">
        <v>0</v>
      </c>
      <c r="AA72" s="8">
        <v>0</v>
      </c>
      <c r="AB72" s="8"/>
      <c r="AC72" s="8">
        <v>0</v>
      </c>
      <c r="AD72" s="8">
        <v>516</v>
      </c>
      <c r="AE72" s="8">
        <v>514</v>
      </c>
      <c r="AF72" s="8">
        <v>18</v>
      </c>
      <c r="AG72" s="8">
        <v>0</v>
      </c>
      <c r="AH72" s="8">
        <v>0</v>
      </c>
      <c r="AI72" s="8"/>
      <c r="AJ72" s="8">
        <v>0</v>
      </c>
      <c r="AK72" s="8"/>
      <c r="AL72" s="8">
        <v>0</v>
      </c>
      <c r="AM72" s="8">
        <v>0</v>
      </c>
      <c r="AN72" s="8">
        <v>0</v>
      </c>
      <c r="AO72" s="8"/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/>
      <c r="AV72" s="8">
        <v>0</v>
      </c>
      <c r="AW72" s="8">
        <v>0</v>
      </c>
      <c r="AX72" s="8">
        <v>427</v>
      </c>
      <c r="AY72" s="8">
        <v>27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26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11</v>
      </c>
      <c r="BM72" s="8">
        <v>0</v>
      </c>
      <c r="BN72" s="8">
        <v>0</v>
      </c>
      <c r="BO72" s="8">
        <v>0</v>
      </c>
      <c r="BP72" s="8"/>
      <c r="BQ72" s="8"/>
      <c r="BR72" s="8">
        <v>0</v>
      </c>
      <c r="BS72" s="8">
        <v>0</v>
      </c>
      <c r="BT72" s="8">
        <v>0</v>
      </c>
      <c r="BU72" s="8"/>
      <c r="BV72" s="8">
        <v>0</v>
      </c>
      <c r="BW72" s="8"/>
      <c r="BX72" s="8"/>
      <c r="BY72" s="8"/>
      <c r="BZ72" s="17">
        <f t="shared" si="6"/>
        <v>1539</v>
      </c>
      <c r="CA72" s="17" t="s">
        <v>226</v>
      </c>
      <c r="CC72">
        <f t="shared" si="7"/>
        <v>0.37037037037037035</v>
      </c>
      <c r="CD72" s="8">
        <f t="shared" si="8"/>
        <v>570</v>
      </c>
      <c r="CE72" s="8">
        <f t="shared" si="9"/>
        <v>491</v>
      </c>
      <c r="CF72" s="8">
        <f t="shared" si="10"/>
        <v>38</v>
      </c>
      <c r="CG72" s="19">
        <f t="shared" si="11"/>
        <v>7.7393075356415472E-2</v>
      </c>
      <c r="CH72" t="s">
        <v>188</v>
      </c>
    </row>
    <row r="73" spans="1:86" x14ac:dyDescent="0.2">
      <c r="A73" s="10" t="s">
        <v>513</v>
      </c>
      <c r="B73" s="9" t="s">
        <v>40</v>
      </c>
      <c r="C73" s="11" t="s">
        <v>179</v>
      </c>
      <c r="D73" s="11" t="s">
        <v>487</v>
      </c>
      <c r="E73" s="11" t="s">
        <v>374</v>
      </c>
      <c r="F73" s="8">
        <v>172</v>
      </c>
      <c r="G73" s="11" t="s">
        <v>488</v>
      </c>
      <c r="H73" s="13">
        <v>3871500</v>
      </c>
      <c r="I73" s="13">
        <v>724350</v>
      </c>
      <c r="J73" s="12">
        <v>15</v>
      </c>
      <c r="K73" s="12"/>
      <c r="L73" s="14" t="s">
        <v>514</v>
      </c>
      <c r="M73" s="14" t="s">
        <v>272</v>
      </c>
      <c r="N73" s="15">
        <v>14689</v>
      </c>
      <c r="O73" s="16" t="s">
        <v>185</v>
      </c>
      <c r="T73" s="8">
        <v>0</v>
      </c>
      <c r="U73" s="8">
        <v>0</v>
      </c>
      <c r="V73" s="8">
        <v>0</v>
      </c>
      <c r="W73" s="8">
        <v>0</v>
      </c>
      <c r="X73" s="8"/>
      <c r="Y73" s="8">
        <v>0</v>
      </c>
      <c r="Z73" s="8">
        <v>0</v>
      </c>
      <c r="AA73" s="8">
        <v>0</v>
      </c>
      <c r="AB73" s="8"/>
      <c r="AC73" s="8">
        <v>0</v>
      </c>
      <c r="AD73" s="8">
        <v>364</v>
      </c>
      <c r="AE73" s="8">
        <v>232</v>
      </c>
      <c r="AF73" s="8">
        <v>50</v>
      </c>
      <c r="AG73" s="8">
        <v>0</v>
      </c>
      <c r="AH73" s="8">
        <v>0</v>
      </c>
      <c r="AI73" s="8"/>
      <c r="AJ73" s="8">
        <v>2</v>
      </c>
      <c r="AK73" s="8"/>
      <c r="AL73" s="8">
        <v>0</v>
      </c>
      <c r="AM73" s="8">
        <v>0</v>
      </c>
      <c r="AN73" s="8">
        <v>0</v>
      </c>
      <c r="AO73" s="8"/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/>
      <c r="AV73" s="8">
        <v>1</v>
      </c>
      <c r="AW73" s="8">
        <v>0</v>
      </c>
      <c r="AX73" s="8">
        <v>78</v>
      </c>
      <c r="AY73" s="8">
        <v>8</v>
      </c>
      <c r="AZ73" s="8">
        <v>6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21</v>
      </c>
      <c r="BG73" s="8">
        <v>1</v>
      </c>
      <c r="BH73" s="8">
        <v>0</v>
      </c>
      <c r="BI73" s="8">
        <v>0</v>
      </c>
      <c r="BJ73" s="8">
        <v>0</v>
      </c>
      <c r="BK73" s="8">
        <v>0</v>
      </c>
      <c r="BL73" s="8">
        <v>2</v>
      </c>
      <c r="BM73" s="8">
        <v>0</v>
      </c>
      <c r="BN73" s="8">
        <v>0</v>
      </c>
      <c r="BO73" s="8">
        <v>1</v>
      </c>
      <c r="BP73" s="8"/>
      <c r="BQ73" s="8"/>
      <c r="BR73" s="8">
        <v>0</v>
      </c>
      <c r="BS73" s="8">
        <v>0</v>
      </c>
      <c r="BT73" s="8">
        <v>0</v>
      </c>
      <c r="BU73" s="8"/>
      <c r="BV73" s="8">
        <v>0</v>
      </c>
      <c r="BW73" s="8"/>
      <c r="BX73" s="8"/>
      <c r="BY73" s="8"/>
      <c r="BZ73" s="17">
        <f t="shared" si="6"/>
        <v>770</v>
      </c>
      <c r="CA73" s="17" t="s">
        <v>226</v>
      </c>
      <c r="CC73">
        <f t="shared" si="7"/>
        <v>0.39870129870129872</v>
      </c>
      <c r="CD73" s="8">
        <f t="shared" si="8"/>
        <v>307</v>
      </c>
      <c r="CE73" s="8">
        <f t="shared" si="9"/>
        <v>117</v>
      </c>
      <c r="CF73" s="8">
        <f t="shared" si="10"/>
        <v>18</v>
      </c>
      <c r="CG73" s="19">
        <f t="shared" si="11"/>
        <v>0.15384615384615385</v>
      </c>
      <c r="CH73" t="s">
        <v>188</v>
      </c>
    </row>
    <row r="74" spans="1:86" x14ac:dyDescent="0.2">
      <c r="A74" s="10" t="s">
        <v>515</v>
      </c>
      <c r="B74" s="9" t="s">
        <v>40</v>
      </c>
      <c r="C74" s="11" t="s">
        <v>179</v>
      </c>
      <c r="D74" s="11" t="s">
        <v>487</v>
      </c>
      <c r="E74" s="11" t="s">
        <v>374</v>
      </c>
      <c r="F74" s="8">
        <v>172</v>
      </c>
      <c r="G74" s="11" t="s">
        <v>488</v>
      </c>
      <c r="H74" s="13">
        <v>3871500</v>
      </c>
      <c r="I74" s="13">
        <v>724350</v>
      </c>
      <c r="J74" s="12">
        <v>15</v>
      </c>
      <c r="K74" s="12"/>
      <c r="L74" s="14" t="s">
        <v>514</v>
      </c>
      <c r="M74" s="14" t="s">
        <v>272</v>
      </c>
      <c r="N74" s="15">
        <v>14689</v>
      </c>
      <c r="O74" s="16" t="s">
        <v>185</v>
      </c>
      <c r="T74" s="8">
        <v>0</v>
      </c>
      <c r="U74" s="8">
        <v>0</v>
      </c>
      <c r="V74" s="8">
        <v>0</v>
      </c>
      <c r="W74" s="8">
        <v>0</v>
      </c>
      <c r="X74" s="8"/>
      <c r="Y74" s="8">
        <v>0</v>
      </c>
      <c r="Z74" s="8">
        <v>0</v>
      </c>
      <c r="AA74" s="8">
        <v>0</v>
      </c>
      <c r="AB74" s="8"/>
      <c r="AC74" s="8">
        <v>0</v>
      </c>
      <c r="AD74" s="8">
        <v>34</v>
      </c>
      <c r="AE74" s="8">
        <v>34</v>
      </c>
      <c r="AF74" s="8">
        <v>2</v>
      </c>
      <c r="AG74" s="8">
        <v>0</v>
      </c>
      <c r="AH74" s="8">
        <v>0</v>
      </c>
      <c r="AI74" s="8"/>
      <c r="AJ74" s="8">
        <v>0</v>
      </c>
      <c r="AK74" s="8"/>
      <c r="AL74" s="8">
        <v>1</v>
      </c>
      <c r="AM74" s="8">
        <v>0</v>
      </c>
      <c r="AN74" s="8">
        <v>0</v>
      </c>
      <c r="AO74" s="8"/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/>
      <c r="AV74" s="8">
        <v>0</v>
      </c>
      <c r="AW74" s="8">
        <v>0</v>
      </c>
      <c r="AX74" s="8">
        <v>514</v>
      </c>
      <c r="AY74" s="8">
        <v>106</v>
      </c>
      <c r="AZ74" s="8">
        <v>31</v>
      </c>
      <c r="BA74" s="8">
        <v>0</v>
      </c>
      <c r="BB74" s="8">
        <v>0</v>
      </c>
      <c r="BC74" s="8">
        <v>1</v>
      </c>
      <c r="BD74" s="8">
        <v>0</v>
      </c>
      <c r="BE74" s="8">
        <v>0</v>
      </c>
      <c r="BF74" s="8">
        <v>60</v>
      </c>
      <c r="BG74" s="8">
        <v>3</v>
      </c>
      <c r="BH74" s="8">
        <v>2</v>
      </c>
      <c r="BI74" s="8">
        <v>0</v>
      </c>
      <c r="BJ74" s="8">
        <v>0</v>
      </c>
      <c r="BK74" s="8">
        <v>0</v>
      </c>
      <c r="BL74" s="8">
        <v>18</v>
      </c>
      <c r="BM74" s="8">
        <v>0</v>
      </c>
      <c r="BN74" s="8">
        <v>0</v>
      </c>
      <c r="BO74" s="8">
        <v>1</v>
      </c>
      <c r="BP74" s="8"/>
      <c r="BQ74" s="8"/>
      <c r="BR74" s="8">
        <v>0</v>
      </c>
      <c r="BS74" s="8">
        <v>0</v>
      </c>
      <c r="BT74" s="8">
        <v>1</v>
      </c>
      <c r="BU74" s="8"/>
      <c r="BV74" s="8">
        <v>0</v>
      </c>
      <c r="BW74" s="8"/>
      <c r="BX74" s="8"/>
      <c r="BY74" s="8"/>
      <c r="BZ74" s="17">
        <f t="shared" si="6"/>
        <v>808</v>
      </c>
      <c r="CA74" s="17" t="s">
        <v>186</v>
      </c>
      <c r="CB74" s="18" t="s">
        <v>516</v>
      </c>
      <c r="CC74">
        <f t="shared" si="7"/>
        <v>0.24752475247524752</v>
      </c>
      <c r="CD74" s="8">
        <f t="shared" si="8"/>
        <v>200</v>
      </c>
      <c r="CE74" s="8">
        <f t="shared" si="9"/>
        <v>737</v>
      </c>
      <c r="CF74" s="8">
        <f t="shared" si="10"/>
        <v>163</v>
      </c>
      <c r="CG74" s="19">
        <f t="shared" si="11"/>
        <v>0.22116689280868385</v>
      </c>
      <c r="CH74" t="s">
        <v>188</v>
      </c>
    </row>
    <row r="75" spans="1:86" x14ac:dyDescent="0.2">
      <c r="A75" s="10" t="s">
        <v>79</v>
      </c>
      <c r="B75" s="9" t="s">
        <v>47</v>
      </c>
      <c r="C75" s="11" t="s">
        <v>179</v>
      </c>
      <c r="D75" s="11" t="s">
        <v>517</v>
      </c>
      <c r="E75" s="11" t="s">
        <v>440</v>
      </c>
      <c r="F75" s="8">
        <v>416</v>
      </c>
      <c r="G75" s="11" t="s">
        <v>518</v>
      </c>
      <c r="H75" s="13">
        <v>3850050</v>
      </c>
      <c r="I75" s="13">
        <v>721080</v>
      </c>
      <c r="J75" s="12">
        <v>15</v>
      </c>
      <c r="K75" s="12"/>
      <c r="L75" s="14" t="s">
        <v>376</v>
      </c>
      <c r="M75" s="14" t="s">
        <v>495</v>
      </c>
      <c r="N75" s="15">
        <v>14685</v>
      </c>
      <c r="T75" s="8">
        <v>0</v>
      </c>
      <c r="U75" s="8">
        <v>0</v>
      </c>
      <c r="V75" s="8">
        <v>0</v>
      </c>
      <c r="W75" s="8">
        <v>0</v>
      </c>
      <c r="X75" s="8"/>
      <c r="Y75" s="8">
        <v>0</v>
      </c>
      <c r="Z75" s="8">
        <v>0</v>
      </c>
      <c r="AA75" s="8">
        <v>0</v>
      </c>
      <c r="AB75" s="8"/>
      <c r="AC75" s="8">
        <v>0</v>
      </c>
      <c r="AD75" s="8">
        <v>1</v>
      </c>
      <c r="AE75" s="8">
        <v>2</v>
      </c>
      <c r="AF75" s="8">
        <v>0</v>
      </c>
      <c r="AG75" s="8">
        <v>0</v>
      </c>
      <c r="AH75" s="8">
        <v>0</v>
      </c>
      <c r="AI75" s="8"/>
      <c r="AJ75" s="8">
        <v>0</v>
      </c>
      <c r="AK75" s="8"/>
      <c r="AL75" s="8">
        <v>0</v>
      </c>
      <c r="AM75" s="8">
        <v>0</v>
      </c>
      <c r="AN75" s="8">
        <v>0</v>
      </c>
      <c r="AO75" s="8"/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/>
      <c r="AV75" s="8">
        <v>0</v>
      </c>
      <c r="AW75" s="8">
        <v>0</v>
      </c>
      <c r="AX75" s="8">
        <v>672</v>
      </c>
      <c r="AY75" s="8">
        <v>42</v>
      </c>
      <c r="AZ75" s="8">
        <v>46</v>
      </c>
      <c r="BA75" s="8">
        <v>1</v>
      </c>
      <c r="BB75" s="8">
        <v>0</v>
      </c>
      <c r="BC75" s="8">
        <v>0</v>
      </c>
      <c r="BD75" s="8">
        <v>0</v>
      </c>
      <c r="BE75" s="8">
        <v>0</v>
      </c>
      <c r="BF75" s="8">
        <v>75</v>
      </c>
      <c r="BG75" s="8">
        <v>10</v>
      </c>
      <c r="BH75" s="8">
        <v>0</v>
      </c>
      <c r="BI75" s="8">
        <v>3</v>
      </c>
      <c r="BJ75" s="8">
        <v>0</v>
      </c>
      <c r="BK75" s="8">
        <v>0</v>
      </c>
      <c r="BL75" s="8">
        <v>67</v>
      </c>
      <c r="BM75" s="8">
        <v>0</v>
      </c>
      <c r="BN75" s="8">
        <v>0</v>
      </c>
      <c r="BO75" s="8">
        <v>2</v>
      </c>
      <c r="BP75" s="8"/>
      <c r="BQ75" s="8"/>
      <c r="BR75" s="8">
        <v>0</v>
      </c>
      <c r="BS75" s="8">
        <v>0</v>
      </c>
      <c r="BT75" s="8">
        <v>0</v>
      </c>
      <c r="BU75" s="8"/>
      <c r="BV75" s="8">
        <v>0</v>
      </c>
      <c r="BW75" s="8"/>
      <c r="BX75" s="8"/>
      <c r="BY75" s="8"/>
      <c r="BZ75" s="17">
        <f t="shared" si="6"/>
        <v>921</v>
      </c>
      <c r="CA75" s="17" t="s">
        <v>186</v>
      </c>
      <c r="CC75">
        <f t="shared" si="7"/>
        <v>0.18783930510314875</v>
      </c>
      <c r="CD75" s="8">
        <f t="shared" si="8"/>
        <v>173</v>
      </c>
      <c r="CE75" s="8">
        <f t="shared" si="9"/>
        <v>918</v>
      </c>
      <c r="CF75" s="8">
        <f t="shared" si="10"/>
        <v>171</v>
      </c>
      <c r="CG75" s="19">
        <f t="shared" si="11"/>
        <v>0.18627450980392157</v>
      </c>
      <c r="CH75" t="s">
        <v>188</v>
      </c>
    </row>
    <row r="76" spans="1:86" x14ac:dyDescent="0.2">
      <c r="A76" s="10" t="s">
        <v>520</v>
      </c>
      <c r="B76" s="9" t="s">
        <v>519</v>
      </c>
      <c r="C76" s="11" t="s">
        <v>179</v>
      </c>
      <c r="D76" s="11" t="s">
        <v>521</v>
      </c>
      <c r="E76" s="11" t="s">
        <v>440</v>
      </c>
      <c r="F76" s="8">
        <v>434</v>
      </c>
      <c r="G76" s="11" t="s">
        <v>522</v>
      </c>
      <c r="H76" s="13">
        <v>3848410</v>
      </c>
      <c r="I76" s="13">
        <v>713070</v>
      </c>
      <c r="J76" s="12">
        <v>15</v>
      </c>
      <c r="K76" s="12"/>
      <c r="L76" s="14" t="s">
        <v>523</v>
      </c>
      <c r="M76" s="14" t="s">
        <v>277</v>
      </c>
      <c r="N76" s="15">
        <v>14689</v>
      </c>
      <c r="O76" s="16" t="s">
        <v>185</v>
      </c>
      <c r="T76" s="8">
        <v>0</v>
      </c>
      <c r="U76" s="8">
        <v>0</v>
      </c>
      <c r="V76" s="8">
        <v>0</v>
      </c>
      <c r="W76" s="8">
        <v>0</v>
      </c>
      <c r="X76" s="8"/>
      <c r="Y76" s="8">
        <v>0</v>
      </c>
      <c r="Z76" s="8">
        <v>0</v>
      </c>
      <c r="AA76" s="8">
        <v>0</v>
      </c>
      <c r="AB76" s="8"/>
      <c r="AC76" s="8">
        <v>0</v>
      </c>
      <c r="AD76" s="8">
        <v>38</v>
      </c>
      <c r="AE76" s="8">
        <v>5</v>
      </c>
      <c r="AF76" s="8">
        <v>0</v>
      </c>
      <c r="AG76" s="8">
        <v>0</v>
      </c>
      <c r="AH76" s="8">
        <v>0</v>
      </c>
      <c r="AI76" s="8"/>
      <c r="AJ76" s="8">
        <v>0</v>
      </c>
      <c r="AK76" s="8"/>
      <c r="AL76" s="8">
        <v>0</v>
      </c>
      <c r="AM76" s="8">
        <v>0</v>
      </c>
      <c r="AN76" s="8">
        <v>0</v>
      </c>
      <c r="AO76" s="8"/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/>
      <c r="AV76" s="8">
        <v>1</v>
      </c>
      <c r="AW76" s="8">
        <v>0</v>
      </c>
      <c r="AX76" s="8">
        <v>10</v>
      </c>
      <c r="AY76" s="8">
        <v>2</v>
      </c>
      <c r="AZ76" s="8">
        <v>1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3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/>
      <c r="BQ76" s="8"/>
      <c r="BR76" s="8">
        <v>0</v>
      </c>
      <c r="BS76" s="8">
        <v>0</v>
      </c>
      <c r="BT76" s="8">
        <v>0</v>
      </c>
      <c r="BU76" s="8"/>
      <c r="BV76" s="8">
        <v>0</v>
      </c>
      <c r="BW76" s="8"/>
      <c r="BX76" s="8"/>
      <c r="BY76" s="8"/>
      <c r="BZ76" s="17">
        <f t="shared" si="6"/>
        <v>60</v>
      </c>
      <c r="CA76" s="17" t="s">
        <v>226</v>
      </c>
      <c r="CC76">
        <f t="shared" si="7"/>
        <v>0.15</v>
      </c>
      <c r="CD76" s="8">
        <f t="shared" si="8"/>
        <v>9</v>
      </c>
      <c r="CE76" s="8">
        <f t="shared" si="9"/>
        <v>16</v>
      </c>
      <c r="CF76" s="8">
        <f t="shared" si="10"/>
        <v>3</v>
      </c>
      <c r="CG76" s="19">
        <f t="shared" si="11"/>
        <v>0.1875</v>
      </c>
      <c r="CH76" t="s">
        <v>188</v>
      </c>
    </row>
    <row r="77" spans="1:86" x14ac:dyDescent="0.2">
      <c r="A77" s="10" t="s">
        <v>525</v>
      </c>
      <c r="B77" s="9" t="s">
        <v>524</v>
      </c>
      <c r="C77" s="11" t="s">
        <v>179</v>
      </c>
      <c r="D77" s="11" t="s">
        <v>526</v>
      </c>
      <c r="E77" s="11" t="s">
        <v>374</v>
      </c>
      <c r="F77" s="8">
        <v>172</v>
      </c>
      <c r="G77" s="11" t="s">
        <v>527</v>
      </c>
      <c r="H77" s="13">
        <v>3872280</v>
      </c>
      <c r="I77" s="13">
        <v>718090</v>
      </c>
      <c r="J77" s="12">
        <v>15</v>
      </c>
      <c r="K77" s="12"/>
      <c r="L77" s="14" t="s">
        <v>350</v>
      </c>
      <c r="M77" s="14" t="s">
        <v>225</v>
      </c>
      <c r="N77" s="15">
        <v>14704</v>
      </c>
      <c r="O77" s="16" t="s">
        <v>185</v>
      </c>
      <c r="T77" s="8">
        <v>0</v>
      </c>
      <c r="U77" s="8">
        <v>0</v>
      </c>
      <c r="V77" s="8">
        <v>0</v>
      </c>
      <c r="W77" s="8">
        <v>0</v>
      </c>
      <c r="X77" s="8"/>
      <c r="Y77" s="8">
        <v>0</v>
      </c>
      <c r="Z77" s="8">
        <v>0</v>
      </c>
      <c r="AA77" s="8">
        <v>0</v>
      </c>
      <c r="AB77" s="8"/>
      <c r="AC77" s="8">
        <v>0</v>
      </c>
      <c r="AD77" s="8">
        <v>100</v>
      </c>
      <c r="AE77" s="8">
        <v>3</v>
      </c>
      <c r="AF77" s="8">
        <v>0</v>
      </c>
      <c r="AG77" s="8">
        <v>0</v>
      </c>
      <c r="AH77" s="8">
        <v>0</v>
      </c>
      <c r="AI77" s="8"/>
      <c r="AJ77" s="8">
        <v>0</v>
      </c>
      <c r="AK77" s="8"/>
      <c r="AL77" s="8">
        <v>0</v>
      </c>
      <c r="AM77" s="8">
        <v>0</v>
      </c>
      <c r="AN77" s="8">
        <v>0</v>
      </c>
      <c r="AO77" s="8"/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/>
      <c r="AV77" s="8">
        <v>0</v>
      </c>
      <c r="AW77" s="8">
        <v>1</v>
      </c>
      <c r="AX77" s="8">
        <v>206</v>
      </c>
      <c r="AY77" s="8">
        <v>3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23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3</v>
      </c>
      <c r="BM77" s="8">
        <v>0</v>
      </c>
      <c r="BN77" s="8">
        <v>0</v>
      </c>
      <c r="BO77" s="8">
        <v>0</v>
      </c>
      <c r="BP77" s="8"/>
      <c r="BQ77" s="8"/>
      <c r="BR77" s="8">
        <v>0</v>
      </c>
      <c r="BS77" s="8">
        <v>0</v>
      </c>
      <c r="BT77" s="8">
        <v>0</v>
      </c>
      <c r="BU77" s="8"/>
      <c r="BV77" s="8">
        <v>0</v>
      </c>
      <c r="BW77" s="8"/>
      <c r="BX77" s="8"/>
      <c r="BY77" s="8"/>
      <c r="BZ77" s="17">
        <f t="shared" si="6"/>
        <v>339</v>
      </c>
      <c r="CA77" s="17" t="s">
        <v>186</v>
      </c>
      <c r="CC77">
        <f t="shared" si="7"/>
        <v>2.9498525073746312E-2</v>
      </c>
      <c r="CD77" s="8">
        <f t="shared" si="8"/>
        <v>9</v>
      </c>
      <c r="CE77" s="8">
        <f t="shared" si="9"/>
        <v>235</v>
      </c>
      <c r="CF77" s="8">
        <f t="shared" si="10"/>
        <v>6</v>
      </c>
      <c r="CG77" s="19">
        <f t="shared" si="11"/>
        <v>2.553191489361702E-2</v>
      </c>
      <c r="CH77" t="s">
        <v>188</v>
      </c>
    </row>
    <row r="78" spans="1:86" x14ac:dyDescent="0.2">
      <c r="A78" s="10" t="s">
        <v>529</v>
      </c>
      <c r="B78" s="9" t="s">
        <v>528</v>
      </c>
      <c r="C78" s="11" t="s">
        <v>179</v>
      </c>
      <c r="D78" s="11" t="s">
        <v>530</v>
      </c>
      <c r="E78" s="11" t="s">
        <v>374</v>
      </c>
      <c r="F78" s="8">
        <v>184</v>
      </c>
      <c r="G78" s="11" t="s">
        <v>531</v>
      </c>
      <c r="H78" s="13">
        <v>3872570</v>
      </c>
      <c r="I78" s="13">
        <v>712650</v>
      </c>
      <c r="J78" s="12">
        <v>15</v>
      </c>
      <c r="K78" s="12"/>
      <c r="L78" s="14" t="s">
        <v>532</v>
      </c>
      <c r="M78" s="14" t="s">
        <v>268</v>
      </c>
      <c r="N78" s="15">
        <v>14704</v>
      </c>
      <c r="T78" s="8">
        <v>0</v>
      </c>
      <c r="U78" s="8">
        <v>0</v>
      </c>
      <c r="V78" s="8">
        <v>0</v>
      </c>
      <c r="W78" s="8">
        <v>0</v>
      </c>
      <c r="X78" s="8"/>
      <c r="Y78" s="8">
        <v>0</v>
      </c>
      <c r="Z78" s="8">
        <v>0</v>
      </c>
      <c r="AA78" s="8">
        <v>0</v>
      </c>
      <c r="AB78" s="8"/>
      <c r="AC78" s="8">
        <v>0</v>
      </c>
      <c r="AD78" s="8">
        <v>148</v>
      </c>
      <c r="AE78" s="8">
        <v>23</v>
      </c>
      <c r="AF78" s="8">
        <v>1</v>
      </c>
      <c r="AG78" s="8">
        <v>0</v>
      </c>
      <c r="AH78" s="8">
        <v>0</v>
      </c>
      <c r="AI78" s="8"/>
      <c r="AJ78" s="8">
        <v>0</v>
      </c>
      <c r="AK78" s="8"/>
      <c r="AL78" s="8">
        <v>0</v>
      </c>
      <c r="AM78" s="8">
        <v>0</v>
      </c>
      <c r="AN78" s="8">
        <v>0</v>
      </c>
      <c r="AO78" s="8"/>
      <c r="AP78" s="8">
        <v>0</v>
      </c>
      <c r="AQ78" s="8">
        <v>1</v>
      </c>
      <c r="AR78" s="8">
        <v>0</v>
      </c>
      <c r="AS78" s="8">
        <v>0</v>
      </c>
      <c r="AT78" s="8">
        <v>0</v>
      </c>
      <c r="AU78" s="8"/>
      <c r="AV78" s="8">
        <v>0</v>
      </c>
      <c r="AW78" s="8">
        <v>0</v>
      </c>
      <c r="AX78" s="8">
        <v>89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2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1</v>
      </c>
      <c r="BM78" s="8">
        <v>0</v>
      </c>
      <c r="BN78" s="8">
        <v>0</v>
      </c>
      <c r="BO78" s="8">
        <v>0</v>
      </c>
      <c r="BP78" s="8"/>
      <c r="BQ78" s="8"/>
      <c r="BR78" s="8">
        <v>0</v>
      </c>
      <c r="BS78" s="8">
        <v>0</v>
      </c>
      <c r="BT78" s="8">
        <v>0</v>
      </c>
      <c r="BU78" s="8"/>
      <c r="BV78" s="8">
        <v>0</v>
      </c>
      <c r="BW78" s="8"/>
      <c r="BX78" s="8"/>
      <c r="BY78" s="8"/>
      <c r="BZ78" s="17">
        <f t="shared" si="6"/>
        <v>265</v>
      </c>
      <c r="CA78" s="8" t="s">
        <v>226</v>
      </c>
      <c r="CC78">
        <f t="shared" si="7"/>
        <v>9.8113207547169817E-2</v>
      </c>
      <c r="CD78" s="8">
        <f t="shared" si="8"/>
        <v>26</v>
      </c>
      <c r="CE78" s="8">
        <f t="shared" si="9"/>
        <v>92</v>
      </c>
      <c r="CF78" s="8">
        <f t="shared" si="10"/>
        <v>1</v>
      </c>
      <c r="CG78" s="19">
        <f t="shared" si="11"/>
        <v>1.0869565217391304E-2</v>
      </c>
      <c r="CH78" t="s">
        <v>188</v>
      </c>
    </row>
    <row r="79" spans="1:86" x14ac:dyDescent="0.2">
      <c r="A79" s="10" t="s">
        <v>534</v>
      </c>
      <c r="B79" s="9" t="s">
        <v>533</v>
      </c>
      <c r="C79" s="11" t="s">
        <v>179</v>
      </c>
      <c r="D79" s="11" t="s">
        <v>535</v>
      </c>
      <c r="E79" s="11" t="s">
        <v>440</v>
      </c>
      <c r="F79" s="8">
        <v>416</v>
      </c>
      <c r="G79" s="11" t="s">
        <v>536</v>
      </c>
      <c r="H79" s="13">
        <v>3856900</v>
      </c>
      <c r="I79" s="13">
        <v>720800</v>
      </c>
      <c r="J79" s="12">
        <v>15</v>
      </c>
      <c r="K79" s="12"/>
      <c r="L79" s="14" t="s">
        <v>533</v>
      </c>
      <c r="M79" s="14" t="s">
        <v>495</v>
      </c>
      <c r="N79" s="15">
        <v>14684</v>
      </c>
      <c r="T79" s="8">
        <v>0</v>
      </c>
      <c r="U79" s="8">
        <v>0</v>
      </c>
      <c r="V79" s="8">
        <v>0</v>
      </c>
      <c r="W79" s="8">
        <v>0</v>
      </c>
      <c r="X79" s="8"/>
      <c r="Y79" s="8">
        <v>0</v>
      </c>
      <c r="Z79" s="8">
        <v>0</v>
      </c>
      <c r="AA79" s="8">
        <v>0</v>
      </c>
      <c r="AB79" s="8"/>
      <c r="AC79" s="8">
        <v>0</v>
      </c>
      <c r="AD79" s="8">
        <v>20</v>
      </c>
      <c r="AE79" s="8">
        <v>31</v>
      </c>
      <c r="AF79" s="8">
        <v>0</v>
      </c>
      <c r="AG79" s="8">
        <v>0</v>
      </c>
      <c r="AH79" s="8">
        <v>0</v>
      </c>
      <c r="AI79" s="8"/>
      <c r="AJ79" s="8">
        <v>1</v>
      </c>
      <c r="AK79" s="8"/>
      <c r="AL79" s="8">
        <v>0</v>
      </c>
      <c r="AM79" s="8">
        <v>0</v>
      </c>
      <c r="AN79" s="8">
        <v>0</v>
      </c>
      <c r="AO79" s="8"/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/>
      <c r="AV79" s="8">
        <v>0</v>
      </c>
      <c r="AW79" s="8">
        <v>0</v>
      </c>
      <c r="AX79" s="8">
        <v>0</v>
      </c>
      <c r="AY79" s="8">
        <v>1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/>
      <c r="BQ79" s="8"/>
      <c r="BR79" s="8">
        <v>0</v>
      </c>
      <c r="BS79" s="8">
        <v>0</v>
      </c>
      <c r="BT79" s="8">
        <v>0</v>
      </c>
      <c r="BU79" s="8"/>
      <c r="BV79" s="8">
        <v>0</v>
      </c>
      <c r="BW79" s="8"/>
      <c r="BX79" s="8"/>
      <c r="BY79" s="8"/>
      <c r="BZ79" s="17">
        <f t="shared" si="6"/>
        <v>53</v>
      </c>
      <c r="CA79" s="17" t="s">
        <v>262</v>
      </c>
      <c r="CC79">
        <f t="shared" si="7"/>
        <v>0.62264150943396224</v>
      </c>
      <c r="CD79" s="8">
        <f t="shared" si="8"/>
        <v>33</v>
      </c>
      <c r="CE79" s="8">
        <f t="shared" si="9"/>
        <v>1</v>
      </c>
      <c r="CF79" s="8">
        <f t="shared" si="10"/>
        <v>1</v>
      </c>
      <c r="CG79" s="19">
        <f t="shared" si="11"/>
        <v>1</v>
      </c>
      <c r="CH79" t="s">
        <v>188</v>
      </c>
    </row>
    <row r="80" spans="1:86" x14ac:dyDescent="0.2">
      <c r="A80" s="10" t="s">
        <v>538</v>
      </c>
      <c r="B80" s="9" t="s">
        <v>537</v>
      </c>
      <c r="C80" s="11" t="s">
        <v>179</v>
      </c>
      <c r="D80" s="11" t="s">
        <v>539</v>
      </c>
      <c r="E80" s="11" t="s">
        <v>374</v>
      </c>
      <c r="F80" s="8">
        <v>184</v>
      </c>
      <c r="G80" s="11" t="s">
        <v>531</v>
      </c>
      <c r="H80" s="13">
        <v>3872310</v>
      </c>
      <c r="I80" s="13">
        <v>713100</v>
      </c>
      <c r="J80" s="12">
        <v>15</v>
      </c>
      <c r="K80" s="12"/>
      <c r="L80" s="14" t="s">
        <v>540</v>
      </c>
      <c r="M80" s="14" t="s">
        <v>225</v>
      </c>
      <c r="N80" s="15">
        <v>14704</v>
      </c>
      <c r="T80" s="8">
        <v>0</v>
      </c>
      <c r="U80" s="8">
        <v>0</v>
      </c>
      <c r="V80" s="8">
        <v>0</v>
      </c>
      <c r="W80" s="8">
        <v>0</v>
      </c>
      <c r="X80" s="8"/>
      <c r="Y80" s="8">
        <v>0</v>
      </c>
      <c r="Z80" s="8">
        <v>0</v>
      </c>
      <c r="AA80" s="8">
        <v>0</v>
      </c>
      <c r="AB80" s="8"/>
      <c r="AC80" s="8">
        <v>0</v>
      </c>
      <c r="AD80" s="8">
        <v>17</v>
      </c>
      <c r="AE80" s="8">
        <v>0</v>
      </c>
      <c r="AF80" s="8">
        <v>0</v>
      </c>
      <c r="AG80" s="8">
        <v>0</v>
      </c>
      <c r="AH80" s="8">
        <v>0</v>
      </c>
      <c r="AI80" s="8"/>
      <c r="AJ80" s="8">
        <v>0</v>
      </c>
      <c r="AK80" s="8"/>
      <c r="AL80" s="8">
        <v>0</v>
      </c>
      <c r="AM80" s="8">
        <v>0</v>
      </c>
      <c r="AN80" s="8">
        <v>0</v>
      </c>
      <c r="AO80" s="8"/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/>
      <c r="AV80" s="8">
        <v>0</v>
      </c>
      <c r="AW80" s="8">
        <v>0</v>
      </c>
      <c r="AX80" s="8">
        <v>1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1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/>
      <c r="BQ80" s="8"/>
      <c r="BR80" s="8">
        <v>0</v>
      </c>
      <c r="BS80" s="8">
        <v>0</v>
      </c>
      <c r="BT80" s="8">
        <v>0</v>
      </c>
      <c r="BU80" s="8"/>
      <c r="BV80" s="8">
        <v>0</v>
      </c>
      <c r="BW80" s="8"/>
      <c r="BX80" s="8"/>
      <c r="BY80" s="8"/>
      <c r="BZ80" s="17">
        <f t="shared" si="6"/>
        <v>19</v>
      </c>
      <c r="CA80" s="8" t="s">
        <v>247</v>
      </c>
      <c r="CC80">
        <f t="shared" si="7"/>
        <v>0</v>
      </c>
      <c r="CD80" s="8">
        <f t="shared" si="8"/>
        <v>0</v>
      </c>
      <c r="CE80" s="8">
        <f t="shared" si="9"/>
        <v>2</v>
      </c>
      <c r="CF80" s="8">
        <f t="shared" si="10"/>
        <v>0</v>
      </c>
      <c r="CG80" s="19">
        <f t="shared" si="11"/>
        <v>0</v>
      </c>
      <c r="CH80" t="s">
        <v>188</v>
      </c>
    </row>
    <row r="81" spans="1:86" x14ac:dyDescent="0.2">
      <c r="A81" s="10" t="s">
        <v>87</v>
      </c>
      <c r="B81" s="9" t="s">
        <v>541</v>
      </c>
      <c r="C81" s="11" t="s">
        <v>179</v>
      </c>
      <c r="D81" s="11" t="s">
        <v>542</v>
      </c>
      <c r="E81" s="11" t="s">
        <v>374</v>
      </c>
      <c r="F81" s="8">
        <v>184</v>
      </c>
      <c r="G81" s="11" t="s">
        <v>543</v>
      </c>
      <c r="H81" s="13">
        <v>3872820</v>
      </c>
      <c r="I81" s="13">
        <v>712000</v>
      </c>
      <c r="J81" s="12">
        <v>15</v>
      </c>
      <c r="K81" s="12"/>
      <c r="L81" s="14" t="s">
        <v>544</v>
      </c>
      <c r="M81" s="14" t="s">
        <v>545</v>
      </c>
      <c r="N81" s="15">
        <v>14704</v>
      </c>
      <c r="O81" s="16" t="s">
        <v>307</v>
      </c>
      <c r="T81" s="8">
        <v>0</v>
      </c>
      <c r="U81" s="8">
        <v>0</v>
      </c>
      <c r="V81" s="8">
        <v>0</v>
      </c>
      <c r="W81" s="8">
        <v>0</v>
      </c>
      <c r="X81" s="8"/>
      <c r="Y81" s="8">
        <v>0</v>
      </c>
      <c r="Z81" s="8">
        <v>0</v>
      </c>
      <c r="AA81" s="8">
        <v>0</v>
      </c>
      <c r="AB81" s="8"/>
      <c r="AC81" s="8">
        <v>0</v>
      </c>
      <c r="AD81" s="8">
        <v>1</v>
      </c>
      <c r="AE81" s="8">
        <v>0</v>
      </c>
      <c r="AF81" s="8">
        <v>0</v>
      </c>
      <c r="AG81" s="8">
        <v>0</v>
      </c>
      <c r="AH81" s="8">
        <v>0</v>
      </c>
      <c r="AI81" s="8"/>
      <c r="AJ81" s="8">
        <v>0</v>
      </c>
      <c r="AK81" s="8"/>
      <c r="AL81" s="8">
        <v>0</v>
      </c>
      <c r="AM81" s="8">
        <v>0</v>
      </c>
      <c r="AN81" s="8">
        <v>0</v>
      </c>
      <c r="AO81" s="8"/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/>
      <c r="AV81" s="8">
        <v>0</v>
      </c>
      <c r="AW81" s="8">
        <v>0</v>
      </c>
      <c r="AX81" s="8">
        <v>1537</v>
      </c>
      <c r="AY81" s="8">
        <v>268</v>
      </c>
      <c r="AZ81" s="8">
        <v>36</v>
      </c>
      <c r="BA81" s="8">
        <v>3</v>
      </c>
      <c r="BB81" s="8">
        <v>1</v>
      </c>
      <c r="BC81" s="8">
        <v>3</v>
      </c>
      <c r="BD81" s="8">
        <v>0</v>
      </c>
      <c r="BE81" s="8">
        <v>0</v>
      </c>
      <c r="BF81" s="8">
        <v>68</v>
      </c>
      <c r="BG81" s="8">
        <v>8</v>
      </c>
      <c r="BH81" s="8">
        <v>4</v>
      </c>
      <c r="BI81" s="8">
        <v>0</v>
      </c>
      <c r="BJ81" s="8">
        <v>0</v>
      </c>
      <c r="BK81" s="8">
        <v>1</v>
      </c>
      <c r="BL81" s="8">
        <v>70</v>
      </c>
      <c r="BM81" s="8">
        <v>0</v>
      </c>
      <c r="BN81" s="8">
        <v>0</v>
      </c>
      <c r="BO81" s="8">
        <v>0</v>
      </c>
      <c r="BP81" s="8"/>
      <c r="BQ81" s="8"/>
      <c r="BR81" s="8">
        <v>0</v>
      </c>
      <c r="BS81" s="8">
        <v>0</v>
      </c>
      <c r="BT81" s="8">
        <v>0</v>
      </c>
      <c r="BU81" s="8"/>
      <c r="BV81" s="8">
        <v>0</v>
      </c>
      <c r="BW81" s="8"/>
      <c r="BX81" s="8"/>
      <c r="BY81" s="8"/>
      <c r="BZ81" s="17">
        <f t="shared" si="6"/>
        <v>2000</v>
      </c>
      <c r="CA81" s="8" t="s">
        <v>195</v>
      </c>
      <c r="CC81">
        <f t="shared" si="7"/>
        <v>0.19700000000000001</v>
      </c>
      <c r="CD81" s="8">
        <f t="shared" si="8"/>
        <v>394</v>
      </c>
      <c r="CE81" s="8">
        <f t="shared" si="9"/>
        <v>1999</v>
      </c>
      <c r="CF81" s="8">
        <f t="shared" si="10"/>
        <v>394</v>
      </c>
      <c r="CG81" s="19">
        <f t="shared" si="11"/>
        <v>0.19709854927463732</v>
      </c>
      <c r="CH81" t="s">
        <v>188</v>
      </c>
    </row>
    <row r="82" spans="1:86" x14ac:dyDescent="0.2">
      <c r="A82" s="10" t="s">
        <v>547</v>
      </c>
      <c r="B82" s="9" t="s">
        <v>546</v>
      </c>
      <c r="C82" s="11" t="s">
        <v>179</v>
      </c>
      <c r="D82" s="11" t="s">
        <v>548</v>
      </c>
      <c r="E82" s="11" t="s">
        <v>440</v>
      </c>
      <c r="F82" s="8">
        <v>416</v>
      </c>
      <c r="G82" s="11" t="s">
        <v>549</v>
      </c>
      <c r="H82" s="13">
        <v>3861400</v>
      </c>
      <c r="I82" s="13">
        <v>724360</v>
      </c>
      <c r="J82" s="12">
        <v>15</v>
      </c>
      <c r="K82" s="12"/>
      <c r="L82" s="14" t="s">
        <v>550</v>
      </c>
      <c r="M82" s="14" t="s">
        <v>232</v>
      </c>
      <c r="N82" s="15">
        <v>14684</v>
      </c>
      <c r="O82" s="16" t="s">
        <v>185</v>
      </c>
      <c r="T82" s="8">
        <v>0</v>
      </c>
      <c r="U82" s="8">
        <v>0</v>
      </c>
      <c r="V82" s="8">
        <v>0</v>
      </c>
      <c r="W82" s="8">
        <v>0</v>
      </c>
      <c r="X82" s="8"/>
      <c r="Y82" s="8">
        <v>0</v>
      </c>
      <c r="Z82" s="8">
        <v>0</v>
      </c>
      <c r="AA82" s="8">
        <v>0</v>
      </c>
      <c r="AB82" s="8"/>
      <c r="AC82" s="8">
        <v>0</v>
      </c>
      <c r="AD82" s="8">
        <v>4</v>
      </c>
      <c r="AE82" s="8">
        <v>0</v>
      </c>
      <c r="AF82" s="8">
        <v>0</v>
      </c>
      <c r="AG82" s="8">
        <v>0</v>
      </c>
      <c r="AH82" s="8">
        <v>0</v>
      </c>
      <c r="AI82" s="8"/>
      <c r="AJ82" s="8">
        <v>0</v>
      </c>
      <c r="AK82" s="8"/>
      <c r="AL82" s="8">
        <v>0</v>
      </c>
      <c r="AM82" s="8">
        <v>0</v>
      </c>
      <c r="AN82" s="8">
        <v>0</v>
      </c>
      <c r="AO82" s="8"/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/>
      <c r="AV82" s="8">
        <v>0</v>
      </c>
      <c r="AW82" s="8">
        <v>1</v>
      </c>
      <c r="AX82" s="8">
        <v>17</v>
      </c>
      <c r="AY82" s="8">
        <v>1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7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/>
      <c r="BQ82" s="8"/>
      <c r="BR82" s="8">
        <v>0</v>
      </c>
      <c r="BS82" s="8">
        <v>0</v>
      </c>
      <c r="BT82" s="8">
        <v>0</v>
      </c>
      <c r="BU82" s="8"/>
      <c r="BV82" s="8">
        <v>0</v>
      </c>
      <c r="BW82" s="8"/>
      <c r="BX82" s="8"/>
      <c r="BY82" s="8"/>
      <c r="BZ82" s="17">
        <f t="shared" si="6"/>
        <v>30</v>
      </c>
      <c r="CA82" s="8" t="s">
        <v>247</v>
      </c>
      <c r="CC82">
        <f t="shared" si="7"/>
        <v>6.6666666666666666E-2</v>
      </c>
      <c r="CD82" s="8">
        <f t="shared" si="8"/>
        <v>1</v>
      </c>
      <c r="CE82" s="8">
        <f t="shared" si="9"/>
        <v>25</v>
      </c>
      <c r="CF82" s="8">
        <f t="shared" si="10"/>
        <v>1</v>
      </c>
      <c r="CG82" s="19">
        <f t="shared" si="11"/>
        <v>0.04</v>
      </c>
      <c r="CH82" t="s">
        <v>188</v>
      </c>
    </row>
    <row r="83" spans="1:86" x14ac:dyDescent="0.2">
      <c r="A83" s="10" t="s">
        <v>552</v>
      </c>
      <c r="B83" s="9" t="s">
        <v>551</v>
      </c>
      <c r="C83" s="11" t="s">
        <v>179</v>
      </c>
      <c r="D83" s="11" t="s">
        <v>553</v>
      </c>
      <c r="E83" s="11" t="s">
        <v>440</v>
      </c>
      <c r="F83" s="8">
        <v>416</v>
      </c>
      <c r="G83" s="11" t="s">
        <v>493</v>
      </c>
      <c r="H83" s="13">
        <v>3854800</v>
      </c>
      <c r="I83" s="13">
        <v>725840</v>
      </c>
      <c r="J83" s="12">
        <v>15</v>
      </c>
      <c r="K83" s="12"/>
      <c r="L83" s="14" t="s">
        <v>291</v>
      </c>
      <c r="M83" s="14" t="s">
        <v>495</v>
      </c>
      <c r="N83" s="15">
        <v>14684</v>
      </c>
      <c r="O83" s="16" t="s">
        <v>313</v>
      </c>
      <c r="T83" s="8">
        <v>0</v>
      </c>
      <c r="U83" s="8">
        <v>0</v>
      </c>
      <c r="V83" s="8">
        <v>0</v>
      </c>
      <c r="W83" s="8">
        <v>0</v>
      </c>
      <c r="X83" s="8"/>
      <c r="Y83" s="8">
        <v>0</v>
      </c>
      <c r="Z83" s="8">
        <v>0</v>
      </c>
      <c r="AA83" s="8">
        <v>0</v>
      </c>
      <c r="AB83" s="8"/>
      <c r="AC83" s="8">
        <v>0</v>
      </c>
      <c r="AD83" s="8">
        <v>46</v>
      </c>
      <c r="AE83" s="8">
        <v>41</v>
      </c>
      <c r="AF83" s="8">
        <v>7</v>
      </c>
      <c r="AG83" s="8">
        <v>0</v>
      </c>
      <c r="AH83" s="8">
        <v>0</v>
      </c>
      <c r="AI83" s="8"/>
      <c r="AJ83" s="8">
        <v>0</v>
      </c>
      <c r="AK83" s="8"/>
      <c r="AL83" s="8">
        <v>0</v>
      </c>
      <c r="AM83" s="8">
        <v>0</v>
      </c>
      <c r="AN83" s="8">
        <v>0</v>
      </c>
      <c r="AO83" s="8"/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/>
      <c r="AV83" s="8">
        <v>0</v>
      </c>
      <c r="AW83" s="8">
        <v>0</v>
      </c>
      <c r="AX83" s="8">
        <v>448</v>
      </c>
      <c r="AY83" s="8">
        <v>71</v>
      </c>
      <c r="AZ83" s="8">
        <v>45</v>
      </c>
      <c r="BA83" s="8">
        <v>3</v>
      </c>
      <c r="BB83" s="8">
        <v>0</v>
      </c>
      <c r="BC83" s="8">
        <v>0</v>
      </c>
      <c r="BD83" s="8">
        <v>0</v>
      </c>
      <c r="BE83" s="8">
        <v>0</v>
      </c>
      <c r="BF83" s="8">
        <v>337</v>
      </c>
      <c r="BG83" s="8">
        <v>22</v>
      </c>
      <c r="BH83" s="8">
        <v>0</v>
      </c>
      <c r="BI83" s="8">
        <v>4</v>
      </c>
      <c r="BJ83" s="8">
        <v>0</v>
      </c>
      <c r="BK83" s="8">
        <v>0</v>
      </c>
      <c r="BL83" s="8">
        <v>80</v>
      </c>
      <c r="BM83" s="8">
        <v>0</v>
      </c>
      <c r="BN83" s="8">
        <v>0</v>
      </c>
      <c r="BO83" s="8">
        <v>16</v>
      </c>
      <c r="BP83" s="8"/>
      <c r="BQ83" s="8"/>
      <c r="BR83" s="8">
        <v>0</v>
      </c>
      <c r="BS83" s="8">
        <v>0</v>
      </c>
      <c r="BT83" s="8">
        <v>0</v>
      </c>
      <c r="BU83" s="8"/>
      <c r="BV83" s="8">
        <v>0</v>
      </c>
      <c r="BW83" s="8"/>
      <c r="BX83" s="8"/>
      <c r="BY83" s="8"/>
      <c r="BZ83" s="17">
        <f t="shared" si="6"/>
        <v>1120</v>
      </c>
      <c r="CA83" s="17" t="s">
        <v>195</v>
      </c>
      <c r="CC83">
        <f t="shared" si="7"/>
        <v>0.25803571428571431</v>
      </c>
      <c r="CD83" s="8">
        <f t="shared" si="8"/>
        <v>289</v>
      </c>
      <c r="CE83" s="8">
        <f t="shared" si="9"/>
        <v>1026</v>
      </c>
      <c r="CF83" s="8">
        <f t="shared" si="10"/>
        <v>241</v>
      </c>
      <c r="CG83" s="19">
        <f t="shared" si="11"/>
        <v>0.23489278752436646</v>
      </c>
      <c r="CH83" t="s">
        <v>188</v>
      </c>
    </row>
    <row r="84" spans="1:86" x14ac:dyDescent="0.2">
      <c r="A84" s="10" t="s">
        <v>554</v>
      </c>
      <c r="B84" s="9" t="s">
        <v>551</v>
      </c>
      <c r="C84" s="11" t="s">
        <v>179</v>
      </c>
      <c r="D84" s="11" t="s">
        <v>553</v>
      </c>
      <c r="E84" s="11" t="s">
        <v>440</v>
      </c>
      <c r="F84" s="8">
        <v>416</v>
      </c>
      <c r="G84" s="11" t="s">
        <v>493</v>
      </c>
      <c r="H84" s="13">
        <v>3854800</v>
      </c>
      <c r="I84" s="13">
        <v>725840</v>
      </c>
      <c r="J84" s="12">
        <v>15</v>
      </c>
      <c r="K84" s="12"/>
      <c r="L84" s="14" t="s">
        <v>291</v>
      </c>
      <c r="M84" s="14" t="s">
        <v>495</v>
      </c>
      <c r="N84" s="15">
        <v>14684</v>
      </c>
      <c r="O84" s="16" t="s">
        <v>185</v>
      </c>
      <c r="T84" s="8">
        <v>0</v>
      </c>
      <c r="U84" s="8">
        <v>0</v>
      </c>
      <c r="V84" s="8">
        <v>0</v>
      </c>
      <c r="W84" s="8">
        <v>0</v>
      </c>
      <c r="X84" s="8"/>
      <c r="Y84" s="8">
        <v>0</v>
      </c>
      <c r="Z84" s="8">
        <v>0</v>
      </c>
      <c r="AA84" s="8">
        <v>0</v>
      </c>
      <c r="AB84" s="8"/>
      <c r="AC84" s="8">
        <v>0</v>
      </c>
      <c r="AD84" s="8">
        <v>170</v>
      </c>
      <c r="AE84" s="8">
        <v>22</v>
      </c>
      <c r="AF84" s="8">
        <v>4</v>
      </c>
      <c r="AG84" s="8">
        <v>0</v>
      </c>
      <c r="AH84" s="8">
        <v>0</v>
      </c>
      <c r="AI84" s="8"/>
      <c r="AJ84" s="8">
        <v>1</v>
      </c>
      <c r="AK84" s="8"/>
      <c r="AL84" s="8">
        <v>0</v>
      </c>
      <c r="AM84" s="8">
        <v>0</v>
      </c>
      <c r="AN84" s="8">
        <v>1</v>
      </c>
      <c r="AO84" s="8"/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/>
      <c r="AV84" s="8">
        <v>0</v>
      </c>
      <c r="AW84" s="8">
        <v>0</v>
      </c>
      <c r="AX84" s="8">
        <v>47</v>
      </c>
      <c r="AY84" s="8">
        <v>17</v>
      </c>
      <c r="AZ84" s="8">
        <v>17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7</v>
      </c>
      <c r="BG84" s="8">
        <v>2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1</v>
      </c>
      <c r="BP84" s="8"/>
      <c r="BQ84" s="8"/>
      <c r="BR84" s="8">
        <v>0</v>
      </c>
      <c r="BS84" s="8">
        <v>0</v>
      </c>
      <c r="BT84" s="8">
        <v>0</v>
      </c>
      <c r="BU84" s="8"/>
      <c r="BV84" s="8">
        <v>0</v>
      </c>
      <c r="BW84" s="8"/>
      <c r="BX84" s="8"/>
      <c r="BY84" s="8"/>
      <c r="BZ84" s="17">
        <f t="shared" si="6"/>
        <v>289</v>
      </c>
      <c r="CA84" s="17" t="s">
        <v>226</v>
      </c>
      <c r="CC84">
        <f t="shared" si="7"/>
        <v>0.22491349480968859</v>
      </c>
      <c r="CD84" s="8">
        <f t="shared" si="8"/>
        <v>65</v>
      </c>
      <c r="CE84" s="8">
        <f t="shared" si="9"/>
        <v>91</v>
      </c>
      <c r="CF84" s="8">
        <f t="shared" si="10"/>
        <v>37</v>
      </c>
      <c r="CG84" s="19">
        <f t="shared" si="11"/>
        <v>0.40659340659340659</v>
      </c>
      <c r="CH84" t="s">
        <v>188</v>
      </c>
    </row>
    <row r="85" spans="1:86" x14ac:dyDescent="0.2">
      <c r="A85" s="10" t="s">
        <v>77</v>
      </c>
      <c r="B85" s="9" t="s">
        <v>60</v>
      </c>
      <c r="C85" s="11" t="s">
        <v>179</v>
      </c>
      <c r="D85" s="11" t="s">
        <v>555</v>
      </c>
      <c r="E85" s="11" t="s">
        <v>440</v>
      </c>
      <c r="F85" s="8">
        <v>416</v>
      </c>
      <c r="G85" s="11" t="s">
        <v>556</v>
      </c>
      <c r="H85" s="13">
        <v>3860300</v>
      </c>
      <c r="I85" s="13">
        <v>725300</v>
      </c>
      <c r="J85" s="12">
        <v>15</v>
      </c>
      <c r="K85" s="12"/>
      <c r="L85" s="14" t="s">
        <v>557</v>
      </c>
      <c r="M85" s="14" t="s">
        <v>232</v>
      </c>
      <c r="N85" s="15">
        <v>14684</v>
      </c>
      <c r="O85" s="16" t="s">
        <v>185</v>
      </c>
      <c r="T85" s="8">
        <v>0</v>
      </c>
      <c r="U85" s="8">
        <v>0</v>
      </c>
      <c r="V85" s="8">
        <v>0</v>
      </c>
      <c r="W85" s="8">
        <v>0</v>
      </c>
      <c r="X85" s="8"/>
      <c r="Y85" s="8">
        <v>0</v>
      </c>
      <c r="Z85" s="8">
        <v>0</v>
      </c>
      <c r="AA85" s="8">
        <v>0</v>
      </c>
      <c r="AB85" s="8"/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/>
      <c r="AJ85" s="8">
        <v>0</v>
      </c>
      <c r="AK85" s="8"/>
      <c r="AL85" s="8">
        <v>0</v>
      </c>
      <c r="AM85" s="8">
        <v>0</v>
      </c>
      <c r="AN85" s="8">
        <v>0</v>
      </c>
      <c r="AO85" s="8"/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/>
      <c r="AV85" s="8">
        <v>0</v>
      </c>
      <c r="AW85" s="8">
        <v>0</v>
      </c>
      <c r="AX85" s="8">
        <v>313</v>
      </c>
      <c r="AY85" s="8">
        <v>35</v>
      </c>
      <c r="AZ85" s="8">
        <v>9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64</v>
      </c>
      <c r="BG85" s="8">
        <v>2</v>
      </c>
      <c r="BH85" s="8">
        <v>0</v>
      </c>
      <c r="BI85" s="8">
        <v>0</v>
      </c>
      <c r="BJ85" s="8">
        <v>0</v>
      </c>
      <c r="BK85" s="8">
        <v>0</v>
      </c>
      <c r="BL85" s="8">
        <v>31</v>
      </c>
      <c r="BM85" s="8">
        <v>0</v>
      </c>
      <c r="BN85" s="8">
        <v>0</v>
      </c>
      <c r="BO85" s="8">
        <v>2</v>
      </c>
      <c r="BP85" s="8"/>
      <c r="BQ85" s="8"/>
      <c r="BR85" s="8">
        <v>0</v>
      </c>
      <c r="BS85" s="8">
        <v>0</v>
      </c>
      <c r="BT85" s="8">
        <v>0</v>
      </c>
      <c r="BU85" s="8"/>
      <c r="BV85" s="8">
        <v>0</v>
      </c>
      <c r="BW85" s="8"/>
      <c r="BX85" s="8"/>
      <c r="BY85" s="8"/>
      <c r="BZ85" s="17">
        <f t="shared" si="6"/>
        <v>456</v>
      </c>
      <c r="CA85" s="17" t="s">
        <v>186</v>
      </c>
      <c r="CC85">
        <f t="shared" si="7"/>
        <v>0.17324561403508773</v>
      </c>
      <c r="CD85" s="8">
        <f t="shared" si="8"/>
        <v>79</v>
      </c>
      <c r="CE85" s="8">
        <f t="shared" si="9"/>
        <v>456</v>
      </c>
      <c r="CF85" s="8">
        <f t="shared" si="10"/>
        <v>79</v>
      </c>
      <c r="CG85" s="19">
        <f t="shared" si="11"/>
        <v>0.17324561403508773</v>
      </c>
      <c r="CH85" t="s">
        <v>188</v>
      </c>
    </row>
    <row r="86" spans="1:86" x14ac:dyDescent="0.2">
      <c r="A86" s="10" t="s">
        <v>559</v>
      </c>
      <c r="B86" s="9" t="s">
        <v>558</v>
      </c>
      <c r="C86" s="11" t="s">
        <v>179</v>
      </c>
      <c r="D86" s="11" t="s">
        <v>560</v>
      </c>
      <c r="E86" s="11" t="s">
        <v>440</v>
      </c>
      <c r="F86" s="8">
        <v>416</v>
      </c>
      <c r="G86" s="11" t="s">
        <v>561</v>
      </c>
      <c r="H86" s="13">
        <v>3856210</v>
      </c>
      <c r="I86" s="13">
        <v>726020</v>
      </c>
      <c r="J86" s="12">
        <v>15</v>
      </c>
      <c r="K86" s="12"/>
      <c r="L86" s="14" t="s">
        <v>376</v>
      </c>
      <c r="M86" s="14" t="s">
        <v>495</v>
      </c>
      <c r="N86" s="15">
        <v>14684</v>
      </c>
      <c r="T86" s="8">
        <v>0</v>
      </c>
      <c r="U86" s="8">
        <v>0</v>
      </c>
      <c r="V86" s="8">
        <v>0</v>
      </c>
      <c r="W86" s="8">
        <v>0</v>
      </c>
      <c r="X86" s="8"/>
      <c r="Y86" s="8">
        <v>0</v>
      </c>
      <c r="Z86" s="8">
        <v>0</v>
      </c>
      <c r="AA86" s="8">
        <v>0</v>
      </c>
      <c r="AB86" s="8"/>
      <c r="AC86" s="8">
        <v>0</v>
      </c>
      <c r="AD86" s="8">
        <v>9</v>
      </c>
      <c r="AE86" s="8">
        <v>0</v>
      </c>
      <c r="AF86" s="8">
        <v>0</v>
      </c>
      <c r="AG86" s="8">
        <v>0</v>
      </c>
      <c r="AH86" s="8">
        <v>0</v>
      </c>
      <c r="AI86" s="8"/>
      <c r="AJ86" s="8">
        <v>0</v>
      </c>
      <c r="AK86" s="8"/>
      <c r="AL86" s="8">
        <v>0</v>
      </c>
      <c r="AM86" s="8">
        <v>0</v>
      </c>
      <c r="AN86" s="8">
        <v>0</v>
      </c>
      <c r="AO86" s="8"/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/>
      <c r="AV86" s="8">
        <v>0</v>
      </c>
      <c r="AW86" s="8">
        <v>0</v>
      </c>
      <c r="AX86" s="8">
        <v>35</v>
      </c>
      <c r="AY86" s="8">
        <v>4</v>
      </c>
      <c r="AZ86" s="8">
        <v>5</v>
      </c>
      <c r="BA86" s="8">
        <v>0</v>
      </c>
      <c r="BB86" s="8">
        <v>1</v>
      </c>
      <c r="BC86" s="8">
        <v>0</v>
      </c>
      <c r="BD86" s="8">
        <v>0</v>
      </c>
      <c r="BE86" s="8">
        <v>0</v>
      </c>
      <c r="BF86" s="8">
        <v>28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1</v>
      </c>
      <c r="BM86" s="8">
        <v>0</v>
      </c>
      <c r="BN86" s="8">
        <v>0</v>
      </c>
      <c r="BO86" s="8">
        <v>0</v>
      </c>
      <c r="BP86" s="8"/>
      <c r="BQ86" s="8"/>
      <c r="BR86" s="8">
        <v>0</v>
      </c>
      <c r="BS86" s="8">
        <v>0</v>
      </c>
      <c r="BT86" s="8">
        <v>0</v>
      </c>
      <c r="BU86" s="8"/>
      <c r="BV86" s="8">
        <v>0</v>
      </c>
      <c r="BW86" s="8"/>
      <c r="BX86" s="8"/>
      <c r="BY86" s="8"/>
      <c r="BZ86" s="17">
        <f t="shared" si="6"/>
        <v>83</v>
      </c>
      <c r="CA86" s="17" t="s">
        <v>186</v>
      </c>
      <c r="CC86">
        <f t="shared" si="7"/>
        <v>0.13253012048192772</v>
      </c>
      <c r="CD86" s="8">
        <f t="shared" si="8"/>
        <v>11</v>
      </c>
      <c r="CE86" s="8">
        <f t="shared" si="9"/>
        <v>74</v>
      </c>
      <c r="CF86" s="8">
        <f t="shared" si="10"/>
        <v>11</v>
      </c>
      <c r="CG86" s="19">
        <f t="shared" si="11"/>
        <v>0.14864864864864866</v>
      </c>
      <c r="CH86" t="s">
        <v>188</v>
      </c>
    </row>
    <row r="87" spans="1:86" x14ac:dyDescent="0.2">
      <c r="A87" s="10" t="s">
        <v>563</v>
      </c>
      <c r="B87" s="9" t="s">
        <v>562</v>
      </c>
      <c r="C87" s="11" t="s">
        <v>179</v>
      </c>
      <c r="D87" s="11" t="s">
        <v>564</v>
      </c>
      <c r="E87" s="11" t="s">
        <v>440</v>
      </c>
      <c r="F87" s="8">
        <v>184</v>
      </c>
      <c r="G87" s="11" t="s">
        <v>565</v>
      </c>
      <c r="H87" s="13">
        <v>3861780</v>
      </c>
      <c r="I87" s="13">
        <v>708000</v>
      </c>
      <c r="J87" s="12">
        <v>15</v>
      </c>
      <c r="K87" s="12"/>
      <c r="L87" s="14" t="s">
        <v>566</v>
      </c>
      <c r="M87" s="14" t="s">
        <v>404</v>
      </c>
      <c r="N87" s="15">
        <v>14688</v>
      </c>
      <c r="O87" s="16" t="s">
        <v>185</v>
      </c>
      <c r="T87" s="8">
        <v>0</v>
      </c>
      <c r="U87" s="8">
        <v>0</v>
      </c>
      <c r="V87" s="8">
        <v>0</v>
      </c>
      <c r="W87" s="8">
        <v>0</v>
      </c>
      <c r="X87" s="8"/>
      <c r="Y87" s="8">
        <v>0</v>
      </c>
      <c r="Z87" s="8">
        <v>0</v>
      </c>
      <c r="AA87" s="8">
        <v>0</v>
      </c>
      <c r="AB87" s="8"/>
      <c r="AC87" s="8">
        <v>0</v>
      </c>
      <c r="AD87" s="8">
        <v>7</v>
      </c>
      <c r="AE87" s="8">
        <v>6</v>
      </c>
      <c r="AF87" s="8">
        <v>0</v>
      </c>
      <c r="AG87" s="8">
        <v>0</v>
      </c>
      <c r="AH87" s="8">
        <v>0</v>
      </c>
      <c r="AI87" s="8"/>
      <c r="AJ87" s="8">
        <v>0</v>
      </c>
      <c r="AK87" s="8"/>
      <c r="AL87" s="8">
        <v>0</v>
      </c>
      <c r="AM87" s="8">
        <v>0</v>
      </c>
      <c r="AN87" s="8">
        <v>0</v>
      </c>
      <c r="AO87" s="8"/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/>
      <c r="AV87" s="8">
        <v>0</v>
      </c>
      <c r="AW87" s="8">
        <v>0</v>
      </c>
      <c r="AX87" s="8">
        <v>433</v>
      </c>
      <c r="AY87" s="8">
        <v>70</v>
      </c>
      <c r="AZ87" s="8">
        <v>49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40</v>
      </c>
      <c r="BG87" s="8">
        <v>1</v>
      </c>
      <c r="BH87" s="8">
        <v>0</v>
      </c>
      <c r="BI87" s="8">
        <v>2</v>
      </c>
      <c r="BJ87" s="8">
        <v>0</v>
      </c>
      <c r="BK87" s="8">
        <v>0</v>
      </c>
      <c r="BL87" s="8">
        <v>57</v>
      </c>
      <c r="BM87" s="8">
        <v>0</v>
      </c>
      <c r="BN87" s="8">
        <v>0</v>
      </c>
      <c r="BO87" s="8">
        <v>2</v>
      </c>
      <c r="BP87" s="8"/>
      <c r="BQ87" s="8"/>
      <c r="BR87" s="8">
        <v>0</v>
      </c>
      <c r="BS87" s="8">
        <v>0</v>
      </c>
      <c r="BT87" s="8">
        <v>0</v>
      </c>
      <c r="BU87" s="8"/>
      <c r="BV87" s="8">
        <v>0</v>
      </c>
      <c r="BW87" s="8"/>
      <c r="BX87" s="8"/>
      <c r="BY87" s="8"/>
      <c r="BZ87" s="17">
        <f t="shared" si="6"/>
        <v>667</v>
      </c>
      <c r="CA87" s="8" t="s">
        <v>195</v>
      </c>
      <c r="CC87">
        <f t="shared" si="7"/>
        <v>0.28035982008995503</v>
      </c>
      <c r="CD87" s="8">
        <f t="shared" si="8"/>
        <v>187</v>
      </c>
      <c r="CE87" s="8">
        <f t="shared" si="9"/>
        <v>654</v>
      </c>
      <c r="CF87" s="8">
        <f t="shared" si="10"/>
        <v>181</v>
      </c>
      <c r="CG87" s="19">
        <f t="shared" si="11"/>
        <v>0.27675840978593275</v>
      </c>
      <c r="CH87" t="s">
        <v>188</v>
      </c>
    </row>
    <row r="88" spans="1:86" x14ac:dyDescent="0.2">
      <c r="A88" s="10" t="s">
        <v>568</v>
      </c>
      <c r="B88" s="9" t="s">
        <v>567</v>
      </c>
      <c r="C88" s="11" t="s">
        <v>179</v>
      </c>
      <c r="D88" s="11" t="s">
        <v>569</v>
      </c>
      <c r="E88" s="11" t="s">
        <v>440</v>
      </c>
      <c r="F88" s="8">
        <v>416</v>
      </c>
      <c r="G88" s="11" t="s">
        <v>561</v>
      </c>
      <c r="H88" s="13">
        <v>3856480</v>
      </c>
      <c r="I88" s="13">
        <v>726000</v>
      </c>
      <c r="J88" s="12">
        <v>15</v>
      </c>
      <c r="K88" s="12"/>
      <c r="L88" s="14" t="s">
        <v>570</v>
      </c>
      <c r="M88" s="14" t="s">
        <v>495</v>
      </c>
      <c r="N88" s="15">
        <v>14684</v>
      </c>
      <c r="T88" s="8">
        <v>0</v>
      </c>
      <c r="U88" s="8">
        <v>0</v>
      </c>
      <c r="V88" s="8">
        <v>0</v>
      </c>
      <c r="W88" s="8">
        <v>0</v>
      </c>
      <c r="X88" s="8"/>
      <c r="Y88" s="8">
        <v>0</v>
      </c>
      <c r="Z88" s="8">
        <v>0</v>
      </c>
      <c r="AA88" s="8">
        <v>0</v>
      </c>
      <c r="AB88" s="8"/>
      <c r="AC88" s="8">
        <v>0</v>
      </c>
      <c r="AD88" s="8">
        <v>145</v>
      </c>
      <c r="AE88" s="8">
        <v>285</v>
      </c>
      <c r="AF88" s="8">
        <v>78</v>
      </c>
      <c r="AG88" s="8">
        <v>0</v>
      </c>
      <c r="AH88" s="8">
        <v>0</v>
      </c>
      <c r="AI88" s="8"/>
      <c r="AJ88" s="8">
        <v>1</v>
      </c>
      <c r="AK88" s="8"/>
      <c r="AL88" s="8">
        <v>0</v>
      </c>
      <c r="AM88" s="8">
        <v>0</v>
      </c>
      <c r="AN88" s="8">
        <v>0</v>
      </c>
      <c r="AO88" s="8"/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/>
      <c r="AV88" s="8">
        <v>6</v>
      </c>
      <c r="AW88" s="8">
        <v>0</v>
      </c>
      <c r="AX88" s="8">
        <v>10</v>
      </c>
      <c r="AY88" s="8">
        <v>1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10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/>
      <c r="BQ88" s="8"/>
      <c r="BR88" s="8">
        <v>0</v>
      </c>
      <c r="BS88" s="8">
        <v>0</v>
      </c>
      <c r="BT88" s="8">
        <v>0</v>
      </c>
      <c r="BU88" s="8"/>
      <c r="BV88" s="8">
        <v>0</v>
      </c>
      <c r="BW88" s="8"/>
      <c r="BX88" s="8"/>
      <c r="BY88" s="8"/>
      <c r="BZ88" s="17">
        <f t="shared" si="6"/>
        <v>536</v>
      </c>
      <c r="CA88" s="17" t="s">
        <v>226</v>
      </c>
      <c r="CC88">
        <f t="shared" si="7"/>
        <v>0.69216417910447758</v>
      </c>
      <c r="CD88" s="8">
        <f t="shared" si="8"/>
        <v>371</v>
      </c>
      <c r="CE88" s="8">
        <f t="shared" si="9"/>
        <v>21</v>
      </c>
      <c r="CF88" s="8">
        <f t="shared" si="10"/>
        <v>1</v>
      </c>
      <c r="CG88" s="19">
        <f t="shared" si="11"/>
        <v>4.7619047619047616E-2</v>
      </c>
      <c r="CH88" t="s">
        <v>188</v>
      </c>
    </row>
    <row r="89" spans="1:86" x14ac:dyDescent="0.2">
      <c r="A89" s="10" t="s">
        <v>572</v>
      </c>
      <c r="B89" s="9" t="s">
        <v>571</v>
      </c>
      <c r="C89" s="11" t="s">
        <v>179</v>
      </c>
      <c r="D89" s="11" t="s">
        <v>439</v>
      </c>
      <c r="E89" s="11" t="s">
        <v>440</v>
      </c>
      <c r="F89" s="8">
        <v>416</v>
      </c>
      <c r="G89" s="11" t="s">
        <v>441</v>
      </c>
      <c r="H89" s="13">
        <v>3851260</v>
      </c>
      <c r="I89" s="13">
        <v>717650</v>
      </c>
      <c r="J89" s="12">
        <v>15</v>
      </c>
      <c r="K89" s="12"/>
      <c r="L89" s="14" t="s">
        <v>287</v>
      </c>
      <c r="M89" s="14" t="s">
        <v>277</v>
      </c>
      <c r="N89" s="15">
        <v>14689</v>
      </c>
      <c r="T89" s="8">
        <v>0</v>
      </c>
      <c r="U89" s="8">
        <v>0</v>
      </c>
      <c r="V89" s="8">
        <v>0</v>
      </c>
      <c r="W89" s="8">
        <v>0</v>
      </c>
      <c r="X89" s="8"/>
      <c r="Y89" s="8">
        <v>0</v>
      </c>
      <c r="Z89" s="8">
        <v>0</v>
      </c>
      <c r="AA89" s="8">
        <v>1</v>
      </c>
      <c r="AB89" s="8"/>
      <c r="AC89" s="8">
        <v>0</v>
      </c>
      <c r="AD89" s="8">
        <v>20</v>
      </c>
      <c r="AE89" s="8">
        <v>5</v>
      </c>
      <c r="AF89" s="8">
        <v>2</v>
      </c>
      <c r="AG89" s="8">
        <v>0</v>
      </c>
      <c r="AH89" s="8">
        <v>0</v>
      </c>
      <c r="AI89" s="8"/>
      <c r="AJ89" s="8">
        <v>0</v>
      </c>
      <c r="AK89" s="8"/>
      <c r="AL89" s="8">
        <v>0</v>
      </c>
      <c r="AM89" s="8">
        <v>0</v>
      </c>
      <c r="AN89" s="8">
        <v>0</v>
      </c>
      <c r="AO89" s="8"/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/>
      <c r="AV89" s="8">
        <v>0</v>
      </c>
      <c r="AW89" s="8">
        <v>0</v>
      </c>
      <c r="AX89" s="8">
        <v>12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2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1</v>
      </c>
      <c r="BM89" s="8">
        <v>0</v>
      </c>
      <c r="BN89" s="8">
        <v>0</v>
      </c>
      <c r="BO89" s="8">
        <v>0</v>
      </c>
      <c r="BP89" s="8"/>
      <c r="BQ89" s="8"/>
      <c r="BR89" s="8">
        <v>0</v>
      </c>
      <c r="BS89" s="8">
        <v>0</v>
      </c>
      <c r="BT89" s="8">
        <v>0</v>
      </c>
      <c r="BU89" s="8"/>
      <c r="BV89" s="8">
        <v>0</v>
      </c>
      <c r="BW89" s="8"/>
      <c r="BX89" s="8"/>
      <c r="BY89" s="8"/>
      <c r="BZ89" s="17">
        <f t="shared" si="6"/>
        <v>43</v>
      </c>
      <c r="CA89" s="8" t="s">
        <v>226</v>
      </c>
      <c r="CC89">
        <f t="shared" si="7"/>
        <v>0.20930232558139536</v>
      </c>
      <c r="CD89" s="8">
        <f t="shared" si="8"/>
        <v>9</v>
      </c>
      <c r="CE89" s="8">
        <f t="shared" si="9"/>
        <v>15</v>
      </c>
      <c r="CF89" s="8">
        <f t="shared" si="10"/>
        <v>1</v>
      </c>
      <c r="CG89" s="19">
        <f t="shared" si="11"/>
        <v>6.6666666666666666E-2</v>
      </c>
      <c r="CH89" t="s">
        <v>188</v>
      </c>
    </row>
    <row r="90" spans="1:86" x14ac:dyDescent="0.2">
      <c r="A90" s="10" t="s">
        <v>574</v>
      </c>
      <c r="B90" s="9" t="s">
        <v>573</v>
      </c>
      <c r="C90" s="11" t="s">
        <v>179</v>
      </c>
      <c r="D90" s="11" t="s">
        <v>575</v>
      </c>
      <c r="E90" s="11" t="s">
        <v>440</v>
      </c>
      <c r="F90" s="8">
        <v>984</v>
      </c>
      <c r="G90" s="11" t="s">
        <v>576</v>
      </c>
      <c r="H90" s="13">
        <v>3864600</v>
      </c>
      <c r="I90" s="13">
        <v>732400</v>
      </c>
      <c r="J90" s="12">
        <v>15</v>
      </c>
      <c r="K90" s="12"/>
      <c r="L90" s="14" t="s">
        <v>461</v>
      </c>
      <c r="M90" s="14" t="s">
        <v>232</v>
      </c>
      <c r="N90" s="15">
        <v>14684</v>
      </c>
      <c r="O90" s="16" t="s">
        <v>185</v>
      </c>
      <c r="T90" s="8">
        <v>0</v>
      </c>
      <c r="U90" s="8">
        <v>0</v>
      </c>
      <c r="V90" s="8">
        <v>0</v>
      </c>
      <c r="W90" s="8">
        <v>0</v>
      </c>
      <c r="X90" s="8"/>
      <c r="Y90" s="8">
        <v>0</v>
      </c>
      <c r="Z90" s="8">
        <v>0</v>
      </c>
      <c r="AA90" s="8">
        <v>0</v>
      </c>
      <c r="AB90" s="8"/>
      <c r="AC90" s="8">
        <v>0</v>
      </c>
      <c r="AD90" s="8">
        <v>1245</v>
      </c>
      <c r="AE90" s="8">
        <v>322</v>
      </c>
      <c r="AF90" s="8">
        <v>179</v>
      </c>
      <c r="AG90" s="8">
        <v>1</v>
      </c>
      <c r="AH90" s="8">
        <v>3</v>
      </c>
      <c r="AI90" s="8"/>
      <c r="AJ90" s="8">
        <v>1</v>
      </c>
      <c r="AK90" s="8"/>
      <c r="AL90" s="8">
        <v>0</v>
      </c>
      <c r="AM90" s="8">
        <v>0</v>
      </c>
      <c r="AN90" s="8">
        <v>0</v>
      </c>
      <c r="AO90" s="8"/>
      <c r="AP90" s="8">
        <v>1</v>
      </c>
      <c r="AQ90" s="8">
        <v>0</v>
      </c>
      <c r="AR90" s="8">
        <v>0</v>
      </c>
      <c r="AS90" s="8">
        <v>0</v>
      </c>
      <c r="AT90" s="8">
        <v>0</v>
      </c>
      <c r="AU90" s="8"/>
      <c r="AV90" s="8">
        <v>0</v>
      </c>
      <c r="AW90" s="8">
        <v>2</v>
      </c>
      <c r="AX90" s="8">
        <v>222</v>
      </c>
      <c r="AY90" s="8">
        <v>4</v>
      </c>
      <c r="AZ90" s="8">
        <v>16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25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9</v>
      </c>
      <c r="BM90" s="8">
        <v>0</v>
      </c>
      <c r="BN90" s="8">
        <v>0</v>
      </c>
      <c r="BO90" s="8">
        <v>1</v>
      </c>
      <c r="BP90" s="8"/>
      <c r="BQ90" s="8"/>
      <c r="BR90" s="8">
        <v>0</v>
      </c>
      <c r="BS90" s="8">
        <v>0</v>
      </c>
      <c r="BT90" s="8">
        <v>0</v>
      </c>
      <c r="BU90" s="8"/>
      <c r="BV90" s="8">
        <v>0</v>
      </c>
      <c r="BW90" s="8"/>
      <c r="BX90" s="8"/>
      <c r="BY90" s="8"/>
      <c r="BZ90" s="17">
        <f t="shared" si="6"/>
        <v>2031</v>
      </c>
      <c r="CA90" s="17" t="s">
        <v>226</v>
      </c>
      <c r="CC90">
        <f t="shared" si="7"/>
        <v>0.2653865091088134</v>
      </c>
      <c r="CD90" s="8">
        <f t="shared" si="8"/>
        <v>537</v>
      </c>
      <c r="CE90" s="8">
        <f t="shared" si="9"/>
        <v>277</v>
      </c>
      <c r="CF90" s="8">
        <f t="shared" si="10"/>
        <v>30</v>
      </c>
      <c r="CG90" s="19">
        <f t="shared" si="11"/>
        <v>0.10830324909747292</v>
      </c>
      <c r="CH90" t="s">
        <v>188</v>
      </c>
    </row>
    <row r="91" spans="1:86" x14ac:dyDescent="0.2">
      <c r="A91" s="10" t="s">
        <v>81</v>
      </c>
      <c r="B91" s="9" t="s">
        <v>27</v>
      </c>
      <c r="C91" s="11" t="s">
        <v>577</v>
      </c>
      <c r="D91" s="11"/>
      <c r="E91" s="11" t="s">
        <v>578</v>
      </c>
      <c r="G91" s="11" t="s">
        <v>579</v>
      </c>
      <c r="H91" s="21">
        <v>3851300</v>
      </c>
      <c r="I91" s="21">
        <v>740620</v>
      </c>
      <c r="J91" s="12">
        <v>15</v>
      </c>
      <c r="K91" s="12"/>
      <c r="T91" s="8">
        <v>0</v>
      </c>
      <c r="U91" s="8">
        <v>0</v>
      </c>
      <c r="V91" s="8">
        <v>0</v>
      </c>
      <c r="W91" s="8">
        <v>0</v>
      </c>
      <c r="X91" s="8"/>
      <c r="Y91" s="8">
        <v>0</v>
      </c>
      <c r="Z91" s="8">
        <v>0</v>
      </c>
      <c r="AA91" s="8">
        <v>0</v>
      </c>
      <c r="AB91" s="8"/>
      <c r="AC91" s="8">
        <v>0</v>
      </c>
      <c r="AD91" s="8">
        <v>43</v>
      </c>
      <c r="AE91" s="8">
        <v>14</v>
      </c>
      <c r="AF91" s="8">
        <v>3</v>
      </c>
      <c r="AG91" s="8">
        <v>2</v>
      </c>
      <c r="AH91" s="8">
        <v>0</v>
      </c>
      <c r="AI91" s="8"/>
      <c r="AJ91" s="8">
        <v>0</v>
      </c>
      <c r="AK91" s="8"/>
      <c r="AL91" s="8">
        <v>0</v>
      </c>
      <c r="AM91" s="8">
        <v>0</v>
      </c>
      <c r="AN91" s="8">
        <v>0</v>
      </c>
      <c r="AO91" s="8"/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/>
      <c r="AV91" s="8">
        <v>0</v>
      </c>
      <c r="AW91" s="8">
        <v>0</v>
      </c>
      <c r="AX91" s="8">
        <v>671</v>
      </c>
      <c r="AY91" s="8">
        <v>61</v>
      </c>
      <c r="AZ91" s="8">
        <v>68</v>
      </c>
      <c r="BA91" s="8">
        <v>2</v>
      </c>
      <c r="BB91" s="8">
        <v>0</v>
      </c>
      <c r="BC91" s="8">
        <v>0</v>
      </c>
      <c r="BD91" s="8">
        <v>0</v>
      </c>
      <c r="BE91" s="8">
        <v>0</v>
      </c>
      <c r="BF91" s="8">
        <v>589</v>
      </c>
      <c r="BG91" s="8">
        <v>6</v>
      </c>
      <c r="BH91" s="8">
        <v>2</v>
      </c>
      <c r="BI91" s="8">
        <v>8</v>
      </c>
      <c r="BJ91" s="8">
        <v>0</v>
      </c>
      <c r="BK91" s="8">
        <v>0</v>
      </c>
      <c r="BL91" s="8">
        <v>34</v>
      </c>
      <c r="BM91" s="8">
        <v>0</v>
      </c>
      <c r="BN91" s="8">
        <v>0</v>
      </c>
      <c r="BO91" s="8">
        <v>45</v>
      </c>
      <c r="BP91" s="8"/>
      <c r="BQ91" s="8"/>
      <c r="BR91" s="8">
        <v>0</v>
      </c>
      <c r="BS91" s="8">
        <v>0</v>
      </c>
      <c r="BT91" s="8">
        <v>0</v>
      </c>
      <c r="BU91" s="8"/>
      <c r="BV91" s="8">
        <v>0</v>
      </c>
      <c r="BW91" s="8"/>
      <c r="BX91" s="8"/>
      <c r="BY91" s="8"/>
      <c r="BZ91" s="17">
        <f t="shared" si="6"/>
        <v>1548</v>
      </c>
      <c r="CA91" s="17" t="s">
        <v>195</v>
      </c>
      <c r="CB91" s="18" t="s">
        <v>580</v>
      </c>
      <c r="CC91">
        <f t="shared" si="7"/>
        <v>0.15826873385012921</v>
      </c>
      <c r="CD91" s="8">
        <f t="shared" si="8"/>
        <v>245</v>
      </c>
      <c r="CE91" s="8">
        <f t="shared" si="9"/>
        <v>1486</v>
      </c>
      <c r="CF91" s="8">
        <f t="shared" si="10"/>
        <v>226</v>
      </c>
      <c r="CG91" s="19">
        <f t="shared" si="11"/>
        <v>0.15208613728129206</v>
      </c>
      <c r="CH91" t="s">
        <v>188</v>
      </c>
    </row>
    <row r="92" spans="1:86" x14ac:dyDescent="0.2">
      <c r="A92" s="10" t="s">
        <v>80</v>
      </c>
      <c r="B92" s="9" t="s">
        <v>28</v>
      </c>
      <c r="C92" s="11" t="s">
        <v>577</v>
      </c>
      <c r="D92" s="11"/>
      <c r="E92" s="11" t="s">
        <v>578</v>
      </c>
      <c r="G92" s="11" t="s">
        <v>581</v>
      </c>
      <c r="H92" s="13">
        <v>3855772</v>
      </c>
      <c r="I92" s="21">
        <v>739436</v>
      </c>
      <c r="J92" s="12">
        <v>15</v>
      </c>
      <c r="K92" s="12"/>
      <c r="T92" s="8">
        <v>0</v>
      </c>
      <c r="U92" s="8">
        <v>0</v>
      </c>
      <c r="V92" s="8">
        <v>0</v>
      </c>
      <c r="W92" s="8">
        <v>0</v>
      </c>
      <c r="X92" s="8"/>
      <c r="Y92" s="8">
        <v>0</v>
      </c>
      <c r="Z92" s="8">
        <v>0</v>
      </c>
      <c r="AA92" s="8">
        <v>0</v>
      </c>
      <c r="AB92" s="8"/>
      <c r="AC92" s="8">
        <v>0</v>
      </c>
      <c r="AD92" s="8">
        <v>2</v>
      </c>
      <c r="AE92" s="8">
        <v>0</v>
      </c>
      <c r="AF92" s="8">
        <v>0</v>
      </c>
      <c r="AG92" s="8">
        <v>0</v>
      </c>
      <c r="AH92" s="8">
        <v>0</v>
      </c>
      <c r="AI92" s="8"/>
      <c r="AJ92" s="8">
        <v>0</v>
      </c>
      <c r="AK92" s="8"/>
      <c r="AL92" s="8">
        <v>0</v>
      </c>
      <c r="AM92" s="8">
        <v>0</v>
      </c>
      <c r="AN92" s="8">
        <v>0</v>
      </c>
      <c r="AO92" s="8"/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/>
      <c r="AV92" s="8">
        <v>0</v>
      </c>
      <c r="AW92" s="8">
        <v>0</v>
      </c>
      <c r="AX92" s="8">
        <v>655</v>
      </c>
      <c r="AY92" s="8">
        <v>35</v>
      </c>
      <c r="AZ92" s="8">
        <v>51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314</v>
      </c>
      <c r="BG92" s="8">
        <v>14</v>
      </c>
      <c r="BH92" s="8">
        <v>1</v>
      </c>
      <c r="BI92" s="8">
        <v>2</v>
      </c>
      <c r="BJ92" s="8">
        <v>1</v>
      </c>
      <c r="BK92" s="8">
        <v>0</v>
      </c>
      <c r="BL92" s="8">
        <v>12</v>
      </c>
      <c r="BM92" s="8">
        <v>0</v>
      </c>
      <c r="BN92" s="8">
        <v>0</v>
      </c>
      <c r="BO92" s="8">
        <v>12</v>
      </c>
      <c r="BP92" s="8"/>
      <c r="BQ92" s="8"/>
      <c r="BR92" s="8">
        <v>0</v>
      </c>
      <c r="BS92" s="8">
        <v>0</v>
      </c>
      <c r="BT92" s="8">
        <v>0</v>
      </c>
      <c r="BU92" s="8"/>
      <c r="BV92" s="8">
        <v>0</v>
      </c>
      <c r="BW92" s="8"/>
      <c r="BX92" s="8"/>
      <c r="BY92" s="8"/>
      <c r="BZ92" s="17">
        <f t="shared" si="6"/>
        <v>1099</v>
      </c>
      <c r="CA92" s="17" t="s">
        <v>186</v>
      </c>
      <c r="CC92">
        <f t="shared" si="7"/>
        <v>0.1164695177434031</v>
      </c>
      <c r="CD92" s="8">
        <f t="shared" si="8"/>
        <v>128</v>
      </c>
      <c r="CE92" s="8">
        <f t="shared" si="9"/>
        <v>1097</v>
      </c>
      <c r="CF92" s="8">
        <f t="shared" si="10"/>
        <v>128</v>
      </c>
      <c r="CG92" s="19">
        <f t="shared" si="11"/>
        <v>0.11668185961713765</v>
      </c>
      <c r="CH92" t="s">
        <v>188</v>
      </c>
    </row>
    <row r="93" spans="1:86" x14ac:dyDescent="0.2">
      <c r="A93" s="10" t="s">
        <v>583</v>
      </c>
      <c r="B93" s="9" t="s">
        <v>582</v>
      </c>
      <c r="C93" s="11" t="s">
        <v>577</v>
      </c>
      <c r="D93" s="11"/>
      <c r="E93" s="11" t="s">
        <v>578</v>
      </c>
      <c r="G93" s="11" t="s">
        <v>584</v>
      </c>
      <c r="H93" s="13">
        <f>H91+(1.2*1.6*1000)</f>
        <v>3853220</v>
      </c>
      <c r="I93" s="13">
        <f>I91+(0.2*1.6*1000)</f>
        <v>740940</v>
      </c>
      <c r="J93" s="12">
        <v>15</v>
      </c>
      <c r="K93" s="12"/>
      <c r="T93" s="8">
        <v>0</v>
      </c>
      <c r="U93" s="8">
        <v>0</v>
      </c>
      <c r="V93" s="8">
        <v>0</v>
      </c>
      <c r="W93" s="8">
        <v>1</v>
      </c>
      <c r="X93" s="8"/>
      <c r="Y93" s="8">
        <v>0</v>
      </c>
      <c r="Z93" s="8">
        <v>0</v>
      </c>
      <c r="AA93" s="8">
        <v>0</v>
      </c>
      <c r="AB93" s="8"/>
      <c r="AC93" s="8">
        <v>0</v>
      </c>
      <c r="AD93" s="8">
        <v>6</v>
      </c>
      <c r="AE93" s="8">
        <v>5</v>
      </c>
      <c r="AF93" s="8">
        <v>1</v>
      </c>
      <c r="AG93" s="8">
        <v>0</v>
      </c>
      <c r="AH93" s="8">
        <v>0</v>
      </c>
      <c r="AI93" s="8"/>
      <c r="AJ93" s="8">
        <v>0</v>
      </c>
      <c r="AK93" s="8"/>
      <c r="AL93" s="8">
        <v>0</v>
      </c>
      <c r="AM93" s="8">
        <v>0</v>
      </c>
      <c r="AN93" s="8">
        <v>0</v>
      </c>
      <c r="AO93" s="8"/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/>
      <c r="AV93" s="8">
        <v>0</v>
      </c>
      <c r="AW93" s="8">
        <v>1</v>
      </c>
      <c r="AX93" s="8">
        <v>32</v>
      </c>
      <c r="AY93" s="8">
        <v>0</v>
      </c>
      <c r="AZ93" s="8">
        <v>6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33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1</v>
      </c>
      <c r="BM93" s="8">
        <v>0</v>
      </c>
      <c r="BN93" s="8">
        <v>0</v>
      </c>
      <c r="BO93" s="8">
        <v>1</v>
      </c>
      <c r="BP93" s="8"/>
      <c r="BQ93" s="8"/>
      <c r="BR93" s="8">
        <v>0</v>
      </c>
      <c r="BS93" s="8">
        <v>0</v>
      </c>
      <c r="BT93" s="8">
        <v>0</v>
      </c>
      <c r="BU93" s="8"/>
      <c r="BV93" s="8">
        <v>0</v>
      </c>
      <c r="BW93" s="8"/>
      <c r="BX93" s="8"/>
      <c r="BY93" s="8"/>
      <c r="BZ93" s="17">
        <f t="shared" si="6"/>
        <v>87</v>
      </c>
      <c r="CA93" s="17" t="s">
        <v>186</v>
      </c>
      <c r="CC93">
        <f t="shared" si="7"/>
        <v>0.18390804597701149</v>
      </c>
      <c r="CD93" s="8">
        <f t="shared" si="8"/>
        <v>14</v>
      </c>
      <c r="CE93" s="8">
        <f t="shared" si="9"/>
        <v>73</v>
      </c>
      <c r="CF93" s="8">
        <f t="shared" si="10"/>
        <v>8</v>
      </c>
      <c r="CG93" s="19">
        <f t="shared" si="11"/>
        <v>0.1095890410958904</v>
      </c>
      <c r="CH93" t="s">
        <v>188</v>
      </c>
    </row>
    <row r="94" spans="1:86" x14ac:dyDescent="0.2">
      <c r="A94" s="10" t="s">
        <v>586</v>
      </c>
      <c r="B94" s="9" t="s">
        <v>585</v>
      </c>
      <c r="C94" s="11" t="s">
        <v>179</v>
      </c>
      <c r="D94" s="11" t="s">
        <v>587</v>
      </c>
      <c r="E94" s="11" t="s">
        <v>304</v>
      </c>
      <c r="F94" s="8">
        <v>984</v>
      </c>
      <c r="G94" s="8" t="s">
        <v>588</v>
      </c>
      <c r="H94" s="13">
        <v>3872150</v>
      </c>
      <c r="I94" s="13">
        <v>738780</v>
      </c>
      <c r="J94" s="12">
        <v>15</v>
      </c>
      <c r="K94" s="12"/>
      <c r="L94" s="14" t="s">
        <v>461</v>
      </c>
      <c r="M94" s="14" t="s">
        <v>589</v>
      </c>
      <c r="N94" s="15">
        <v>14686</v>
      </c>
      <c r="O94" s="16" t="s">
        <v>590</v>
      </c>
      <c r="T94" s="8">
        <v>0</v>
      </c>
      <c r="U94" s="8">
        <v>0</v>
      </c>
      <c r="V94" s="8">
        <v>0</v>
      </c>
      <c r="W94" s="8">
        <v>0</v>
      </c>
      <c r="X94" s="8"/>
      <c r="Y94" s="8">
        <v>0</v>
      </c>
      <c r="Z94" s="8">
        <v>0</v>
      </c>
      <c r="AA94" s="8">
        <v>0</v>
      </c>
      <c r="AB94" s="8"/>
      <c r="AC94" s="8">
        <v>0</v>
      </c>
      <c r="AD94" s="8">
        <v>384</v>
      </c>
      <c r="AE94" s="8">
        <v>40</v>
      </c>
      <c r="AF94" s="8">
        <v>41</v>
      </c>
      <c r="AG94" s="8">
        <v>0</v>
      </c>
      <c r="AH94" s="8">
        <v>0</v>
      </c>
      <c r="AI94" s="8"/>
      <c r="AJ94" s="8">
        <v>0</v>
      </c>
      <c r="AK94" s="8"/>
      <c r="AL94" s="8">
        <v>0</v>
      </c>
      <c r="AM94" s="8">
        <v>0</v>
      </c>
      <c r="AN94" s="8">
        <v>0</v>
      </c>
      <c r="AO94" s="8"/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/>
      <c r="AV94" s="8">
        <v>2</v>
      </c>
      <c r="AW94" s="8">
        <v>0</v>
      </c>
      <c r="AX94" s="8">
        <v>5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2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/>
      <c r="BQ94" s="8"/>
      <c r="BR94" s="8">
        <v>0</v>
      </c>
      <c r="BS94" s="8">
        <v>0</v>
      </c>
      <c r="BT94" s="8">
        <v>0</v>
      </c>
      <c r="BU94" s="8"/>
      <c r="BV94" s="8">
        <v>0</v>
      </c>
      <c r="BW94" s="8"/>
      <c r="BX94" s="8"/>
      <c r="BY94" s="8"/>
      <c r="BZ94" s="17">
        <f t="shared" si="6"/>
        <v>474</v>
      </c>
      <c r="CA94" s="17" t="s">
        <v>226</v>
      </c>
      <c r="CC94">
        <f t="shared" si="7"/>
        <v>0.17510548523206751</v>
      </c>
      <c r="CD94" s="8">
        <f t="shared" si="8"/>
        <v>83</v>
      </c>
      <c r="CE94" s="8">
        <f t="shared" si="9"/>
        <v>7</v>
      </c>
      <c r="CF94" s="8">
        <f t="shared" si="10"/>
        <v>0</v>
      </c>
      <c r="CG94" s="19">
        <f t="shared" si="11"/>
        <v>0</v>
      </c>
      <c r="CH94" t="s">
        <v>188</v>
      </c>
    </row>
    <row r="95" spans="1:86" x14ac:dyDescent="0.2">
      <c r="A95" s="10" t="s">
        <v>592</v>
      </c>
      <c r="B95" s="9" t="s">
        <v>591</v>
      </c>
      <c r="C95" s="11" t="s">
        <v>179</v>
      </c>
      <c r="D95" s="11" t="s">
        <v>593</v>
      </c>
      <c r="E95" s="11" t="s">
        <v>374</v>
      </c>
      <c r="F95" s="8">
        <v>123</v>
      </c>
      <c r="G95" s="11" t="s">
        <v>594</v>
      </c>
      <c r="H95" s="13">
        <v>3870150</v>
      </c>
      <c r="I95" s="13">
        <v>733280</v>
      </c>
      <c r="J95" s="12">
        <v>15</v>
      </c>
      <c r="K95" s="12"/>
      <c r="L95" s="14" t="s">
        <v>595</v>
      </c>
      <c r="M95" s="14" t="s">
        <v>318</v>
      </c>
      <c r="N95" s="15">
        <v>14685</v>
      </c>
      <c r="T95" s="8">
        <v>0</v>
      </c>
      <c r="U95" s="8">
        <v>0</v>
      </c>
      <c r="V95" s="8">
        <v>0</v>
      </c>
      <c r="W95" s="8">
        <v>0</v>
      </c>
      <c r="X95" s="8"/>
      <c r="Y95" s="8">
        <v>0</v>
      </c>
      <c r="Z95" s="8">
        <v>0</v>
      </c>
      <c r="AA95" s="8">
        <v>0</v>
      </c>
      <c r="AB95" s="8"/>
      <c r="AC95" s="8">
        <v>0</v>
      </c>
      <c r="AD95" s="8">
        <v>142</v>
      </c>
      <c r="AE95" s="8">
        <v>70</v>
      </c>
      <c r="AF95" s="8">
        <v>22</v>
      </c>
      <c r="AG95" s="8">
        <v>0</v>
      </c>
      <c r="AH95" s="8">
        <v>0</v>
      </c>
      <c r="AI95" s="8"/>
      <c r="AJ95" s="8">
        <v>0</v>
      </c>
      <c r="AK95" s="8"/>
      <c r="AL95" s="8">
        <v>0</v>
      </c>
      <c r="AM95" s="8">
        <v>0</v>
      </c>
      <c r="AN95" s="8">
        <v>0</v>
      </c>
      <c r="AO95" s="8"/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/>
      <c r="AV95" s="8">
        <v>0</v>
      </c>
      <c r="AW95" s="8">
        <v>0</v>
      </c>
      <c r="AX95" s="8">
        <v>11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1</v>
      </c>
      <c r="BJ95" s="8">
        <v>0</v>
      </c>
      <c r="BK95" s="8">
        <v>0</v>
      </c>
      <c r="BL95" s="8">
        <v>1</v>
      </c>
      <c r="BM95" s="8">
        <v>0</v>
      </c>
      <c r="BN95" s="8">
        <v>0</v>
      </c>
      <c r="BO95" s="8">
        <v>0</v>
      </c>
      <c r="BP95" s="8"/>
      <c r="BQ95" s="8"/>
      <c r="BR95" s="8">
        <v>0</v>
      </c>
      <c r="BS95" s="8">
        <v>0</v>
      </c>
      <c r="BT95" s="8">
        <v>0</v>
      </c>
      <c r="BU95" s="8"/>
      <c r="BV95" s="8">
        <v>0</v>
      </c>
      <c r="BW95" s="8"/>
      <c r="BX95" s="8"/>
      <c r="BY95" s="8"/>
      <c r="BZ95" s="17">
        <f t="shared" si="6"/>
        <v>247</v>
      </c>
      <c r="CA95" s="17" t="s">
        <v>226</v>
      </c>
      <c r="CC95">
        <f t="shared" si="7"/>
        <v>0.38056680161943318</v>
      </c>
      <c r="CD95" s="8">
        <f t="shared" si="8"/>
        <v>94</v>
      </c>
      <c r="CE95" s="8">
        <f t="shared" si="9"/>
        <v>13</v>
      </c>
      <c r="CF95" s="8">
        <f t="shared" si="10"/>
        <v>2</v>
      </c>
      <c r="CG95" s="19">
        <f t="shared" si="11"/>
        <v>0.15384615384615385</v>
      </c>
      <c r="CH95" t="s">
        <v>188</v>
      </c>
    </row>
    <row r="96" spans="1:86" x14ac:dyDescent="0.2">
      <c r="A96" s="10" t="s">
        <v>597</v>
      </c>
      <c r="B96" s="9" t="s">
        <v>596</v>
      </c>
      <c r="C96" s="11" t="s">
        <v>179</v>
      </c>
      <c r="D96" s="11" t="s">
        <v>598</v>
      </c>
      <c r="E96" s="11" t="s">
        <v>304</v>
      </c>
      <c r="F96" s="8">
        <v>984</v>
      </c>
      <c r="G96" s="11" t="s">
        <v>588</v>
      </c>
      <c r="H96" s="13">
        <v>3872640</v>
      </c>
      <c r="I96" s="13">
        <v>738420</v>
      </c>
      <c r="J96" s="12">
        <v>15</v>
      </c>
      <c r="K96" s="12"/>
      <c r="L96" s="14" t="s">
        <v>599</v>
      </c>
      <c r="M96" s="14" t="s">
        <v>600</v>
      </c>
      <c r="N96" s="15">
        <v>14686</v>
      </c>
      <c r="T96" s="8">
        <v>0</v>
      </c>
      <c r="U96" s="8">
        <v>0</v>
      </c>
      <c r="V96" s="8">
        <v>0</v>
      </c>
      <c r="W96" s="8">
        <v>0</v>
      </c>
      <c r="X96" s="8"/>
      <c r="Y96" s="8">
        <v>0</v>
      </c>
      <c r="Z96" s="8">
        <v>0</v>
      </c>
      <c r="AA96" s="8">
        <v>0</v>
      </c>
      <c r="AB96" s="8"/>
      <c r="AC96" s="8">
        <v>0</v>
      </c>
      <c r="AD96" s="8">
        <v>24</v>
      </c>
      <c r="AE96" s="8">
        <v>12</v>
      </c>
      <c r="AF96" s="8">
        <v>0</v>
      </c>
      <c r="AG96" s="8">
        <v>0</v>
      </c>
      <c r="AH96" s="8">
        <v>0</v>
      </c>
      <c r="AI96" s="8"/>
      <c r="AJ96" s="8">
        <v>0</v>
      </c>
      <c r="AK96" s="8"/>
      <c r="AL96" s="8">
        <v>0</v>
      </c>
      <c r="AM96" s="8">
        <v>0</v>
      </c>
      <c r="AN96" s="8">
        <v>0</v>
      </c>
      <c r="AO96" s="8"/>
      <c r="AP96" s="8">
        <v>0</v>
      </c>
      <c r="AQ96" s="8">
        <v>1</v>
      </c>
      <c r="AR96" s="8">
        <v>0</v>
      </c>
      <c r="AS96" s="8">
        <v>0</v>
      </c>
      <c r="AT96" s="8">
        <v>0</v>
      </c>
      <c r="AU96" s="8"/>
      <c r="AV96" s="8">
        <v>0</v>
      </c>
      <c r="AW96" s="8">
        <v>0</v>
      </c>
      <c r="AX96" s="8">
        <v>450</v>
      </c>
      <c r="AY96" s="8">
        <v>1</v>
      </c>
      <c r="AZ96" s="8">
        <v>5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62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1</v>
      </c>
      <c r="BM96" s="8">
        <v>0</v>
      </c>
      <c r="BN96" s="8">
        <v>0</v>
      </c>
      <c r="BO96" s="8">
        <v>0</v>
      </c>
      <c r="BP96" s="8"/>
      <c r="BQ96" s="8"/>
      <c r="BR96" s="8">
        <v>0</v>
      </c>
      <c r="BS96" s="8">
        <v>0</v>
      </c>
      <c r="BT96" s="8">
        <v>0</v>
      </c>
      <c r="BU96" s="8"/>
      <c r="BV96" s="8">
        <v>0</v>
      </c>
      <c r="BW96" s="8"/>
      <c r="BX96" s="8"/>
      <c r="BY96" s="8"/>
      <c r="BZ96" s="17">
        <f t="shared" si="6"/>
        <v>556</v>
      </c>
      <c r="CA96" s="17" t="s">
        <v>186</v>
      </c>
      <c r="CC96">
        <f t="shared" si="7"/>
        <v>3.5971223021582732E-2</v>
      </c>
      <c r="CD96" s="8">
        <f t="shared" si="8"/>
        <v>20</v>
      </c>
      <c r="CE96" s="8">
        <f t="shared" si="9"/>
        <v>519</v>
      </c>
      <c r="CF96" s="8">
        <f t="shared" si="10"/>
        <v>7</v>
      </c>
      <c r="CG96" s="19">
        <f t="shared" si="11"/>
        <v>1.348747591522158E-2</v>
      </c>
      <c r="CH96" t="s">
        <v>188</v>
      </c>
    </row>
    <row r="97" spans="1:86" x14ac:dyDescent="0.2">
      <c r="A97" s="10" t="s">
        <v>86</v>
      </c>
      <c r="B97" s="9" t="s">
        <v>601</v>
      </c>
      <c r="C97" s="11" t="s">
        <v>179</v>
      </c>
      <c r="D97" s="11" t="s">
        <v>602</v>
      </c>
      <c r="E97" s="11" t="s">
        <v>304</v>
      </c>
      <c r="F97" s="8">
        <v>984</v>
      </c>
      <c r="G97" s="11" t="s">
        <v>603</v>
      </c>
      <c r="H97" s="13">
        <v>3870150</v>
      </c>
      <c r="I97" s="13">
        <v>733280</v>
      </c>
      <c r="J97" s="12">
        <v>15</v>
      </c>
      <c r="K97" s="12"/>
      <c r="L97" s="14" t="s">
        <v>236</v>
      </c>
      <c r="M97" s="14" t="s">
        <v>232</v>
      </c>
      <c r="N97" s="15">
        <v>14685</v>
      </c>
      <c r="O97" s="16" t="s">
        <v>185</v>
      </c>
      <c r="T97" s="8">
        <v>0</v>
      </c>
      <c r="U97" s="8">
        <v>0</v>
      </c>
      <c r="V97" s="8">
        <v>0</v>
      </c>
      <c r="W97" s="8">
        <v>0</v>
      </c>
      <c r="X97" s="8"/>
      <c r="Y97" s="8">
        <v>0</v>
      </c>
      <c r="Z97" s="8">
        <v>0</v>
      </c>
      <c r="AA97" s="8">
        <v>0</v>
      </c>
      <c r="AB97" s="8"/>
      <c r="AC97" s="8">
        <v>0</v>
      </c>
      <c r="AD97" s="8">
        <v>0</v>
      </c>
      <c r="AE97" s="8">
        <v>1</v>
      </c>
      <c r="AF97" s="8">
        <v>0</v>
      </c>
      <c r="AG97" s="8">
        <v>0</v>
      </c>
      <c r="AH97" s="8">
        <v>0</v>
      </c>
      <c r="AI97" s="8"/>
      <c r="AJ97" s="8">
        <v>0</v>
      </c>
      <c r="AK97" s="8"/>
      <c r="AL97" s="8">
        <v>0</v>
      </c>
      <c r="AM97" s="8">
        <v>0</v>
      </c>
      <c r="AN97" s="8">
        <v>0</v>
      </c>
      <c r="AO97" s="8"/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/>
      <c r="AV97" s="8">
        <v>0</v>
      </c>
      <c r="AW97" s="8">
        <v>0</v>
      </c>
      <c r="AX97" s="8">
        <v>370</v>
      </c>
      <c r="AY97" s="8">
        <v>128</v>
      </c>
      <c r="AZ97" s="8">
        <v>77</v>
      </c>
      <c r="BA97" s="8">
        <v>3</v>
      </c>
      <c r="BB97" s="8">
        <v>0</v>
      </c>
      <c r="BC97" s="8">
        <v>0</v>
      </c>
      <c r="BD97" s="8">
        <v>0</v>
      </c>
      <c r="BE97" s="8">
        <v>0</v>
      </c>
      <c r="BF97" s="8">
        <v>174</v>
      </c>
      <c r="BG97" s="8">
        <v>32</v>
      </c>
      <c r="BH97" s="8">
        <v>2</v>
      </c>
      <c r="BI97" s="8">
        <v>2</v>
      </c>
      <c r="BJ97" s="8">
        <v>0</v>
      </c>
      <c r="BK97" s="8">
        <v>0</v>
      </c>
      <c r="BL97" s="8">
        <v>8</v>
      </c>
      <c r="BM97" s="8">
        <v>0</v>
      </c>
      <c r="BN97" s="8">
        <v>0</v>
      </c>
      <c r="BO97" s="8">
        <v>2</v>
      </c>
      <c r="BP97" s="8"/>
      <c r="BQ97" s="8"/>
      <c r="BR97" s="8">
        <v>0</v>
      </c>
      <c r="BS97" s="8">
        <v>0</v>
      </c>
      <c r="BT97" s="8">
        <v>0</v>
      </c>
      <c r="BU97" s="8"/>
      <c r="BV97" s="8">
        <v>0</v>
      </c>
      <c r="BW97" s="8"/>
      <c r="BX97" s="8"/>
      <c r="BY97" s="8"/>
      <c r="BZ97" s="17">
        <f t="shared" si="6"/>
        <v>799</v>
      </c>
      <c r="CA97" s="17" t="s">
        <v>195</v>
      </c>
      <c r="CC97">
        <f t="shared" si="7"/>
        <v>0.31914893617021278</v>
      </c>
      <c r="CD97" s="8">
        <f t="shared" si="8"/>
        <v>255</v>
      </c>
      <c r="CE97" s="8">
        <f t="shared" si="9"/>
        <v>798</v>
      </c>
      <c r="CF97" s="8">
        <f t="shared" si="10"/>
        <v>254</v>
      </c>
      <c r="CG97" s="19">
        <f t="shared" si="11"/>
        <v>0.31829573934837091</v>
      </c>
      <c r="CH97" t="s">
        <v>188</v>
      </c>
    </row>
    <row r="98" spans="1:86" x14ac:dyDescent="0.2">
      <c r="A98" s="10" t="s">
        <v>605</v>
      </c>
      <c r="B98" s="9" t="s">
        <v>604</v>
      </c>
      <c r="C98" s="11" t="s">
        <v>179</v>
      </c>
      <c r="D98" s="11" t="s">
        <v>606</v>
      </c>
      <c r="E98" s="11" t="s">
        <v>374</v>
      </c>
      <c r="F98" s="8">
        <v>984</v>
      </c>
      <c r="G98" s="11" t="s">
        <v>607</v>
      </c>
      <c r="H98" s="13">
        <v>3873060</v>
      </c>
      <c r="I98" s="13">
        <v>729580</v>
      </c>
      <c r="J98" s="12">
        <v>15</v>
      </c>
      <c r="K98" s="12"/>
      <c r="L98" s="14" t="s">
        <v>376</v>
      </c>
      <c r="M98" s="14" t="s">
        <v>277</v>
      </c>
      <c r="N98" s="15">
        <v>14688</v>
      </c>
      <c r="O98" s="16" t="s">
        <v>185</v>
      </c>
      <c r="T98" s="8">
        <v>0</v>
      </c>
      <c r="U98" s="8">
        <v>0</v>
      </c>
      <c r="V98" s="8">
        <v>0</v>
      </c>
      <c r="W98" s="8">
        <v>0</v>
      </c>
      <c r="X98" s="8"/>
      <c r="Y98" s="8">
        <v>0</v>
      </c>
      <c r="Z98" s="8">
        <v>0</v>
      </c>
      <c r="AA98" s="8">
        <v>0</v>
      </c>
      <c r="AB98" s="8"/>
      <c r="AC98" s="8">
        <v>0</v>
      </c>
      <c r="AD98" s="8">
        <v>44</v>
      </c>
      <c r="AE98" s="8">
        <v>18</v>
      </c>
      <c r="AF98" s="8">
        <v>0</v>
      </c>
      <c r="AG98" s="8">
        <v>0</v>
      </c>
      <c r="AH98" s="8">
        <v>0</v>
      </c>
      <c r="AI98" s="8"/>
      <c r="AJ98" s="8">
        <v>0</v>
      </c>
      <c r="AK98" s="8"/>
      <c r="AL98" s="8">
        <v>0</v>
      </c>
      <c r="AM98" s="8">
        <v>0</v>
      </c>
      <c r="AN98" s="8">
        <v>0</v>
      </c>
      <c r="AO98" s="8"/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/>
      <c r="AV98" s="8">
        <v>0</v>
      </c>
      <c r="AW98" s="8">
        <v>0</v>
      </c>
      <c r="AX98" s="8">
        <v>431</v>
      </c>
      <c r="AY98" s="8">
        <v>6</v>
      </c>
      <c r="AZ98" s="8">
        <v>24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15</v>
      </c>
      <c r="BG98" s="8">
        <v>1</v>
      </c>
      <c r="BH98" s="8">
        <v>0</v>
      </c>
      <c r="BI98" s="8">
        <v>0</v>
      </c>
      <c r="BJ98" s="8">
        <v>1</v>
      </c>
      <c r="BK98" s="8">
        <v>0</v>
      </c>
      <c r="BL98" s="8">
        <v>3</v>
      </c>
      <c r="BM98" s="8">
        <v>0</v>
      </c>
      <c r="BN98" s="8">
        <v>0</v>
      </c>
      <c r="BO98" s="8">
        <v>0</v>
      </c>
      <c r="BP98" s="8"/>
      <c r="BQ98" s="8"/>
      <c r="BR98" s="8">
        <v>0</v>
      </c>
      <c r="BS98" s="8">
        <v>0</v>
      </c>
      <c r="BT98" s="8">
        <v>0</v>
      </c>
      <c r="BU98" s="8"/>
      <c r="BV98" s="8">
        <v>0</v>
      </c>
      <c r="BW98" s="8"/>
      <c r="BX98" s="8"/>
      <c r="BY98" s="8"/>
      <c r="BZ98" s="17">
        <f t="shared" si="6"/>
        <v>543</v>
      </c>
      <c r="CA98" s="17" t="s">
        <v>186</v>
      </c>
      <c r="CC98">
        <f t="shared" si="7"/>
        <v>9.7605893186003684E-2</v>
      </c>
      <c r="CD98" s="8">
        <f t="shared" si="8"/>
        <v>53</v>
      </c>
      <c r="CE98" s="8">
        <f t="shared" si="9"/>
        <v>481</v>
      </c>
      <c r="CF98" s="8">
        <f t="shared" si="10"/>
        <v>35</v>
      </c>
      <c r="CG98" s="19">
        <f t="shared" si="11"/>
        <v>7.2765072765072769E-2</v>
      </c>
      <c r="CH98" t="s">
        <v>188</v>
      </c>
    </row>
    <row r="99" spans="1:86" x14ac:dyDescent="0.2">
      <c r="A99" s="10" t="s">
        <v>608</v>
      </c>
      <c r="B99" s="9" t="s">
        <v>604</v>
      </c>
      <c r="C99" s="11" t="s">
        <v>179</v>
      </c>
      <c r="D99" s="11" t="s">
        <v>606</v>
      </c>
      <c r="E99" s="11" t="s">
        <v>374</v>
      </c>
      <c r="F99" s="8">
        <v>984</v>
      </c>
      <c r="G99" s="11" t="s">
        <v>607</v>
      </c>
      <c r="H99" s="13">
        <v>3873060</v>
      </c>
      <c r="I99" s="13">
        <v>729580</v>
      </c>
      <c r="J99" s="12">
        <v>15</v>
      </c>
      <c r="K99" s="12"/>
      <c r="L99" s="14" t="s">
        <v>609</v>
      </c>
      <c r="M99" s="14" t="s">
        <v>277</v>
      </c>
      <c r="N99" s="15">
        <v>14688</v>
      </c>
      <c r="O99" s="16" t="s">
        <v>185</v>
      </c>
      <c r="T99" s="8">
        <v>0</v>
      </c>
      <c r="U99" s="8">
        <v>0</v>
      </c>
      <c r="V99" s="8">
        <v>0</v>
      </c>
      <c r="W99" s="8">
        <v>0</v>
      </c>
      <c r="X99" s="8"/>
      <c r="Y99" s="8">
        <v>0</v>
      </c>
      <c r="Z99" s="8">
        <v>0</v>
      </c>
      <c r="AA99" s="8">
        <v>0</v>
      </c>
      <c r="AB99" s="8"/>
      <c r="AC99" s="8">
        <v>0</v>
      </c>
      <c r="AD99" s="8">
        <v>74</v>
      </c>
      <c r="AE99" s="8">
        <v>13</v>
      </c>
      <c r="AF99" s="8">
        <v>0</v>
      </c>
      <c r="AG99" s="8">
        <v>0</v>
      </c>
      <c r="AH99" s="8">
        <v>0</v>
      </c>
      <c r="AI99" s="8"/>
      <c r="AJ99" s="8">
        <v>0</v>
      </c>
      <c r="AK99" s="8"/>
      <c r="AL99" s="8">
        <v>0</v>
      </c>
      <c r="AM99" s="8">
        <v>0</v>
      </c>
      <c r="AN99" s="8">
        <v>0</v>
      </c>
      <c r="AO99" s="8"/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/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/>
      <c r="BQ99" s="8"/>
      <c r="BR99" s="8">
        <v>0</v>
      </c>
      <c r="BS99" s="8">
        <v>0</v>
      </c>
      <c r="BT99" s="8">
        <v>0</v>
      </c>
      <c r="BU99" s="8"/>
      <c r="BV99" s="8">
        <v>0</v>
      </c>
      <c r="BW99" s="8"/>
      <c r="BX99" s="8"/>
      <c r="BY99" s="8"/>
      <c r="BZ99" s="17">
        <f t="shared" si="6"/>
        <v>87</v>
      </c>
      <c r="CA99" s="17" t="s">
        <v>247</v>
      </c>
      <c r="CB99" s="18" t="s">
        <v>610</v>
      </c>
      <c r="CC99">
        <f t="shared" si="7"/>
        <v>0.14942528735632185</v>
      </c>
      <c r="CD99" s="8">
        <f t="shared" si="8"/>
        <v>13</v>
      </c>
      <c r="CE99" s="8">
        <f t="shared" si="9"/>
        <v>0</v>
      </c>
      <c r="CF99" s="8">
        <f t="shared" si="10"/>
        <v>0</v>
      </c>
      <c r="CG99" s="19" t="e">
        <f t="shared" si="11"/>
        <v>#DIV/0!</v>
      </c>
      <c r="CH99" t="s">
        <v>188</v>
      </c>
    </row>
    <row r="100" spans="1:86" x14ac:dyDescent="0.2">
      <c r="A100" s="10" t="s">
        <v>85</v>
      </c>
      <c r="B100" s="9" t="s">
        <v>39</v>
      </c>
      <c r="C100" s="11" t="s">
        <v>179</v>
      </c>
      <c r="D100" s="11" t="s">
        <v>611</v>
      </c>
      <c r="E100" s="11" t="s">
        <v>304</v>
      </c>
      <c r="F100" s="8">
        <v>984</v>
      </c>
      <c r="G100" s="11" t="s">
        <v>612</v>
      </c>
      <c r="H100" s="13">
        <v>3866850</v>
      </c>
      <c r="I100" s="13">
        <v>738580</v>
      </c>
      <c r="J100" s="12">
        <v>15</v>
      </c>
      <c r="K100" s="12"/>
      <c r="L100" s="14" t="s">
        <v>613</v>
      </c>
      <c r="M100" s="14" t="s">
        <v>232</v>
      </c>
      <c r="N100" s="15">
        <v>14684</v>
      </c>
      <c r="O100" s="16" t="s">
        <v>185</v>
      </c>
      <c r="T100" s="8">
        <v>0</v>
      </c>
      <c r="U100" s="8">
        <v>0</v>
      </c>
      <c r="V100" s="8">
        <v>0</v>
      </c>
      <c r="W100" s="8">
        <v>0</v>
      </c>
      <c r="X100" s="8"/>
      <c r="Y100" s="8">
        <v>0</v>
      </c>
      <c r="Z100" s="8">
        <v>0</v>
      </c>
      <c r="AA100" s="8">
        <v>0</v>
      </c>
      <c r="AB100" s="8"/>
      <c r="AC100" s="8">
        <v>0</v>
      </c>
      <c r="AD100" s="8">
        <v>3</v>
      </c>
      <c r="AE100" s="8">
        <v>0</v>
      </c>
      <c r="AF100" s="8">
        <v>0</v>
      </c>
      <c r="AG100" s="8">
        <v>0</v>
      </c>
      <c r="AH100" s="8">
        <v>0</v>
      </c>
      <c r="AI100" s="8"/>
      <c r="AJ100" s="8">
        <v>0</v>
      </c>
      <c r="AK100" s="8"/>
      <c r="AL100" s="8">
        <v>0</v>
      </c>
      <c r="AM100" s="8">
        <v>0</v>
      </c>
      <c r="AN100" s="8">
        <v>0</v>
      </c>
      <c r="AO100" s="8"/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/>
      <c r="AV100" s="8">
        <v>0</v>
      </c>
      <c r="AW100" s="8">
        <v>0</v>
      </c>
      <c r="AX100" s="8">
        <v>84</v>
      </c>
      <c r="AY100" s="8">
        <v>32</v>
      </c>
      <c r="AZ100" s="8">
        <v>23</v>
      </c>
      <c r="BA100" s="8">
        <v>1</v>
      </c>
      <c r="BB100" s="8">
        <v>0</v>
      </c>
      <c r="BC100" s="8">
        <v>0</v>
      </c>
      <c r="BD100" s="8">
        <v>0</v>
      </c>
      <c r="BE100" s="8">
        <v>0</v>
      </c>
      <c r="BF100" s="8">
        <v>94</v>
      </c>
      <c r="BG100" s="8">
        <v>20</v>
      </c>
      <c r="BH100" s="8">
        <v>0</v>
      </c>
      <c r="BI100" s="8">
        <v>1</v>
      </c>
      <c r="BJ100" s="8">
        <v>0</v>
      </c>
      <c r="BK100" s="8">
        <v>0</v>
      </c>
      <c r="BL100" s="8">
        <v>2</v>
      </c>
      <c r="BM100" s="8">
        <v>0</v>
      </c>
      <c r="BN100" s="8">
        <v>0</v>
      </c>
      <c r="BO100" s="8">
        <v>0</v>
      </c>
      <c r="BP100" s="8"/>
      <c r="BQ100" s="8"/>
      <c r="BR100" s="8">
        <v>0</v>
      </c>
      <c r="BS100" s="8">
        <v>0</v>
      </c>
      <c r="BT100" s="8">
        <v>0</v>
      </c>
      <c r="BU100" s="8"/>
      <c r="BV100" s="8">
        <v>0</v>
      </c>
      <c r="BW100" s="8"/>
      <c r="BX100" s="8"/>
      <c r="BY100" s="8"/>
      <c r="BZ100" s="17">
        <f t="shared" si="6"/>
        <v>260</v>
      </c>
      <c r="CA100" s="17" t="s">
        <v>195</v>
      </c>
      <c r="CC100">
        <f t="shared" si="7"/>
        <v>0.30384615384615382</v>
      </c>
      <c r="CD100" s="8">
        <f t="shared" si="8"/>
        <v>79</v>
      </c>
      <c r="CE100" s="8">
        <f t="shared" si="9"/>
        <v>257</v>
      </c>
      <c r="CF100" s="8">
        <f t="shared" si="10"/>
        <v>79</v>
      </c>
      <c r="CG100" s="19">
        <f t="shared" si="11"/>
        <v>0.30739299610894943</v>
      </c>
      <c r="CH100" t="s">
        <v>188</v>
      </c>
    </row>
    <row r="101" spans="1:86" x14ac:dyDescent="0.2">
      <c r="A101" s="10" t="s">
        <v>615</v>
      </c>
      <c r="B101" s="9" t="s">
        <v>614</v>
      </c>
      <c r="C101" s="11" t="s">
        <v>179</v>
      </c>
      <c r="D101" s="11" t="s">
        <v>575</v>
      </c>
      <c r="E101" s="11" t="s">
        <v>440</v>
      </c>
      <c r="F101" s="8">
        <v>984</v>
      </c>
      <c r="G101" s="11" t="s">
        <v>576</v>
      </c>
      <c r="H101" s="13">
        <v>3864600</v>
      </c>
      <c r="I101" s="13">
        <v>732400</v>
      </c>
      <c r="J101" s="12">
        <v>15</v>
      </c>
      <c r="K101" s="12"/>
      <c r="L101" s="14" t="s">
        <v>616</v>
      </c>
      <c r="M101" s="14" t="s">
        <v>277</v>
      </c>
      <c r="N101" s="15">
        <v>14688</v>
      </c>
      <c r="O101" s="16" t="s">
        <v>185</v>
      </c>
      <c r="T101" s="8">
        <v>0</v>
      </c>
      <c r="U101" s="8">
        <v>0</v>
      </c>
      <c r="V101" s="8">
        <v>0</v>
      </c>
      <c r="W101" s="8">
        <v>0</v>
      </c>
      <c r="X101" s="8"/>
      <c r="Y101" s="8">
        <v>0</v>
      </c>
      <c r="Z101" s="8">
        <v>0</v>
      </c>
      <c r="AA101" s="8">
        <v>0</v>
      </c>
      <c r="AB101" s="8"/>
      <c r="AC101" s="8">
        <v>0</v>
      </c>
      <c r="AD101" s="8">
        <v>346</v>
      </c>
      <c r="AE101" s="8">
        <v>261</v>
      </c>
      <c r="AF101" s="8">
        <v>125</v>
      </c>
      <c r="AG101" s="8">
        <v>0</v>
      </c>
      <c r="AH101" s="8">
        <v>0</v>
      </c>
      <c r="AI101" s="8"/>
      <c r="AJ101" s="8">
        <v>0</v>
      </c>
      <c r="AK101" s="8"/>
      <c r="AL101" s="8">
        <v>0</v>
      </c>
      <c r="AM101" s="8">
        <v>0</v>
      </c>
      <c r="AN101" s="8">
        <v>0</v>
      </c>
      <c r="AO101" s="8"/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/>
      <c r="AV101" s="8">
        <v>1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2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/>
      <c r="BQ101" s="8"/>
      <c r="BR101" s="8">
        <v>0</v>
      </c>
      <c r="BS101" s="8">
        <v>0</v>
      </c>
      <c r="BT101" s="8">
        <v>0</v>
      </c>
      <c r="BU101" s="8"/>
      <c r="BV101" s="8">
        <v>0</v>
      </c>
      <c r="BW101" s="8"/>
      <c r="BX101" s="8"/>
      <c r="BY101" s="8"/>
      <c r="BZ101" s="17">
        <f t="shared" si="6"/>
        <v>735</v>
      </c>
      <c r="CA101" s="17" t="s">
        <v>262</v>
      </c>
      <c r="CC101">
        <f t="shared" si="7"/>
        <v>0.52653061224489794</v>
      </c>
      <c r="CD101" s="8">
        <f t="shared" si="8"/>
        <v>387</v>
      </c>
      <c r="CE101" s="8">
        <f t="shared" si="9"/>
        <v>2</v>
      </c>
      <c r="CF101" s="8">
        <f t="shared" si="10"/>
        <v>0</v>
      </c>
      <c r="CG101" s="19">
        <f t="shared" si="11"/>
        <v>0</v>
      </c>
      <c r="CH101" t="s">
        <v>188</v>
      </c>
    </row>
    <row r="102" spans="1:86" x14ac:dyDescent="0.2">
      <c r="A102" s="10" t="s">
        <v>618</v>
      </c>
      <c r="B102" s="9" t="s">
        <v>617</v>
      </c>
      <c r="C102" s="11" t="s">
        <v>179</v>
      </c>
      <c r="D102" s="11" t="s">
        <v>619</v>
      </c>
      <c r="E102" s="11" t="s">
        <v>304</v>
      </c>
      <c r="F102" s="8">
        <v>984</v>
      </c>
      <c r="G102" s="11" t="s">
        <v>620</v>
      </c>
      <c r="H102" s="13">
        <v>3875620</v>
      </c>
      <c r="I102" s="13">
        <v>737480</v>
      </c>
      <c r="J102" s="12">
        <v>15</v>
      </c>
      <c r="K102" s="12"/>
      <c r="L102" s="14" t="s">
        <v>621</v>
      </c>
      <c r="M102" s="14" t="s">
        <v>466</v>
      </c>
      <c r="N102" s="15">
        <v>14717</v>
      </c>
      <c r="O102" s="16" t="s">
        <v>185</v>
      </c>
      <c r="T102" s="8">
        <v>0</v>
      </c>
      <c r="U102" s="8">
        <v>0</v>
      </c>
      <c r="V102" s="8">
        <v>0</v>
      </c>
      <c r="W102" s="8">
        <v>0</v>
      </c>
      <c r="X102" s="8"/>
      <c r="Y102" s="8">
        <v>0</v>
      </c>
      <c r="Z102" s="8">
        <v>0</v>
      </c>
      <c r="AA102" s="8">
        <v>0</v>
      </c>
      <c r="AB102" s="8"/>
      <c r="AC102" s="8">
        <v>0</v>
      </c>
      <c r="AD102" s="8">
        <v>688</v>
      </c>
      <c r="AE102" s="8">
        <v>164</v>
      </c>
      <c r="AF102" s="8">
        <v>153</v>
      </c>
      <c r="AG102" s="8">
        <v>0</v>
      </c>
      <c r="AH102" s="8">
        <v>0</v>
      </c>
      <c r="AI102" s="8"/>
      <c r="AJ102" s="8">
        <v>1</v>
      </c>
      <c r="AK102" s="8"/>
      <c r="AL102" s="8">
        <v>0</v>
      </c>
      <c r="AM102" s="8">
        <v>0</v>
      </c>
      <c r="AN102" s="8">
        <v>0</v>
      </c>
      <c r="AO102" s="8"/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/>
      <c r="AV102" s="8">
        <v>1</v>
      </c>
      <c r="AW102" s="8">
        <v>0</v>
      </c>
      <c r="AX102" s="8">
        <v>39</v>
      </c>
      <c r="AY102" s="8">
        <v>0</v>
      </c>
      <c r="AZ102" s="8">
        <v>0</v>
      </c>
      <c r="BA102" s="8">
        <v>1</v>
      </c>
      <c r="BB102" s="8">
        <v>0</v>
      </c>
      <c r="BC102" s="8">
        <v>0</v>
      </c>
      <c r="BD102" s="8">
        <v>0</v>
      </c>
      <c r="BE102" s="8">
        <v>0</v>
      </c>
      <c r="BF102" s="8">
        <v>6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/>
      <c r="BQ102" s="8"/>
      <c r="BR102" s="8">
        <v>0</v>
      </c>
      <c r="BS102" s="8">
        <v>0</v>
      </c>
      <c r="BT102" s="8">
        <v>0</v>
      </c>
      <c r="BU102" s="8"/>
      <c r="BV102" s="8">
        <v>0</v>
      </c>
      <c r="BW102" s="8"/>
      <c r="BX102" s="8"/>
      <c r="BY102" s="8"/>
      <c r="BZ102" s="17">
        <f t="shared" si="6"/>
        <v>1053</v>
      </c>
      <c r="CA102" s="17" t="s">
        <v>262</v>
      </c>
      <c r="CC102">
        <f t="shared" si="7"/>
        <v>0.30389363722697055</v>
      </c>
      <c r="CD102" s="8">
        <f t="shared" si="8"/>
        <v>320</v>
      </c>
      <c r="CE102" s="8">
        <f t="shared" si="9"/>
        <v>46</v>
      </c>
      <c r="CF102" s="8">
        <f t="shared" si="10"/>
        <v>1</v>
      </c>
      <c r="CG102" s="19">
        <f t="shared" si="11"/>
        <v>2.1739130434782608E-2</v>
      </c>
      <c r="CH102" t="s">
        <v>188</v>
      </c>
    </row>
    <row r="103" spans="1:86" x14ac:dyDescent="0.2">
      <c r="A103" s="10" t="s">
        <v>82</v>
      </c>
      <c r="B103" s="9" t="s">
        <v>51</v>
      </c>
      <c r="C103" s="11" t="s">
        <v>577</v>
      </c>
      <c r="D103" s="11"/>
      <c r="E103" s="11" t="s">
        <v>622</v>
      </c>
      <c r="G103" s="11" t="s">
        <v>623</v>
      </c>
      <c r="H103" s="21">
        <v>3874859</v>
      </c>
      <c r="I103" s="21">
        <v>754769</v>
      </c>
      <c r="J103" s="12">
        <v>15</v>
      </c>
      <c r="K103" s="12"/>
      <c r="T103" s="8">
        <v>0</v>
      </c>
      <c r="U103" s="8">
        <v>0</v>
      </c>
      <c r="V103" s="8">
        <v>0</v>
      </c>
      <c r="W103" s="8">
        <v>0</v>
      </c>
      <c r="X103" s="8"/>
      <c r="Y103" s="8">
        <v>0</v>
      </c>
      <c r="Z103" s="8">
        <v>0</v>
      </c>
      <c r="AA103" s="8">
        <v>0</v>
      </c>
      <c r="AB103" s="8"/>
      <c r="AC103" s="8">
        <v>0</v>
      </c>
      <c r="AD103" s="8">
        <v>63</v>
      </c>
      <c r="AE103" s="8">
        <v>2</v>
      </c>
      <c r="AF103" s="8">
        <v>2</v>
      </c>
      <c r="AG103" s="8">
        <v>3</v>
      </c>
      <c r="AH103" s="8">
        <v>0</v>
      </c>
      <c r="AI103" s="8"/>
      <c r="AJ103" s="8">
        <v>1</v>
      </c>
      <c r="AK103" s="8"/>
      <c r="AL103" s="8">
        <v>0</v>
      </c>
      <c r="AM103" s="8">
        <v>0</v>
      </c>
      <c r="AN103" s="8">
        <v>0</v>
      </c>
      <c r="AO103" s="8"/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/>
      <c r="AV103" s="8">
        <v>0</v>
      </c>
      <c r="AW103" s="8">
        <v>1</v>
      </c>
      <c r="AX103" s="8">
        <v>627</v>
      </c>
      <c r="AY103" s="8">
        <v>244</v>
      </c>
      <c r="AZ103" s="8">
        <v>28</v>
      </c>
      <c r="BA103" s="8">
        <v>16</v>
      </c>
      <c r="BB103" s="8">
        <v>0</v>
      </c>
      <c r="BC103" s="8">
        <v>1</v>
      </c>
      <c r="BD103" s="8">
        <v>0</v>
      </c>
      <c r="BE103" s="8">
        <v>0</v>
      </c>
      <c r="BF103" s="8">
        <v>2805</v>
      </c>
      <c r="BG103" s="8">
        <v>11</v>
      </c>
      <c r="BH103" s="8">
        <v>14</v>
      </c>
      <c r="BI103" s="8">
        <v>21</v>
      </c>
      <c r="BJ103" s="8">
        <v>6</v>
      </c>
      <c r="BK103" s="8">
        <v>1</v>
      </c>
      <c r="BL103" s="8">
        <v>15</v>
      </c>
      <c r="BM103" s="8">
        <v>0</v>
      </c>
      <c r="BN103" s="8">
        <v>0</v>
      </c>
      <c r="BO103" s="8">
        <v>3</v>
      </c>
      <c r="BP103" s="8"/>
      <c r="BQ103" s="8"/>
      <c r="BR103" s="8">
        <v>0</v>
      </c>
      <c r="BS103" s="8">
        <v>1</v>
      </c>
      <c r="BT103" s="8">
        <v>0</v>
      </c>
      <c r="BU103" s="8"/>
      <c r="BV103" s="8">
        <v>0</v>
      </c>
      <c r="BW103" s="8"/>
      <c r="BX103" s="8"/>
      <c r="BY103" s="8"/>
      <c r="BZ103" s="17">
        <f t="shared" si="6"/>
        <v>3865</v>
      </c>
      <c r="CA103" s="17" t="s">
        <v>195</v>
      </c>
      <c r="CC103">
        <f t="shared" si="7"/>
        <v>9.5730918499353168E-2</v>
      </c>
      <c r="CD103" s="8">
        <f t="shared" si="8"/>
        <v>369</v>
      </c>
      <c r="CE103" s="8">
        <f t="shared" si="9"/>
        <v>3793</v>
      </c>
      <c r="CF103" s="8">
        <f t="shared" si="10"/>
        <v>361</v>
      </c>
      <c r="CG103" s="19">
        <f t="shared" si="11"/>
        <v>9.5175322963353542E-2</v>
      </c>
      <c r="CH103" t="s">
        <v>188</v>
      </c>
    </row>
    <row r="104" spans="1:86" x14ac:dyDescent="0.2">
      <c r="A104" s="10" t="s">
        <v>84</v>
      </c>
      <c r="B104" s="9" t="s">
        <v>25</v>
      </c>
      <c r="C104" s="11" t="s">
        <v>577</v>
      </c>
      <c r="D104" s="11"/>
      <c r="E104" s="11" t="s">
        <v>622</v>
      </c>
      <c r="G104" s="11" t="s">
        <v>624</v>
      </c>
      <c r="H104" s="21">
        <v>3867421</v>
      </c>
      <c r="I104" s="21">
        <v>759796</v>
      </c>
      <c r="J104" s="12">
        <v>15</v>
      </c>
      <c r="K104" s="12"/>
      <c r="T104" s="8">
        <v>0</v>
      </c>
      <c r="U104" s="8">
        <v>0</v>
      </c>
      <c r="V104" s="8">
        <v>0</v>
      </c>
      <c r="W104" s="8">
        <v>0</v>
      </c>
      <c r="X104" s="8"/>
      <c r="Y104" s="8">
        <v>0</v>
      </c>
      <c r="Z104" s="8">
        <v>0</v>
      </c>
      <c r="AA104" s="8">
        <v>4</v>
      </c>
      <c r="AB104" s="8"/>
      <c r="AC104" s="8">
        <v>0</v>
      </c>
      <c r="AD104" s="8">
        <v>538</v>
      </c>
      <c r="AE104" s="8">
        <v>27</v>
      </c>
      <c r="AF104" s="8">
        <v>0</v>
      </c>
      <c r="AG104" s="8">
        <v>27</v>
      </c>
      <c r="AH104" s="8">
        <v>0</v>
      </c>
      <c r="AI104" s="8"/>
      <c r="AJ104" s="8">
        <v>0</v>
      </c>
      <c r="AK104" s="8"/>
      <c r="AL104" s="8">
        <v>2</v>
      </c>
      <c r="AM104" s="8">
        <v>0</v>
      </c>
      <c r="AN104" s="8">
        <v>0</v>
      </c>
      <c r="AO104" s="8"/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/>
      <c r="AV104" s="8">
        <v>0</v>
      </c>
      <c r="AW104" s="8">
        <v>0</v>
      </c>
      <c r="AX104" s="8">
        <v>125</v>
      </c>
      <c r="AY104" s="8">
        <v>30</v>
      </c>
      <c r="AZ104" s="8">
        <v>0</v>
      </c>
      <c r="BA104" s="8">
        <v>12</v>
      </c>
      <c r="BB104" s="8">
        <v>2</v>
      </c>
      <c r="BC104" s="8">
        <v>0</v>
      </c>
      <c r="BD104" s="8">
        <v>0</v>
      </c>
      <c r="BE104" s="8">
        <v>0</v>
      </c>
      <c r="BF104" s="8">
        <v>542</v>
      </c>
      <c r="BG104" s="8">
        <v>15</v>
      </c>
      <c r="BH104" s="8">
        <v>7</v>
      </c>
      <c r="BI104" s="8">
        <v>12</v>
      </c>
      <c r="BJ104" s="8">
        <v>1</v>
      </c>
      <c r="BK104" s="8">
        <v>0</v>
      </c>
      <c r="BL104" s="8">
        <v>12</v>
      </c>
      <c r="BM104" s="8">
        <v>0</v>
      </c>
      <c r="BN104" s="8">
        <v>0</v>
      </c>
      <c r="BO104" s="8">
        <v>0</v>
      </c>
      <c r="BP104" s="8"/>
      <c r="BQ104" s="8"/>
      <c r="BR104" s="8">
        <v>0</v>
      </c>
      <c r="BS104" s="8">
        <v>0</v>
      </c>
      <c r="BT104" s="8">
        <v>0</v>
      </c>
      <c r="BU104" s="8"/>
      <c r="BV104" s="8">
        <v>0</v>
      </c>
      <c r="BW104" s="8"/>
      <c r="BX104" s="8"/>
      <c r="BY104" s="8"/>
      <c r="BZ104" s="17">
        <f t="shared" si="6"/>
        <v>1356</v>
      </c>
      <c r="CA104" s="8" t="s">
        <v>195</v>
      </c>
      <c r="CB104" s="18" t="s">
        <v>625</v>
      </c>
      <c r="CC104">
        <f t="shared" si="7"/>
        <v>0.11135693215339233</v>
      </c>
      <c r="CD104" s="8">
        <f t="shared" si="8"/>
        <v>151</v>
      </c>
      <c r="CE104" s="8">
        <f t="shared" si="9"/>
        <v>758</v>
      </c>
      <c r="CF104" s="8">
        <f t="shared" si="10"/>
        <v>91</v>
      </c>
      <c r="CG104" s="19">
        <f t="shared" si="11"/>
        <v>0.12005277044854881</v>
      </c>
      <c r="CH104" t="s">
        <v>188</v>
      </c>
    </row>
    <row r="105" spans="1:86" x14ac:dyDescent="0.2">
      <c r="A105" s="10" t="s">
        <v>626</v>
      </c>
      <c r="B105" s="9" t="s">
        <v>38</v>
      </c>
      <c r="C105" s="11" t="s">
        <v>577</v>
      </c>
      <c r="D105" s="11"/>
      <c r="E105" s="11" t="s">
        <v>622</v>
      </c>
      <c r="G105" s="11" t="s">
        <v>627</v>
      </c>
      <c r="H105" s="22">
        <v>3872116</v>
      </c>
      <c r="I105" s="22">
        <v>753929</v>
      </c>
      <c r="J105" s="12">
        <v>15</v>
      </c>
      <c r="K105" s="12"/>
      <c r="T105" s="8">
        <v>0</v>
      </c>
      <c r="U105" s="8">
        <v>0</v>
      </c>
      <c r="V105" s="8">
        <v>0</v>
      </c>
      <c r="W105" s="8">
        <v>0</v>
      </c>
      <c r="X105" s="8"/>
      <c r="Y105" s="8">
        <v>0</v>
      </c>
      <c r="Z105" s="8">
        <v>0</v>
      </c>
      <c r="AA105" s="8">
        <v>0</v>
      </c>
      <c r="AB105" s="8"/>
      <c r="AC105" s="8">
        <v>0</v>
      </c>
      <c r="AD105" s="8">
        <v>3</v>
      </c>
      <c r="AE105" s="8">
        <v>0</v>
      </c>
      <c r="AF105" s="8">
        <v>17</v>
      </c>
      <c r="AG105" s="8">
        <v>0</v>
      </c>
      <c r="AH105" s="8">
        <v>0</v>
      </c>
      <c r="AI105" s="8"/>
      <c r="AJ105" s="8">
        <v>0</v>
      </c>
      <c r="AK105" s="8"/>
      <c r="AL105" s="8">
        <v>0</v>
      </c>
      <c r="AM105" s="8">
        <v>0</v>
      </c>
      <c r="AN105" s="8">
        <v>0</v>
      </c>
      <c r="AO105" s="8"/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/>
      <c r="AV105" s="8">
        <v>0</v>
      </c>
      <c r="AW105" s="8">
        <v>0</v>
      </c>
      <c r="AX105" s="8">
        <v>212</v>
      </c>
      <c r="AY105" s="8">
        <v>73</v>
      </c>
      <c r="AZ105" s="8">
        <v>9</v>
      </c>
      <c r="BA105" s="8">
        <v>6</v>
      </c>
      <c r="BB105" s="8">
        <v>0</v>
      </c>
      <c r="BC105" s="8">
        <v>0</v>
      </c>
      <c r="BD105" s="8">
        <v>0</v>
      </c>
      <c r="BE105" s="8">
        <v>0</v>
      </c>
      <c r="BF105" s="8">
        <v>528</v>
      </c>
      <c r="BG105" s="8">
        <v>2</v>
      </c>
      <c r="BH105" s="8">
        <v>3</v>
      </c>
      <c r="BI105" s="8">
        <v>6</v>
      </c>
      <c r="BJ105" s="8">
        <v>2</v>
      </c>
      <c r="BK105" s="8">
        <v>0</v>
      </c>
      <c r="BL105" s="8">
        <v>6</v>
      </c>
      <c r="BM105" s="8">
        <v>0</v>
      </c>
      <c r="BN105" s="8">
        <v>0</v>
      </c>
      <c r="BO105" s="8">
        <v>0</v>
      </c>
      <c r="BP105" s="8"/>
      <c r="BQ105" s="8"/>
      <c r="BR105" s="8">
        <v>0</v>
      </c>
      <c r="BS105" s="8">
        <v>0</v>
      </c>
      <c r="BT105" s="8">
        <v>0</v>
      </c>
      <c r="BU105" s="8"/>
      <c r="BV105" s="8">
        <v>0</v>
      </c>
      <c r="BW105" s="8"/>
      <c r="BX105" s="8"/>
      <c r="BY105" s="8"/>
      <c r="BZ105" s="17">
        <f t="shared" si="6"/>
        <v>867</v>
      </c>
      <c r="CA105" s="17" t="s">
        <v>195</v>
      </c>
      <c r="CC105">
        <f t="shared" si="7"/>
        <v>0.14302191464821223</v>
      </c>
      <c r="CD105" s="8">
        <f t="shared" si="8"/>
        <v>124</v>
      </c>
      <c r="CE105" s="8">
        <f t="shared" si="9"/>
        <v>847</v>
      </c>
      <c r="CF105" s="8">
        <f t="shared" si="10"/>
        <v>107</v>
      </c>
      <c r="CG105" s="19">
        <f t="shared" si="11"/>
        <v>0.12632821723730814</v>
      </c>
      <c r="CH105" t="s">
        <v>188</v>
      </c>
    </row>
    <row r="106" spans="1:86" x14ac:dyDescent="0.2">
      <c r="A106" s="10" t="s">
        <v>629</v>
      </c>
      <c r="B106" s="9" t="s">
        <v>628</v>
      </c>
      <c r="C106" s="11" t="s">
        <v>577</v>
      </c>
      <c r="D106" s="11"/>
      <c r="E106" s="11" t="s">
        <v>622</v>
      </c>
      <c r="G106" s="11" t="s">
        <v>630</v>
      </c>
      <c r="H106" s="21">
        <v>3868370</v>
      </c>
      <c r="I106" s="21">
        <v>758561</v>
      </c>
      <c r="J106" s="12">
        <v>15</v>
      </c>
      <c r="K106" s="12"/>
      <c r="T106" s="8">
        <v>1</v>
      </c>
      <c r="U106" s="8">
        <v>1</v>
      </c>
      <c r="V106" s="8">
        <v>2</v>
      </c>
      <c r="W106" s="8">
        <v>0</v>
      </c>
      <c r="X106" s="8"/>
      <c r="Y106" s="8">
        <v>0</v>
      </c>
      <c r="Z106" s="8">
        <v>0</v>
      </c>
      <c r="AA106" s="8">
        <v>17</v>
      </c>
      <c r="AB106" s="8"/>
      <c r="AC106" s="8">
        <v>0</v>
      </c>
      <c r="AD106" s="8">
        <v>356</v>
      </c>
      <c r="AE106" s="8">
        <v>40</v>
      </c>
      <c r="AF106" s="8">
        <v>91</v>
      </c>
      <c r="AG106" s="8">
        <v>0</v>
      </c>
      <c r="AH106" s="8">
        <v>0</v>
      </c>
      <c r="AI106" s="8"/>
      <c r="AJ106" s="8">
        <v>0</v>
      </c>
      <c r="AK106" s="8"/>
      <c r="AL106" s="8">
        <v>0</v>
      </c>
      <c r="AM106" s="8">
        <v>0</v>
      </c>
      <c r="AN106" s="8">
        <v>0</v>
      </c>
      <c r="AO106" s="8"/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/>
      <c r="AV106" s="8">
        <v>4</v>
      </c>
      <c r="AW106" s="8">
        <v>9</v>
      </c>
      <c r="AX106" s="8">
        <v>2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2</v>
      </c>
      <c r="BM106" s="8">
        <v>0</v>
      </c>
      <c r="BN106" s="8">
        <v>0</v>
      </c>
      <c r="BO106" s="8">
        <v>0</v>
      </c>
      <c r="BP106" s="8"/>
      <c r="BQ106" s="8"/>
      <c r="BR106" s="8">
        <v>0</v>
      </c>
      <c r="BS106" s="8">
        <v>0</v>
      </c>
      <c r="BT106" s="8">
        <v>0</v>
      </c>
      <c r="BU106" s="8"/>
      <c r="BV106" s="8">
        <v>0</v>
      </c>
      <c r="BW106" s="8"/>
      <c r="BX106" s="8"/>
      <c r="BY106" s="8"/>
      <c r="BZ106" s="17">
        <f t="shared" si="6"/>
        <v>525</v>
      </c>
      <c r="CA106" s="17" t="s">
        <v>262</v>
      </c>
      <c r="CC106">
        <f t="shared" si="7"/>
        <v>0.3180952380952381</v>
      </c>
      <c r="CD106" s="8">
        <f t="shared" si="8"/>
        <v>158</v>
      </c>
      <c r="CE106" s="8">
        <f t="shared" si="9"/>
        <v>4</v>
      </c>
      <c r="CF106" s="8">
        <f t="shared" si="10"/>
        <v>2</v>
      </c>
      <c r="CG106" s="19">
        <f t="shared" si="11"/>
        <v>0.5</v>
      </c>
      <c r="CH106" t="s">
        <v>188</v>
      </c>
    </row>
    <row r="107" spans="1:86" x14ac:dyDescent="0.2">
      <c r="A107" s="10" t="s">
        <v>632</v>
      </c>
      <c r="B107" s="9" t="s">
        <v>631</v>
      </c>
      <c r="C107" s="11" t="s">
        <v>577</v>
      </c>
      <c r="D107" s="11"/>
      <c r="E107" s="11" t="s">
        <v>622</v>
      </c>
      <c r="G107" s="11" t="s">
        <v>633</v>
      </c>
      <c r="H107" s="21">
        <v>3869837</v>
      </c>
      <c r="I107" s="21">
        <v>760317</v>
      </c>
      <c r="J107" s="12">
        <v>15</v>
      </c>
      <c r="K107" s="12"/>
      <c r="T107" s="8">
        <v>0</v>
      </c>
      <c r="U107" s="8">
        <v>0</v>
      </c>
      <c r="V107" s="8">
        <v>0</v>
      </c>
      <c r="W107" s="8">
        <v>0</v>
      </c>
      <c r="X107" s="8"/>
      <c r="Y107" s="8">
        <v>0</v>
      </c>
      <c r="Z107" s="8">
        <v>0</v>
      </c>
      <c r="AA107" s="8">
        <v>3</v>
      </c>
      <c r="AB107" s="8"/>
      <c r="AC107" s="8">
        <v>0</v>
      </c>
      <c r="AD107" s="8">
        <v>23</v>
      </c>
      <c r="AE107" s="8">
        <v>34</v>
      </c>
      <c r="AF107" s="8">
        <v>0</v>
      </c>
      <c r="AG107" s="8">
        <v>21</v>
      </c>
      <c r="AH107" s="8">
        <v>0</v>
      </c>
      <c r="AI107" s="8"/>
      <c r="AJ107" s="8">
        <v>1</v>
      </c>
      <c r="AK107" s="8"/>
      <c r="AL107" s="8">
        <v>0</v>
      </c>
      <c r="AM107" s="8">
        <v>0</v>
      </c>
      <c r="AN107" s="8">
        <v>0</v>
      </c>
      <c r="AO107" s="8"/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/>
      <c r="AV107" s="8">
        <v>0</v>
      </c>
      <c r="AW107" s="8">
        <v>0</v>
      </c>
      <c r="AX107" s="8">
        <v>28</v>
      </c>
      <c r="AY107" s="8">
        <v>15</v>
      </c>
      <c r="AZ107" s="8">
        <v>1</v>
      </c>
      <c r="BA107" s="8">
        <v>2</v>
      </c>
      <c r="BB107" s="8">
        <v>0</v>
      </c>
      <c r="BC107" s="8">
        <v>0</v>
      </c>
      <c r="BD107" s="8">
        <v>0</v>
      </c>
      <c r="BE107" s="8">
        <v>0</v>
      </c>
      <c r="BF107" s="8">
        <v>210</v>
      </c>
      <c r="BG107" s="8">
        <v>2</v>
      </c>
      <c r="BH107" s="8">
        <v>3</v>
      </c>
      <c r="BI107" s="8">
        <v>3</v>
      </c>
      <c r="BJ107" s="8">
        <v>0</v>
      </c>
      <c r="BK107" s="8">
        <v>0</v>
      </c>
      <c r="BL107" s="8">
        <v>6</v>
      </c>
      <c r="BM107" s="8">
        <v>0</v>
      </c>
      <c r="BN107" s="8">
        <v>0</v>
      </c>
      <c r="BO107" s="8">
        <v>0</v>
      </c>
      <c r="BP107" s="8"/>
      <c r="BQ107" s="8"/>
      <c r="BR107" s="8">
        <v>0</v>
      </c>
      <c r="BS107" s="8">
        <v>0</v>
      </c>
      <c r="BT107" s="8">
        <v>0</v>
      </c>
      <c r="BU107" s="8"/>
      <c r="BV107" s="8">
        <v>2</v>
      </c>
      <c r="BW107" s="8"/>
      <c r="BX107" s="8"/>
      <c r="BY107" s="8"/>
      <c r="BZ107" s="17">
        <f t="shared" si="6"/>
        <v>354</v>
      </c>
      <c r="CA107" s="8" t="s">
        <v>634</v>
      </c>
      <c r="CB107" s="18" t="s">
        <v>635</v>
      </c>
      <c r="CC107">
        <f t="shared" si="7"/>
        <v>0.26271186440677968</v>
      </c>
      <c r="CD107" s="8">
        <f t="shared" si="8"/>
        <v>93</v>
      </c>
      <c r="CE107" s="8">
        <f t="shared" si="9"/>
        <v>272</v>
      </c>
      <c r="CF107" s="8">
        <f t="shared" si="10"/>
        <v>34</v>
      </c>
      <c r="CG107" s="19">
        <f t="shared" si="11"/>
        <v>0.125</v>
      </c>
      <c r="CH107" t="s">
        <v>188</v>
      </c>
    </row>
    <row r="108" spans="1:86" x14ac:dyDescent="0.2">
      <c r="A108" s="10" t="s">
        <v>637</v>
      </c>
      <c r="B108" s="9" t="s">
        <v>636</v>
      </c>
      <c r="C108" s="11" t="s">
        <v>577</v>
      </c>
      <c r="D108" s="11"/>
      <c r="E108" s="11" t="s">
        <v>622</v>
      </c>
      <c r="G108" s="11" t="s">
        <v>638</v>
      </c>
      <c r="H108" s="21">
        <v>3864400</v>
      </c>
      <c r="I108" s="21">
        <v>754509</v>
      </c>
      <c r="J108" s="12">
        <v>15</v>
      </c>
      <c r="K108" s="12"/>
      <c r="T108" s="8">
        <v>0</v>
      </c>
      <c r="U108" s="8">
        <v>0</v>
      </c>
      <c r="V108" s="8">
        <v>0</v>
      </c>
      <c r="W108" s="8">
        <v>0</v>
      </c>
      <c r="X108" s="8"/>
      <c r="Y108" s="8">
        <v>0</v>
      </c>
      <c r="Z108" s="8">
        <v>0</v>
      </c>
      <c r="AA108" s="8">
        <v>0</v>
      </c>
      <c r="AB108" s="8"/>
      <c r="AC108" s="8">
        <v>0</v>
      </c>
      <c r="AD108" s="8">
        <v>80</v>
      </c>
      <c r="AE108" s="8">
        <v>33</v>
      </c>
      <c r="AF108" s="8">
        <v>0</v>
      </c>
      <c r="AG108" s="8">
        <v>8</v>
      </c>
      <c r="AH108" s="8">
        <v>0</v>
      </c>
      <c r="AI108" s="8"/>
      <c r="AJ108" s="8">
        <v>1</v>
      </c>
      <c r="AK108" s="8"/>
      <c r="AL108" s="8">
        <v>0</v>
      </c>
      <c r="AM108" s="8">
        <v>0</v>
      </c>
      <c r="AN108" s="8">
        <v>0</v>
      </c>
      <c r="AO108" s="8"/>
      <c r="AP108" s="8">
        <v>0</v>
      </c>
      <c r="AQ108" s="8">
        <v>1</v>
      </c>
      <c r="AR108" s="8">
        <v>0</v>
      </c>
      <c r="AS108" s="8">
        <v>0</v>
      </c>
      <c r="AT108" s="8">
        <v>0</v>
      </c>
      <c r="AU108" s="8"/>
      <c r="AV108" s="8">
        <v>0</v>
      </c>
      <c r="AW108" s="8">
        <v>1</v>
      </c>
      <c r="AX108" s="8">
        <v>56</v>
      </c>
      <c r="AY108" s="8">
        <v>2</v>
      </c>
      <c r="AZ108" s="8">
        <v>3</v>
      </c>
      <c r="BA108" s="8">
        <v>7</v>
      </c>
      <c r="BB108" s="8">
        <v>0</v>
      </c>
      <c r="BC108" s="8">
        <v>0</v>
      </c>
      <c r="BD108" s="8">
        <v>0</v>
      </c>
      <c r="BE108" s="8">
        <v>0</v>
      </c>
      <c r="BF108" s="8">
        <v>30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1</v>
      </c>
      <c r="BP108" s="8"/>
      <c r="BQ108" s="8"/>
      <c r="BR108" s="8">
        <v>0</v>
      </c>
      <c r="BS108" s="8">
        <v>0</v>
      </c>
      <c r="BT108" s="8">
        <v>0</v>
      </c>
      <c r="BU108" s="8"/>
      <c r="BV108" s="8">
        <v>0</v>
      </c>
      <c r="BW108" s="8"/>
      <c r="BX108" s="8"/>
      <c r="BY108" s="8"/>
      <c r="BZ108" s="17">
        <f t="shared" si="6"/>
        <v>223</v>
      </c>
      <c r="CA108" s="17" t="s">
        <v>226</v>
      </c>
      <c r="CC108">
        <f t="shared" si="7"/>
        <v>0.2556053811659193</v>
      </c>
      <c r="CD108" s="8">
        <f t="shared" si="8"/>
        <v>56</v>
      </c>
      <c r="CE108" s="8">
        <f t="shared" si="9"/>
        <v>99</v>
      </c>
      <c r="CF108" s="8">
        <f t="shared" si="10"/>
        <v>13</v>
      </c>
      <c r="CG108" s="19">
        <f t="shared" si="11"/>
        <v>0.13131313131313133</v>
      </c>
      <c r="CH108" t="s">
        <v>188</v>
      </c>
    </row>
    <row r="109" spans="1:86" x14ac:dyDescent="0.2">
      <c r="A109" s="10" t="s">
        <v>639</v>
      </c>
      <c r="B109" s="9" t="s">
        <v>37</v>
      </c>
      <c r="C109" s="11" t="s">
        <v>577</v>
      </c>
      <c r="D109" s="11"/>
      <c r="E109" s="11" t="s">
        <v>622</v>
      </c>
      <c r="G109" s="11" t="s">
        <v>640</v>
      </c>
      <c r="H109" s="13">
        <v>3872748</v>
      </c>
      <c r="I109" s="13">
        <v>757787</v>
      </c>
      <c r="J109" s="12">
        <v>15</v>
      </c>
      <c r="K109" s="12"/>
      <c r="T109" s="8">
        <v>0</v>
      </c>
      <c r="U109" s="8">
        <v>0</v>
      </c>
      <c r="V109" s="8">
        <v>0</v>
      </c>
      <c r="W109" s="8">
        <v>0</v>
      </c>
      <c r="X109" s="8"/>
      <c r="Y109" s="8">
        <v>0</v>
      </c>
      <c r="Z109" s="8">
        <v>0</v>
      </c>
      <c r="AA109" s="8">
        <v>0</v>
      </c>
      <c r="AB109" s="8"/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/>
      <c r="AJ109" s="8">
        <v>0</v>
      </c>
      <c r="AK109" s="8"/>
      <c r="AL109" s="8">
        <v>0</v>
      </c>
      <c r="AM109" s="8">
        <v>0</v>
      </c>
      <c r="AN109" s="8">
        <v>0</v>
      </c>
      <c r="AO109" s="8"/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/>
      <c r="AV109" s="8">
        <v>0</v>
      </c>
      <c r="AW109" s="8">
        <v>0</v>
      </c>
      <c r="AX109" s="8">
        <v>25</v>
      </c>
      <c r="AY109" s="8">
        <v>8</v>
      </c>
      <c r="AZ109" s="8">
        <v>4</v>
      </c>
      <c r="BA109" s="8">
        <v>1</v>
      </c>
      <c r="BB109" s="8">
        <v>0</v>
      </c>
      <c r="BC109" s="8">
        <v>0</v>
      </c>
      <c r="BD109" s="8">
        <v>0</v>
      </c>
      <c r="BE109" s="8">
        <v>0</v>
      </c>
      <c r="BF109" s="8">
        <v>80</v>
      </c>
      <c r="BG109" s="8">
        <v>0</v>
      </c>
      <c r="BH109" s="8">
        <v>1</v>
      </c>
      <c r="BI109" s="8">
        <v>1</v>
      </c>
      <c r="BJ109" s="8">
        <v>0</v>
      </c>
      <c r="BK109" s="8">
        <v>0</v>
      </c>
      <c r="BL109" s="8">
        <v>4</v>
      </c>
      <c r="BM109" s="8">
        <v>0</v>
      </c>
      <c r="BN109" s="8">
        <v>0</v>
      </c>
      <c r="BO109" s="8">
        <v>0</v>
      </c>
      <c r="BP109" s="8"/>
      <c r="BQ109" s="8"/>
      <c r="BR109" s="8">
        <v>0</v>
      </c>
      <c r="BS109" s="8">
        <v>0</v>
      </c>
      <c r="BT109" s="8">
        <v>0</v>
      </c>
      <c r="BU109" s="8"/>
      <c r="BV109" s="8">
        <v>0</v>
      </c>
      <c r="BW109" s="8"/>
      <c r="BX109" s="8"/>
      <c r="BY109" s="8"/>
      <c r="BZ109" s="17">
        <f t="shared" si="6"/>
        <v>124</v>
      </c>
      <c r="CA109" s="17" t="s">
        <v>186</v>
      </c>
      <c r="CC109">
        <f t="shared" si="7"/>
        <v>0.15322580645161291</v>
      </c>
      <c r="CD109" s="8">
        <f t="shared" si="8"/>
        <v>19</v>
      </c>
      <c r="CE109" s="8">
        <f t="shared" si="9"/>
        <v>124</v>
      </c>
      <c r="CF109" s="8">
        <f t="shared" si="10"/>
        <v>19</v>
      </c>
      <c r="CG109" s="19">
        <f t="shared" si="11"/>
        <v>0.15322580645161291</v>
      </c>
      <c r="CH109" t="s">
        <v>188</v>
      </c>
    </row>
    <row r="110" spans="1:86" x14ac:dyDescent="0.2">
      <c r="A110" s="10" t="s">
        <v>641</v>
      </c>
      <c r="B110" s="9" t="s">
        <v>20</v>
      </c>
      <c r="C110" s="11" t="s">
        <v>577</v>
      </c>
      <c r="D110" s="11"/>
      <c r="E110" s="11" t="s">
        <v>622</v>
      </c>
      <c r="G110" s="11" t="s">
        <v>642</v>
      </c>
      <c r="H110" s="21">
        <v>3870774</v>
      </c>
      <c r="I110" s="21">
        <v>752674</v>
      </c>
      <c r="J110" s="12">
        <v>15</v>
      </c>
      <c r="K110" s="12"/>
      <c r="T110" s="8">
        <v>0</v>
      </c>
      <c r="U110" s="8">
        <v>0</v>
      </c>
      <c r="V110" s="8">
        <v>0</v>
      </c>
      <c r="W110" s="8">
        <v>0</v>
      </c>
      <c r="X110" s="8"/>
      <c r="Y110" s="8">
        <v>0</v>
      </c>
      <c r="Z110" s="8">
        <v>0</v>
      </c>
      <c r="AA110" s="8">
        <v>0</v>
      </c>
      <c r="AB110" s="8"/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/>
      <c r="AJ110" s="8">
        <v>0</v>
      </c>
      <c r="AK110" s="8"/>
      <c r="AL110" s="8">
        <v>0</v>
      </c>
      <c r="AM110" s="8">
        <v>0</v>
      </c>
      <c r="AN110" s="8">
        <v>0</v>
      </c>
      <c r="AO110" s="8"/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/>
      <c r="AV110" s="8">
        <v>0</v>
      </c>
      <c r="AW110" s="8">
        <v>0</v>
      </c>
      <c r="AX110" s="8">
        <v>58</v>
      </c>
      <c r="AY110" s="8">
        <v>18</v>
      </c>
      <c r="AZ110" s="8">
        <v>6</v>
      </c>
      <c r="BA110" s="8">
        <v>6</v>
      </c>
      <c r="BB110" s="8">
        <v>0</v>
      </c>
      <c r="BC110" s="8">
        <v>0</v>
      </c>
      <c r="BD110" s="8">
        <v>0</v>
      </c>
      <c r="BE110" s="8">
        <v>0</v>
      </c>
      <c r="BF110" s="8">
        <v>315</v>
      </c>
      <c r="BG110" s="8">
        <v>8</v>
      </c>
      <c r="BH110" s="8">
        <v>1</v>
      </c>
      <c r="BI110" s="8">
        <v>5</v>
      </c>
      <c r="BJ110" s="8">
        <v>0</v>
      </c>
      <c r="BK110" s="8">
        <v>0</v>
      </c>
      <c r="BL110" s="8">
        <v>5</v>
      </c>
      <c r="BM110" s="8">
        <v>0</v>
      </c>
      <c r="BN110" s="8">
        <v>0</v>
      </c>
      <c r="BO110" s="8">
        <v>0</v>
      </c>
      <c r="BP110" s="8"/>
      <c r="BQ110" s="8"/>
      <c r="BR110" s="8">
        <v>0</v>
      </c>
      <c r="BS110" s="8">
        <v>0</v>
      </c>
      <c r="BT110" s="8">
        <v>0</v>
      </c>
      <c r="BU110" s="8"/>
      <c r="BV110" s="8">
        <v>0</v>
      </c>
      <c r="BW110" s="8"/>
      <c r="BX110" s="8"/>
      <c r="BY110" s="8"/>
      <c r="BZ110" s="17">
        <f t="shared" si="6"/>
        <v>422</v>
      </c>
      <c r="CA110" s="17" t="s">
        <v>195</v>
      </c>
      <c r="CC110">
        <f t="shared" si="7"/>
        <v>0.11611374407582939</v>
      </c>
      <c r="CD110" s="8">
        <f t="shared" si="8"/>
        <v>49</v>
      </c>
      <c r="CE110" s="8">
        <f t="shared" si="9"/>
        <v>422</v>
      </c>
      <c r="CF110" s="8">
        <f t="shared" si="10"/>
        <v>49</v>
      </c>
      <c r="CG110" s="19">
        <f t="shared" si="11"/>
        <v>0.11611374407582939</v>
      </c>
      <c r="CH110" t="s">
        <v>188</v>
      </c>
    </row>
    <row r="111" spans="1:86" x14ac:dyDescent="0.2">
      <c r="A111" s="10" t="s">
        <v>83</v>
      </c>
      <c r="B111" s="9" t="s">
        <v>643</v>
      </c>
      <c r="C111" s="11" t="s">
        <v>577</v>
      </c>
      <c r="D111" s="11"/>
      <c r="E111" s="11" t="s">
        <v>622</v>
      </c>
      <c r="G111" s="11" t="s">
        <v>644</v>
      </c>
      <c r="H111" s="21">
        <v>3867620</v>
      </c>
      <c r="I111" s="21">
        <v>755793</v>
      </c>
      <c r="J111" s="12">
        <v>15</v>
      </c>
      <c r="K111" s="12"/>
      <c r="T111" s="8">
        <v>0</v>
      </c>
      <c r="U111" s="8">
        <v>0</v>
      </c>
      <c r="V111" s="8">
        <v>0</v>
      </c>
      <c r="W111" s="8">
        <v>0</v>
      </c>
      <c r="X111" s="8"/>
      <c r="Y111" s="8">
        <v>0</v>
      </c>
      <c r="Z111" s="8">
        <v>0</v>
      </c>
      <c r="AA111" s="8">
        <v>9</v>
      </c>
      <c r="AB111" s="8"/>
      <c r="AC111" s="8">
        <v>0</v>
      </c>
      <c r="AD111" s="8">
        <v>802</v>
      </c>
      <c r="AE111" s="8">
        <v>643</v>
      </c>
      <c r="AF111" s="8">
        <v>272</v>
      </c>
      <c r="AG111" s="8">
        <v>280</v>
      </c>
      <c r="AH111" s="8">
        <v>2</v>
      </c>
      <c r="AI111" s="8"/>
      <c r="AJ111" s="8">
        <v>4</v>
      </c>
      <c r="AK111" s="8"/>
      <c r="AL111" s="8">
        <v>4</v>
      </c>
      <c r="AM111" s="8">
        <v>0</v>
      </c>
      <c r="AN111" s="8">
        <v>0</v>
      </c>
      <c r="AO111" s="8"/>
      <c r="AP111" s="8">
        <v>2</v>
      </c>
      <c r="AQ111" s="8">
        <v>0</v>
      </c>
      <c r="AR111" s="8">
        <v>0</v>
      </c>
      <c r="AS111" s="8">
        <v>0</v>
      </c>
      <c r="AT111" s="8">
        <v>0</v>
      </c>
      <c r="AU111" s="8"/>
      <c r="AV111" s="8">
        <v>21</v>
      </c>
      <c r="AW111" s="8">
        <v>0</v>
      </c>
      <c r="AX111" s="8">
        <v>232</v>
      </c>
      <c r="AY111" s="8">
        <v>83</v>
      </c>
      <c r="AZ111" s="8">
        <v>16</v>
      </c>
      <c r="BA111" s="8">
        <v>18</v>
      </c>
      <c r="BB111" s="8">
        <v>0</v>
      </c>
      <c r="BC111" s="8">
        <v>0</v>
      </c>
      <c r="BD111" s="8">
        <v>0</v>
      </c>
      <c r="BE111" s="8">
        <v>0</v>
      </c>
      <c r="BF111" s="8">
        <v>506</v>
      </c>
      <c r="BG111" s="8">
        <v>8</v>
      </c>
      <c r="BH111" s="8">
        <v>3</v>
      </c>
      <c r="BI111" s="8">
        <v>17</v>
      </c>
      <c r="BJ111" s="8">
        <v>3</v>
      </c>
      <c r="BK111" s="8">
        <v>1</v>
      </c>
      <c r="BL111" s="8">
        <v>37</v>
      </c>
      <c r="BM111" s="8">
        <v>0</v>
      </c>
      <c r="BN111" s="8">
        <v>0</v>
      </c>
      <c r="BO111" s="8">
        <v>6</v>
      </c>
      <c r="BP111" s="8"/>
      <c r="BQ111" s="8"/>
      <c r="BR111" s="8">
        <v>0</v>
      </c>
      <c r="BS111" s="8">
        <v>0</v>
      </c>
      <c r="BT111" s="8">
        <v>0</v>
      </c>
      <c r="BU111" s="8"/>
      <c r="BV111" s="8">
        <v>0</v>
      </c>
      <c r="BW111" s="8"/>
      <c r="BX111" s="8"/>
      <c r="BY111" s="8"/>
      <c r="BZ111" s="17">
        <f t="shared" si="6"/>
        <v>2969</v>
      </c>
      <c r="CA111" s="8" t="s">
        <v>645</v>
      </c>
      <c r="CB111" s="18" t="s">
        <v>646</v>
      </c>
      <c r="CC111">
        <f t="shared" si="7"/>
        <v>0.48130683731896262</v>
      </c>
      <c r="CD111" s="8">
        <f t="shared" si="8"/>
        <v>1429</v>
      </c>
      <c r="CE111" s="8">
        <f t="shared" si="9"/>
        <v>930</v>
      </c>
      <c r="CF111" s="8">
        <f t="shared" si="10"/>
        <v>192</v>
      </c>
      <c r="CG111" s="19">
        <f t="shared" si="11"/>
        <v>0.20645161290322581</v>
      </c>
      <c r="CH111" t="s">
        <v>188</v>
      </c>
    </row>
    <row r="112" spans="1:86" x14ac:dyDescent="0.2">
      <c r="A112" s="10" t="s">
        <v>648</v>
      </c>
      <c r="B112" s="9" t="s">
        <v>647</v>
      </c>
      <c r="C112" s="11" t="s">
        <v>577</v>
      </c>
      <c r="D112" s="11"/>
      <c r="E112" s="11" t="s">
        <v>622</v>
      </c>
      <c r="G112" s="11" t="s">
        <v>624</v>
      </c>
      <c r="H112" s="22">
        <v>3867119</v>
      </c>
      <c r="I112" s="22">
        <v>755880</v>
      </c>
      <c r="J112" s="12">
        <v>15</v>
      </c>
      <c r="K112" s="12"/>
      <c r="T112" s="8">
        <v>0</v>
      </c>
      <c r="U112" s="8">
        <v>0</v>
      </c>
      <c r="V112" s="8">
        <v>0</v>
      </c>
      <c r="W112" s="8">
        <v>0</v>
      </c>
      <c r="X112" s="8"/>
      <c r="Y112" s="8">
        <v>0</v>
      </c>
      <c r="Z112" s="8">
        <v>0</v>
      </c>
      <c r="AA112" s="8">
        <v>9</v>
      </c>
      <c r="AB112" s="8"/>
      <c r="AC112" s="8">
        <v>7</v>
      </c>
      <c r="AD112" s="8">
        <v>1391</v>
      </c>
      <c r="AE112" s="8">
        <v>47</v>
      </c>
      <c r="AF112" s="8">
        <v>45</v>
      </c>
      <c r="AG112" s="8">
        <v>65</v>
      </c>
      <c r="AH112" s="8">
        <v>0</v>
      </c>
      <c r="AI112" s="8"/>
      <c r="AJ112" s="8">
        <v>0</v>
      </c>
      <c r="AK112" s="8"/>
      <c r="AL112" s="8">
        <v>0</v>
      </c>
      <c r="AM112" s="8">
        <v>0</v>
      </c>
      <c r="AN112" s="8">
        <v>0</v>
      </c>
      <c r="AO112" s="8"/>
      <c r="AP112" s="8">
        <v>0</v>
      </c>
      <c r="AQ112" s="8">
        <v>2</v>
      </c>
      <c r="AR112" s="8">
        <v>0</v>
      </c>
      <c r="AS112" s="8">
        <v>0</v>
      </c>
      <c r="AT112" s="8">
        <v>0</v>
      </c>
      <c r="AU112" s="8"/>
      <c r="AV112" s="8">
        <v>5</v>
      </c>
      <c r="AW112" s="8">
        <v>3</v>
      </c>
      <c r="AX112" s="8">
        <v>11</v>
      </c>
      <c r="AY112" s="8">
        <v>0</v>
      </c>
      <c r="AZ112" s="8">
        <v>1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1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11</v>
      </c>
      <c r="BM112" s="8">
        <v>0</v>
      </c>
      <c r="BN112" s="8">
        <v>0</v>
      </c>
      <c r="BO112" s="8">
        <v>0</v>
      </c>
      <c r="BP112" s="8"/>
      <c r="BQ112" s="8"/>
      <c r="BR112" s="8">
        <v>0</v>
      </c>
      <c r="BS112" s="8">
        <v>0</v>
      </c>
      <c r="BT112" s="8">
        <v>0</v>
      </c>
      <c r="BU112" s="8"/>
      <c r="BV112" s="8">
        <v>0</v>
      </c>
      <c r="BW112" s="8"/>
      <c r="BX112" s="8"/>
      <c r="BY112" s="8"/>
      <c r="BZ112" s="17">
        <f t="shared" si="6"/>
        <v>1598</v>
      </c>
      <c r="CA112" s="17" t="s">
        <v>262</v>
      </c>
      <c r="CC112">
        <f t="shared" si="7"/>
        <v>0.12202753441802253</v>
      </c>
      <c r="CD112" s="8">
        <f t="shared" si="8"/>
        <v>192</v>
      </c>
      <c r="CE112" s="8">
        <f t="shared" si="9"/>
        <v>24</v>
      </c>
      <c r="CF112" s="8">
        <f t="shared" si="10"/>
        <v>12</v>
      </c>
      <c r="CG112" s="19">
        <f t="shared" si="11"/>
        <v>0.5</v>
      </c>
      <c r="CH112" t="s">
        <v>188</v>
      </c>
    </row>
    <row r="113" spans="1:86" x14ac:dyDescent="0.2">
      <c r="A113" s="10" t="s">
        <v>650</v>
      </c>
      <c r="B113" s="9" t="s">
        <v>649</v>
      </c>
      <c r="C113" s="11" t="s">
        <v>179</v>
      </c>
      <c r="D113" s="11" t="s">
        <v>651</v>
      </c>
      <c r="E113" s="11" t="s">
        <v>652</v>
      </c>
      <c r="F113" s="8">
        <v>370</v>
      </c>
      <c r="G113" s="11" t="s">
        <v>653</v>
      </c>
      <c r="H113" s="13">
        <v>3820150</v>
      </c>
      <c r="I113" s="23">
        <v>666950</v>
      </c>
      <c r="J113" s="12">
        <v>15</v>
      </c>
      <c r="K113" s="12"/>
      <c r="L113" s="14" t="s">
        <v>361</v>
      </c>
      <c r="M113" s="14" t="s">
        <v>232</v>
      </c>
      <c r="N113" s="15">
        <v>14683</v>
      </c>
      <c r="O113" s="16" t="s">
        <v>185</v>
      </c>
      <c r="T113" s="8">
        <v>0</v>
      </c>
      <c r="U113" s="8">
        <v>0</v>
      </c>
      <c r="V113" s="8">
        <v>0</v>
      </c>
      <c r="W113" s="8">
        <v>0</v>
      </c>
      <c r="X113" s="8"/>
      <c r="Y113" s="8">
        <v>0</v>
      </c>
      <c r="Z113" s="8">
        <v>0</v>
      </c>
      <c r="AA113" s="8">
        <v>0</v>
      </c>
      <c r="AB113" s="8"/>
      <c r="AC113" s="8">
        <v>0</v>
      </c>
      <c r="AD113" s="8">
        <v>105</v>
      </c>
      <c r="AE113" s="8">
        <v>44</v>
      </c>
      <c r="AF113" s="8">
        <v>0</v>
      </c>
      <c r="AG113" s="8">
        <v>0</v>
      </c>
      <c r="AH113" s="8">
        <v>1</v>
      </c>
      <c r="AI113" s="8"/>
      <c r="AJ113" s="8">
        <v>0</v>
      </c>
      <c r="AK113" s="8"/>
      <c r="AL113" s="8">
        <v>0</v>
      </c>
      <c r="AM113" s="8">
        <v>0</v>
      </c>
      <c r="AN113" s="8">
        <v>0</v>
      </c>
      <c r="AO113" s="8"/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/>
      <c r="AV113" s="8">
        <v>3</v>
      </c>
      <c r="AW113" s="8">
        <v>3</v>
      </c>
      <c r="AX113" s="8">
        <v>112</v>
      </c>
      <c r="AY113" s="8">
        <v>5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3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1</v>
      </c>
      <c r="BM113" s="8">
        <v>0</v>
      </c>
      <c r="BN113" s="8">
        <v>0</v>
      </c>
      <c r="BO113" s="8">
        <v>0</v>
      </c>
      <c r="BP113" s="8"/>
      <c r="BQ113" s="8"/>
      <c r="BR113" s="8">
        <v>0</v>
      </c>
      <c r="BS113" s="8">
        <v>0</v>
      </c>
      <c r="BT113" s="8">
        <v>0</v>
      </c>
      <c r="BU113" s="8"/>
      <c r="BV113" s="8">
        <v>0</v>
      </c>
      <c r="BW113" s="8"/>
      <c r="BX113" s="8"/>
      <c r="BY113" s="8"/>
      <c r="BZ113" s="17">
        <f t="shared" si="6"/>
        <v>277</v>
      </c>
      <c r="CA113" s="17" t="s">
        <v>247</v>
      </c>
      <c r="CC113">
        <f t="shared" si="7"/>
        <v>0.20577617328519857</v>
      </c>
      <c r="CD113" s="8">
        <f t="shared" si="8"/>
        <v>54</v>
      </c>
      <c r="CE113" s="8">
        <f t="shared" si="9"/>
        <v>121</v>
      </c>
      <c r="CF113" s="8">
        <f t="shared" si="10"/>
        <v>6</v>
      </c>
      <c r="CG113" s="19">
        <f t="shared" si="11"/>
        <v>4.9586776859504134E-2</v>
      </c>
      <c r="CH113" t="s">
        <v>188</v>
      </c>
    </row>
    <row r="114" spans="1:86" x14ac:dyDescent="0.2">
      <c r="A114" s="10" t="s">
        <v>655</v>
      </c>
      <c r="B114" s="9" t="s">
        <v>654</v>
      </c>
      <c r="C114" s="11" t="s">
        <v>179</v>
      </c>
      <c r="D114" s="11" t="s">
        <v>656</v>
      </c>
      <c r="E114" s="11" t="s">
        <v>440</v>
      </c>
      <c r="F114" s="8">
        <v>29</v>
      </c>
      <c r="G114" s="11" t="s">
        <v>657</v>
      </c>
      <c r="H114" s="13">
        <v>3836130</v>
      </c>
      <c r="I114" s="13">
        <v>694170</v>
      </c>
      <c r="J114" s="12">
        <v>15</v>
      </c>
      <c r="K114" s="12"/>
      <c r="L114" s="14" t="s">
        <v>287</v>
      </c>
      <c r="M114" s="14" t="s">
        <v>404</v>
      </c>
      <c r="N114" s="15">
        <v>14692</v>
      </c>
      <c r="T114" s="8">
        <v>0</v>
      </c>
      <c r="U114" s="8">
        <v>0</v>
      </c>
      <c r="V114" s="8">
        <v>0</v>
      </c>
      <c r="W114" s="8">
        <v>0</v>
      </c>
      <c r="X114" s="8"/>
      <c r="Y114" s="8">
        <v>0</v>
      </c>
      <c r="Z114" s="8">
        <v>0</v>
      </c>
      <c r="AA114" s="8">
        <v>0</v>
      </c>
      <c r="AB114" s="8"/>
      <c r="AC114" s="8">
        <v>0</v>
      </c>
      <c r="AD114" s="8">
        <v>133</v>
      </c>
      <c r="AE114" s="8">
        <v>103</v>
      </c>
      <c r="AF114" s="8">
        <v>0</v>
      </c>
      <c r="AG114" s="8">
        <v>0</v>
      </c>
      <c r="AH114" s="8">
        <v>0</v>
      </c>
      <c r="AI114" s="8"/>
      <c r="AJ114" s="8">
        <v>0</v>
      </c>
      <c r="AK114" s="8"/>
      <c r="AL114" s="8">
        <v>0</v>
      </c>
      <c r="AM114" s="8">
        <v>0</v>
      </c>
      <c r="AN114" s="8">
        <v>0</v>
      </c>
      <c r="AO114" s="8"/>
      <c r="AP114" s="8">
        <v>0</v>
      </c>
      <c r="AQ114" s="8">
        <v>1</v>
      </c>
      <c r="AR114" s="8">
        <v>0</v>
      </c>
      <c r="AS114" s="8">
        <v>0</v>
      </c>
      <c r="AT114" s="8">
        <v>0</v>
      </c>
      <c r="AU114" s="8"/>
      <c r="AV114" s="8">
        <v>2</v>
      </c>
      <c r="AW114" s="8">
        <v>0</v>
      </c>
      <c r="AX114" s="8">
        <v>3</v>
      </c>
      <c r="AY114" s="8">
        <v>1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1</v>
      </c>
      <c r="BM114" s="8">
        <v>0</v>
      </c>
      <c r="BN114" s="8">
        <v>0</v>
      </c>
      <c r="BO114" s="8">
        <v>0</v>
      </c>
      <c r="BP114" s="8"/>
      <c r="BQ114" s="8"/>
      <c r="BR114" s="8">
        <v>0</v>
      </c>
      <c r="BS114" s="8">
        <v>0</v>
      </c>
      <c r="BT114" s="8">
        <v>0</v>
      </c>
      <c r="BU114" s="8"/>
      <c r="BV114" s="8">
        <v>0</v>
      </c>
      <c r="BW114" s="8"/>
      <c r="BX114" s="8"/>
      <c r="BY114" s="8"/>
      <c r="BZ114" s="17">
        <f t="shared" si="6"/>
        <v>244</v>
      </c>
      <c r="CA114" s="17" t="s">
        <v>226</v>
      </c>
      <c r="CC114">
        <f t="shared" si="7"/>
        <v>0.44262295081967212</v>
      </c>
      <c r="CD114" s="8">
        <f t="shared" si="8"/>
        <v>108</v>
      </c>
      <c r="CE114" s="8">
        <f t="shared" si="9"/>
        <v>5</v>
      </c>
      <c r="CF114" s="8">
        <f t="shared" si="10"/>
        <v>2</v>
      </c>
      <c r="CG114" s="19">
        <f t="shared" si="11"/>
        <v>0.4</v>
      </c>
      <c r="CH114" t="s">
        <v>188</v>
      </c>
    </row>
    <row r="115" spans="1:86" x14ac:dyDescent="0.2">
      <c r="A115" s="10" t="s">
        <v>659</v>
      </c>
      <c r="B115" s="9" t="s">
        <v>658</v>
      </c>
      <c r="C115" s="11" t="s">
        <v>179</v>
      </c>
      <c r="D115" s="11" t="s">
        <v>660</v>
      </c>
      <c r="E115" s="11" t="s">
        <v>184</v>
      </c>
      <c r="F115" s="8">
        <v>478</v>
      </c>
      <c r="G115" s="11" t="s">
        <v>661</v>
      </c>
      <c r="H115" s="23">
        <v>3828650</v>
      </c>
      <c r="I115" s="23">
        <v>686800</v>
      </c>
      <c r="J115" s="12">
        <v>15</v>
      </c>
      <c r="K115" s="12"/>
      <c r="L115" s="14" t="s">
        <v>662</v>
      </c>
      <c r="M115" s="14" t="s">
        <v>404</v>
      </c>
      <c r="N115" s="15">
        <v>14692</v>
      </c>
      <c r="O115" s="16" t="s">
        <v>185</v>
      </c>
      <c r="T115" s="8">
        <v>0</v>
      </c>
      <c r="U115" s="8">
        <v>0</v>
      </c>
      <c r="V115" s="8">
        <v>0</v>
      </c>
      <c r="W115" s="8">
        <v>0</v>
      </c>
      <c r="X115" s="8"/>
      <c r="Y115" s="8">
        <v>0</v>
      </c>
      <c r="Z115" s="8">
        <v>0</v>
      </c>
      <c r="AA115" s="8">
        <v>0</v>
      </c>
      <c r="AB115" s="8"/>
      <c r="AC115" s="8">
        <v>0</v>
      </c>
      <c r="AD115" s="8">
        <v>367</v>
      </c>
      <c r="AE115" s="8">
        <v>109</v>
      </c>
      <c r="AF115" s="8">
        <v>0</v>
      </c>
      <c r="AG115" s="8">
        <v>3</v>
      </c>
      <c r="AH115" s="8">
        <v>0</v>
      </c>
      <c r="AI115" s="8"/>
      <c r="AJ115" s="8">
        <v>2</v>
      </c>
      <c r="AK115" s="8"/>
      <c r="AL115" s="8">
        <v>0</v>
      </c>
      <c r="AM115" s="8">
        <v>0</v>
      </c>
      <c r="AN115" s="8">
        <v>0</v>
      </c>
      <c r="AO115" s="8"/>
      <c r="AP115" s="8">
        <v>0</v>
      </c>
      <c r="AQ115" s="8">
        <v>2</v>
      </c>
      <c r="AR115" s="8">
        <v>0</v>
      </c>
      <c r="AS115" s="8">
        <v>0</v>
      </c>
      <c r="AT115" s="8">
        <v>0</v>
      </c>
      <c r="AU115" s="8"/>
      <c r="AV115" s="8">
        <v>16</v>
      </c>
      <c r="AW115" s="8">
        <v>0</v>
      </c>
      <c r="AX115" s="8">
        <v>6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/>
      <c r="BQ115" s="8"/>
      <c r="BR115" s="8">
        <v>0</v>
      </c>
      <c r="BS115" s="8">
        <v>0</v>
      </c>
      <c r="BT115" s="8">
        <v>0</v>
      </c>
      <c r="BU115" s="8"/>
      <c r="BV115" s="8">
        <v>0</v>
      </c>
      <c r="BW115" s="8"/>
      <c r="BX115" s="8"/>
      <c r="BY115" s="8"/>
      <c r="BZ115" s="17">
        <f t="shared" si="6"/>
        <v>505</v>
      </c>
      <c r="CA115" s="17" t="s">
        <v>262</v>
      </c>
      <c r="CC115">
        <f t="shared" si="7"/>
        <v>0.2613861386138614</v>
      </c>
      <c r="CD115" s="8">
        <f t="shared" si="8"/>
        <v>132</v>
      </c>
      <c r="CE115" s="8">
        <f t="shared" si="9"/>
        <v>6</v>
      </c>
      <c r="CF115" s="8">
        <f t="shared" si="10"/>
        <v>0</v>
      </c>
      <c r="CG115" s="19">
        <f t="shared" si="11"/>
        <v>0</v>
      </c>
      <c r="CH115" t="s">
        <v>188</v>
      </c>
    </row>
    <row r="116" spans="1:86" x14ac:dyDescent="0.2">
      <c r="A116" s="10" t="s">
        <v>664</v>
      </c>
      <c r="B116" s="9" t="s">
        <v>663</v>
      </c>
      <c r="C116" s="11" t="s">
        <v>179</v>
      </c>
      <c r="D116" s="11" t="s">
        <v>665</v>
      </c>
      <c r="E116" s="11" t="s">
        <v>184</v>
      </c>
      <c r="F116" s="8">
        <v>77</v>
      </c>
      <c r="G116" s="11" t="s">
        <v>666</v>
      </c>
      <c r="H116" s="23">
        <v>3834510</v>
      </c>
      <c r="I116" s="23">
        <v>717270</v>
      </c>
      <c r="J116" s="12">
        <v>15</v>
      </c>
      <c r="K116" s="12"/>
      <c r="L116" s="14" t="s">
        <v>494</v>
      </c>
      <c r="M116" s="14" t="s">
        <v>404</v>
      </c>
      <c r="N116" s="15">
        <v>14682</v>
      </c>
      <c r="O116" s="16" t="s">
        <v>185</v>
      </c>
      <c r="T116" s="8">
        <v>0</v>
      </c>
      <c r="U116" s="8">
        <v>0</v>
      </c>
      <c r="V116" s="8">
        <v>0</v>
      </c>
      <c r="W116" s="8">
        <v>0</v>
      </c>
      <c r="X116" s="8"/>
      <c r="Y116" s="8">
        <v>0</v>
      </c>
      <c r="Z116" s="8">
        <v>0</v>
      </c>
      <c r="AA116" s="8">
        <v>0</v>
      </c>
      <c r="AB116" s="8"/>
      <c r="AC116" s="8">
        <v>0</v>
      </c>
      <c r="AD116" s="8">
        <v>0</v>
      </c>
      <c r="AE116" s="8">
        <v>1</v>
      </c>
      <c r="AF116" s="8">
        <v>0</v>
      </c>
      <c r="AG116" s="8">
        <v>2</v>
      </c>
      <c r="AH116" s="8">
        <v>0</v>
      </c>
      <c r="AI116" s="8"/>
      <c r="AJ116" s="8">
        <v>0</v>
      </c>
      <c r="AK116" s="8"/>
      <c r="AL116" s="8">
        <v>0</v>
      </c>
      <c r="AM116" s="8">
        <v>0</v>
      </c>
      <c r="AN116" s="8">
        <v>0</v>
      </c>
      <c r="AO116" s="8"/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/>
      <c r="AV116" s="8">
        <v>0</v>
      </c>
      <c r="AW116" s="8">
        <v>0</v>
      </c>
      <c r="AX116" s="8">
        <v>199</v>
      </c>
      <c r="AY116" s="8">
        <v>17</v>
      </c>
      <c r="AZ116" s="8">
        <v>13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19</v>
      </c>
      <c r="BG116" s="8">
        <v>5</v>
      </c>
      <c r="BH116" s="8">
        <v>0</v>
      </c>
      <c r="BI116" s="8">
        <v>0</v>
      </c>
      <c r="BJ116" s="8">
        <v>0</v>
      </c>
      <c r="BK116" s="8">
        <v>0</v>
      </c>
      <c r="BL116" s="8">
        <v>35</v>
      </c>
      <c r="BM116" s="8">
        <v>0</v>
      </c>
      <c r="BN116" s="8">
        <v>0</v>
      </c>
      <c r="BO116" s="8">
        <v>8</v>
      </c>
      <c r="BP116" s="8"/>
      <c r="BQ116" s="8"/>
      <c r="BR116" s="8">
        <v>0</v>
      </c>
      <c r="BS116" s="8">
        <v>0</v>
      </c>
      <c r="BT116" s="8">
        <v>0</v>
      </c>
      <c r="BU116" s="8"/>
      <c r="BV116" s="8">
        <v>0</v>
      </c>
      <c r="BW116" s="8"/>
      <c r="BX116" s="8"/>
      <c r="BY116" s="8"/>
      <c r="BZ116" s="17">
        <f t="shared" si="6"/>
        <v>299</v>
      </c>
      <c r="CA116" s="17" t="s">
        <v>226</v>
      </c>
      <c r="CC116">
        <f t="shared" si="7"/>
        <v>0.2709030100334448</v>
      </c>
      <c r="CD116" s="8">
        <f t="shared" si="8"/>
        <v>81</v>
      </c>
      <c r="CE116" s="8">
        <f t="shared" si="9"/>
        <v>296</v>
      </c>
      <c r="CF116" s="8">
        <f t="shared" si="10"/>
        <v>78</v>
      </c>
      <c r="CG116" s="19">
        <f t="shared" si="11"/>
        <v>0.26351351351351349</v>
      </c>
      <c r="CH116" t="s">
        <v>188</v>
      </c>
    </row>
    <row r="117" spans="1:86" x14ac:dyDescent="0.2">
      <c r="A117" s="10" t="s">
        <v>668</v>
      </c>
      <c r="B117" s="9" t="s">
        <v>667</v>
      </c>
      <c r="C117" s="11" t="s">
        <v>179</v>
      </c>
      <c r="D117" s="11" t="s">
        <v>669</v>
      </c>
      <c r="E117" s="11" t="s">
        <v>184</v>
      </c>
      <c r="F117" s="8">
        <v>15</v>
      </c>
      <c r="G117" s="11" t="s">
        <v>670</v>
      </c>
      <c r="H117" s="23">
        <v>3834070</v>
      </c>
      <c r="I117" s="23">
        <v>718300</v>
      </c>
      <c r="J117" s="12">
        <v>15</v>
      </c>
      <c r="K117" s="12"/>
      <c r="L117" s="14" t="s">
        <v>671</v>
      </c>
      <c r="M117" s="14" t="s">
        <v>404</v>
      </c>
      <c r="N117" s="15">
        <v>14682</v>
      </c>
      <c r="T117" s="8">
        <v>0</v>
      </c>
      <c r="U117" s="8">
        <v>0</v>
      </c>
      <c r="V117" s="8">
        <v>0</v>
      </c>
      <c r="W117" s="8">
        <v>0</v>
      </c>
      <c r="X117" s="8"/>
      <c r="Y117" s="8">
        <v>0</v>
      </c>
      <c r="Z117" s="8">
        <v>0</v>
      </c>
      <c r="AA117" s="8">
        <v>0</v>
      </c>
      <c r="AB117" s="8"/>
      <c r="AC117" s="8">
        <v>0</v>
      </c>
      <c r="AD117" s="8">
        <v>3</v>
      </c>
      <c r="AE117" s="8">
        <v>0</v>
      </c>
      <c r="AF117" s="8">
        <v>0</v>
      </c>
      <c r="AG117" s="8">
        <v>2</v>
      </c>
      <c r="AH117" s="8">
        <v>0</v>
      </c>
      <c r="AI117" s="8"/>
      <c r="AJ117" s="8">
        <v>0</v>
      </c>
      <c r="AK117" s="8"/>
      <c r="AL117" s="8">
        <v>0</v>
      </c>
      <c r="AM117" s="8">
        <v>0</v>
      </c>
      <c r="AN117" s="8">
        <v>0</v>
      </c>
      <c r="AO117" s="8"/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/>
      <c r="AV117" s="8">
        <v>0</v>
      </c>
      <c r="AW117" s="8">
        <v>0</v>
      </c>
      <c r="AX117" s="8">
        <v>36</v>
      </c>
      <c r="AY117" s="8">
        <v>1</v>
      </c>
      <c r="AZ117" s="8">
        <v>1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/>
      <c r="BQ117" s="8"/>
      <c r="BR117" s="8">
        <v>0</v>
      </c>
      <c r="BS117" s="8">
        <v>0</v>
      </c>
      <c r="BT117" s="8">
        <v>0</v>
      </c>
      <c r="BU117" s="8"/>
      <c r="BV117" s="8">
        <v>0</v>
      </c>
      <c r="BW117" s="8"/>
      <c r="BX117" s="8"/>
      <c r="BY117" s="8"/>
      <c r="BZ117" s="17">
        <f t="shared" si="6"/>
        <v>43</v>
      </c>
      <c r="CA117" s="8" t="s">
        <v>186</v>
      </c>
      <c r="CC117">
        <f t="shared" si="7"/>
        <v>9.3023255813953487E-2</v>
      </c>
      <c r="CD117" s="8">
        <f t="shared" si="8"/>
        <v>4</v>
      </c>
      <c r="CE117" s="8">
        <f t="shared" si="9"/>
        <v>38</v>
      </c>
      <c r="CF117" s="8">
        <f t="shared" si="10"/>
        <v>2</v>
      </c>
      <c r="CG117" s="19">
        <f t="shared" si="11"/>
        <v>5.2631578947368418E-2</v>
      </c>
      <c r="CH117" t="s">
        <v>188</v>
      </c>
    </row>
    <row r="118" spans="1:86" x14ac:dyDescent="0.2">
      <c r="A118" s="10" t="s">
        <v>673</v>
      </c>
      <c r="B118" s="9" t="s">
        <v>672</v>
      </c>
      <c r="C118" s="11" t="s">
        <v>179</v>
      </c>
      <c r="D118" s="11" t="s">
        <v>674</v>
      </c>
      <c r="E118" s="11" t="s">
        <v>440</v>
      </c>
      <c r="F118" s="8">
        <v>77</v>
      </c>
      <c r="G118" s="11" t="s">
        <v>675</v>
      </c>
      <c r="H118" s="23">
        <v>3846900</v>
      </c>
      <c r="I118" s="23">
        <v>707220</v>
      </c>
      <c r="J118" s="12">
        <v>15</v>
      </c>
      <c r="K118" s="12"/>
      <c r="L118" s="14" t="s">
        <v>676</v>
      </c>
      <c r="O118" s="16" t="s">
        <v>677</v>
      </c>
      <c r="T118" s="8">
        <v>0</v>
      </c>
      <c r="U118" s="8">
        <v>0</v>
      </c>
      <c r="V118" s="8">
        <v>0</v>
      </c>
      <c r="W118" s="8">
        <v>0</v>
      </c>
      <c r="X118" s="8"/>
      <c r="Y118" s="8">
        <v>0</v>
      </c>
      <c r="Z118" s="8">
        <v>0</v>
      </c>
      <c r="AA118" s="8">
        <v>0</v>
      </c>
      <c r="AB118" s="8"/>
      <c r="AC118" s="8">
        <v>0</v>
      </c>
      <c r="AD118" s="8">
        <v>2</v>
      </c>
      <c r="AE118" s="8">
        <v>1</v>
      </c>
      <c r="AF118" s="8">
        <v>0</v>
      </c>
      <c r="AG118" s="8">
        <v>0</v>
      </c>
      <c r="AH118" s="8">
        <v>0</v>
      </c>
      <c r="AI118" s="8"/>
      <c r="AJ118" s="8">
        <v>0</v>
      </c>
      <c r="AK118" s="8"/>
      <c r="AL118" s="8">
        <v>0</v>
      </c>
      <c r="AM118" s="8">
        <v>0</v>
      </c>
      <c r="AN118" s="8">
        <v>0</v>
      </c>
      <c r="AO118" s="8"/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/>
      <c r="AV118" s="8">
        <v>0</v>
      </c>
      <c r="AW118" s="8">
        <v>0</v>
      </c>
      <c r="AX118" s="8">
        <v>1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/>
      <c r="BQ118" s="8"/>
      <c r="BR118" s="8">
        <v>0</v>
      </c>
      <c r="BS118" s="8">
        <v>0</v>
      </c>
      <c r="BT118" s="8">
        <v>0</v>
      </c>
      <c r="BU118" s="8"/>
      <c r="BV118" s="8">
        <v>0</v>
      </c>
      <c r="BW118" s="8"/>
      <c r="BX118" s="8"/>
      <c r="BY118" s="8"/>
      <c r="BZ118" s="17">
        <f t="shared" si="6"/>
        <v>4</v>
      </c>
      <c r="CA118" s="8" t="s">
        <v>247</v>
      </c>
      <c r="CC118">
        <f t="shared" si="7"/>
        <v>0.25</v>
      </c>
      <c r="CD118" s="8">
        <f t="shared" si="8"/>
        <v>1</v>
      </c>
      <c r="CE118" s="8">
        <f t="shared" si="9"/>
        <v>1</v>
      </c>
      <c r="CF118" s="8">
        <f t="shared" si="10"/>
        <v>0</v>
      </c>
      <c r="CG118" s="19">
        <f t="shared" si="11"/>
        <v>0</v>
      </c>
      <c r="CH118" t="s">
        <v>188</v>
      </c>
    </row>
    <row r="119" spans="1:86" x14ac:dyDescent="0.2">
      <c r="A119" s="10" t="s">
        <v>679</v>
      </c>
      <c r="B119" s="9" t="s">
        <v>678</v>
      </c>
      <c r="C119" s="11" t="s">
        <v>179</v>
      </c>
      <c r="D119" s="11" t="s">
        <v>680</v>
      </c>
      <c r="E119" s="11" t="s">
        <v>184</v>
      </c>
      <c r="F119" s="8">
        <v>431</v>
      </c>
      <c r="G119" s="11" t="s">
        <v>681</v>
      </c>
      <c r="H119" s="23">
        <v>3822310</v>
      </c>
      <c r="I119" s="23">
        <v>715570</v>
      </c>
      <c r="J119" s="12">
        <v>15</v>
      </c>
      <c r="K119" s="12"/>
      <c r="L119" s="14" t="s">
        <v>682</v>
      </c>
      <c r="M119" s="14" t="s">
        <v>268</v>
      </c>
      <c r="N119" s="15">
        <v>14690</v>
      </c>
      <c r="O119" s="16" t="s">
        <v>185</v>
      </c>
      <c r="T119" s="8">
        <v>0</v>
      </c>
      <c r="U119" s="8">
        <v>0</v>
      </c>
      <c r="V119" s="8">
        <v>0</v>
      </c>
      <c r="W119" s="8">
        <v>0</v>
      </c>
      <c r="X119" s="8"/>
      <c r="Y119" s="8">
        <v>0</v>
      </c>
      <c r="Z119" s="8">
        <v>0</v>
      </c>
      <c r="AA119" s="8">
        <v>0</v>
      </c>
      <c r="AB119" s="8"/>
      <c r="AC119" s="8">
        <v>0</v>
      </c>
      <c r="AD119" s="8">
        <v>409</v>
      </c>
      <c r="AE119" s="8">
        <v>721</v>
      </c>
      <c r="AF119" s="8">
        <v>0</v>
      </c>
      <c r="AG119" s="8">
        <v>8</v>
      </c>
      <c r="AH119" s="8">
        <v>4</v>
      </c>
      <c r="AI119" s="8"/>
      <c r="AJ119" s="8">
        <v>4</v>
      </c>
      <c r="AK119" s="8"/>
      <c r="AL119" s="8">
        <v>1</v>
      </c>
      <c r="AM119" s="8">
        <v>24</v>
      </c>
      <c r="AN119" s="8">
        <v>0</v>
      </c>
      <c r="AO119" s="8"/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/>
      <c r="AV119" s="8">
        <v>16</v>
      </c>
      <c r="AW119" s="8">
        <v>8</v>
      </c>
      <c r="AX119" s="8">
        <v>1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/>
      <c r="BQ119" s="8"/>
      <c r="BR119" s="8">
        <v>0</v>
      </c>
      <c r="BS119" s="8">
        <v>0</v>
      </c>
      <c r="BT119" s="8">
        <v>0</v>
      </c>
      <c r="BU119" s="8"/>
      <c r="BV119" s="8">
        <v>0</v>
      </c>
      <c r="BW119" s="8"/>
      <c r="BX119" s="8"/>
      <c r="BY119" s="8"/>
      <c r="BZ119" s="17">
        <f t="shared" si="6"/>
        <v>1196</v>
      </c>
      <c r="CA119" s="8" t="s">
        <v>683</v>
      </c>
      <c r="CB119" s="18" t="s">
        <v>684</v>
      </c>
      <c r="CC119">
        <f t="shared" si="7"/>
        <v>0.65719063545150502</v>
      </c>
      <c r="CD119" s="8">
        <f t="shared" si="8"/>
        <v>778</v>
      </c>
      <c r="CE119" s="8">
        <f t="shared" si="9"/>
        <v>1</v>
      </c>
      <c r="CF119" s="8">
        <f t="shared" si="10"/>
        <v>0</v>
      </c>
      <c r="CG119" s="19">
        <f t="shared" si="11"/>
        <v>0</v>
      </c>
      <c r="CH119" t="s">
        <v>188</v>
      </c>
    </row>
    <row r="120" spans="1:86" x14ac:dyDescent="0.2">
      <c r="A120" s="10" t="s">
        <v>686</v>
      </c>
      <c r="B120" s="9" t="s">
        <v>685</v>
      </c>
      <c r="C120" s="11" t="s">
        <v>179</v>
      </c>
      <c r="D120" s="11" t="s">
        <v>687</v>
      </c>
      <c r="E120" s="11" t="s">
        <v>184</v>
      </c>
      <c r="F120" s="8">
        <v>985</v>
      </c>
      <c r="G120" s="11" t="s">
        <v>688</v>
      </c>
      <c r="H120" s="23">
        <v>3820240</v>
      </c>
      <c r="I120" s="23">
        <v>720200</v>
      </c>
      <c r="J120" s="12">
        <v>15</v>
      </c>
      <c r="K120" s="12"/>
      <c r="T120" s="8">
        <v>0</v>
      </c>
      <c r="U120" s="8">
        <v>0</v>
      </c>
      <c r="V120" s="8">
        <v>0</v>
      </c>
      <c r="W120" s="8">
        <v>0</v>
      </c>
      <c r="X120" s="8"/>
      <c r="Y120" s="8">
        <v>0</v>
      </c>
      <c r="Z120" s="8">
        <v>0</v>
      </c>
      <c r="AA120" s="8">
        <v>0</v>
      </c>
      <c r="AB120" s="8"/>
      <c r="AC120" s="8">
        <v>0</v>
      </c>
      <c r="AD120" s="8">
        <v>43</v>
      </c>
      <c r="AE120" s="8">
        <v>24</v>
      </c>
      <c r="AF120" s="8">
        <v>0</v>
      </c>
      <c r="AG120" s="8">
        <v>1</v>
      </c>
      <c r="AH120" s="8">
        <v>1</v>
      </c>
      <c r="AI120" s="8"/>
      <c r="AJ120" s="8">
        <v>0</v>
      </c>
      <c r="AK120" s="8"/>
      <c r="AL120" s="8">
        <v>0</v>
      </c>
      <c r="AM120" s="8">
        <v>0</v>
      </c>
      <c r="AN120" s="8">
        <v>0</v>
      </c>
      <c r="AO120" s="8"/>
      <c r="AP120" s="8">
        <v>0</v>
      </c>
      <c r="AQ120" s="8">
        <v>1</v>
      </c>
      <c r="AR120" s="8">
        <v>0</v>
      </c>
      <c r="AS120" s="8">
        <v>0</v>
      </c>
      <c r="AT120" s="8">
        <v>0</v>
      </c>
      <c r="AU120" s="8"/>
      <c r="AV120" s="8">
        <v>0</v>
      </c>
      <c r="AW120" s="8">
        <v>0</v>
      </c>
      <c r="AX120" s="8">
        <v>7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3</v>
      </c>
      <c r="BM120" s="8">
        <v>0</v>
      </c>
      <c r="BN120" s="8">
        <v>0</v>
      </c>
      <c r="BO120" s="8">
        <v>0</v>
      </c>
      <c r="BP120" s="8"/>
      <c r="BQ120" s="8"/>
      <c r="BR120" s="8">
        <v>0</v>
      </c>
      <c r="BS120" s="8">
        <v>0</v>
      </c>
      <c r="BT120" s="8">
        <v>0</v>
      </c>
      <c r="BU120" s="8"/>
      <c r="BV120" s="8">
        <v>0</v>
      </c>
      <c r="BW120" s="8"/>
      <c r="BX120" s="8"/>
      <c r="BY120" s="8"/>
      <c r="BZ120" s="17">
        <f t="shared" si="6"/>
        <v>80</v>
      </c>
      <c r="CA120" s="8" t="s">
        <v>247</v>
      </c>
      <c r="CB120" s="18" t="s">
        <v>689</v>
      </c>
      <c r="CC120">
        <f t="shared" si="7"/>
        <v>0.375</v>
      </c>
      <c r="CD120" s="8">
        <f t="shared" si="8"/>
        <v>30</v>
      </c>
      <c r="CE120" s="8">
        <f t="shared" si="9"/>
        <v>10</v>
      </c>
      <c r="CF120" s="8">
        <f t="shared" si="10"/>
        <v>3</v>
      </c>
      <c r="CG120" s="19">
        <f t="shared" si="11"/>
        <v>0.3</v>
      </c>
      <c r="CH120" t="s">
        <v>188</v>
      </c>
    </row>
    <row r="121" spans="1:86" x14ac:dyDescent="0.2">
      <c r="A121" s="10" t="s">
        <v>691</v>
      </c>
      <c r="B121" s="9" t="s">
        <v>690</v>
      </c>
      <c r="C121" s="11" t="s">
        <v>577</v>
      </c>
      <c r="D121" s="11"/>
      <c r="E121" s="11" t="s">
        <v>578</v>
      </c>
      <c r="G121" s="11" t="s">
        <v>692</v>
      </c>
      <c r="H121" s="21">
        <v>3835900</v>
      </c>
      <c r="I121" s="21">
        <v>738920</v>
      </c>
      <c r="J121" s="12">
        <v>15</v>
      </c>
      <c r="K121" s="12"/>
      <c r="T121" s="8">
        <v>0</v>
      </c>
      <c r="U121" s="8">
        <v>0</v>
      </c>
      <c r="V121" s="8">
        <v>0</v>
      </c>
      <c r="W121" s="8">
        <v>0</v>
      </c>
      <c r="X121" s="8"/>
      <c r="Y121" s="8">
        <v>0</v>
      </c>
      <c r="Z121" s="8">
        <v>0</v>
      </c>
      <c r="AA121" s="8">
        <v>0</v>
      </c>
      <c r="AB121" s="8"/>
      <c r="AC121" s="8">
        <v>0</v>
      </c>
      <c r="AD121" s="8">
        <v>274</v>
      </c>
      <c r="AE121" s="8">
        <v>395</v>
      </c>
      <c r="AF121" s="8">
        <v>12</v>
      </c>
      <c r="AG121" s="8">
        <v>5</v>
      </c>
      <c r="AH121" s="8">
        <v>0</v>
      </c>
      <c r="AI121" s="8"/>
      <c r="AJ121" s="8">
        <v>0</v>
      </c>
      <c r="AK121" s="8"/>
      <c r="AL121" s="8">
        <v>0</v>
      </c>
      <c r="AM121" s="8">
        <v>0</v>
      </c>
      <c r="AN121" s="8">
        <v>0</v>
      </c>
      <c r="AO121" s="8"/>
      <c r="AP121" s="8">
        <v>0</v>
      </c>
      <c r="AQ121" s="8">
        <v>2</v>
      </c>
      <c r="AR121" s="8">
        <v>0</v>
      </c>
      <c r="AS121" s="8">
        <v>0</v>
      </c>
      <c r="AT121" s="8">
        <v>0</v>
      </c>
      <c r="AU121" s="8"/>
      <c r="AV121" s="8">
        <v>11</v>
      </c>
      <c r="AW121" s="8">
        <v>0</v>
      </c>
      <c r="AX121" s="8">
        <v>43</v>
      </c>
      <c r="AY121" s="8">
        <v>1</v>
      </c>
      <c r="AZ121" s="8">
        <v>3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15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4</v>
      </c>
      <c r="BM121" s="8">
        <v>0</v>
      </c>
      <c r="BN121" s="8">
        <v>0</v>
      </c>
      <c r="BO121" s="8">
        <v>0</v>
      </c>
      <c r="BP121" s="8"/>
      <c r="BQ121" s="8"/>
      <c r="BR121" s="8">
        <v>0</v>
      </c>
      <c r="BS121" s="8">
        <v>0</v>
      </c>
      <c r="BT121" s="8">
        <v>0</v>
      </c>
      <c r="BU121" s="8"/>
      <c r="BV121" s="8">
        <v>0</v>
      </c>
      <c r="BW121" s="8"/>
      <c r="BX121" s="8"/>
      <c r="BY121" s="8"/>
      <c r="BZ121" s="17">
        <f t="shared" si="6"/>
        <v>765</v>
      </c>
      <c r="CA121" s="17" t="s">
        <v>262</v>
      </c>
      <c r="CC121">
        <f t="shared" si="7"/>
        <v>0.56601307189542482</v>
      </c>
      <c r="CD121" s="8">
        <f t="shared" si="8"/>
        <v>433</v>
      </c>
      <c r="CE121" s="8">
        <f t="shared" si="9"/>
        <v>66</v>
      </c>
      <c r="CF121" s="8">
        <f t="shared" si="10"/>
        <v>8</v>
      </c>
      <c r="CG121" s="19">
        <f t="shared" si="11"/>
        <v>0.12121212121212122</v>
      </c>
      <c r="CH121" t="s">
        <v>188</v>
      </c>
    </row>
    <row r="122" spans="1:86" x14ac:dyDescent="0.2">
      <c r="A122" s="10" t="s">
        <v>694</v>
      </c>
      <c r="B122" s="9" t="s">
        <v>693</v>
      </c>
      <c r="C122" s="11" t="s">
        <v>179</v>
      </c>
      <c r="D122" s="11" t="s">
        <v>695</v>
      </c>
      <c r="E122" s="11" t="s">
        <v>374</v>
      </c>
      <c r="F122" s="8">
        <v>184</v>
      </c>
      <c r="G122" s="11" t="s">
        <v>696</v>
      </c>
      <c r="H122" s="23">
        <v>3870720</v>
      </c>
      <c r="I122" s="23">
        <v>709650</v>
      </c>
      <c r="J122" s="12">
        <v>15</v>
      </c>
      <c r="K122" s="12"/>
      <c r="T122" s="8">
        <v>0</v>
      </c>
      <c r="U122" s="8">
        <v>0</v>
      </c>
      <c r="V122" s="8">
        <v>0</v>
      </c>
      <c r="W122" s="8">
        <v>0</v>
      </c>
      <c r="X122" s="8"/>
      <c r="Y122" s="8">
        <v>0</v>
      </c>
      <c r="Z122" s="8">
        <v>0</v>
      </c>
      <c r="AA122" s="8">
        <v>0</v>
      </c>
      <c r="AB122" s="8"/>
      <c r="AC122" s="8">
        <v>0</v>
      </c>
      <c r="AD122" s="8">
        <v>3</v>
      </c>
      <c r="AE122" s="8">
        <v>6</v>
      </c>
      <c r="AF122" s="8">
        <v>0</v>
      </c>
      <c r="AG122" s="8">
        <v>0</v>
      </c>
      <c r="AH122" s="8">
        <v>0</v>
      </c>
      <c r="AI122" s="8"/>
      <c r="AJ122" s="8">
        <v>0</v>
      </c>
      <c r="AK122" s="8"/>
      <c r="AL122" s="8">
        <v>0</v>
      </c>
      <c r="AM122" s="8">
        <v>0</v>
      </c>
      <c r="AN122" s="8">
        <v>0</v>
      </c>
      <c r="AO122" s="8"/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/>
      <c r="AV122" s="8">
        <v>0</v>
      </c>
      <c r="AW122" s="8">
        <v>0</v>
      </c>
      <c r="AX122" s="8">
        <v>144</v>
      </c>
      <c r="AY122" s="8">
        <v>4</v>
      </c>
      <c r="AZ122" s="8">
        <v>37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57</v>
      </c>
      <c r="BG122" s="8">
        <v>0</v>
      </c>
      <c r="BH122" s="8">
        <v>0</v>
      </c>
      <c r="BI122" s="8">
        <v>2</v>
      </c>
      <c r="BJ122" s="8">
        <v>2</v>
      </c>
      <c r="BK122" s="8">
        <v>0</v>
      </c>
      <c r="BL122" s="8">
        <v>9</v>
      </c>
      <c r="BM122" s="8">
        <v>0</v>
      </c>
      <c r="BN122" s="8">
        <v>0</v>
      </c>
      <c r="BO122" s="8">
        <v>3</v>
      </c>
      <c r="BP122" s="8"/>
      <c r="BQ122" s="8"/>
      <c r="BR122" s="8">
        <v>0</v>
      </c>
      <c r="BS122" s="8">
        <v>0</v>
      </c>
      <c r="BT122" s="8">
        <v>0</v>
      </c>
      <c r="BU122" s="8"/>
      <c r="BV122" s="8">
        <v>0</v>
      </c>
      <c r="BW122" s="8"/>
      <c r="BX122" s="8"/>
      <c r="BY122" s="8"/>
      <c r="BZ122" s="17">
        <f t="shared" si="6"/>
        <v>267</v>
      </c>
      <c r="CA122" s="17" t="s">
        <v>186</v>
      </c>
      <c r="CC122">
        <f t="shared" si="7"/>
        <v>0.23595505617977527</v>
      </c>
      <c r="CD122" s="8">
        <f t="shared" si="8"/>
        <v>63</v>
      </c>
      <c r="CE122" s="8">
        <f t="shared" si="9"/>
        <v>258</v>
      </c>
      <c r="CF122" s="8">
        <f t="shared" si="10"/>
        <v>57</v>
      </c>
      <c r="CG122" s="19">
        <f t="shared" si="11"/>
        <v>0.22093023255813954</v>
      </c>
      <c r="CH122" t="s">
        <v>188</v>
      </c>
    </row>
    <row r="123" spans="1:86" x14ac:dyDescent="0.2">
      <c r="A123" s="10" t="s">
        <v>698</v>
      </c>
      <c r="B123" s="9" t="s">
        <v>697</v>
      </c>
      <c r="C123" s="11" t="s">
        <v>577</v>
      </c>
      <c r="D123" s="11"/>
      <c r="E123" s="11" t="s">
        <v>578</v>
      </c>
      <c r="G123" s="11" t="s">
        <v>699</v>
      </c>
      <c r="H123" s="22">
        <v>3845860</v>
      </c>
      <c r="I123" s="22">
        <v>751580</v>
      </c>
      <c r="J123" s="12">
        <v>15</v>
      </c>
      <c r="K123" s="12"/>
      <c r="T123" s="8">
        <v>0</v>
      </c>
      <c r="U123" s="8">
        <v>0</v>
      </c>
      <c r="V123" s="8">
        <v>0</v>
      </c>
      <c r="W123" s="8">
        <v>0</v>
      </c>
      <c r="X123" s="8"/>
      <c r="Y123" s="8">
        <v>0</v>
      </c>
      <c r="Z123" s="8">
        <v>0</v>
      </c>
      <c r="AA123" s="8">
        <v>0</v>
      </c>
      <c r="AB123" s="8"/>
      <c r="AC123" s="8">
        <v>0</v>
      </c>
      <c r="AD123" s="8">
        <v>1</v>
      </c>
      <c r="AE123" s="8">
        <v>1</v>
      </c>
      <c r="AF123" s="8">
        <v>0</v>
      </c>
      <c r="AG123" s="8">
        <v>0</v>
      </c>
      <c r="AH123" s="8">
        <v>0</v>
      </c>
      <c r="AI123" s="8"/>
      <c r="AJ123" s="8">
        <v>0</v>
      </c>
      <c r="AK123" s="8"/>
      <c r="AL123" s="8">
        <v>0</v>
      </c>
      <c r="AM123" s="8">
        <v>0</v>
      </c>
      <c r="AN123" s="8">
        <v>0</v>
      </c>
      <c r="AO123" s="8"/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/>
      <c r="AV123" s="8">
        <v>0</v>
      </c>
      <c r="AW123" s="8">
        <v>0</v>
      </c>
      <c r="AX123" s="8">
        <v>16</v>
      </c>
      <c r="AY123" s="8">
        <v>0</v>
      </c>
      <c r="AZ123" s="8">
        <v>3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8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/>
      <c r="BQ123" s="8"/>
      <c r="BR123" s="8">
        <v>0</v>
      </c>
      <c r="BS123" s="8">
        <v>0</v>
      </c>
      <c r="BT123" s="8">
        <v>0</v>
      </c>
      <c r="BU123" s="8"/>
      <c r="BV123" s="8">
        <v>0</v>
      </c>
      <c r="BW123" s="8"/>
      <c r="BX123" s="8"/>
      <c r="BY123" s="8"/>
      <c r="BZ123" s="17">
        <f t="shared" si="6"/>
        <v>29</v>
      </c>
      <c r="CA123" s="8" t="s">
        <v>247</v>
      </c>
      <c r="CC123">
        <f t="shared" si="7"/>
        <v>0.13793103448275862</v>
      </c>
      <c r="CD123" s="8">
        <f t="shared" si="8"/>
        <v>4</v>
      </c>
      <c r="CE123" s="8">
        <f t="shared" si="9"/>
        <v>27</v>
      </c>
      <c r="CF123" s="8">
        <f t="shared" si="10"/>
        <v>3</v>
      </c>
      <c r="CG123" s="19">
        <f t="shared" si="11"/>
        <v>0.1111111111111111</v>
      </c>
      <c r="CH123" t="s">
        <v>188</v>
      </c>
    </row>
    <row r="124" spans="1:86" x14ac:dyDescent="0.2">
      <c r="A124" s="10" t="s">
        <v>701</v>
      </c>
      <c r="B124" s="9" t="s">
        <v>700</v>
      </c>
      <c r="C124" s="11" t="s">
        <v>577</v>
      </c>
      <c r="D124" s="11"/>
      <c r="E124" s="11" t="s">
        <v>578</v>
      </c>
      <c r="G124" s="11" t="s">
        <v>702</v>
      </c>
      <c r="H124" s="22">
        <v>3827150</v>
      </c>
      <c r="I124" s="22">
        <v>750410</v>
      </c>
      <c r="J124" s="12">
        <v>15</v>
      </c>
      <c r="K124" s="12"/>
      <c r="T124" s="8">
        <v>0</v>
      </c>
      <c r="U124" s="8">
        <v>0</v>
      </c>
      <c r="V124" s="8">
        <v>0</v>
      </c>
      <c r="W124" s="8">
        <v>0</v>
      </c>
      <c r="X124" s="8"/>
      <c r="Y124" s="8">
        <v>0</v>
      </c>
      <c r="Z124" s="8">
        <v>0</v>
      </c>
      <c r="AA124" s="8">
        <v>0</v>
      </c>
      <c r="AB124" s="8"/>
      <c r="AC124" s="8">
        <v>0</v>
      </c>
      <c r="AD124" s="8">
        <v>459</v>
      </c>
      <c r="AE124" s="8">
        <v>1489</v>
      </c>
      <c r="AF124" s="8">
        <v>106</v>
      </c>
      <c r="AG124" s="8">
        <v>0</v>
      </c>
      <c r="AH124" s="8">
        <v>0</v>
      </c>
      <c r="AI124" s="8"/>
      <c r="AJ124" s="8">
        <v>3</v>
      </c>
      <c r="AK124" s="8"/>
      <c r="AL124" s="8">
        <v>0</v>
      </c>
      <c r="AM124" s="8">
        <v>0</v>
      </c>
      <c r="AN124" s="8">
        <v>0</v>
      </c>
      <c r="AO124" s="8"/>
      <c r="AP124" s="8">
        <v>0</v>
      </c>
      <c r="AQ124" s="8">
        <v>3</v>
      </c>
      <c r="AR124" s="8">
        <v>0</v>
      </c>
      <c r="AS124" s="8">
        <v>0</v>
      </c>
      <c r="AT124" s="8">
        <v>0</v>
      </c>
      <c r="AU124" s="8"/>
      <c r="AV124" s="8">
        <v>103</v>
      </c>
      <c r="AW124" s="8">
        <v>0</v>
      </c>
      <c r="AX124" s="8">
        <v>25</v>
      </c>
      <c r="AY124" s="8">
        <v>1</v>
      </c>
      <c r="AZ124" s="8">
        <v>11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26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4</v>
      </c>
      <c r="BP124" s="8"/>
      <c r="BQ124" s="8"/>
      <c r="BR124" s="8">
        <v>0</v>
      </c>
      <c r="BS124" s="8">
        <v>0</v>
      </c>
      <c r="BT124" s="8">
        <v>0</v>
      </c>
      <c r="BU124" s="8"/>
      <c r="BV124" s="8">
        <v>2</v>
      </c>
      <c r="BW124" s="8"/>
      <c r="BX124" s="8"/>
      <c r="BY124" s="8"/>
      <c r="BZ124" s="17">
        <f t="shared" si="6"/>
        <v>2232</v>
      </c>
      <c r="CA124" s="17" t="s">
        <v>262</v>
      </c>
      <c r="CC124">
        <f t="shared" si="7"/>
        <v>0.771505376344086</v>
      </c>
      <c r="CD124" s="8">
        <f t="shared" si="8"/>
        <v>1722</v>
      </c>
      <c r="CE124" s="8">
        <f t="shared" si="9"/>
        <v>69</v>
      </c>
      <c r="CF124" s="8">
        <f t="shared" si="10"/>
        <v>18</v>
      </c>
      <c r="CG124" s="19">
        <f t="shared" si="11"/>
        <v>0.2608695652173913</v>
      </c>
      <c r="CH124" t="s">
        <v>188</v>
      </c>
    </row>
    <row r="125" spans="1:86" x14ac:dyDescent="0.2">
      <c r="A125" s="10" t="s">
        <v>704</v>
      </c>
      <c r="B125" s="9" t="s">
        <v>703</v>
      </c>
      <c r="C125" s="11" t="s">
        <v>577</v>
      </c>
      <c r="D125" s="11"/>
      <c r="E125" s="11" t="s">
        <v>578</v>
      </c>
      <c r="G125" s="11" t="s">
        <v>705</v>
      </c>
      <c r="H125" s="21">
        <v>3834164</v>
      </c>
      <c r="I125" s="21">
        <v>737160</v>
      </c>
      <c r="J125" s="12">
        <v>15</v>
      </c>
      <c r="K125" s="12"/>
      <c r="T125" s="8">
        <v>0</v>
      </c>
      <c r="U125" s="8">
        <v>0</v>
      </c>
      <c r="V125" s="8">
        <v>0</v>
      </c>
      <c r="W125" s="8">
        <v>0</v>
      </c>
      <c r="X125" s="8"/>
      <c r="Y125" s="8">
        <v>0</v>
      </c>
      <c r="Z125" s="8">
        <v>0</v>
      </c>
      <c r="AA125" s="8">
        <v>0</v>
      </c>
      <c r="AB125" s="8"/>
      <c r="AC125" s="8">
        <v>0</v>
      </c>
      <c r="AD125" s="8">
        <v>932</v>
      </c>
      <c r="AE125" s="8">
        <v>343</v>
      </c>
      <c r="AF125" s="8">
        <v>5</v>
      </c>
      <c r="AG125" s="8">
        <v>7</v>
      </c>
      <c r="AH125" s="8">
        <v>0</v>
      </c>
      <c r="AI125" s="8"/>
      <c r="AJ125" s="8">
        <v>0</v>
      </c>
      <c r="AK125" s="8"/>
      <c r="AL125" s="8">
        <v>2</v>
      </c>
      <c r="AM125" s="8">
        <v>0</v>
      </c>
      <c r="AN125" s="8">
        <v>0</v>
      </c>
      <c r="AO125" s="8"/>
      <c r="AP125" s="8">
        <v>0</v>
      </c>
      <c r="AQ125" s="8">
        <v>4</v>
      </c>
      <c r="AR125" s="8">
        <v>0</v>
      </c>
      <c r="AS125" s="8">
        <v>0</v>
      </c>
      <c r="AT125" s="8">
        <v>0</v>
      </c>
      <c r="AU125" s="8"/>
      <c r="AV125" s="8">
        <v>36</v>
      </c>
      <c r="AW125" s="8">
        <v>4</v>
      </c>
      <c r="AX125" s="8">
        <v>369</v>
      </c>
      <c r="AY125" s="8">
        <v>18</v>
      </c>
      <c r="AZ125" s="8">
        <v>63</v>
      </c>
      <c r="BA125" s="8">
        <v>1</v>
      </c>
      <c r="BB125" s="8">
        <v>0</v>
      </c>
      <c r="BC125" s="8">
        <v>0</v>
      </c>
      <c r="BD125" s="8">
        <v>0</v>
      </c>
      <c r="BE125" s="8">
        <v>0</v>
      </c>
      <c r="BF125" s="8">
        <v>144</v>
      </c>
      <c r="BG125" s="8">
        <v>3</v>
      </c>
      <c r="BH125" s="8">
        <v>1</v>
      </c>
      <c r="BI125" s="8">
        <v>2</v>
      </c>
      <c r="BJ125" s="8">
        <v>0</v>
      </c>
      <c r="BK125" s="8">
        <v>0</v>
      </c>
      <c r="BL125" s="8">
        <v>39</v>
      </c>
      <c r="BM125" s="8">
        <v>0</v>
      </c>
      <c r="BN125" s="8">
        <v>0</v>
      </c>
      <c r="BO125" s="8">
        <v>14</v>
      </c>
      <c r="BP125" s="8"/>
      <c r="BQ125" s="8"/>
      <c r="BR125" s="8">
        <v>0</v>
      </c>
      <c r="BS125" s="8">
        <v>3</v>
      </c>
      <c r="BT125" s="8">
        <v>0</v>
      </c>
      <c r="BU125" s="8"/>
      <c r="BV125" s="8">
        <v>0</v>
      </c>
      <c r="BW125" s="8"/>
      <c r="BX125" s="8"/>
      <c r="BY125" s="8"/>
      <c r="BZ125" s="17">
        <f t="shared" si="6"/>
        <v>1990</v>
      </c>
      <c r="CA125" s="17" t="s">
        <v>262</v>
      </c>
      <c r="CC125">
        <f t="shared" si="7"/>
        <v>0.27386934673366836</v>
      </c>
      <c r="CD125" s="8">
        <f t="shared" si="8"/>
        <v>541</v>
      </c>
      <c r="CE125" s="8">
        <f t="shared" si="9"/>
        <v>657</v>
      </c>
      <c r="CF125" s="8">
        <f t="shared" si="10"/>
        <v>144</v>
      </c>
      <c r="CG125" s="19">
        <f t="shared" si="11"/>
        <v>0.21917808219178081</v>
      </c>
      <c r="CH125" t="s">
        <v>188</v>
      </c>
    </row>
    <row r="126" spans="1:86" x14ac:dyDescent="0.2">
      <c r="A126" s="10" t="s">
        <v>707</v>
      </c>
      <c r="B126" s="9" t="s">
        <v>706</v>
      </c>
      <c r="C126" s="11" t="s">
        <v>577</v>
      </c>
      <c r="D126" s="11"/>
      <c r="E126" s="11" t="s">
        <v>578</v>
      </c>
      <c r="G126" s="11" t="s">
        <v>708</v>
      </c>
      <c r="H126" s="21">
        <v>3834660</v>
      </c>
      <c r="I126" s="21">
        <v>738770</v>
      </c>
      <c r="J126" s="12">
        <v>15</v>
      </c>
      <c r="K126" s="12"/>
      <c r="T126" s="8">
        <v>0</v>
      </c>
      <c r="U126" s="8">
        <v>0</v>
      </c>
      <c r="V126" s="8">
        <v>0</v>
      </c>
      <c r="W126" s="8">
        <v>0</v>
      </c>
      <c r="X126" s="8"/>
      <c r="Y126" s="8">
        <v>0</v>
      </c>
      <c r="Z126" s="8">
        <v>0</v>
      </c>
      <c r="AA126" s="8">
        <v>0</v>
      </c>
      <c r="AB126" s="8"/>
      <c r="AC126" s="8">
        <v>0</v>
      </c>
      <c r="AD126" s="8">
        <v>11</v>
      </c>
      <c r="AE126" s="8">
        <v>12</v>
      </c>
      <c r="AF126" s="8">
        <v>0</v>
      </c>
      <c r="AG126" s="8">
        <v>1</v>
      </c>
      <c r="AH126" s="8">
        <v>0</v>
      </c>
      <c r="AI126" s="8"/>
      <c r="AJ126" s="8">
        <v>0</v>
      </c>
      <c r="AK126" s="8"/>
      <c r="AL126" s="8">
        <v>0</v>
      </c>
      <c r="AM126" s="8">
        <v>0</v>
      </c>
      <c r="AN126" s="8">
        <v>0</v>
      </c>
      <c r="AO126" s="8"/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/>
      <c r="AV126" s="8">
        <v>1</v>
      </c>
      <c r="AW126" s="8">
        <v>0</v>
      </c>
      <c r="AX126" s="8">
        <v>47</v>
      </c>
      <c r="AY126" s="8">
        <v>2</v>
      </c>
      <c r="AZ126" s="8">
        <v>8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21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3</v>
      </c>
      <c r="BM126" s="8">
        <v>0</v>
      </c>
      <c r="BN126" s="8">
        <v>0</v>
      </c>
      <c r="BO126" s="8">
        <v>2</v>
      </c>
      <c r="BP126" s="8"/>
      <c r="BQ126" s="8"/>
      <c r="BR126" s="8">
        <v>0</v>
      </c>
      <c r="BS126" s="8">
        <v>0</v>
      </c>
      <c r="BT126" s="8">
        <v>0</v>
      </c>
      <c r="BU126" s="8"/>
      <c r="BV126" s="8">
        <v>0</v>
      </c>
      <c r="BW126" s="8"/>
      <c r="BX126" s="8"/>
      <c r="BY126" s="8"/>
      <c r="BZ126" s="17">
        <f t="shared" si="6"/>
        <v>108</v>
      </c>
      <c r="CA126" s="17" t="s">
        <v>186</v>
      </c>
      <c r="CC126">
        <f t="shared" si="7"/>
        <v>0.26851851851851855</v>
      </c>
      <c r="CD126" s="8">
        <f t="shared" si="8"/>
        <v>29</v>
      </c>
      <c r="CE126" s="8">
        <f t="shared" si="9"/>
        <v>83</v>
      </c>
      <c r="CF126" s="8">
        <f t="shared" si="10"/>
        <v>15</v>
      </c>
      <c r="CG126" s="19">
        <f t="shared" si="11"/>
        <v>0.18072289156626506</v>
      </c>
      <c r="CH126" t="s">
        <v>188</v>
      </c>
    </row>
    <row r="127" spans="1:86" x14ac:dyDescent="0.2">
      <c r="A127" s="10" t="s">
        <v>710</v>
      </c>
      <c r="B127" s="9" t="s">
        <v>709</v>
      </c>
      <c r="C127" s="11" t="s">
        <v>577</v>
      </c>
      <c r="D127" s="11"/>
      <c r="E127" s="11" t="s">
        <v>578</v>
      </c>
      <c r="G127" s="11" t="s">
        <v>711</v>
      </c>
      <c r="H127" s="22">
        <v>3846780</v>
      </c>
      <c r="I127" s="22">
        <v>737110</v>
      </c>
      <c r="J127" s="12">
        <v>15</v>
      </c>
      <c r="K127" s="12"/>
      <c r="T127" s="8">
        <v>0</v>
      </c>
      <c r="U127" s="8">
        <v>0</v>
      </c>
      <c r="V127" s="8">
        <v>0</v>
      </c>
      <c r="W127" s="8">
        <v>0</v>
      </c>
      <c r="X127" s="8"/>
      <c r="Y127" s="8">
        <v>0</v>
      </c>
      <c r="Z127" s="8">
        <v>0</v>
      </c>
      <c r="AA127" s="8">
        <v>0</v>
      </c>
      <c r="AB127" s="8"/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/>
      <c r="AJ127" s="8">
        <v>0</v>
      </c>
      <c r="AK127" s="8"/>
      <c r="AL127" s="8">
        <v>0</v>
      </c>
      <c r="AM127" s="8">
        <v>0</v>
      </c>
      <c r="AN127" s="8">
        <v>0</v>
      </c>
      <c r="AO127" s="8"/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/>
      <c r="AV127" s="8">
        <v>0</v>
      </c>
      <c r="AW127" s="8">
        <v>0</v>
      </c>
      <c r="AX127" s="8">
        <v>149</v>
      </c>
      <c r="AY127" s="8">
        <v>11</v>
      </c>
      <c r="AZ127" s="8">
        <v>24</v>
      </c>
      <c r="BA127" s="8">
        <v>0</v>
      </c>
      <c r="BB127" s="8">
        <v>0</v>
      </c>
      <c r="BC127" s="8">
        <v>1</v>
      </c>
      <c r="BD127" s="8">
        <v>0</v>
      </c>
      <c r="BE127" s="8">
        <v>0</v>
      </c>
      <c r="BF127" s="8">
        <v>122</v>
      </c>
      <c r="BG127" s="8">
        <v>2</v>
      </c>
      <c r="BH127" s="8">
        <v>0</v>
      </c>
      <c r="BI127" s="8">
        <v>0</v>
      </c>
      <c r="BJ127" s="8">
        <v>0</v>
      </c>
      <c r="BK127" s="8">
        <v>0</v>
      </c>
      <c r="BL127" s="8">
        <v>11</v>
      </c>
      <c r="BM127" s="8">
        <v>0</v>
      </c>
      <c r="BN127" s="8">
        <v>0</v>
      </c>
      <c r="BO127" s="8">
        <v>1</v>
      </c>
      <c r="BP127" s="8"/>
      <c r="BQ127" s="8"/>
      <c r="BR127" s="8">
        <v>0</v>
      </c>
      <c r="BS127" s="8">
        <v>0</v>
      </c>
      <c r="BT127" s="8">
        <v>0</v>
      </c>
      <c r="BU127" s="8"/>
      <c r="BV127" s="8">
        <v>0</v>
      </c>
      <c r="BW127" s="8"/>
      <c r="BX127" s="8"/>
      <c r="BY127" s="8"/>
      <c r="BZ127" s="17">
        <f t="shared" si="6"/>
        <v>321</v>
      </c>
      <c r="CA127" s="17" t="s">
        <v>195</v>
      </c>
      <c r="CC127">
        <f t="shared" si="7"/>
        <v>0.1557632398753894</v>
      </c>
      <c r="CD127" s="8">
        <f t="shared" si="8"/>
        <v>50</v>
      </c>
      <c r="CE127" s="8">
        <f t="shared" si="9"/>
        <v>321</v>
      </c>
      <c r="CF127" s="8">
        <f t="shared" si="10"/>
        <v>50</v>
      </c>
      <c r="CG127" s="19">
        <f t="shared" si="11"/>
        <v>0.1557632398753894</v>
      </c>
      <c r="CH127" t="s">
        <v>188</v>
      </c>
    </row>
    <row r="128" spans="1:86" x14ac:dyDescent="0.2">
      <c r="A128" s="10" t="s">
        <v>713</v>
      </c>
      <c r="B128" s="9" t="s">
        <v>712</v>
      </c>
      <c r="C128" s="11" t="s">
        <v>577</v>
      </c>
      <c r="D128" s="11"/>
      <c r="E128" s="11" t="s">
        <v>578</v>
      </c>
      <c r="G128" s="11" t="s">
        <v>714</v>
      </c>
      <c r="H128" s="13">
        <f>H127-(2.5*1.6*1000)</f>
        <v>3842780</v>
      </c>
      <c r="I128" s="13">
        <f>I127-1.6*1000</f>
        <v>735510</v>
      </c>
      <c r="J128" s="12">
        <v>15</v>
      </c>
      <c r="K128" s="12"/>
      <c r="T128" s="8">
        <v>0</v>
      </c>
      <c r="U128" s="8">
        <v>0</v>
      </c>
      <c r="V128" s="8">
        <v>0</v>
      </c>
      <c r="W128" s="8">
        <v>0</v>
      </c>
      <c r="X128" s="8"/>
      <c r="Y128" s="8">
        <v>0</v>
      </c>
      <c r="Z128" s="8">
        <v>0</v>
      </c>
      <c r="AA128" s="8">
        <v>0</v>
      </c>
      <c r="AB128" s="8"/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/>
      <c r="AJ128" s="8">
        <v>0</v>
      </c>
      <c r="AK128" s="8"/>
      <c r="AL128" s="8">
        <v>0</v>
      </c>
      <c r="AM128" s="8">
        <v>0</v>
      </c>
      <c r="AN128" s="8">
        <v>0</v>
      </c>
      <c r="AO128" s="8"/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/>
      <c r="AV128" s="8">
        <v>0</v>
      </c>
      <c r="AW128" s="8">
        <v>0</v>
      </c>
      <c r="AX128" s="8">
        <v>1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/>
      <c r="BQ128" s="8"/>
      <c r="BR128" s="8">
        <v>0</v>
      </c>
      <c r="BS128" s="8">
        <v>0</v>
      </c>
      <c r="BT128" s="8">
        <v>0</v>
      </c>
      <c r="BU128" s="8"/>
      <c r="BV128" s="8">
        <v>0</v>
      </c>
      <c r="BW128" s="8"/>
      <c r="BX128" s="8"/>
      <c r="BY128" s="8"/>
      <c r="BZ128" s="17">
        <f t="shared" si="6"/>
        <v>1</v>
      </c>
      <c r="CA128" s="8" t="s">
        <v>247</v>
      </c>
      <c r="CC128">
        <f t="shared" si="7"/>
        <v>0</v>
      </c>
      <c r="CD128" s="8">
        <f t="shared" si="8"/>
        <v>0</v>
      </c>
      <c r="CE128" s="8">
        <f t="shared" si="9"/>
        <v>1</v>
      </c>
      <c r="CF128" s="8">
        <f t="shared" si="10"/>
        <v>0</v>
      </c>
      <c r="CG128" s="19">
        <f t="shared" si="11"/>
        <v>0</v>
      </c>
      <c r="CH128" t="s">
        <v>188</v>
      </c>
    </row>
    <row r="129" spans="1:86" x14ac:dyDescent="0.2">
      <c r="A129" s="10" t="s">
        <v>716</v>
      </c>
      <c r="B129" s="9" t="s">
        <v>715</v>
      </c>
      <c r="C129" s="11" t="s">
        <v>577</v>
      </c>
      <c r="D129" s="11"/>
      <c r="E129" s="11" t="s">
        <v>578</v>
      </c>
      <c r="G129" s="11" t="s">
        <v>717</v>
      </c>
      <c r="H129" s="22">
        <v>3847260</v>
      </c>
      <c r="I129" s="22">
        <v>741160</v>
      </c>
      <c r="J129" s="12">
        <v>15</v>
      </c>
      <c r="K129" s="12"/>
      <c r="T129" s="8">
        <v>0</v>
      </c>
      <c r="U129" s="8">
        <v>0</v>
      </c>
      <c r="V129" s="8">
        <v>0</v>
      </c>
      <c r="W129" s="8">
        <v>0</v>
      </c>
      <c r="X129" s="8"/>
      <c r="Y129" s="8">
        <v>0</v>
      </c>
      <c r="Z129" s="8">
        <v>0</v>
      </c>
      <c r="AA129" s="8">
        <v>0</v>
      </c>
      <c r="AB129" s="8"/>
      <c r="AC129" s="8">
        <v>0</v>
      </c>
      <c r="AD129" s="8">
        <v>1</v>
      </c>
      <c r="AE129" s="8">
        <v>1</v>
      </c>
      <c r="AF129" s="8">
        <v>0</v>
      </c>
      <c r="AG129" s="8">
        <v>0</v>
      </c>
      <c r="AH129" s="8">
        <v>0</v>
      </c>
      <c r="AI129" s="8"/>
      <c r="AJ129" s="8">
        <v>0</v>
      </c>
      <c r="AK129" s="8"/>
      <c r="AL129" s="8">
        <v>1</v>
      </c>
      <c r="AM129" s="8">
        <v>0</v>
      </c>
      <c r="AN129" s="8">
        <v>0</v>
      </c>
      <c r="AO129" s="8"/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/>
      <c r="AV129" s="8">
        <v>0</v>
      </c>
      <c r="AW129" s="8">
        <v>0</v>
      </c>
      <c r="AX129" s="8">
        <v>39</v>
      </c>
      <c r="AY129" s="8">
        <v>3</v>
      </c>
      <c r="AZ129" s="8">
        <v>3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31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/>
      <c r="BQ129" s="8"/>
      <c r="BR129" s="8">
        <v>0</v>
      </c>
      <c r="BS129" s="8">
        <v>0</v>
      </c>
      <c r="BT129" s="8">
        <v>0</v>
      </c>
      <c r="BU129" s="8"/>
      <c r="BV129" s="8">
        <v>0</v>
      </c>
      <c r="BW129" s="8"/>
      <c r="BX129" s="8"/>
      <c r="BY129" s="8"/>
      <c r="BZ129" s="17">
        <f t="shared" si="6"/>
        <v>79</v>
      </c>
      <c r="CA129" s="17" t="s">
        <v>195</v>
      </c>
      <c r="CC129">
        <f t="shared" si="7"/>
        <v>0.10126582278481013</v>
      </c>
      <c r="CD129" s="8">
        <f t="shared" si="8"/>
        <v>8</v>
      </c>
      <c r="CE129" s="8">
        <f t="shared" si="9"/>
        <v>76</v>
      </c>
      <c r="CF129" s="8">
        <f t="shared" si="10"/>
        <v>6</v>
      </c>
      <c r="CG129" s="19">
        <f t="shared" si="11"/>
        <v>7.8947368421052627E-2</v>
      </c>
      <c r="CH129" t="s">
        <v>188</v>
      </c>
    </row>
    <row r="130" spans="1:86" x14ac:dyDescent="0.2">
      <c r="A130" s="10" t="s">
        <v>719</v>
      </c>
      <c r="B130" s="9" t="s">
        <v>718</v>
      </c>
      <c r="C130" s="11" t="s">
        <v>577</v>
      </c>
      <c r="D130" s="11"/>
      <c r="E130" s="11" t="s">
        <v>578</v>
      </c>
      <c r="G130" s="11" t="s">
        <v>720</v>
      </c>
      <c r="H130" s="23">
        <f>H127-(3*1.6*1000)</f>
        <v>3841980</v>
      </c>
      <c r="I130" s="23">
        <f>I127</f>
        <v>737110</v>
      </c>
      <c r="J130" s="12">
        <v>15</v>
      </c>
      <c r="K130" s="12"/>
      <c r="T130" s="8">
        <v>0</v>
      </c>
      <c r="U130" s="8">
        <v>0</v>
      </c>
      <c r="V130" s="8">
        <v>0</v>
      </c>
      <c r="W130" s="8">
        <v>0</v>
      </c>
      <c r="X130" s="8"/>
      <c r="Y130" s="8">
        <v>0</v>
      </c>
      <c r="Z130" s="8">
        <v>0</v>
      </c>
      <c r="AA130" s="8">
        <v>0</v>
      </c>
      <c r="AB130" s="8"/>
      <c r="AC130" s="8">
        <v>0</v>
      </c>
      <c r="AD130" s="8">
        <v>19</v>
      </c>
      <c r="AE130" s="8">
        <v>21</v>
      </c>
      <c r="AF130" s="8">
        <v>0</v>
      </c>
      <c r="AG130" s="8">
        <v>14</v>
      </c>
      <c r="AH130" s="8">
        <v>0</v>
      </c>
      <c r="AI130" s="8"/>
      <c r="AJ130" s="8">
        <v>0</v>
      </c>
      <c r="AK130" s="8"/>
      <c r="AL130" s="8">
        <v>0</v>
      </c>
      <c r="AM130" s="8">
        <v>0</v>
      </c>
      <c r="AN130" s="8">
        <v>0</v>
      </c>
      <c r="AO130" s="8"/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/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3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/>
      <c r="BQ130" s="8"/>
      <c r="BR130" s="8">
        <v>0</v>
      </c>
      <c r="BS130" s="8">
        <v>0</v>
      </c>
      <c r="BT130" s="8">
        <v>0</v>
      </c>
      <c r="BU130" s="8"/>
      <c r="BV130" s="8">
        <v>0</v>
      </c>
      <c r="BW130" s="8"/>
      <c r="BX130" s="8"/>
      <c r="BY130" s="8"/>
      <c r="BZ130" s="17">
        <f t="shared" ref="BZ130:BZ154" si="12">SUM(T130:BY130)</f>
        <v>57</v>
      </c>
      <c r="CA130" s="17" t="s">
        <v>262</v>
      </c>
      <c r="CC130">
        <f t="shared" ref="CC130:CC146" si="13">SUM(BG130:BV130,AE130:AW130,AY130:BE130,T130:AC130)/BZ130</f>
        <v>0.61403508771929827</v>
      </c>
      <c r="CD130" s="8">
        <f t="shared" ref="CD130:CD146" si="14">BZ130-SUM(BF130,AX130,AW130,AD130,W130)</f>
        <v>35</v>
      </c>
      <c r="CE130" s="8">
        <f t="shared" ref="CE130:CE146" si="15">SUM(AX130:BV130)</f>
        <v>3</v>
      </c>
      <c r="CF130" s="8">
        <f t="shared" ref="CF130:CF146" si="16">SUM(BG130:BV130,AY130:BE130)</f>
        <v>0</v>
      </c>
      <c r="CG130" s="19">
        <f t="shared" ref="CG130:CG146" si="17">CF130/CE130</f>
        <v>0</v>
      </c>
      <c r="CH130" t="s">
        <v>188</v>
      </c>
    </row>
    <row r="131" spans="1:86" x14ac:dyDescent="0.2">
      <c r="A131" s="10" t="s">
        <v>721</v>
      </c>
      <c r="B131" s="9" t="s">
        <v>46</v>
      </c>
      <c r="C131" s="11" t="s">
        <v>577</v>
      </c>
      <c r="D131" s="11"/>
      <c r="E131" s="11" t="s">
        <v>578</v>
      </c>
      <c r="G131" s="11" t="s">
        <v>722</v>
      </c>
      <c r="H131" s="22">
        <v>3822810</v>
      </c>
      <c r="I131" s="22">
        <v>733135</v>
      </c>
      <c r="J131" s="12">
        <v>15</v>
      </c>
      <c r="K131" s="12"/>
      <c r="T131" s="8">
        <v>0</v>
      </c>
      <c r="U131" s="8">
        <v>0</v>
      </c>
      <c r="V131" s="8">
        <v>0</v>
      </c>
      <c r="W131" s="8">
        <v>0</v>
      </c>
      <c r="X131" s="8"/>
      <c r="Y131" s="8">
        <v>0</v>
      </c>
      <c r="Z131" s="8">
        <v>0</v>
      </c>
      <c r="AA131" s="8">
        <v>0</v>
      </c>
      <c r="AB131" s="8"/>
      <c r="AC131" s="8">
        <v>0</v>
      </c>
      <c r="AD131" s="8">
        <v>487</v>
      </c>
      <c r="AE131" s="8">
        <v>1806</v>
      </c>
      <c r="AF131" s="8">
        <v>0</v>
      </c>
      <c r="AG131" s="8">
        <v>0</v>
      </c>
      <c r="AH131" s="8">
        <v>2</v>
      </c>
      <c r="AI131" s="8"/>
      <c r="AJ131" s="8">
        <v>2</v>
      </c>
      <c r="AK131" s="8"/>
      <c r="AL131" s="8">
        <v>0</v>
      </c>
      <c r="AM131" s="8">
        <v>2</v>
      </c>
      <c r="AN131" s="8">
        <v>0</v>
      </c>
      <c r="AO131" s="8"/>
      <c r="AP131" s="8">
        <v>0</v>
      </c>
      <c r="AQ131" s="8">
        <v>11</v>
      </c>
      <c r="AR131" s="8">
        <v>0</v>
      </c>
      <c r="AS131" s="8">
        <v>0</v>
      </c>
      <c r="AT131" s="8">
        <v>0</v>
      </c>
      <c r="AU131" s="8"/>
      <c r="AV131" s="8">
        <v>39</v>
      </c>
      <c r="AW131" s="8">
        <v>10</v>
      </c>
      <c r="AX131" s="8">
        <v>377</v>
      </c>
      <c r="AY131" s="8">
        <v>6</v>
      </c>
      <c r="AZ131" s="8">
        <v>48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183</v>
      </c>
      <c r="BG131" s="8">
        <v>2</v>
      </c>
      <c r="BH131" s="8">
        <v>0</v>
      </c>
      <c r="BI131" s="8">
        <v>0</v>
      </c>
      <c r="BJ131" s="8">
        <v>0</v>
      </c>
      <c r="BK131" s="8">
        <v>0</v>
      </c>
      <c r="BL131" s="8">
        <v>3</v>
      </c>
      <c r="BM131" s="8">
        <v>0</v>
      </c>
      <c r="BN131" s="8">
        <v>0</v>
      </c>
      <c r="BO131" s="8">
        <v>2</v>
      </c>
      <c r="BP131" s="8"/>
      <c r="BQ131" s="8"/>
      <c r="BR131" s="8">
        <v>0</v>
      </c>
      <c r="BS131" s="8">
        <v>0</v>
      </c>
      <c r="BT131" s="8">
        <v>0</v>
      </c>
      <c r="BU131" s="8"/>
      <c r="BV131" s="8">
        <v>0</v>
      </c>
      <c r="BW131" s="8"/>
      <c r="BX131" s="8"/>
      <c r="BY131" s="8"/>
      <c r="BZ131" s="17">
        <f t="shared" si="12"/>
        <v>2980</v>
      </c>
      <c r="CA131" s="17" t="s">
        <v>226</v>
      </c>
      <c r="CB131" s="18" t="s">
        <v>723</v>
      </c>
      <c r="CC131">
        <f t="shared" si="13"/>
        <v>0.64865771812080542</v>
      </c>
      <c r="CD131" s="8">
        <f t="shared" si="14"/>
        <v>1923</v>
      </c>
      <c r="CE131" s="8">
        <f t="shared" si="15"/>
        <v>621</v>
      </c>
      <c r="CF131" s="8">
        <f t="shared" si="16"/>
        <v>61</v>
      </c>
      <c r="CG131" s="19">
        <f t="shared" si="17"/>
        <v>9.8228663446054756E-2</v>
      </c>
      <c r="CH131" t="s">
        <v>188</v>
      </c>
    </row>
    <row r="132" spans="1:86" x14ac:dyDescent="0.2">
      <c r="A132" s="10" t="s">
        <v>725</v>
      </c>
      <c r="B132" s="9" t="s">
        <v>724</v>
      </c>
      <c r="C132" s="11" t="s">
        <v>577</v>
      </c>
      <c r="D132" s="11"/>
      <c r="E132" s="11" t="s">
        <v>578</v>
      </c>
      <c r="G132" s="11" t="s">
        <v>581</v>
      </c>
      <c r="H132" s="22">
        <v>3842115</v>
      </c>
      <c r="I132" s="22">
        <v>754706</v>
      </c>
      <c r="J132" s="12">
        <v>15</v>
      </c>
      <c r="K132" s="12"/>
      <c r="T132" s="8">
        <v>0</v>
      </c>
      <c r="U132" s="8">
        <v>0</v>
      </c>
      <c r="V132" s="8">
        <v>0</v>
      </c>
      <c r="W132" s="8">
        <v>0</v>
      </c>
      <c r="X132" s="8"/>
      <c r="Y132" s="8">
        <v>0</v>
      </c>
      <c r="Z132" s="8">
        <v>0</v>
      </c>
      <c r="AA132" s="8">
        <v>0</v>
      </c>
      <c r="AB132" s="8"/>
      <c r="AC132" s="8">
        <v>0</v>
      </c>
      <c r="AD132" s="8">
        <v>0</v>
      </c>
      <c r="AE132" s="8">
        <v>2</v>
      </c>
      <c r="AF132" s="8">
        <v>0</v>
      </c>
      <c r="AG132" s="8">
        <v>0</v>
      </c>
      <c r="AH132" s="8">
        <v>0</v>
      </c>
      <c r="AI132" s="8"/>
      <c r="AJ132" s="8">
        <v>0</v>
      </c>
      <c r="AK132" s="8"/>
      <c r="AL132" s="8">
        <v>0</v>
      </c>
      <c r="AM132" s="8">
        <v>0</v>
      </c>
      <c r="AN132" s="8">
        <v>0</v>
      </c>
      <c r="AO132" s="8"/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/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/>
      <c r="BQ132" s="8"/>
      <c r="BR132" s="8">
        <v>0</v>
      </c>
      <c r="BS132" s="8">
        <v>0</v>
      </c>
      <c r="BT132" s="8">
        <v>0</v>
      </c>
      <c r="BU132" s="8"/>
      <c r="BV132" s="8">
        <v>0</v>
      </c>
      <c r="BW132" s="8"/>
      <c r="BX132" s="8"/>
      <c r="BY132" s="8"/>
      <c r="BZ132" s="17">
        <f t="shared" si="12"/>
        <v>2</v>
      </c>
      <c r="CA132" s="8" t="s">
        <v>262</v>
      </c>
      <c r="CC132">
        <f t="shared" si="13"/>
        <v>1</v>
      </c>
      <c r="CD132" s="8">
        <f t="shared" si="14"/>
        <v>2</v>
      </c>
      <c r="CE132" s="8">
        <f t="shared" si="15"/>
        <v>0</v>
      </c>
      <c r="CF132" s="8">
        <f t="shared" si="16"/>
        <v>0</v>
      </c>
      <c r="CG132" s="19" t="e">
        <f t="shared" si="17"/>
        <v>#DIV/0!</v>
      </c>
      <c r="CH132" t="s">
        <v>188</v>
      </c>
    </row>
    <row r="133" spans="1:86" x14ac:dyDescent="0.2">
      <c r="A133" s="10" t="s">
        <v>727</v>
      </c>
      <c r="B133" s="9" t="s">
        <v>726</v>
      </c>
      <c r="C133" s="11" t="s">
        <v>577</v>
      </c>
      <c r="D133" s="11"/>
      <c r="E133" s="11" t="s">
        <v>578</v>
      </c>
      <c r="G133" s="11" t="s">
        <v>728</v>
      </c>
      <c r="H133" s="23">
        <f>H132+(0.7*1.6*1000)</f>
        <v>3843235</v>
      </c>
      <c r="I133" s="23">
        <f>I132-0.8*1.6*1000</f>
        <v>753426</v>
      </c>
      <c r="J133" s="12">
        <v>15</v>
      </c>
      <c r="K133" s="12"/>
      <c r="T133" s="8">
        <v>0</v>
      </c>
      <c r="U133" s="8">
        <v>0</v>
      </c>
      <c r="V133" s="8">
        <v>0</v>
      </c>
      <c r="W133" s="8">
        <v>0</v>
      </c>
      <c r="X133" s="8"/>
      <c r="Y133" s="8">
        <v>0</v>
      </c>
      <c r="Z133" s="8">
        <v>0</v>
      </c>
      <c r="AA133" s="8">
        <v>0</v>
      </c>
      <c r="AB133" s="8"/>
      <c r="AC133" s="8">
        <v>0</v>
      </c>
      <c r="AD133" s="8">
        <v>630</v>
      </c>
      <c r="AE133" s="8">
        <v>613</v>
      </c>
      <c r="AF133" s="8">
        <v>531</v>
      </c>
      <c r="AG133" s="8">
        <v>0</v>
      </c>
      <c r="AH133" s="8">
        <v>0</v>
      </c>
      <c r="AI133" s="8"/>
      <c r="AJ133" s="8">
        <v>2</v>
      </c>
      <c r="AK133" s="8"/>
      <c r="AL133" s="8">
        <v>0</v>
      </c>
      <c r="AM133" s="8">
        <v>0</v>
      </c>
      <c r="AN133" s="8">
        <v>0</v>
      </c>
      <c r="AO133" s="8"/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/>
      <c r="AV133" s="8">
        <v>25</v>
      </c>
      <c r="AW133" s="8">
        <v>0</v>
      </c>
      <c r="AX133" s="8">
        <v>3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1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/>
      <c r="BQ133" s="8"/>
      <c r="BR133" s="8">
        <v>0</v>
      </c>
      <c r="BS133" s="8">
        <v>0</v>
      </c>
      <c r="BT133" s="8">
        <v>0</v>
      </c>
      <c r="BU133" s="8"/>
      <c r="BV133" s="8">
        <v>0</v>
      </c>
      <c r="BW133" s="8"/>
      <c r="BX133" s="8"/>
      <c r="BY133" s="8"/>
      <c r="BZ133" s="17">
        <f t="shared" si="12"/>
        <v>1805</v>
      </c>
      <c r="CA133" s="17" t="s">
        <v>226</v>
      </c>
      <c r="CC133">
        <f t="shared" si="13"/>
        <v>0.64875346260387812</v>
      </c>
      <c r="CD133" s="8">
        <f t="shared" si="14"/>
        <v>1171</v>
      </c>
      <c r="CE133" s="8">
        <f t="shared" si="15"/>
        <v>4</v>
      </c>
      <c r="CF133" s="8">
        <f t="shared" si="16"/>
        <v>0</v>
      </c>
      <c r="CG133" s="19">
        <f t="shared" si="17"/>
        <v>0</v>
      </c>
      <c r="CH133" t="s">
        <v>188</v>
      </c>
    </row>
    <row r="134" spans="1:86" x14ac:dyDescent="0.2">
      <c r="A134" s="10" t="s">
        <v>730</v>
      </c>
      <c r="B134" s="9" t="s">
        <v>729</v>
      </c>
      <c r="C134" s="11" t="s">
        <v>179</v>
      </c>
      <c r="D134" s="11" t="s">
        <v>731</v>
      </c>
      <c r="E134" s="11" t="s">
        <v>184</v>
      </c>
      <c r="F134" s="8">
        <v>508</v>
      </c>
      <c r="G134" s="11" t="s">
        <v>732</v>
      </c>
      <c r="H134" s="13">
        <v>3796720</v>
      </c>
      <c r="I134" s="13">
        <v>697380</v>
      </c>
      <c r="J134" s="12">
        <v>15</v>
      </c>
      <c r="K134" s="12"/>
      <c r="L134" s="14" t="s">
        <v>733</v>
      </c>
      <c r="M134" s="14" t="s">
        <v>268</v>
      </c>
      <c r="N134" s="15">
        <v>14678</v>
      </c>
      <c r="O134" s="16" t="s">
        <v>185</v>
      </c>
      <c r="T134" s="8">
        <v>0</v>
      </c>
      <c r="U134" s="8">
        <v>0</v>
      </c>
      <c r="V134" s="8">
        <v>0</v>
      </c>
      <c r="W134" s="8">
        <v>0</v>
      </c>
      <c r="X134" s="8"/>
      <c r="Y134" s="8">
        <v>0</v>
      </c>
      <c r="Z134" s="8">
        <v>0</v>
      </c>
      <c r="AA134" s="8">
        <v>0</v>
      </c>
      <c r="AB134" s="8"/>
      <c r="AC134" s="8">
        <v>0</v>
      </c>
      <c r="AD134" s="8">
        <v>12</v>
      </c>
      <c r="AE134" s="8">
        <v>1</v>
      </c>
      <c r="AF134" s="8">
        <v>0</v>
      </c>
      <c r="AG134" s="8">
        <v>0</v>
      </c>
      <c r="AH134" s="8">
        <v>0</v>
      </c>
      <c r="AI134" s="8"/>
      <c r="AJ134" s="8">
        <v>0</v>
      </c>
      <c r="AK134" s="8"/>
      <c r="AL134" s="8">
        <v>0</v>
      </c>
      <c r="AM134" s="8">
        <v>0</v>
      </c>
      <c r="AN134" s="8">
        <v>0</v>
      </c>
      <c r="AO134" s="8"/>
      <c r="AP134" s="8">
        <v>0</v>
      </c>
      <c r="AQ134" s="8">
        <v>1</v>
      </c>
      <c r="AR134" s="8">
        <v>0</v>
      </c>
      <c r="AS134" s="8">
        <v>0</v>
      </c>
      <c r="AT134" s="8">
        <v>0</v>
      </c>
      <c r="AU134" s="8"/>
      <c r="AV134" s="8">
        <v>0</v>
      </c>
      <c r="AW134" s="8">
        <v>0</v>
      </c>
      <c r="AX134" s="8">
        <v>0</v>
      </c>
      <c r="AY134" s="8">
        <v>1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/>
      <c r="BQ134" s="8"/>
      <c r="BR134" s="8">
        <v>0</v>
      </c>
      <c r="BS134" s="8">
        <v>0</v>
      </c>
      <c r="BT134" s="8">
        <v>0</v>
      </c>
      <c r="BU134" s="8"/>
      <c r="BV134" s="8">
        <v>0</v>
      </c>
      <c r="BW134" s="8"/>
      <c r="BX134" s="8"/>
      <c r="BY134" s="8"/>
      <c r="BZ134" s="17">
        <f t="shared" si="12"/>
        <v>15</v>
      </c>
      <c r="CA134" s="8" t="s">
        <v>247</v>
      </c>
      <c r="CC134">
        <f t="shared" si="13"/>
        <v>0.2</v>
      </c>
      <c r="CD134" s="8">
        <f t="shared" si="14"/>
        <v>3</v>
      </c>
      <c r="CE134" s="8">
        <f t="shared" si="15"/>
        <v>1</v>
      </c>
      <c r="CF134" s="8">
        <f t="shared" si="16"/>
        <v>1</v>
      </c>
      <c r="CG134" s="19">
        <f t="shared" si="17"/>
        <v>1</v>
      </c>
      <c r="CH134" t="s">
        <v>734</v>
      </c>
    </row>
    <row r="135" spans="1:86" x14ac:dyDescent="0.2">
      <c r="A135" s="10" t="s">
        <v>736</v>
      </c>
      <c r="B135" s="9" t="s">
        <v>735</v>
      </c>
      <c r="C135" s="11" t="s">
        <v>179</v>
      </c>
      <c r="D135" s="11" t="s">
        <v>669</v>
      </c>
      <c r="E135" s="11" t="s">
        <v>184</v>
      </c>
      <c r="F135" s="8">
        <v>513</v>
      </c>
      <c r="G135" s="11" t="s">
        <v>737</v>
      </c>
      <c r="H135" s="23">
        <v>3814590</v>
      </c>
      <c r="I135" s="23">
        <v>720290</v>
      </c>
      <c r="J135" s="12">
        <v>15</v>
      </c>
      <c r="K135" s="12"/>
      <c r="L135" s="14" t="s">
        <v>738</v>
      </c>
      <c r="M135" s="14" t="s">
        <v>739</v>
      </c>
      <c r="N135" s="15">
        <v>14681</v>
      </c>
      <c r="T135" s="8">
        <v>0</v>
      </c>
      <c r="U135" s="8">
        <v>0</v>
      </c>
      <c r="V135" s="8">
        <v>0</v>
      </c>
      <c r="W135" s="8">
        <v>0</v>
      </c>
      <c r="X135" s="8"/>
      <c r="Y135" s="8">
        <v>0</v>
      </c>
      <c r="Z135" s="8">
        <v>0</v>
      </c>
      <c r="AA135" s="8">
        <v>0</v>
      </c>
      <c r="AB135" s="8"/>
      <c r="AC135" s="8">
        <v>0</v>
      </c>
      <c r="AD135" s="8">
        <v>1</v>
      </c>
      <c r="AE135" s="8">
        <v>2</v>
      </c>
      <c r="AF135" s="8">
        <v>0</v>
      </c>
      <c r="AG135" s="8">
        <v>0</v>
      </c>
      <c r="AH135" s="8">
        <v>0</v>
      </c>
      <c r="AI135" s="8"/>
      <c r="AJ135" s="8">
        <v>0</v>
      </c>
      <c r="AK135" s="8"/>
      <c r="AL135" s="8">
        <v>0</v>
      </c>
      <c r="AM135" s="8">
        <v>0</v>
      </c>
      <c r="AN135" s="8">
        <v>0</v>
      </c>
      <c r="AO135" s="8"/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/>
      <c r="AV135" s="8">
        <v>0</v>
      </c>
      <c r="AW135" s="8">
        <v>0</v>
      </c>
      <c r="AX135" s="8">
        <v>15</v>
      </c>
      <c r="AY135" s="8">
        <v>1</v>
      </c>
      <c r="AZ135" s="8">
        <v>1</v>
      </c>
      <c r="BA135" s="8">
        <v>1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1</v>
      </c>
      <c r="BM135" s="8">
        <v>0</v>
      </c>
      <c r="BN135" s="8">
        <v>0</v>
      </c>
      <c r="BO135" s="8">
        <v>0</v>
      </c>
      <c r="BP135" s="8"/>
      <c r="BQ135" s="8"/>
      <c r="BR135" s="8">
        <v>0</v>
      </c>
      <c r="BS135" s="8">
        <v>0</v>
      </c>
      <c r="BT135" s="8">
        <v>0</v>
      </c>
      <c r="BU135" s="8"/>
      <c r="BV135" s="8">
        <v>0</v>
      </c>
      <c r="BW135" s="8"/>
      <c r="BX135" s="8"/>
      <c r="BY135" s="8"/>
      <c r="BZ135" s="17">
        <f t="shared" si="12"/>
        <v>22</v>
      </c>
      <c r="CA135" s="8" t="s">
        <v>740</v>
      </c>
      <c r="CC135">
        <f t="shared" si="13"/>
        <v>0.27272727272727271</v>
      </c>
      <c r="CD135" s="8">
        <f t="shared" si="14"/>
        <v>6</v>
      </c>
      <c r="CE135" s="8">
        <f t="shared" si="15"/>
        <v>19</v>
      </c>
      <c r="CF135" s="8">
        <f t="shared" si="16"/>
        <v>4</v>
      </c>
      <c r="CG135" s="19">
        <f t="shared" si="17"/>
        <v>0.21052631578947367</v>
      </c>
      <c r="CH135" t="s">
        <v>734</v>
      </c>
    </row>
    <row r="136" spans="1:86" x14ac:dyDescent="0.2">
      <c r="A136" s="10" t="s">
        <v>742</v>
      </c>
      <c r="B136" s="9" t="s">
        <v>741</v>
      </c>
      <c r="C136" s="11" t="s">
        <v>577</v>
      </c>
      <c r="D136" s="11"/>
      <c r="E136" s="11" t="s">
        <v>743</v>
      </c>
      <c r="G136" s="11" t="s">
        <v>744</v>
      </c>
      <c r="H136" s="13">
        <v>3797310</v>
      </c>
      <c r="I136" s="13">
        <v>713137</v>
      </c>
      <c r="J136" s="12">
        <v>15</v>
      </c>
      <c r="K136" s="12"/>
      <c r="T136" s="8">
        <v>0</v>
      </c>
      <c r="U136" s="8">
        <v>0</v>
      </c>
      <c r="V136" s="8">
        <v>0</v>
      </c>
      <c r="W136" s="8">
        <v>0</v>
      </c>
      <c r="X136" s="8"/>
      <c r="Y136" s="8">
        <v>0</v>
      </c>
      <c r="Z136" s="8">
        <v>0</v>
      </c>
      <c r="AA136" s="8">
        <v>0</v>
      </c>
      <c r="AB136" s="8"/>
      <c r="AC136" s="8">
        <v>0</v>
      </c>
      <c r="AD136" s="8">
        <v>4</v>
      </c>
      <c r="AE136" s="8">
        <v>4</v>
      </c>
      <c r="AF136" s="8">
        <v>0</v>
      </c>
      <c r="AG136" s="8">
        <v>0</v>
      </c>
      <c r="AH136" s="8">
        <v>0</v>
      </c>
      <c r="AI136" s="8"/>
      <c r="AJ136" s="8">
        <v>0</v>
      </c>
      <c r="AK136" s="8"/>
      <c r="AL136" s="8">
        <v>0</v>
      </c>
      <c r="AM136" s="8">
        <v>0</v>
      </c>
      <c r="AN136" s="8">
        <v>0</v>
      </c>
      <c r="AO136" s="8"/>
      <c r="AP136" s="8">
        <v>2</v>
      </c>
      <c r="AQ136" s="8">
        <v>1</v>
      </c>
      <c r="AR136" s="8">
        <v>0</v>
      </c>
      <c r="AS136" s="8">
        <v>0</v>
      </c>
      <c r="AT136" s="8">
        <v>0</v>
      </c>
      <c r="AU136" s="8"/>
      <c r="AV136" s="8">
        <v>0</v>
      </c>
      <c r="AW136" s="8">
        <v>0</v>
      </c>
      <c r="AX136" s="8">
        <v>480</v>
      </c>
      <c r="AY136" s="8">
        <v>26</v>
      </c>
      <c r="AZ136" s="8">
        <v>67</v>
      </c>
      <c r="BA136" s="8">
        <v>10</v>
      </c>
      <c r="BB136" s="8">
        <v>0</v>
      </c>
      <c r="BC136" s="8">
        <v>0</v>
      </c>
      <c r="BD136" s="8">
        <v>0</v>
      </c>
      <c r="BE136" s="8">
        <v>0</v>
      </c>
      <c r="BF136" s="8">
        <v>312</v>
      </c>
      <c r="BG136" s="8">
        <v>3</v>
      </c>
      <c r="BH136" s="8">
        <v>0</v>
      </c>
      <c r="BI136" s="8">
        <v>0</v>
      </c>
      <c r="BJ136" s="8">
        <v>8</v>
      </c>
      <c r="BK136" s="8">
        <v>0</v>
      </c>
      <c r="BL136" s="8">
        <v>24</v>
      </c>
      <c r="BM136" s="8">
        <v>0</v>
      </c>
      <c r="BN136" s="8">
        <v>0</v>
      </c>
      <c r="BO136" s="8">
        <v>11</v>
      </c>
      <c r="BP136" s="8"/>
      <c r="BQ136" s="8"/>
      <c r="BR136" s="8">
        <v>0</v>
      </c>
      <c r="BS136" s="8">
        <v>2</v>
      </c>
      <c r="BT136" s="8">
        <v>2</v>
      </c>
      <c r="BU136" s="8"/>
      <c r="BV136" s="8">
        <v>0</v>
      </c>
      <c r="BW136" s="8"/>
      <c r="BX136" s="8"/>
      <c r="BY136" s="8"/>
      <c r="BZ136" s="17">
        <f t="shared" si="12"/>
        <v>956</v>
      </c>
      <c r="CA136" s="8" t="s">
        <v>745</v>
      </c>
      <c r="CC136">
        <f t="shared" si="13"/>
        <v>0.16736401673640167</v>
      </c>
      <c r="CD136" s="8">
        <f t="shared" si="14"/>
        <v>160</v>
      </c>
      <c r="CE136" s="8">
        <f t="shared" si="15"/>
        <v>945</v>
      </c>
      <c r="CF136" s="8">
        <f t="shared" si="16"/>
        <v>153</v>
      </c>
      <c r="CG136" s="19">
        <f t="shared" si="17"/>
        <v>0.16190476190476191</v>
      </c>
      <c r="CH136" t="s">
        <v>734</v>
      </c>
    </row>
    <row r="137" spans="1:86" x14ac:dyDescent="0.2">
      <c r="A137" s="10" t="s">
        <v>747</v>
      </c>
      <c r="B137" s="9" t="s">
        <v>746</v>
      </c>
      <c r="C137" s="11" t="s">
        <v>577</v>
      </c>
      <c r="D137" s="11"/>
      <c r="E137" s="11" t="s">
        <v>578</v>
      </c>
      <c r="G137" s="11" t="s">
        <v>748</v>
      </c>
      <c r="H137" s="22">
        <v>3816034</v>
      </c>
      <c r="I137" s="22">
        <v>730835</v>
      </c>
      <c r="J137" s="12">
        <v>15</v>
      </c>
      <c r="K137" s="12"/>
      <c r="T137" s="8">
        <v>0</v>
      </c>
      <c r="U137" s="8">
        <v>0</v>
      </c>
      <c r="V137" s="8">
        <v>0</v>
      </c>
      <c r="W137" s="8">
        <v>0</v>
      </c>
      <c r="X137" s="8"/>
      <c r="Y137" s="8">
        <v>0</v>
      </c>
      <c r="Z137" s="8">
        <v>0</v>
      </c>
      <c r="AA137" s="8">
        <v>0</v>
      </c>
      <c r="AB137" s="8"/>
      <c r="AC137" s="8">
        <v>0</v>
      </c>
      <c r="AD137" s="8">
        <v>7</v>
      </c>
      <c r="AE137" s="8">
        <v>0</v>
      </c>
      <c r="AF137" s="8">
        <v>0</v>
      </c>
      <c r="AG137" s="8">
        <v>0</v>
      </c>
      <c r="AH137" s="8">
        <v>0</v>
      </c>
      <c r="AI137" s="8"/>
      <c r="AJ137" s="8">
        <v>0</v>
      </c>
      <c r="AK137" s="8"/>
      <c r="AL137" s="8">
        <v>0</v>
      </c>
      <c r="AM137" s="8">
        <v>0</v>
      </c>
      <c r="AN137" s="8">
        <v>0</v>
      </c>
      <c r="AO137" s="8"/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/>
      <c r="AV137" s="8">
        <v>0</v>
      </c>
      <c r="AW137" s="8">
        <v>0</v>
      </c>
      <c r="AX137" s="8">
        <v>2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1</v>
      </c>
      <c r="BH137" s="8">
        <v>0</v>
      </c>
      <c r="BI137" s="8">
        <v>0</v>
      </c>
      <c r="BJ137" s="8">
        <v>0</v>
      </c>
      <c r="BK137" s="8">
        <v>0</v>
      </c>
      <c r="BL137" s="8">
        <v>1</v>
      </c>
      <c r="BM137" s="8">
        <v>0</v>
      </c>
      <c r="BN137" s="8">
        <v>0</v>
      </c>
      <c r="BO137" s="8">
        <v>0</v>
      </c>
      <c r="BP137" s="8"/>
      <c r="BQ137" s="8"/>
      <c r="BR137" s="8">
        <v>0</v>
      </c>
      <c r="BS137" s="8">
        <v>0</v>
      </c>
      <c r="BT137" s="8">
        <v>0</v>
      </c>
      <c r="BU137" s="8"/>
      <c r="BV137" s="8">
        <v>0</v>
      </c>
      <c r="BW137" s="8"/>
      <c r="BX137" s="8"/>
      <c r="BY137" s="8"/>
      <c r="BZ137" s="17">
        <f t="shared" si="12"/>
        <v>11</v>
      </c>
      <c r="CA137" s="8" t="s">
        <v>247</v>
      </c>
      <c r="CC137">
        <f t="shared" si="13"/>
        <v>0.18181818181818182</v>
      </c>
      <c r="CD137" s="8">
        <f t="shared" si="14"/>
        <v>2</v>
      </c>
      <c r="CE137" s="8">
        <f t="shared" si="15"/>
        <v>4</v>
      </c>
      <c r="CF137" s="8">
        <f t="shared" si="16"/>
        <v>2</v>
      </c>
      <c r="CG137" s="19">
        <f t="shared" si="17"/>
        <v>0.5</v>
      </c>
      <c r="CH137" t="s">
        <v>734</v>
      </c>
    </row>
    <row r="138" spans="1:86" x14ac:dyDescent="0.2">
      <c r="A138" s="10" t="s">
        <v>750</v>
      </c>
      <c r="B138" s="9" t="s">
        <v>749</v>
      </c>
      <c r="C138" s="11" t="s">
        <v>577</v>
      </c>
      <c r="D138" s="11"/>
      <c r="E138" s="11" t="s">
        <v>743</v>
      </c>
      <c r="G138" s="11" t="s">
        <v>751</v>
      </c>
      <c r="H138" s="23">
        <f>H137-(5.3*1.6*1000)</f>
        <v>3807554</v>
      </c>
      <c r="I138" s="23">
        <f>I137-(0.2*1.6*1000)</f>
        <v>730515</v>
      </c>
      <c r="J138" s="12">
        <v>15</v>
      </c>
      <c r="K138" s="12"/>
      <c r="T138" s="8">
        <v>0</v>
      </c>
      <c r="U138" s="8">
        <v>0</v>
      </c>
      <c r="V138" s="8">
        <v>0</v>
      </c>
      <c r="W138" s="8">
        <v>0</v>
      </c>
      <c r="X138" s="8"/>
      <c r="Y138" s="8">
        <v>0</v>
      </c>
      <c r="Z138" s="8">
        <v>0</v>
      </c>
      <c r="AA138" s="8">
        <v>0</v>
      </c>
      <c r="AB138" s="8"/>
      <c r="AC138" s="8">
        <v>0</v>
      </c>
      <c r="AD138" s="8">
        <v>10</v>
      </c>
      <c r="AE138" s="8">
        <v>15</v>
      </c>
      <c r="AF138" s="8">
        <v>0</v>
      </c>
      <c r="AG138" s="8">
        <v>1</v>
      </c>
      <c r="AH138" s="8">
        <v>1</v>
      </c>
      <c r="AI138" s="8"/>
      <c r="AJ138" s="8">
        <v>0</v>
      </c>
      <c r="AK138" s="8"/>
      <c r="AL138" s="8">
        <v>0</v>
      </c>
      <c r="AM138" s="8">
        <v>0</v>
      </c>
      <c r="AN138" s="8">
        <v>0</v>
      </c>
      <c r="AO138" s="8"/>
      <c r="AP138" s="8">
        <v>0</v>
      </c>
      <c r="AQ138" s="8">
        <v>2</v>
      </c>
      <c r="AR138" s="8">
        <v>0</v>
      </c>
      <c r="AS138" s="8">
        <v>0</v>
      </c>
      <c r="AT138" s="8">
        <v>0</v>
      </c>
      <c r="AU138" s="8"/>
      <c r="AV138" s="8">
        <v>0</v>
      </c>
      <c r="AW138" s="8">
        <v>0</v>
      </c>
      <c r="AX138" s="8">
        <v>2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/>
      <c r="BQ138" s="8"/>
      <c r="BR138" s="8">
        <v>0</v>
      </c>
      <c r="BS138" s="8">
        <v>0</v>
      </c>
      <c r="BT138" s="8">
        <v>0</v>
      </c>
      <c r="BU138" s="8"/>
      <c r="BV138" s="8">
        <v>0</v>
      </c>
      <c r="BW138" s="8"/>
      <c r="BX138" s="8"/>
      <c r="BY138" s="8"/>
      <c r="BZ138" s="17">
        <f t="shared" si="12"/>
        <v>31</v>
      </c>
      <c r="CA138" s="8" t="s">
        <v>247</v>
      </c>
      <c r="CC138">
        <f t="shared" si="13"/>
        <v>0.61290322580645162</v>
      </c>
      <c r="CD138" s="8">
        <f t="shared" si="14"/>
        <v>19</v>
      </c>
      <c r="CE138" s="8">
        <f t="shared" si="15"/>
        <v>2</v>
      </c>
      <c r="CF138" s="8">
        <f t="shared" si="16"/>
        <v>0</v>
      </c>
      <c r="CG138" s="19">
        <f t="shared" si="17"/>
        <v>0</v>
      </c>
      <c r="CH138" t="s">
        <v>734</v>
      </c>
    </row>
    <row r="139" spans="1:86" x14ac:dyDescent="0.2">
      <c r="A139" s="10" t="s">
        <v>753</v>
      </c>
      <c r="B139" s="9" t="s">
        <v>752</v>
      </c>
      <c r="C139" s="11" t="s">
        <v>179</v>
      </c>
      <c r="D139" s="11" t="s">
        <v>754</v>
      </c>
      <c r="E139" s="11" t="s">
        <v>755</v>
      </c>
      <c r="F139" s="8">
        <v>361</v>
      </c>
      <c r="G139" s="11" t="s">
        <v>756</v>
      </c>
      <c r="H139" s="13">
        <v>3772010</v>
      </c>
      <c r="I139" s="13">
        <v>663590</v>
      </c>
      <c r="J139" s="12">
        <v>15</v>
      </c>
      <c r="K139" s="12"/>
      <c r="L139" s="14" t="s">
        <v>757</v>
      </c>
      <c r="M139" s="14" t="s">
        <v>272</v>
      </c>
      <c r="N139" s="15">
        <v>14672</v>
      </c>
      <c r="T139" s="8">
        <v>0</v>
      </c>
      <c r="U139" s="8">
        <v>0</v>
      </c>
      <c r="V139" s="8">
        <v>0</v>
      </c>
      <c r="W139" s="8">
        <v>0</v>
      </c>
      <c r="X139" s="8"/>
      <c r="Y139" s="8">
        <v>0</v>
      </c>
      <c r="Z139" s="8">
        <v>0</v>
      </c>
      <c r="AA139" s="8">
        <v>0</v>
      </c>
      <c r="AB139" s="8"/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/>
      <c r="AJ139" s="8">
        <v>0</v>
      </c>
      <c r="AK139" s="8"/>
      <c r="AL139" s="8">
        <v>0</v>
      </c>
      <c r="AM139" s="8">
        <v>0</v>
      </c>
      <c r="AN139" s="8">
        <v>0</v>
      </c>
      <c r="AO139" s="8"/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/>
      <c r="AV139" s="8">
        <v>0</v>
      </c>
      <c r="AW139" s="8">
        <v>0</v>
      </c>
      <c r="AX139" s="8">
        <v>16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1</v>
      </c>
      <c r="BM139" s="8">
        <v>0</v>
      </c>
      <c r="BN139" s="8">
        <v>0</v>
      </c>
      <c r="BO139" s="8">
        <v>0</v>
      </c>
      <c r="BP139" s="8"/>
      <c r="BQ139" s="8"/>
      <c r="BR139" s="8">
        <v>0</v>
      </c>
      <c r="BS139" s="8">
        <v>0</v>
      </c>
      <c r="BT139" s="8">
        <v>0</v>
      </c>
      <c r="BU139" s="8"/>
      <c r="BV139" s="8">
        <v>0</v>
      </c>
      <c r="BW139" s="8"/>
      <c r="BX139" s="8"/>
      <c r="BY139" s="8"/>
      <c r="BZ139" s="17">
        <f t="shared" si="12"/>
        <v>17</v>
      </c>
      <c r="CA139" s="8" t="s">
        <v>247</v>
      </c>
      <c r="CC139">
        <f t="shared" si="13"/>
        <v>5.8823529411764705E-2</v>
      </c>
      <c r="CD139" s="8">
        <f t="shared" si="14"/>
        <v>1</v>
      </c>
      <c r="CE139" s="8">
        <f t="shared" si="15"/>
        <v>17</v>
      </c>
      <c r="CF139" s="8">
        <f t="shared" si="16"/>
        <v>1</v>
      </c>
      <c r="CG139" s="19">
        <f t="shared" si="17"/>
        <v>5.8823529411764705E-2</v>
      </c>
      <c r="CH139" t="s">
        <v>758</v>
      </c>
    </row>
    <row r="140" spans="1:86" x14ac:dyDescent="0.2">
      <c r="A140" s="10" t="s">
        <v>760</v>
      </c>
      <c r="B140" s="9" t="s">
        <v>759</v>
      </c>
      <c r="C140" s="11" t="s">
        <v>179</v>
      </c>
      <c r="D140" s="11" t="s">
        <v>761</v>
      </c>
      <c r="E140" s="11" t="s">
        <v>755</v>
      </c>
      <c r="F140" s="8">
        <v>780</v>
      </c>
      <c r="G140" s="11" t="s">
        <v>762</v>
      </c>
      <c r="H140" s="13">
        <v>3790590</v>
      </c>
      <c r="I140" s="13">
        <v>671700</v>
      </c>
      <c r="J140" s="12">
        <v>15</v>
      </c>
      <c r="K140" s="12"/>
      <c r="L140" s="14" t="s">
        <v>763</v>
      </c>
      <c r="M140" s="14" t="s">
        <v>764</v>
      </c>
      <c r="N140" s="15">
        <v>14675</v>
      </c>
      <c r="O140" s="16" t="s">
        <v>313</v>
      </c>
      <c r="T140" s="8">
        <v>0</v>
      </c>
      <c r="U140" s="8">
        <v>0</v>
      </c>
      <c r="V140" s="8">
        <v>0</v>
      </c>
      <c r="W140" s="8">
        <v>0</v>
      </c>
      <c r="X140" s="8"/>
      <c r="Y140" s="8">
        <v>0</v>
      </c>
      <c r="Z140" s="8">
        <v>0</v>
      </c>
      <c r="AA140" s="8">
        <v>0</v>
      </c>
      <c r="AB140" s="8"/>
      <c r="AC140" s="8">
        <v>0</v>
      </c>
      <c r="AD140" s="8">
        <v>83</v>
      </c>
      <c r="AE140" s="8">
        <v>44</v>
      </c>
      <c r="AF140" s="8">
        <v>0</v>
      </c>
      <c r="AG140" s="8">
        <v>0</v>
      </c>
      <c r="AH140" s="8">
        <v>0</v>
      </c>
      <c r="AI140" s="8"/>
      <c r="AJ140" s="8">
        <v>0</v>
      </c>
      <c r="AK140" s="8"/>
      <c r="AL140" s="8">
        <v>1</v>
      </c>
      <c r="AM140" s="8">
        <v>1</v>
      </c>
      <c r="AN140" s="8">
        <v>0</v>
      </c>
      <c r="AO140" s="8"/>
      <c r="AP140" s="8">
        <v>0</v>
      </c>
      <c r="AQ140" s="8">
        <v>1</v>
      </c>
      <c r="AR140" s="8">
        <v>0</v>
      </c>
      <c r="AS140" s="8">
        <v>0</v>
      </c>
      <c r="AT140" s="8">
        <v>0</v>
      </c>
      <c r="AU140" s="8"/>
      <c r="AV140" s="8">
        <v>0</v>
      </c>
      <c r="AW140" s="8">
        <v>4</v>
      </c>
      <c r="AX140" s="8">
        <v>85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/>
      <c r="BQ140" s="8"/>
      <c r="BR140" s="8">
        <v>0</v>
      </c>
      <c r="BS140" s="8">
        <v>0</v>
      </c>
      <c r="BT140" s="8">
        <v>0</v>
      </c>
      <c r="BU140" s="8"/>
      <c r="BV140" s="8">
        <v>0</v>
      </c>
      <c r="BW140" s="8"/>
      <c r="BX140" s="8"/>
      <c r="BY140" s="8"/>
      <c r="BZ140" s="17">
        <f t="shared" si="12"/>
        <v>219</v>
      </c>
      <c r="CA140" s="8" t="s">
        <v>765</v>
      </c>
      <c r="CB140" s="18" t="s">
        <v>766</v>
      </c>
      <c r="CC140">
        <f t="shared" si="13"/>
        <v>0.23287671232876711</v>
      </c>
      <c r="CD140" s="8">
        <f t="shared" si="14"/>
        <v>47</v>
      </c>
      <c r="CE140" s="8">
        <f t="shared" si="15"/>
        <v>85</v>
      </c>
      <c r="CF140" s="8">
        <f t="shared" si="16"/>
        <v>0</v>
      </c>
      <c r="CG140" s="19">
        <f t="shared" si="17"/>
        <v>0</v>
      </c>
      <c r="CH140" t="s">
        <v>758</v>
      </c>
    </row>
    <row r="141" spans="1:86" x14ac:dyDescent="0.2">
      <c r="A141" s="10" t="s">
        <v>768</v>
      </c>
      <c r="B141" s="9" t="s">
        <v>767</v>
      </c>
      <c r="C141" s="11" t="s">
        <v>577</v>
      </c>
      <c r="D141" s="11"/>
      <c r="E141" s="11" t="s">
        <v>743</v>
      </c>
      <c r="G141" s="11" t="s">
        <v>769</v>
      </c>
      <c r="H141" s="22">
        <v>3784698</v>
      </c>
      <c r="I141" s="22">
        <v>711758</v>
      </c>
      <c r="J141" s="12">
        <v>15</v>
      </c>
      <c r="K141" s="12"/>
      <c r="T141" s="8">
        <v>0</v>
      </c>
      <c r="U141" s="8">
        <v>0</v>
      </c>
      <c r="V141" s="8">
        <v>0</v>
      </c>
      <c r="W141" s="8">
        <v>0</v>
      </c>
      <c r="X141" s="8"/>
      <c r="Y141" s="8">
        <v>0</v>
      </c>
      <c r="Z141" s="8">
        <v>0</v>
      </c>
      <c r="AA141" s="8">
        <v>0</v>
      </c>
      <c r="AB141" s="8"/>
      <c r="AC141" s="8">
        <v>0</v>
      </c>
      <c r="AD141" s="8">
        <v>12</v>
      </c>
      <c r="AE141" s="8">
        <v>21</v>
      </c>
      <c r="AF141" s="8">
        <v>0</v>
      </c>
      <c r="AG141" s="8">
        <v>0</v>
      </c>
      <c r="AH141" s="8">
        <v>0</v>
      </c>
      <c r="AI141" s="8"/>
      <c r="AJ141" s="8">
        <v>0</v>
      </c>
      <c r="AK141" s="8"/>
      <c r="AL141" s="8">
        <v>0</v>
      </c>
      <c r="AM141" s="8">
        <v>0</v>
      </c>
      <c r="AN141" s="8">
        <v>0</v>
      </c>
      <c r="AO141" s="8"/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/>
      <c r="AV141" s="8">
        <v>0</v>
      </c>
      <c r="AW141" s="8">
        <v>0</v>
      </c>
      <c r="AX141" s="8">
        <v>7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/>
      <c r="BQ141" s="8"/>
      <c r="BR141" s="8">
        <v>0</v>
      </c>
      <c r="BS141" s="8">
        <v>0</v>
      </c>
      <c r="BT141" s="8">
        <v>0</v>
      </c>
      <c r="BU141" s="8"/>
      <c r="BV141" s="8">
        <v>0</v>
      </c>
      <c r="BW141" s="8"/>
      <c r="BX141" s="8"/>
      <c r="BY141" s="8"/>
      <c r="BZ141" s="17">
        <f t="shared" si="12"/>
        <v>40</v>
      </c>
      <c r="CA141" s="8" t="s">
        <v>247</v>
      </c>
      <c r="CC141">
        <f t="shared" si="13"/>
        <v>0.52500000000000002</v>
      </c>
      <c r="CD141" s="8">
        <f t="shared" si="14"/>
        <v>21</v>
      </c>
      <c r="CE141" s="8">
        <f t="shared" si="15"/>
        <v>7</v>
      </c>
      <c r="CF141" s="8">
        <f t="shared" si="16"/>
        <v>0</v>
      </c>
      <c r="CG141" s="19">
        <f t="shared" si="17"/>
        <v>0</v>
      </c>
      <c r="CH141" t="s">
        <v>734</v>
      </c>
    </row>
    <row r="142" spans="1:86" x14ac:dyDescent="0.2">
      <c r="A142" s="10" t="s">
        <v>771</v>
      </c>
      <c r="B142" s="9" t="s">
        <v>770</v>
      </c>
      <c r="C142" s="11" t="s">
        <v>577</v>
      </c>
      <c r="D142" s="11"/>
      <c r="E142" s="11" t="s">
        <v>743</v>
      </c>
      <c r="G142" s="11" t="s">
        <v>772</v>
      </c>
      <c r="H142" s="21">
        <v>3785226</v>
      </c>
      <c r="I142" s="21">
        <v>723400</v>
      </c>
      <c r="J142" s="12">
        <v>15</v>
      </c>
      <c r="K142" s="12"/>
      <c r="T142" s="8">
        <v>0</v>
      </c>
      <c r="U142" s="8">
        <v>0</v>
      </c>
      <c r="V142" s="8">
        <v>0</v>
      </c>
      <c r="W142" s="8">
        <v>0</v>
      </c>
      <c r="X142" s="8"/>
      <c r="Y142" s="8">
        <v>0</v>
      </c>
      <c r="Z142" s="8">
        <v>0</v>
      </c>
      <c r="AA142" s="8">
        <v>0</v>
      </c>
      <c r="AB142" s="8"/>
      <c r="AC142" s="8">
        <v>0</v>
      </c>
      <c r="AD142" s="8">
        <v>10</v>
      </c>
      <c r="AE142" s="8">
        <v>9</v>
      </c>
      <c r="AF142" s="8">
        <v>0</v>
      </c>
      <c r="AG142" s="8">
        <v>0</v>
      </c>
      <c r="AH142" s="8">
        <v>0</v>
      </c>
      <c r="AI142" s="8"/>
      <c r="AJ142" s="8">
        <v>0</v>
      </c>
      <c r="AK142" s="8"/>
      <c r="AL142" s="8">
        <v>0</v>
      </c>
      <c r="AM142" s="8">
        <v>0</v>
      </c>
      <c r="AN142" s="8">
        <v>0</v>
      </c>
      <c r="AO142" s="8"/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/>
      <c r="AV142" s="8">
        <v>0</v>
      </c>
      <c r="AW142" s="8">
        <v>0</v>
      </c>
      <c r="AX142" s="8">
        <v>6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/>
      <c r="BQ142" s="8"/>
      <c r="BR142" s="8">
        <v>0</v>
      </c>
      <c r="BS142" s="8">
        <v>0</v>
      </c>
      <c r="BT142" s="8">
        <v>0</v>
      </c>
      <c r="BU142" s="8"/>
      <c r="BV142" s="8">
        <v>0</v>
      </c>
      <c r="BW142" s="8"/>
      <c r="BX142" s="8"/>
      <c r="BY142" s="8"/>
      <c r="BZ142" s="17">
        <f t="shared" si="12"/>
        <v>25</v>
      </c>
      <c r="CA142" s="8" t="s">
        <v>247</v>
      </c>
      <c r="CC142">
        <f t="shared" si="13"/>
        <v>0.36</v>
      </c>
      <c r="CD142" s="8">
        <f t="shared" si="14"/>
        <v>9</v>
      </c>
      <c r="CE142" s="8">
        <f t="shared" si="15"/>
        <v>6</v>
      </c>
      <c r="CF142" s="8">
        <f t="shared" si="16"/>
        <v>0</v>
      </c>
      <c r="CG142" s="19">
        <f t="shared" si="17"/>
        <v>0</v>
      </c>
      <c r="CH142" t="s">
        <v>734</v>
      </c>
    </row>
    <row r="143" spans="1:86" x14ac:dyDescent="0.2">
      <c r="A143" s="10" t="s">
        <v>774</v>
      </c>
      <c r="B143" s="9" t="s">
        <v>773</v>
      </c>
      <c r="C143" s="11" t="s">
        <v>577</v>
      </c>
      <c r="D143" s="11"/>
      <c r="E143" s="11" t="s">
        <v>775</v>
      </c>
      <c r="G143" s="11" t="s">
        <v>776</v>
      </c>
      <c r="H143" s="22">
        <v>3774300</v>
      </c>
      <c r="I143" s="22">
        <v>708780</v>
      </c>
      <c r="J143" s="12">
        <v>15</v>
      </c>
      <c r="K143" s="12"/>
      <c r="T143" s="8">
        <v>0</v>
      </c>
      <c r="U143" s="8">
        <v>0</v>
      </c>
      <c r="V143" s="8">
        <v>0</v>
      </c>
      <c r="W143" s="8">
        <v>0</v>
      </c>
      <c r="X143" s="8"/>
      <c r="Y143" s="8">
        <v>0</v>
      </c>
      <c r="Z143" s="8">
        <v>0</v>
      </c>
      <c r="AA143" s="8">
        <v>0</v>
      </c>
      <c r="AB143" s="8"/>
      <c r="AC143" s="8">
        <v>0</v>
      </c>
      <c r="AD143" s="8">
        <v>67</v>
      </c>
      <c r="AE143" s="8">
        <v>105</v>
      </c>
      <c r="AF143" s="8">
        <v>0</v>
      </c>
      <c r="AG143" s="8">
        <v>0</v>
      </c>
      <c r="AH143" s="8">
        <v>0</v>
      </c>
      <c r="AI143" s="8"/>
      <c r="AJ143" s="8">
        <v>0</v>
      </c>
      <c r="AK143" s="8"/>
      <c r="AL143" s="8">
        <v>0</v>
      </c>
      <c r="AM143" s="8">
        <v>0</v>
      </c>
      <c r="AN143" s="8">
        <v>0</v>
      </c>
      <c r="AO143" s="8"/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/>
      <c r="AV143" s="8">
        <v>2</v>
      </c>
      <c r="AW143" s="8">
        <v>4</v>
      </c>
      <c r="AX143" s="8">
        <v>537</v>
      </c>
      <c r="AY143" s="8">
        <v>6</v>
      </c>
      <c r="AZ143" s="8">
        <v>8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30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22</v>
      </c>
      <c r="BM143" s="8">
        <v>0</v>
      </c>
      <c r="BN143" s="8">
        <v>0</v>
      </c>
      <c r="BO143" s="8">
        <v>5</v>
      </c>
      <c r="BP143" s="8"/>
      <c r="BQ143" s="8"/>
      <c r="BR143" s="8">
        <v>0</v>
      </c>
      <c r="BS143" s="8">
        <v>0</v>
      </c>
      <c r="BT143" s="8">
        <v>0</v>
      </c>
      <c r="BU143" s="8"/>
      <c r="BV143" s="8">
        <v>0</v>
      </c>
      <c r="BW143" s="8"/>
      <c r="BX143" s="8"/>
      <c r="BY143" s="8"/>
      <c r="BZ143" s="17">
        <f t="shared" si="12"/>
        <v>786</v>
      </c>
      <c r="CA143" s="8" t="s">
        <v>765</v>
      </c>
      <c r="CB143" s="18" t="s">
        <v>777</v>
      </c>
      <c r="CC143">
        <f t="shared" si="13"/>
        <v>0.19338422391857507</v>
      </c>
      <c r="CD143" s="8">
        <f t="shared" si="14"/>
        <v>148</v>
      </c>
      <c r="CE143" s="8">
        <f t="shared" si="15"/>
        <v>608</v>
      </c>
      <c r="CF143" s="8">
        <f t="shared" si="16"/>
        <v>41</v>
      </c>
      <c r="CG143" s="19">
        <f t="shared" si="17"/>
        <v>6.7434210526315791E-2</v>
      </c>
      <c r="CH143" t="s">
        <v>734</v>
      </c>
    </row>
    <row r="144" spans="1:86" x14ac:dyDescent="0.2">
      <c r="A144" s="10" t="s">
        <v>779</v>
      </c>
      <c r="B144" s="9" t="s">
        <v>778</v>
      </c>
      <c r="C144" s="11" t="s">
        <v>577</v>
      </c>
      <c r="D144" s="11"/>
      <c r="E144" s="11" t="s">
        <v>743</v>
      </c>
      <c r="G144" s="11" t="s">
        <v>780</v>
      </c>
      <c r="H144" s="22">
        <v>3784015</v>
      </c>
      <c r="I144" s="22">
        <v>724179</v>
      </c>
      <c r="J144" s="12">
        <v>15</v>
      </c>
      <c r="K144" s="12"/>
      <c r="T144" s="8">
        <v>0</v>
      </c>
      <c r="U144" s="8">
        <v>0</v>
      </c>
      <c r="V144" s="8">
        <v>0</v>
      </c>
      <c r="W144" s="8">
        <v>0</v>
      </c>
      <c r="X144" s="8"/>
      <c r="Y144" s="8">
        <v>0</v>
      </c>
      <c r="Z144" s="8">
        <v>0</v>
      </c>
      <c r="AA144" s="8">
        <v>0</v>
      </c>
      <c r="AB144" s="8"/>
      <c r="AC144" s="8">
        <v>0</v>
      </c>
      <c r="AD144" s="8">
        <v>23</v>
      </c>
      <c r="AE144" s="8">
        <v>5</v>
      </c>
      <c r="AF144" s="8">
        <v>0</v>
      </c>
      <c r="AG144" s="8">
        <v>0</v>
      </c>
      <c r="AH144" s="8">
        <v>0</v>
      </c>
      <c r="AI144" s="8"/>
      <c r="AJ144" s="8">
        <v>0</v>
      </c>
      <c r="AK144" s="8"/>
      <c r="AL144" s="8">
        <v>0</v>
      </c>
      <c r="AM144" s="8">
        <v>0</v>
      </c>
      <c r="AN144" s="8">
        <v>0</v>
      </c>
      <c r="AO144" s="8"/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/>
      <c r="AV144" s="8">
        <v>0</v>
      </c>
      <c r="AW144" s="8">
        <v>0</v>
      </c>
      <c r="AX144" s="8">
        <v>4</v>
      </c>
      <c r="AY144" s="8">
        <v>1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/>
      <c r="BQ144" s="8"/>
      <c r="BR144" s="8">
        <v>0</v>
      </c>
      <c r="BS144" s="8">
        <v>0</v>
      </c>
      <c r="BT144" s="8">
        <v>0</v>
      </c>
      <c r="BU144" s="8"/>
      <c r="BV144" s="8">
        <v>0</v>
      </c>
      <c r="BW144" s="8"/>
      <c r="BX144" s="8"/>
      <c r="BY144" s="8"/>
      <c r="BZ144" s="17">
        <f t="shared" si="12"/>
        <v>33</v>
      </c>
      <c r="CA144" s="8" t="s">
        <v>247</v>
      </c>
      <c r="CC144">
        <f t="shared" si="13"/>
        <v>0.18181818181818182</v>
      </c>
      <c r="CD144" s="8">
        <f t="shared" si="14"/>
        <v>6</v>
      </c>
      <c r="CE144" s="8">
        <f t="shared" si="15"/>
        <v>5</v>
      </c>
      <c r="CF144" s="8">
        <f t="shared" si="16"/>
        <v>1</v>
      </c>
      <c r="CG144" s="19">
        <f t="shared" si="17"/>
        <v>0.2</v>
      </c>
      <c r="CH144" t="s">
        <v>734</v>
      </c>
    </row>
    <row r="145" spans="1:86" x14ac:dyDescent="0.2">
      <c r="A145" s="10" t="s">
        <v>782</v>
      </c>
      <c r="B145" s="9" t="s">
        <v>781</v>
      </c>
      <c r="C145" s="11" t="s">
        <v>577</v>
      </c>
      <c r="D145" s="11"/>
      <c r="E145" s="11" t="s">
        <v>743</v>
      </c>
      <c r="G145" s="11" t="s">
        <v>783</v>
      </c>
      <c r="H145" s="22">
        <v>3491820</v>
      </c>
      <c r="I145" s="22">
        <v>660360</v>
      </c>
      <c r="J145" s="12">
        <v>15</v>
      </c>
      <c r="K145" s="12"/>
      <c r="L145" s="14" t="s">
        <v>784</v>
      </c>
      <c r="M145" s="14" t="s">
        <v>764</v>
      </c>
      <c r="N145" s="15">
        <v>14675</v>
      </c>
      <c r="O145" s="16" t="s">
        <v>313</v>
      </c>
      <c r="T145" s="8">
        <v>0</v>
      </c>
      <c r="U145" s="8">
        <v>0</v>
      </c>
      <c r="V145" s="8">
        <v>0</v>
      </c>
      <c r="W145" s="8">
        <v>0</v>
      </c>
      <c r="X145" s="8"/>
      <c r="Y145" s="8">
        <v>0</v>
      </c>
      <c r="Z145" s="8">
        <v>0</v>
      </c>
      <c r="AA145" s="8">
        <v>0</v>
      </c>
      <c r="AB145" s="8"/>
      <c r="AC145" s="8">
        <v>0</v>
      </c>
      <c r="AD145" s="8">
        <v>14</v>
      </c>
      <c r="AE145" s="8">
        <v>6</v>
      </c>
      <c r="AF145" s="8">
        <v>0</v>
      </c>
      <c r="AG145" s="8">
        <v>2</v>
      </c>
      <c r="AH145" s="8">
        <v>0</v>
      </c>
      <c r="AI145" s="8"/>
      <c r="AJ145" s="8">
        <v>0</v>
      </c>
      <c r="AK145" s="8"/>
      <c r="AL145" s="8">
        <v>0</v>
      </c>
      <c r="AM145" s="8">
        <v>0</v>
      </c>
      <c r="AN145" s="8">
        <v>0</v>
      </c>
      <c r="AO145" s="8"/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/>
      <c r="AV145" s="8">
        <v>0</v>
      </c>
      <c r="AW145" s="8">
        <v>0</v>
      </c>
      <c r="AX145" s="8">
        <v>29</v>
      </c>
      <c r="AY145" s="8">
        <v>0</v>
      </c>
      <c r="AZ145" s="8">
        <v>2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2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/>
      <c r="BQ145" s="8"/>
      <c r="BR145" s="8">
        <v>0</v>
      </c>
      <c r="BS145" s="8">
        <v>0</v>
      </c>
      <c r="BT145" s="8">
        <v>0</v>
      </c>
      <c r="BU145" s="8"/>
      <c r="BV145" s="8">
        <v>0</v>
      </c>
      <c r="BW145" s="8"/>
      <c r="BX145" s="8"/>
      <c r="BY145" s="8"/>
      <c r="BZ145" s="17">
        <f t="shared" si="12"/>
        <v>55</v>
      </c>
      <c r="CA145" s="8" t="s">
        <v>247</v>
      </c>
      <c r="CC145">
        <f t="shared" si="13"/>
        <v>0.18181818181818182</v>
      </c>
      <c r="CD145" s="8">
        <f t="shared" si="14"/>
        <v>10</v>
      </c>
      <c r="CE145" s="8">
        <f t="shared" si="15"/>
        <v>33</v>
      </c>
      <c r="CF145" s="8">
        <f t="shared" si="16"/>
        <v>2</v>
      </c>
      <c r="CG145" s="19">
        <f t="shared" si="17"/>
        <v>6.0606060606060608E-2</v>
      </c>
      <c r="CH145" t="s">
        <v>734</v>
      </c>
    </row>
    <row r="146" spans="1:86" x14ac:dyDescent="0.2">
      <c r="A146" s="10" t="s">
        <v>786</v>
      </c>
      <c r="B146" s="9" t="s">
        <v>785</v>
      </c>
      <c r="C146" s="11" t="s">
        <v>577</v>
      </c>
      <c r="D146" s="11"/>
      <c r="E146" s="11" t="s">
        <v>743</v>
      </c>
      <c r="G146" s="11" t="s">
        <v>787</v>
      </c>
      <c r="H146" s="23">
        <v>3770950</v>
      </c>
      <c r="I146" s="23">
        <v>721200</v>
      </c>
      <c r="J146" s="12">
        <v>15</v>
      </c>
      <c r="K146" s="12"/>
      <c r="L146" s="14" t="s">
        <v>788</v>
      </c>
      <c r="M146" s="14" t="s">
        <v>225</v>
      </c>
      <c r="N146" s="15">
        <v>14690</v>
      </c>
      <c r="O146" s="16" t="s">
        <v>185</v>
      </c>
      <c r="T146" s="8">
        <v>0</v>
      </c>
      <c r="U146" s="8">
        <v>0</v>
      </c>
      <c r="V146" s="8">
        <v>0</v>
      </c>
      <c r="W146" s="8">
        <v>0</v>
      </c>
      <c r="X146" s="8"/>
      <c r="Y146" s="8">
        <v>0</v>
      </c>
      <c r="Z146" s="8">
        <v>0</v>
      </c>
      <c r="AA146" s="8">
        <v>0</v>
      </c>
      <c r="AB146" s="8"/>
      <c r="AC146" s="8">
        <v>0</v>
      </c>
      <c r="AD146" s="8">
        <v>819</v>
      </c>
      <c r="AE146" s="8">
        <v>3440</v>
      </c>
      <c r="AF146" s="8">
        <v>0</v>
      </c>
      <c r="AG146" s="8">
        <v>0</v>
      </c>
      <c r="AH146" s="8">
        <v>2</v>
      </c>
      <c r="AI146" s="8"/>
      <c r="AJ146" s="8">
        <v>0</v>
      </c>
      <c r="AK146" s="8"/>
      <c r="AL146" s="8">
        <v>1</v>
      </c>
      <c r="AM146" s="8">
        <v>0</v>
      </c>
      <c r="AN146" s="8">
        <v>0</v>
      </c>
      <c r="AO146" s="8"/>
      <c r="AP146" s="8">
        <v>0</v>
      </c>
      <c r="AQ146" s="8">
        <v>37</v>
      </c>
      <c r="AR146" s="8">
        <v>0</v>
      </c>
      <c r="AS146" s="8">
        <v>5</v>
      </c>
      <c r="AT146" s="8">
        <v>1</v>
      </c>
      <c r="AU146" s="8"/>
      <c r="AV146" s="8">
        <v>105</v>
      </c>
      <c r="AW146" s="8">
        <v>7</v>
      </c>
      <c r="AX146" s="8">
        <v>467</v>
      </c>
      <c r="AY146" s="8">
        <v>9</v>
      </c>
      <c r="AZ146" s="8">
        <v>35</v>
      </c>
      <c r="BA146" s="8">
        <v>0</v>
      </c>
      <c r="BB146" s="8">
        <v>1</v>
      </c>
      <c r="BC146" s="8">
        <v>0</v>
      </c>
      <c r="BD146" s="8">
        <v>0</v>
      </c>
      <c r="BE146" s="8">
        <v>0</v>
      </c>
      <c r="BF146" s="8">
        <v>11</v>
      </c>
      <c r="BG146" s="8">
        <v>1</v>
      </c>
      <c r="BH146" s="8">
        <v>2</v>
      </c>
      <c r="BI146" s="8">
        <v>0</v>
      </c>
      <c r="BJ146" s="8">
        <v>0</v>
      </c>
      <c r="BK146" s="8">
        <v>0</v>
      </c>
      <c r="BL146" s="8">
        <v>16</v>
      </c>
      <c r="BM146" s="8">
        <v>0</v>
      </c>
      <c r="BN146" s="8">
        <v>0</v>
      </c>
      <c r="BO146" s="8">
        <v>8</v>
      </c>
      <c r="BP146" s="8"/>
      <c r="BQ146" s="8"/>
      <c r="BR146" s="8">
        <v>1</v>
      </c>
      <c r="BS146" s="8">
        <v>0</v>
      </c>
      <c r="BT146" s="8">
        <v>1</v>
      </c>
      <c r="BU146" s="8"/>
      <c r="BV146" s="8">
        <v>0</v>
      </c>
      <c r="BW146" s="8"/>
      <c r="BX146" s="8"/>
      <c r="BY146" s="8"/>
      <c r="BZ146" s="17">
        <f t="shared" si="12"/>
        <v>4969</v>
      </c>
      <c r="CA146" s="8" t="s">
        <v>789</v>
      </c>
      <c r="CB146" s="18" t="s">
        <v>777</v>
      </c>
      <c r="CC146">
        <f t="shared" si="13"/>
        <v>0.73898168645602735</v>
      </c>
      <c r="CD146" s="8">
        <f t="shared" si="14"/>
        <v>3665</v>
      </c>
      <c r="CE146" s="8">
        <f t="shared" si="15"/>
        <v>552</v>
      </c>
      <c r="CF146" s="8">
        <f t="shared" si="16"/>
        <v>74</v>
      </c>
      <c r="CG146" s="19">
        <f t="shared" si="17"/>
        <v>0.13405797101449277</v>
      </c>
      <c r="CH146" t="s">
        <v>734</v>
      </c>
    </row>
    <row r="147" spans="1:86" x14ac:dyDescent="0.2">
      <c r="A147" s="25" t="s">
        <v>790</v>
      </c>
      <c r="B147" s="24" t="s">
        <v>781</v>
      </c>
      <c r="AD147" s="8">
        <v>2</v>
      </c>
      <c r="AV147" s="8">
        <v>1</v>
      </c>
      <c r="AX147" s="8">
        <v>155</v>
      </c>
      <c r="BE147" s="8">
        <v>1</v>
      </c>
      <c r="BZ147" s="17">
        <f t="shared" si="12"/>
        <v>159</v>
      </c>
    </row>
    <row r="148" spans="1:86" x14ac:dyDescent="0.2">
      <c r="A148" s="25" t="s">
        <v>792</v>
      </c>
      <c r="B148" s="24" t="s">
        <v>791</v>
      </c>
      <c r="W148" s="8">
        <v>14</v>
      </c>
      <c r="AD148" s="8">
        <v>984</v>
      </c>
      <c r="AE148" s="8">
        <v>236</v>
      </c>
      <c r="AG148" s="8">
        <v>1</v>
      </c>
      <c r="AH148" s="8">
        <v>4</v>
      </c>
      <c r="AI148" s="8"/>
      <c r="AJ148" s="8">
        <v>1</v>
      </c>
      <c r="AK148" s="8">
        <v>6</v>
      </c>
      <c r="AL148" s="8"/>
      <c r="AP148" s="8">
        <v>2</v>
      </c>
      <c r="AV148" s="8">
        <v>12</v>
      </c>
      <c r="AX148" s="8">
        <v>58</v>
      </c>
      <c r="AY148" s="8">
        <v>1</v>
      </c>
      <c r="BF148" s="8">
        <v>2</v>
      </c>
      <c r="BZ148" s="17">
        <f t="shared" si="12"/>
        <v>1321</v>
      </c>
    </row>
    <row r="149" spans="1:86" x14ac:dyDescent="0.2">
      <c r="A149" s="28" t="s">
        <v>794</v>
      </c>
      <c r="B149" s="18" t="s">
        <v>793</v>
      </c>
      <c r="C149"/>
      <c r="D149"/>
      <c r="E149"/>
      <c r="F149"/>
      <c r="G149"/>
      <c r="H149" s="29"/>
      <c r="I149" s="29"/>
      <c r="J149"/>
      <c r="K149"/>
      <c r="L149" s="18"/>
      <c r="M149" s="18"/>
      <c r="N149"/>
      <c r="O149" s="30"/>
      <c r="P149" s="31"/>
      <c r="Q149" s="31"/>
      <c r="R149" s="31"/>
      <c r="S149" s="31"/>
      <c r="AD149" s="8">
        <v>1</v>
      </c>
      <c r="AE149" s="8">
        <v>1</v>
      </c>
      <c r="BZ149" s="17">
        <f t="shared" si="12"/>
        <v>2</v>
      </c>
      <c r="CA149"/>
      <c r="CB149"/>
    </row>
    <row r="150" spans="1:86" x14ac:dyDescent="0.2">
      <c r="A150" s="25" t="s">
        <v>796</v>
      </c>
      <c r="B150" s="24" t="s">
        <v>795</v>
      </c>
      <c r="W150" s="8">
        <v>6</v>
      </c>
      <c r="Y150">
        <v>12</v>
      </c>
      <c r="AD150" s="8">
        <v>1013</v>
      </c>
      <c r="AE150" s="8">
        <v>295</v>
      </c>
      <c r="AG150" s="8">
        <v>4</v>
      </c>
      <c r="AH150" s="8">
        <v>14</v>
      </c>
      <c r="AI150" s="8"/>
      <c r="AK150" s="8">
        <v>1</v>
      </c>
      <c r="AQ150">
        <v>5</v>
      </c>
      <c r="AV150" s="8">
        <v>11</v>
      </c>
      <c r="AW150">
        <v>3</v>
      </c>
      <c r="AX150" s="8">
        <v>398</v>
      </c>
      <c r="AY150" s="8">
        <v>32</v>
      </c>
      <c r="AZ150" s="8">
        <v>3</v>
      </c>
      <c r="BG150">
        <v>1</v>
      </c>
      <c r="BL150">
        <v>3</v>
      </c>
      <c r="BY150">
        <v>2</v>
      </c>
      <c r="BZ150" s="17">
        <f t="shared" si="12"/>
        <v>1803</v>
      </c>
    </row>
    <row r="151" spans="1:86" x14ac:dyDescent="0.2">
      <c r="A151" s="25" t="s">
        <v>730</v>
      </c>
      <c r="B151" s="24" t="s">
        <v>729</v>
      </c>
      <c r="AD151" s="8">
        <v>12</v>
      </c>
      <c r="AE151" s="8">
        <v>1</v>
      </c>
      <c r="AZ151">
        <v>1</v>
      </c>
      <c r="BZ151" s="17">
        <f t="shared" si="12"/>
        <v>14</v>
      </c>
    </row>
    <row r="152" spans="1:86" x14ac:dyDescent="0.2">
      <c r="A152" s="25" t="s">
        <v>798</v>
      </c>
      <c r="B152" s="24" t="s">
        <v>797</v>
      </c>
      <c r="AD152" s="8">
        <v>1</v>
      </c>
      <c r="AE152" s="8">
        <v>1</v>
      </c>
      <c r="AY152">
        <v>1</v>
      </c>
      <c r="BZ152" s="17">
        <f t="shared" si="12"/>
        <v>3</v>
      </c>
    </row>
    <row r="153" spans="1:86" x14ac:dyDescent="0.2">
      <c r="A153" s="25" t="s">
        <v>736</v>
      </c>
      <c r="B153" s="24" t="s">
        <v>735</v>
      </c>
      <c r="AD153" s="8">
        <v>1</v>
      </c>
      <c r="AE153" s="8">
        <v>2</v>
      </c>
      <c r="AX153">
        <v>15</v>
      </c>
      <c r="AY153">
        <v>1</v>
      </c>
      <c r="AZ153">
        <v>1</v>
      </c>
      <c r="BA153">
        <v>1</v>
      </c>
      <c r="BL153">
        <v>1</v>
      </c>
      <c r="BN153">
        <v>1</v>
      </c>
      <c r="BZ153" s="17">
        <f t="shared" si="12"/>
        <v>23</v>
      </c>
    </row>
    <row r="154" spans="1:86" x14ac:dyDescent="0.2">
      <c r="A154" s="25" t="s">
        <v>800</v>
      </c>
      <c r="B154" s="24" t="s">
        <v>799</v>
      </c>
      <c r="AD154" s="8">
        <v>88</v>
      </c>
      <c r="AE154" s="8">
        <v>230</v>
      </c>
      <c r="AL154">
        <v>1</v>
      </c>
      <c r="AQ154">
        <v>1</v>
      </c>
      <c r="AV154">
        <v>4</v>
      </c>
      <c r="AW154">
        <v>2</v>
      </c>
      <c r="AX154">
        <v>108</v>
      </c>
      <c r="AY154">
        <v>6</v>
      </c>
      <c r="AZ154">
        <v>6</v>
      </c>
      <c r="BF154">
        <v>14</v>
      </c>
      <c r="BL154">
        <v>4</v>
      </c>
      <c r="BM154">
        <v>1</v>
      </c>
      <c r="BZ154" s="17">
        <f t="shared" si="12"/>
        <v>465</v>
      </c>
    </row>
    <row r="155" spans="1:86" x14ac:dyDescent="0.2">
      <c r="A155" s="25" t="s">
        <v>802</v>
      </c>
      <c r="B155" s="24" t="s">
        <v>801</v>
      </c>
      <c r="AD155" s="8"/>
      <c r="AX155">
        <v>437</v>
      </c>
      <c r="AY155">
        <v>36</v>
      </c>
      <c r="AZ155">
        <v>14</v>
      </c>
      <c r="BE155">
        <v>1</v>
      </c>
      <c r="BF155">
        <v>3</v>
      </c>
      <c r="BL155">
        <v>12</v>
      </c>
      <c r="BM155">
        <v>2</v>
      </c>
      <c r="BN155">
        <v>1</v>
      </c>
      <c r="BW155">
        <v>2</v>
      </c>
      <c r="BZ155" s="17">
        <f>SUM(T155:BY155)</f>
        <v>508</v>
      </c>
    </row>
    <row r="156" spans="1:86" x14ac:dyDescent="0.2">
      <c r="A156" s="25" t="s">
        <v>804</v>
      </c>
      <c r="B156" s="24" t="s">
        <v>803</v>
      </c>
      <c r="AD156" s="8">
        <v>22</v>
      </c>
      <c r="AE156" s="8">
        <v>39</v>
      </c>
      <c r="AG156">
        <v>2</v>
      </c>
      <c r="AV156">
        <v>1</v>
      </c>
      <c r="AX156">
        <v>168</v>
      </c>
      <c r="AY156">
        <v>10</v>
      </c>
      <c r="AZ156">
        <v>6</v>
      </c>
      <c r="BL156">
        <v>3</v>
      </c>
      <c r="BM156">
        <v>2</v>
      </c>
      <c r="BN156">
        <v>2</v>
      </c>
      <c r="BZ156" s="17">
        <f t="shared" ref="BZ156:BZ219" si="18">SUM(T156:BY156)</f>
        <v>255</v>
      </c>
    </row>
    <row r="157" spans="1:86" x14ac:dyDescent="0.2">
      <c r="A157" s="25" t="s">
        <v>806</v>
      </c>
      <c r="B157" s="24" t="s">
        <v>805</v>
      </c>
      <c r="AD157" s="8">
        <v>8</v>
      </c>
      <c r="AE157" s="8">
        <v>6</v>
      </c>
      <c r="AG157">
        <v>1</v>
      </c>
      <c r="AJ157">
        <v>1</v>
      </c>
      <c r="AX157">
        <v>572</v>
      </c>
      <c r="AY157">
        <v>5</v>
      </c>
      <c r="AZ157">
        <v>65</v>
      </c>
      <c r="BB157">
        <v>1</v>
      </c>
      <c r="BF157">
        <v>312</v>
      </c>
      <c r="BJ157">
        <v>2</v>
      </c>
      <c r="BL157">
        <v>13</v>
      </c>
      <c r="BM157">
        <v>6</v>
      </c>
      <c r="BN157">
        <v>10</v>
      </c>
      <c r="BO157">
        <v>3</v>
      </c>
      <c r="BP157">
        <v>6</v>
      </c>
      <c r="BS157">
        <v>2</v>
      </c>
      <c r="BT157">
        <v>1</v>
      </c>
      <c r="BW157">
        <v>7</v>
      </c>
      <c r="BZ157" s="17">
        <f t="shared" si="18"/>
        <v>1021</v>
      </c>
    </row>
    <row r="158" spans="1:86" x14ac:dyDescent="0.2">
      <c r="A158" s="25" t="s">
        <v>742</v>
      </c>
      <c r="B158" s="24" t="s">
        <v>741</v>
      </c>
      <c r="AD158" s="8">
        <v>4</v>
      </c>
      <c r="AE158" s="8">
        <v>4</v>
      </c>
      <c r="AP158">
        <v>1</v>
      </c>
      <c r="AQ158">
        <v>2</v>
      </c>
      <c r="AX158">
        <v>480</v>
      </c>
      <c r="AY158">
        <v>26</v>
      </c>
      <c r="AZ158">
        <v>63</v>
      </c>
      <c r="BA158">
        <v>10</v>
      </c>
      <c r="BE158">
        <v>4</v>
      </c>
      <c r="BF158">
        <v>312</v>
      </c>
      <c r="BG158">
        <v>3</v>
      </c>
      <c r="BJ158">
        <v>8</v>
      </c>
      <c r="BL158">
        <v>24</v>
      </c>
      <c r="BM158">
        <v>3</v>
      </c>
      <c r="BN158">
        <v>6</v>
      </c>
      <c r="BP158">
        <v>2</v>
      </c>
      <c r="BS158">
        <v>2</v>
      </c>
      <c r="BT158">
        <v>2</v>
      </c>
      <c r="BW158">
        <v>27</v>
      </c>
      <c r="BZ158" s="17">
        <f t="shared" si="18"/>
        <v>983</v>
      </c>
    </row>
    <row r="159" spans="1:86" x14ac:dyDescent="0.2">
      <c r="A159" s="25" t="s">
        <v>807</v>
      </c>
      <c r="B159" s="24" t="s">
        <v>759</v>
      </c>
      <c r="AD159" s="8">
        <v>58</v>
      </c>
      <c r="AE159" s="8">
        <v>27</v>
      </c>
      <c r="AG159">
        <v>5</v>
      </c>
      <c r="AJ159">
        <v>2</v>
      </c>
      <c r="AM159">
        <v>1</v>
      </c>
      <c r="AX159">
        <v>25</v>
      </c>
      <c r="AY159">
        <v>1</v>
      </c>
      <c r="AZ159">
        <v>3</v>
      </c>
      <c r="BA159">
        <v>1</v>
      </c>
      <c r="BF159">
        <v>12</v>
      </c>
      <c r="BN159">
        <v>1</v>
      </c>
      <c r="BZ159" s="17">
        <f t="shared" si="18"/>
        <v>136</v>
      </c>
    </row>
    <row r="160" spans="1:86" x14ac:dyDescent="0.2">
      <c r="A160" s="25" t="s">
        <v>809</v>
      </c>
      <c r="B160" s="24" t="s">
        <v>808</v>
      </c>
      <c r="C160" s="26" t="s">
        <v>577</v>
      </c>
      <c r="E160" s="12" t="s">
        <v>743</v>
      </c>
      <c r="M160" s="14" t="s">
        <v>810</v>
      </c>
      <c r="N160" s="15">
        <v>15071</v>
      </c>
      <c r="AD160" s="8">
        <v>633</v>
      </c>
      <c r="AE160" s="8">
        <v>2431</v>
      </c>
      <c r="AG160">
        <v>9</v>
      </c>
      <c r="AH160">
        <v>8</v>
      </c>
      <c r="AI160">
        <v>13</v>
      </c>
      <c r="AJ160">
        <v>9</v>
      </c>
      <c r="AL160">
        <v>8</v>
      </c>
      <c r="AM160">
        <v>7</v>
      </c>
      <c r="AP160">
        <v>1</v>
      </c>
      <c r="AQ160">
        <v>4</v>
      </c>
      <c r="AV160">
        <v>17</v>
      </c>
      <c r="AW160">
        <v>5</v>
      </c>
      <c r="AX160">
        <v>19</v>
      </c>
      <c r="AZ160">
        <v>1</v>
      </c>
      <c r="BF160">
        <v>8</v>
      </c>
      <c r="BZ160" s="17">
        <f t="shared" si="18"/>
        <v>3173</v>
      </c>
    </row>
    <row r="161" spans="1:85" x14ac:dyDescent="0.2">
      <c r="A161" s="25" t="s">
        <v>811</v>
      </c>
      <c r="B161" s="24" t="s">
        <v>54</v>
      </c>
      <c r="C161" s="26" t="s">
        <v>577</v>
      </c>
      <c r="E161" s="12" t="s">
        <v>743</v>
      </c>
      <c r="BZ161" s="17">
        <f t="shared" si="18"/>
        <v>0</v>
      </c>
      <c r="CA161"/>
      <c r="CB161"/>
      <c r="CD161"/>
      <c r="CE161"/>
      <c r="CF161"/>
      <c r="CG161"/>
    </row>
    <row r="162" spans="1:85" x14ac:dyDescent="0.2">
      <c r="BZ162" s="17">
        <f t="shared" si="18"/>
        <v>0</v>
      </c>
      <c r="CA162"/>
      <c r="CB162"/>
      <c r="CD162"/>
      <c r="CE162"/>
      <c r="CF162"/>
      <c r="CG162"/>
    </row>
    <row r="163" spans="1:85" x14ac:dyDescent="0.2">
      <c r="BZ163" s="17">
        <f t="shared" si="18"/>
        <v>0</v>
      </c>
      <c r="CA163"/>
      <c r="CB163"/>
      <c r="CD163"/>
      <c r="CE163"/>
      <c r="CF163"/>
      <c r="CG163"/>
    </row>
    <row r="164" spans="1:85" x14ac:dyDescent="0.2">
      <c r="BZ164" s="17">
        <f t="shared" si="18"/>
        <v>0</v>
      </c>
      <c r="CA164"/>
      <c r="CB164"/>
      <c r="CD164"/>
      <c r="CE164"/>
      <c r="CF164"/>
      <c r="CG164"/>
    </row>
    <row r="165" spans="1:85" x14ac:dyDescent="0.2">
      <c r="BZ165" s="17">
        <f t="shared" si="18"/>
        <v>0</v>
      </c>
      <c r="CA165"/>
      <c r="CB165"/>
      <c r="CD165"/>
      <c r="CE165"/>
      <c r="CF165"/>
      <c r="CG165"/>
    </row>
    <row r="166" spans="1:85" x14ac:dyDescent="0.2">
      <c r="BZ166" s="17">
        <f t="shared" si="18"/>
        <v>0</v>
      </c>
      <c r="CA166"/>
      <c r="CB166"/>
      <c r="CD166"/>
      <c r="CE166"/>
      <c r="CF166"/>
      <c r="CG166"/>
    </row>
    <row r="167" spans="1:85" x14ac:dyDescent="0.2">
      <c r="BZ167" s="17">
        <f t="shared" si="18"/>
        <v>0</v>
      </c>
      <c r="CA167"/>
      <c r="CB167"/>
      <c r="CD167"/>
      <c r="CE167"/>
      <c r="CF167"/>
      <c r="CG167"/>
    </row>
    <row r="168" spans="1:85" x14ac:dyDescent="0.2">
      <c r="BZ168" s="17">
        <f t="shared" si="18"/>
        <v>0</v>
      </c>
      <c r="CA168"/>
      <c r="CB168"/>
      <c r="CD168"/>
      <c r="CE168"/>
      <c r="CF168"/>
      <c r="CG168"/>
    </row>
    <row r="169" spans="1:85" x14ac:dyDescent="0.2">
      <c r="BZ169" s="17">
        <f t="shared" si="18"/>
        <v>0</v>
      </c>
      <c r="CA169"/>
      <c r="CB169"/>
      <c r="CD169"/>
      <c r="CE169"/>
      <c r="CF169"/>
      <c r="CG169"/>
    </row>
    <row r="170" spans="1:85" x14ac:dyDescent="0.2">
      <c r="BZ170" s="17">
        <f t="shared" si="18"/>
        <v>0</v>
      </c>
      <c r="CA170"/>
      <c r="CB170"/>
      <c r="CD170"/>
      <c r="CE170"/>
      <c r="CF170"/>
      <c r="CG170"/>
    </row>
    <row r="171" spans="1:85" x14ac:dyDescent="0.2">
      <c r="BZ171" s="17">
        <f t="shared" si="18"/>
        <v>0</v>
      </c>
      <c r="CA171"/>
      <c r="CB171"/>
      <c r="CD171"/>
      <c r="CE171"/>
      <c r="CF171"/>
      <c r="CG171"/>
    </row>
    <row r="172" spans="1:85" x14ac:dyDescent="0.2">
      <c r="BZ172" s="17">
        <f t="shared" si="18"/>
        <v>0</v>
      </c>
      <c r="CA172"/>
      <c r="CB172"/>
      <c r="CD172"/>
      <c r="CE172"/>
      <c r="CF172"/>
      <c r="CG172"/>
    </row>
    <row r="173" spans="1:85" x14ac:dyDescent="0.2">
      <c r="BZ173" s="17">
        <f t="shared" si="18"/>
        <v>0</v>
      </c>
      <c r="CA173"/>
      <c r="CB173"/>
      <c r="CD173"/>
      <c r="CE173"/>
      <c r="CF173"/>
      <c r="CG173"/>
    </row>
    <row r="174" spans="1:85" x14ac:dyDescent="0.2">
      <c r="BZ174" s="17">
        <f t="shared" si="18"/>
        <v>0</v>
      </c>
      <c r="CA174"/>
      <c r="CB174"/>
      <c r="CD174"/>
      <c r="CE174"/>
      <c r="CF174"/>
      <c r="CG174"/>
    </row>
    <row r="175" spans="1:85" x14ac:dyDescent="0.2">
      <c r="BZ175" s="17">
        <f t="shared" si="18"/>
        <v>0</v>
      </c>
      <c r="CA175"/>
      <c r="CB175"/>
      <c r="CD175"/>
      <c r="CE175"/>
      <c r="CF175"/>
      <c r="CG175"/>
    </row>
    <row r="176" spans="1:85" x14ac:dyDescent="0.2">
      <c r="BZ176" s="17">
        <f t="shared" si="18"/>
        <v>0</v>
      </c>
      <c r="CA176"/>
      <c r="CB176"/>
      <c r="CD176"/>
      <c r="CE176"/>
      <c r="CF176"/>
      <c r="CG176"/>
    </row>
    <row r="177" spans="1:8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BZ177" s="17">
        <f t="shared" si="18"/>
        <v>0</v>
      </c>
      <c r="CA177"/>
      <c r="CB177"/>
      <c r="CD177"/>
      <c r="CE177"/>
      <c r="CF177"/>
      <c r="CG177"/>
    </row>
    <row r="178" spans="1:8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BZ178" s="17">
        <f t="shared" si="18"/>
        <v>0</v>
      </c>
      <c r="CA178"/>
      <c r="CB178"/>
      <c r="CD178"/>
      <c r="CE178"/>
      <c r="CF178"/>
      <c r="CG178"/>
    </row>
    <row r="179" spans="1:8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BZ179" s="17">
        <f t="shared" si="18"/>
        <v>0</v>
      </c>
      <c r="CA179"/>
      <c r="CB179"/>
      <c r="CD179"/>
      <c r="CE179"/>
      <c r="CF179"/>
      <c r="CG179"/>
    </row>
    <row r="180" spans="1:8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BZ180" s="17">
        <f t="shared" si="18"/>
        <v>0</v>
      </c>
      <c r="CA180"/>
      <c r="CB180"/>
      <c r="CD180"/>
      <c r="CE180"/>
      <c r="CF180"/>
      <c r="CG180"/>
    </row>
    <row r="181" spans="1:8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BZ181" s="17">
        <f t="shared" si="18"/>
        <v>0</v>
      </c>
      <c r="CA181"/>
      <c r="CB181"/>
      <c r="CD181"/>
      <c r="CE181"/>
      <c r="CF181"/>
      <c r="CG181"/>
    </row>
    <row r="182" spans="1:8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BZ182" s="17">
        <f t="shared" si="18"/>
        <v>0</v>
      </c>
      <c r="CA182"/>
      <c r="CB182"/>
      <c r="CD182"/>
      <c r="CE182"/>
      <c r="CF182"/>
      <c r="CG182"/>
    </row>
    <row r="183" spans="1:8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BZ183" s="17">
        <f t="shared" si="18"/>
        <v>0</v>
      </c>
      <c r="CA183"/>
      <c r="CB183"/>
      <c r="CD183"/>
      <c r="CE183"/>
      <c r="CF183"/>
      <c r="CG183"/>
    </row>
    <row r="184" spans="1:8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BZ184" s="17">
        <f t="shared" si="18"/>
        <v>0</v>
      </c>
      <c r="CA184"/>
      <c r="CB184"/>
      <c r="CD184"/>
      <c r="CE184"/>
      <c r="CF184"/>
      <c r="CG184"/>
    </row>
    <row r="185" spans="1:8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BZ185" s="17">
        <f t="shared" si="18"/>
        <v>0</v>
      </c>
      <c r="CA185"/>
      <c r="CB185"/>
      <c r="CD185"/>
      <c r="CE185"/>
      <c r="CF185"/>
      <c r="CG185"/>
    </row>
    <row r="186" spans="1:8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BZ186" s="17">
        <f t="shared" si="18"/>
        <v>0</v>
      </c>
      <c r="CA186"/>
      <c r="CB186"/>
      <c r="CD186"/>
      <c r="CE186"/>
      <c r="CF186"/>
      <c r="CG186"/>
    </row>
    <row r="187" spans="1:8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BZ187" s="17">
        <f t="shared" si="18"/>
        <v>0</v>
      </c>
      <c r="CA187"/>
      <c r="CB187"/>
      <c r="CD187"/>
      <c r="CE187"/>
      <c r="CF187"/>
      <c r="CG187"/>
    </row>
    <row r="188" spans="1:8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BZ188" s="17">
        <f t="shared" si="18"/>
        <v>0</v>
      </c>
      <c r="CA188"/>
      <c r="CB188"/>
      <c r="CD188"/>
      <c r="CE188"/>
      <c r="CF188"/>
      <c r="CG188"/>
    </row>
    <row r="189" spans="1:8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BZ189" s="17">
        <f t="shared" si="18"/>
        <v>0</v>
      </c>
      <c r="CA189"/>
      <c r="CB189"/>
      <c r="CD189"/>
      <c r="CE189"/>
      <c r="CF189"/>
      <c r="CG189"/>
    </row>
    <row r="190" spans="1:8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BZ190" s="17">
        <f t="shared" si="18"/>
        <v>0</v>
      </c>
      <c r="CA190"/>
      <c r="CB190"/>
      <c r="CD190"/>
      <c r="CE190"/>
      <c r="CF190"/>
      <c r="CG190"/>
    </row>
    <row r="191" spans="1:8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BZ191" s="17">
        <f t="shared" si="18"/>
        <v>0</v>
      </c>
      <c r="CA191"/>
      <c r="CB191"/>
      <c r="CD191"/>
      <c r="CE191"/>
      <c r="CF191"/>
      <c r="CG191"/>
    </row>
    <row r="192" spans="1:8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BZ192" s="17">
        <f t="shared" si="18"/>
        <v>0</v>
      </c>
      <c r="CA192"/>
      <c r="CB192"/>
      <c r="CD192"/>
      <c r="CE192"/>
      <c r="CF192"/>
      <c r="CG192"/>
    </row>
    <row r="193" spans="1:8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BZ193" s="17">
        <f t="shared" si="18"/>
        <v>0</v>
      </c>
      <c r="CA193"/>
      <c r="CB193"/>
      <c r="CD193"/>
      <c r="CE193"/>
      <c r="CF193"/>
      <c r="CG193"/>
    </row>
    <row r="194" spans="1:8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BZ194" s="17">
        <f t="shared" si="18"/>
        <v>0</v>
      </c>
      <c r="CA194"/>
      <c r="CB194"/>
      <c r="CD194"/>
      <c r="CE194"/>
      <c r="CF194"/>
      <c r="CG194"/>
    </row>
    <row r="195" spans="1:8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BZ195" s="17">
        <f t="shared" si="18"/>
        <v>0</v>
      </c>
      <c r="CA195"/>
      <c r="CB195"/>
      <c r="CD195"/>
      <c r="CE195"/>
      <c r="CF195"/>
      <c r="CG195"/>
    </row>
    <row r="196" spans="1:8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BZ196" s="17">
        <f t="shared" si="18"/>
        <v>0</v>
      </c>
      <c r="CA196"/>
      <c r="CB196"/>
      <c r="CD196"/>
      <c r="CE196"/>
      <c r="CF196"/>
      <c r="CG196"/>
    </row>
    <row r="197" spans="1:8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BZ197" s="17">
        <f t="shared" si="18"/>
        <v>0</v>
      </c>
      <c r="CA197"/>
      <c r="CB197"/>
      <c r="CD197"/>
      <c r="CE197"/>
      <c r="CF197"/>
      <c r="CG197"/>
    </row>
    <row r="198" spans="1:8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BZ198" s="17">
        <f t="shared" si="18"/>
        <v>0</v>
      </c>
      <c r="CA198"/>
      <c r="CB198"/>
      <c r="CD198"/>
      <c r="CE198"/>
      <c r="CF198"/>
      <c r="CG198"/>
    </row>
    <row r="199" spans="1:8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BZ199" s="17">
        <f t="shared" si="18"/>
        <v>0</v>
      </c>
      <c r="CA199"/>
      <c r="CB199"/>
      <c r="CD199"/>
      <c r="CE199"/>
      <c r="CF199"/>
      <c r="CG199"/>
    </row>
    <row r="200" spans="1:8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BZ200" s="17">
        <f t="shared" si="18"/>
        <v>0</v>
      </c>
      <c r="CA200"/>
      <c r="CB200"/>
      <c r="CD200"/>
      <c r="CE200"/>
      <c r="CF200"/>
      <c r="CG200"/>
    </row>
    <row r="201" spans="1:8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BZ201" s="17">
        <f t="shared" si="18"/>
        <v>0</v>
      </c>
      <c r="CA201"/>
      <c r="CB201"/>
      <c r="CD201"/>
      <c r="CE201"/>
      <c r="CF201"/>
      <c r="CG201"/>
    </row>
    <row r="202" spans="1:8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BZ202" s="17">
        <f t="shared" si="18"/>
        <v>0</v>
      </c>
      <c r="CA202"/>
      <c r="CB202"/>
      <c r="CD202"/>
      <c r="CE202"/>
      <c r="CF202"/>
      <c r="CG202"/>
    </row>
    <row r="203" spans="1:8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BZ203" s="17">
        <f t="shared" si="18"/>
        <v>0</v>
      </c>
      <c r="CA203"/>
      <c r="CB203"/>
      <c r="CD203"/>
      <c r="CE203"/>
      <c r="CF203"/>
      <c r="CG203"/>
    </row>
    <row r="204" spans="1:8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BZ204" s="17">
        <f t="shared" si="18"/>
        <v>0</v>
      </c>
      <c r="CA204"/>
      <c r="CB204"/>
      <c r="CD204"/>
      <c r="CE204"/>
      <c r="CF204"/>
      <c r="CG204"/>
    </row>
    <row r="205" spans="1:8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BZ205" s="17">
        <f t="shared" si="18"/>
        <v>0</v>
      </c>
      <c r="CA205"/>
      <c r="CB205"/>
      <c r="CD205"/>
      <c r="CE205"/>
      <c r="CF205"/>
      <c r="CG205"/>
    </row>
    <row r="206" spans="1:8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BZ206" s="17">
        <f t="shared" si="18"/>
        <v>0</v>
      </c>
      <c r="CA206"/>
      <c r="CB206"/>
      <c r="CD206"/>
      <c r="CE206"/>
      <c r="CF206"/>
      <c r="CG206"/>
    </row>
    <row r="207" spans="1:8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BZ207" s="17">
        <f t="shared" si="18"/>
        <v>0</v>
      </c>
      <c r="CA207"/>
      <c r="CB207"/>
      <c r="CD207"/>
      <c r="CE207"/>
      <c r="CF207"/>
      <c r="CG207"/>
    </row>
    <row r="208" spans="1:8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BZ208" s="17">
        <f t="shared" si="18"/>
        <v>0</v>
      </c>
      <c r="CA208"/>
      <c r="CB208"/>
      <c r="CD208"/>
      <c r="CE208"/>
      <c r="CF208"/>
      <c r="CG208"/>
    </row>
    <row r="209" spans="1:8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BZ209" s="17">
        <f t="shared" si="18"/>
        <v>0</v>
      </c>
      <c r="CA209"/>
      <c r="CB209"/>
      <c r="CD209"/>
      <c r="CE209"/>
      <c r="CF209"/>
      <c r="CG209"/>
    </row>
    <row r="210" spans="1:8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BZ210" s="17">
        <f t="shared" si="18"/>
        <v>0</v>
      </c>
      <c r="CA210"/>
      <c r="CB210"/>
      <c r="CD210"/>
      <c r="CE210"/>
      <c r="CF210"/>
      <c r="CG210"/>
    </row>
    <row r="211" spans="1:8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BZ211" s="17">
        <f t="shared" si="18"/>
        <v>0</v>
      </c>
      <c r="CA211"/>
      <c r="CB211"/>
      <c r="CD211"/>
      <c r="CE211"/>
      <c r="CF211"/>
      <c r="CG211"/>
    </row>
    <row r="212" spans="1:8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BZ212" s="17">
        <f t="shared" si="18"/>
        <v>0</v>
      </c>
      <c r="CA212"/>
      <c r="CB212"/>
      <c r="CD212"/>
      <c r="CE212"/>
      <c r="CF212"/>
      <c r="CG212"/>
    </row>
    <row r="213" spans="1:8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BZ213" s="17">
        <f t="shared" si="18"/>
        <v>0</v>
      </c>
      <c r="CA213"/>
      <c r="CB213"/>
      <c r="CD213"/>
      <c r="CE213"/>
      <c r="CF213"/>
      <c r="CG213"/>
    </row>
    <row r="214" spans="1:8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BZ214" s="17">
        <f t="shared" si="18"/>
        <v>0</v>
      </c>
      <c r="CA214"/>
      <c r="CB214"/>
      <c r="CD214"/>
      <c r="CE214"/>
      <c r="CF214"/>
      <c r="CG214"/>
    </row>
    <row r="215" spans="1:8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BZ215" s="17">
        <f t="shared" si="18"/>
        <v>0</v>
      </c>
      <c r="CA215"/>
      <c r="CB215"/>
      <c r="CD215"/>
      <c r="CE215"/>
      <c r="CF215"/>
      <c r="CG215"/>
    </row>
    <row r="216" spans="1:8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BZ216" s="17">
        <f t="shared" si="18"/>
        <v>0</v>
      </c>
      <c r="CA216"/>
      <c r="CB216"/>
      <c r="CD216"/>
      <c r="CE216"/>
      <c r="CF216"/>
      <c r="CG216"/>
    </row>
    <row r="217" spans="1:8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BZ217" s="17">
        <f t="shared" si="18"/>
        <v>0</v>
      </c>
      <c r="CA217"/>
      <c r="CB217"/>
      <c r="CD217"/>
      <c r="CE217"/>
      <c r="CF217"/>
      <c r="CG217"/>
    </row>
    <row r="218" spans="1:8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BZ218" s="17">
        <f t="shared" si="18"/>
        <v>0</v>
      </c>
      <c r="CA218"/>
      <c r="CB218"/>
      <c r="CD218"/>
      <c r="CE218"/>
      <c r="CF218"/>
      <c r="CG218"/>
    </row>
    <row r="219" spans="1:8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BZ219" s="17">
        <f t="shared" si="18"/>
        <v>0</v>
      </c>
      <c r="CA219"/>
      <c r="CB219"/>
      <c r="CD219"/>
      <c r="CE219"/>
      <c r="CF219"/>
      <c r="CG219"/>
    </row>
    <row r="220" spans="1:8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BZ220" s="17">
        <f t="shared" ref="BZ220:BZ235" si="19">SUM(T220:BY220)</f>
        <v>0</v>
      </c>
      <c r="CA220"/>
      <c r="CB220"/>
      <c r="CD220"/>
      <c r="CE220"/>
      <c r="CF220"/>
      <c r="CG220"/>
    </row>
    <row r="221" spans="1:8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BZ221" s="17">
        <f t="shared" si="19"/>
        <v>0</v>
      </c>
      <c r="CA221"/>
      <c r="CB221"/>
      <c r="CD221"/>
      <c r="CE221"/>
      <c r="CF221"/>
      <c r="CG221"/>
    </row>
    <row r="222" spans="1:8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BZ222" s="17">
        <f t="shared" si="19"/>
        <v>0</v>
      </c>
      <c r="CA222"/>
      <c r="CB222"/>
      <c r="CD222"/>
      <c r="CE222"/>
      <c r="CF222"/>
      <c r="CG222"/>
    </row>
    <row r="223" spans="1:8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BZ223" s="17">
        <f t="shared" si="19"/>
        <v>0</v>
      </c>
      <c r="CA223"/>
      <c r="CB223"/>
      <c r="CD223"/>
      <c r="CE223"/>
      <c r="CF223"/>
      <c r="CG223"/>
    </row>
    <row r="224" spans="1:8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BZ224" s="17">
        <f t="shared" si="19"/>
        <v>0</v>
      </c>
      <c r="CA224"/>
      <c r="CB224"/>
      <c r="CD224"/>
      <c r="CE224"/>
      <c r="CF224"/>
      <c r="CG224"/>
    </row>
    <row r="225" spans="1:8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BZ225" s="17">
        <f t="shared" si="19"/>
        <v>0</v>
      </c>
      <c r="CA225"/>
      <c r="CB225"/>
      <c r="CD225"/>
      <c r="CE225"/>
      <c r="CF225"/>
      <c r="CG225"/>
    </row>
    <row r="226" spans="1:8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BZ226" s="17">
        <f t="shared" si="19"/>
        <v>0</v>
      </c>
      <c r="CA226"/>
      <c r="CB226"/>
      <c r="CD226"/>
      <c r="CE226"/>
      <c r="CF226"/>
      <c r="CG226"/>
    </row>
    <row r="227" spans="1:8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BZ227" s="17">
        <f t="shared" si="19"/>
        <v>0</v>
      </c>
      <c r="CA227"/>
      <c r="CB227"/>
      <c r="CD227"/>
      <c r="CE227"/>
      <c r="CF227"/>
      <c r="CG227"/>
    </row>
    <row r="228" spans="1:8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BZ228" s="17">
        <f t="shared" si="19"/>
        <v>0</v>
      </c>
      <c r="CA228"/>
      <c r="CB228"/>
      <c r="CD228"/>
      <c r="CE228"/>
      <c r="CF228"/>
      <c r="CG228"/>
    </row>
    <row r="229" spans="1:8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BZ229" s="17">
        <f t="shared" si="19"/>
        <v>0</v>
      </c>
      <c r="CA229"/>
      <c r="CB229"/>
      <c r="CD229"/>
      <c r="CE229"/>
      <c r="CF229"/>
      <c r="CG229"/>
    </row>
    <row r="230" spans="1:8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BZ230" s="17">
        <f t="shared" si="19"/>
        <v>0</v>
      </c>
      <c r="CA230"/>
      <c r="CB230"/>
      <c r="CD230"/>
      <c r="CE230"/>
      <c r="CF230"/>
      <c r="CG230"/>
    </row>
    <row r="231" spans="1:8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BZ231" s="17">
        <f t="shared" si="19"/>
        <v>0</v>
      </c>
      <c r="CA231"/>
      <c r="CB231"/>
      <c r="CD231"/>
      <c r="CE231"/>
      <c r="CF231"/>
      <c r="CG231"/>
    </row>
    <row r="232" spans="1:8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BZ232" s="17">
        <f t="shared" si="19"/>
        <v>0</v>
      </c>
      <c r="CA232"/>
      <c r="CB232"/>
      <c r="CD232"/>
      <c r="CE232"/>
      <c r="CF232"/>
      <c r="CG232"/>
    </row>
    <row r="233" spans="1:8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BZ233" s="17">
        <f t="shared" si="19"/>
        <v>0</v>
      </c>
      <c r="CA233"/>
      <c r="CB233"/>
      <c r="CD233"/>
      <c r="CE233"/>
      <c r="CF233"/>
      <c r="CG233"/>
    </row>
    <row r="234" spans="1:8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BZ234" s="17">
        <f t="shared" si="19"/>
        <v>0</v>
      </c>
      <c r="CA234"/>
      <c r="CB234"/>
      <c r="CD234"/>
      <c r="CE234"/>
      <c r="CF234"/>
      <c r="CG234"/>
    </row>
    <row r="235" spans="1:8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BZ235" s="17">
        <f t="shared" si="19"/>
        <v>0</v>
      </c>
      <c r="CA235"/>
      <c r="CB235"/>
      <c r="CD235"/>
      <c r="CE235"/>
      <c r="CF235"/>
      <c r="CG2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opLeftCell="A3" workbookViewId="0">
      <selection activeCell="B29" sqref="B29:C29"/>
    </sheetView>
  </sheetViews>
  <sheetFormatPr baseColWidth="10" defaultRowHeight="16" x14ac:dyDescent="0.2"/>
  <cols>
    <col min="1" max="1" width="19.33203125" customWidth="1"/>
    <col min="2" max="2" width="13.33203125" customWidth="1"/>
  </cols>
  <sheetData>
    <row r="1" spans="1:3" x14ac:dyDescent="0.2">
      <c r="A1" t="s">
        <v>1427</v>
      </c>
      <c r="B1" t="s">
        <v>1425</v>
      </c>
      <c r="C1" t="s">
        <v>1426</v>
      </c>
    </row>
    <row r="2" spans="1:3" x14ac:dyDescent="0.2">
      <c r="A2" t="s">
        <v>9</v>
      </c>
      <c r="B2">
        <v>35.698</v>
      </c>
      <c r="C2">
        <v>-89.778999999999996</v>
      </c>
    </row>
    <row r="3" spans="1:3" x14ac:dyDescent="0.2">
      <c r="A3" t="s">
        <v>10</v>
      </c>
      <c r="B3">
        <v>35.838510224554703</v>
      </c>
      <c r="C3">
        <v>-89.623299472967304</v>
      </c>
    </row>
    <row r="4" spans="1:3" x14ac:dyDescent="0.2">
      <c r="A4" t="s">
        <v>11</v>
      </c>
      <c r="B4">
        <v>35.536256875162202</v>
      </c>
      <c r="C4">
        <v>-89.869833528919301</v>
      </c>
    </row>
    <row r="5" spans="1:3" x14ac:dyDescent="0.2">
      <c r="A5" t="s">
        <v>12</v>
      </c>
      <c r="B5">
        <v>35.633000000000003</v>
      </c>
      <c r="C5">
        <v>-89.664000000000001</v>
      </c>
    </row>
    <row r="6" spans="1:3" x14ac:dyDescent="0.2">
      <c r="A6" t="s">
        <v>13</v>
      </c>
      <c r="B6">
        <v>35.502000000000002</v>
      </c>
      <c r="C6">
        <v>-89.947999999999993</v>
      </c>
    </row>
    <row r="7" spans="1:3" x14ac:dyDescent="0.2">
      <c r="A7" t="s">
        <v>14</v>
      </c>
      <c r="B7">
        <v>35.453000000000003</v>
      </c>
      <c r="C7">
        <v>-89.972999999999999</v>
      </c>
    </row>
    <row r="8" spans="1:3" x14ac:dyDescent="0.2">
      <c r="A8" t="s">
        <v>15</v>
      </c>
      <c r="B8">
        <v>35.496563769001497</v>
      </c>
      <c r="C8">
        <v>-89.970203189966796</v>
      </c>
    </row>
    <row r="9" spans="1:3" x14ac:dyDescent="0.2">
      <c r="A9" t="s">
        <v>16</v>
      </c>
      <c r="B9">
        <v>35.719000000000001</v>
      </c>
      <c r="C9">
        <v>-89.772000000000006</v>
      </c>
    </row>
    <row r="10" spans="1:3" x14ac:dyDescent="0.2">
      <c r="A10" t="s">
        <v>1428</v>
      </c>
      <c r="B10">
        <v>35.732999999999997</v>
      </c>
      <c r="C10">
        <v>35.732999999999997</v>
      </c>
    </row>
    <row r="11" spans="1:3" x14ac:dyDescent="0.2">
      <c r="A11" t="s">
        <v>17</v>
      </c>
      <c r="B11">
        <v>35.704000000000001</v>
      </c>
      <c r="C11">
        <v>-89.861999999999995</v>
      </c>
    </row>
    <row r="12" spans="1:3" x14ac:dyDescent="0.2">
      <c r="A12" t="s">
        <v>18</v>
      </c>
      <c r="B12">
        <v>35.268999999999998</v>
      </c>
      <c r="C12">
        <v>-90.061999999999998</v>
      </c>
    </row>
    <row r="13" spans="1:3" x14ac:dyDescent="0.2">
      <c r="A13" t="s">
        <v>19</v>
      </c>
      <c r="B13">
        <v>35.390999999999998</v>
      </c>
      <c r="C13">
        <v>-89.992999999999995</v>
      </c>
    </row>
    <row r="14" spans="1:3" x14ac:dyDescent="0.2">
      <c r="A14" t="s">
        <v>20</v>
      </c>
      <c r="B14">
        <v>34.948009941326298</v>
      </c>
      <c r="C14">
        <v>-90.233141915886193</v>
      </c>
    </row>
    <row r="15" spans="1:3" x14ac:dyDescent="0.2">
      <c r="A15" t="s">
        <v>21</v>
      </c>
      <c r="B15">
        <v>34.918820175245799</v>
      </c>
      <c r="C15">
        <v>-90.199990117650103</v>
      </c>
    </row>
    <row r="16" spans="1:3" x14ac:dyDescent="0.2">
      <c r="A16" t="s">
        <v>22</v>
      </c>
      <c r="B16">
        <v>35.599189272357101</v>
      </c>
      <c r="C16">
        <v>-89.977762204487803</v>
      </c>
    </row>
    <row r="17" spans="1:3" x14ac:dyDescent="0.2">
      <c r="A17" t="s">
        <v>23</v>
      </c>
      <c r="B17">
        <v>35.536483463700897</v>
      </c>
      <c r="C17">
        <v>-90.103393146290998</v>
      </c>
    </row>
    <row r="18" spans="1:3" x14ac:dyDescent="0.2">
      <c r="A18" t="s">
        <v>24</v>
      </c>
      <c r="B18">
        <v>34.9842780388338</v>
      </c>
      <c r="C18">
        <v>-90.208976618573104</v>
      </c>
    </row>
    <row r="19" spans="1:3" x14ac:dyDescent="0.2">
      <c r="A19" t="s">
        <v>25</v>
      </c>
      <c r="B19">
        <v>34.916010653203799</v>
      </c>
      <c r="C19">
        <v>-90.156281098309805</v>
      </c>
    </row>
    <row r="20" spans="1:3" x14ac:dyDescent="0.2">
      <c r="A20" t="s">
        <v>26</v>
      </c>
      <c r="B20">
        <v>34.9757726710613</v>
      </c>
      <c r="C20">
        <v>-90.677658648596505</v>
      </c>
    </row>
    <row r="21" spans="1:3" x14ac:dyDescent="0.2">
      <c r="A21" t="s">
        <v>27</v>
      </c>
      <c r="B21">
        <v>34.775520388087799</v>
      </c>
      <c r="C21">
        <v>-90.370602948777204</v>
      </c>
    </row>
    <row r="22" spans="1:3" x14ac:dyDescent="0.2">
      <c r="A22" t="s">
        <v>28</v>
      </c>
      <c r="B22">
        <v>34.8160842405021</v>
      </c>
      <c r="C22">
        <v>-90.382255413899998</v>
      </c>
    </row>
    <row r="23" spans="1:3" x14ac:dyDescent="0.2">
      <c r="A23" t="s">
        <v>29</v>
      </c>
      <c r="B23">
        <v>35.234356644694799</v>
      </c>
      <c r="C23">
        <v>-90.610319472424194</v>
      </c>
    </row>
    <row r="24" spans="1:3" x14ac:dyDescent="0.2">
      <c r="A24" t="s">
        <v>30</v>
      </c>
      <c r="B24">
        <v>35.004579259665199</v>
      </c>
      <c r="C24">
        <v>-90.485663149257803</v>
      </c>
    </row>
    <row r="25" spans="1:3" x14ac:dyDescent="0.2">
      <c r="A25" t="s">
        <v>31</v>
      </c>
      <c r="B25">
        <v>35.339785895549099</v>
      </c>
      <c r="C25">
        <v>-90.540991018677403</v>
      </c>
    </row>
    <row r="26" spans="1:3" x14ac:dyDescent="0.2">
      <c r="A26" t="s">
        <v>32</v>
      </c>
      <c r="B26">
        <v>35.334940355634401</v>
      </c>
      <c r="C26">
        <v>-90.524417395058606</v>
      </c>
    </row>
    <row r="27" spans="1:3" x14ac:dyDescent="0.2">
      <c r="A27" t="s">
        <v>33</v>
      </c>
      <c r="B27">
        <v>35.438600384339601</v>
      </c>
      <c r="C27">
        <v>-90.524330202360801</v>
      </c>
    </row>
    <row r="28" spans="1:3" x14ac:dyDescent="0.2">
      <c r="A28" t="s">
        <v>288</v>
      </c>
      <c r="B28">
        <v>33.460104999999999</v>
      </c>
      <c r="C28">
        <v>-90.601299999999995</v>
      </c>
    </row>
    <row r="29" spans="1:3" x14ac:dyDescent="0.2">
      <c r="A29" t="s">
        <v>35</v>
      </c>
      <c r="B29">
        <v>35.377167479080903</v>
      </c>
      <c r="C29">
        <v>-90.389406360280404</v>
      </c>
    </row>
    <row r="30" spans="1:3" x14ac:dyDescent="0.2">
      <c r="A30" t="s">
        <v>36</v>
      </c>
      <c r="B30">
        <v>35.276000000000003</v>
      </c>
      <c r="C30">
        <v>-90.555999999999997</v>
      </c>
    </row>
    <row r="31" spans="1:3" x14ac:dyDescent="0.2">
      <c r="A31" t="s">
        <v>37</v>
      </c>
      <c r="B31">
        <v>34.963999999999999</v>
      </c>
      <c r="C31">
        <v>-90.176000000000002</v>
      </c>
    </row>
    <row r="32" spans="1:3" x14ac:dyDescent="0.2">
      <c r="A32" t="s">
        <v>38</v>
      </c>
      <c r="B32">
        <v>34.96</v>
      </c>
      <c r="C32">
        <v>-90.218999999999994</v>
      </c>
    </row>
    <row r="33" spans="1:3" x14ac:dyDescent="0.2">
      <c r="A33" t="s">
        <v>39</v>
      </c>
      <c r="B33">
        <v>34.915999999999997</v>
      </c>
      <c r="C33">
        <v>-90.156000000000006</v>
      </c>
    </row>
    <row r="34" spans="1:3" x14ac:dyDescent="0.2">
      <c r="A34" s="9" t="s">
        <v>40</v>
      </c>
      <c r="B34">
        <v>34.961218582645799</v>
      </c>
      <c r="C34">
        <v>-90.5428340560875</v>
      </c>
    </row>
    <row r="35" spans="1:3" x14ac:dyDescent="0.2">
      <c r="A35" t="s">
        <v>41</v>
      </c>
      <c r="B35">
        <v>35.597000000000001</v>
      </c>
      <c r="C35">
        <v>-90.046999999999997</v>
      </c>
    </row>
    <row r="36" spans="1:3" x14ac:dyDescent="0.2">
      <c r="A36" t="s">
        <v>42</v>
      </c>
      <c r="B36">
        <v>35.079000000000001</v>
      </c>
      <c r="C36">
        <v>-90.239000000000004</v>
      </c>
    </row>
    <row r="37" spans="1:3" x14ac:dyDescent="0.2">
      <c r="A37" t="s">
        <v>43</v>
      </c>
      <c r="B37">
        <v>35.085000000000001</v>
      </c>
      <c r="C37">
        <v>-90.325000000000003</v>
      </c>
    </row>
    <row r="38" spans="1:3" x14ac:dyDescent="0.2">
      <c r="A38" t="s">
        <v>44</v>
      </c>
      <c r="B38">
        <v>35.119999999999997</v>
      </c>
      <c r="C38">
        <v>-90.695999999999998</v>
      </c>
    </row>
    <row r="39" spans="1:3" x14ac:dyDescent="0.2">
      <c r="A39" t="s">
        <v>45</v>
      </c>
      <c r="B39">
        <v>35.024355999999997</v>
      </c>
      <c r="C39">
        <v>-90.359235999999996</v>
      </c>
    </row>
    <row r="40" spans="1:3" x14ac:dyDescent="0.2">
      <c r="A40" t="s">
        <v>46</v>
      </c>
      <c r="B40">
        <v>34.520896</v>
      </c>
      <c r="C40">
        <v>-90.460517999999993</v>
      </c>
    </row>
    <row r="41" spans="1:3" x14ac:dyDescent="0.2">
      <c r="A41" t="s">
        <v>47</v>
      </c>
      <c r="B41">
        <v>34.757402999999996</v>
      </c>
      <c r="C41">
        <v>-90.561158000000006</v>
      </c>
    </row>
    <row r="42" spans="1:3" x14ac:dyDescent="0.2">
      <c r="A42" t="s">
        <v>48</v>
      </c>
      <c r="B42">
        <v>35.617461722064597</v>
      </c>
      <c r="C42">
        <v>-90.633191850226595</v>
      </c>
    </row>
    <row r="43" spans="1:3" x14ac:dyDescent="0.2">
      <c r="A43" t="s">
        <v>49</v>
      </c>
      <c r="B43">
        <v>35.413526865828601</v>
      </c>
      <c r="C43">
        <v>-90.545688429752403</v>
      </c>
    </row>
    <row r="44" spans="1:3" x14ac:dyDescent="0.2">
      <c r="A44" t="s">
        <v>50</v>
      </c>
      <c r="B44">
        <v>34.8568042503641</v>
      </c>
      <c r="C44">
        <v>-90.688664463760105</v>
      </c>
    </row>
    <row r="45" spans="1:3" x14ac:dyDescent="0.2">
      <c r="A45" t="s">
        <v>51</v>
      </c>
      <c r="B45">
        <v>34.9842780388338</v>
      </c>
      <c r="C45">
        <v>-90.208976618573104</v>
      </c>
    </row>
    <row r="46" spans="1:3" x14ac:dyDescent="0.2">
      <c r="A46" t="s">
        <v>52</v>
      </c>
      <c r="B46">
        <v>34.546011</v>
      </c>
      <c r="C46">
        <v>-90.473068999999995</v>
      </c>
    </row>
    <row r="47" spans="1:3" x14ac:dyDescent="0.2">
      <c r="A47" t="s">
        <v>53</v>
      </c>
      <c r="B47">
        <v>34.358595210569298</v>
      </c>
      <c r="C47">
        <v>-90.565706890761703</v>
      </c>
    </row>
    <row r="48" spans="1:3" x14ac:dyDescent="0.2">
      <c r="A48" t="s">
        <v>54</v>
      </c>
      <c r="B48">
        <v>34.352882999999999</v>
      </c>
      <c r="C48">
        <v>-90.484969000000007</v>
      </c>
    </row>
    <row r="49" spans="1:3" x14ac:dyDescent="0.2">
      <c r="A49" t="s">
        <v>55</v>
      </c>
      <c r="B49">
        <v>35.055</v>
      </c>
      <c r="C49">
        <v>-90.122</v>
      </c>
    </row>
    <row r="50" spans="1:3" x14ac:dyDescent="0.2">
      <c r="A50" t="s">
        <v>56</v>
      </c>
      <c r="B50">
        <v>35.597000000000001</v>
      </c>
      <c r="C50">
        <v>-89.885999999999996</v>
      </c>
    </row>
    <row r="51" spans="1:3" x14ac:dyDescent="0.2">
      <c r="A51" t="s">
        <v>57</v>
      </c>
      <c r="B51">
        <v>34.815728999999997</v>
      </c>
      <c r="C51">
        <v>-90.536124000000001</v>
      </c>
    </row>
    <row r="52" spans="1:3" x14ac:dyDescent="0.2">
      <c r="A52" t="s">
        <v>58</v>
      </c>
      <c r="B52">
        <v>34.877000000000002</v>
      </c>
      <c r="C52">
        <v>-90.724195162807305</v>
      </c>
    </row>
    <row r="53" spans="1:3" x14ac:dyDescent="0.2">
      <c r="A53" t="s">
        <v>59</v>
      </c>
      <c r="B53">
        <v>34.824461999999997</v>
      </c>
      <c r="C53">
        <v>-90.666218000000001</v>
      </c>
    </row>
    <row r="54" spans="1:3" x14ac:dyDescent="0.2">
      <c r="A54" t="s">
        <v>60</v>
      </c>
      <c r="B54">
        <v>34.863686999999999</v>
      </c>
      <c r="C54">
        <v>-90.514831999999998</v>
      </c>
    </row>
    <row r="55" spans="1:3" x14ac:dyDescent="0.2">
      <c r="A55" t="s">
        <v>61</v>
      </c>
      <c r="B55">
        <v>34.756386999999997</v>
      </c>
      <c r="C55">
        <v>-90.61636</v>
      </c>
    </row>
    <row r="56" spans="1:3" x14ac:dyDescent="0.2">
      <c r="A56" t="s">
        <v>62</v>
      </c>
      <c r="B56">
        <v>34.920999999999999</v>
      </c>
      <c r="C56">
        <v>-90.445491552785896</v>
      </c>
    </row>
    <row r="57" spans="1:3" x14ac:dyDescent="0.2">
      <c r="A57" t="s">
        <v>855</v>
      </c>
      <c r="B57">
        <v>36.484000000000002</v>
      </c>
      <c r="C57">
        <v>-89.379000000000005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8"/>
  <sheetViews>
    <sheetView topLeftCell="A306" workbookViewId="0">
      <selection activeCell="B31" sqref="B31:C31"/>
    </sheetView>
  </sheetViews>
  <sheetFormatPr baseColWidth="10" defaultRowHeight="16" x14ac:dyDescent="0.2"/>
  <cols>
    <col min="1" max="1" width="21" customWidth="1"/>
    <col min="2" max="2" width="19.5" customWidth="1"/>
    <col min="3" max="3" width="18.83203125" customWidth="1"/>
  </cols>
  <sheetData>
    <row r="1" spans="1:3" x14ac:dyDescent="0.2">
      <c r="A1" t="s">
        <v>816</v>
      </c>
      <c r="B1" t="s">
        <v>817</v>
      </c>
      <c r="C1" t="s">
        <v>818</v>
      </c>
    </row>
    <row r="2" spans="1:3" x14ac:dyDescent="0.2">
      <c r="A2" t="s">
        <v>819</v>
      </c>
      <c r="B2">
        <v>35.909999999999997</v>
      </c>
      <c r="C2">
        <v>-89.792000000000002</v>
      </c>
    </row>
    <row r="3" spans="1:3" x14ac:dyDescent="0.2">
      <c r="A3" t="s">
        <v>820</v>
      </c>
      <c r="B3">
        <v>35.377000000000002</v>
      </c>
      <c r="C3">
        <v>-90.388999999999996</v>
      </c>
    </row>
    <row r="4" spans="1:3" x14ac:dyDescent="0.2">
      <c r="A4" t="s">
        <v>821</v>
      </c>
      <c r="B4">
        <v>34.915999999999997</v>
      </c>
      <c r="C4">
        <v>-90.156000000000006</v>
      </c>
    </row>
    <row r="5" spans="1:3" x14ac:dyDescent="0.2">
      <c r="A5" t="s">
        <v>822</v>
      </c>
      <c r="B5">
        <v>35.529000000000003</v>
      </c>
      <c r="C5">
        <v>-90.114999999999995</v>
      </c>
    </row>
    <row r="6" spans="1:3" x14ac:dyDescent="0.2">
      <c r="A6" t="s">
        <v>823</v>
      </c>
      <c r="B6">
        <v>34.920999999999999</v>
      </c>
      <c r="C6">
        <v>-90.391999999999996</v>
      </c>
    </row>
    <row r="7" spans="1:3" x14ac:dyDescent="0.2">
      <c r="A7" t="s">
        <v>824</v>
      </c>
      <c r="B7">
        <v>36.045000000000002</v>
      </c>
      <c r="C7">
        <v>-89.754999999999995</v>
      </c>
    </row>
    <row r="8" spans="1:3" x14ac:dyDescent="0.2">
      <c r="A8" t="s">
        <v>825</v>
      </c>
      <c r="B8">
        <v>35.119999999999997</v>
      </c>
      <c r="C8">
        <v>-90.695999999999998</v>
      </c>
    </row>
    <row r="9" spans="1:3" x14ac:dyDescent="0.2">
      <c r="A9" t="s">
        <v>826</v>
      </c>
      <c r="B9">
        <v>35.633000000000003</v>
      </c>
      <c r="C9">
        <v>-89.664000000000001</v>
      </c>
    </row>
    <row r="10" spans="1:3" x14ac:dyDescent="0.2">
      <c r="A10" t="s">
        <v>827</v>
      </c>
      <c r="B10">
        <v>36.110999999999997</v>
      </c>
      <c r="C10">
        <v>-89.701999999999998</v>
      </c>
    </row>
    <row r="11" spans="1:3" x14ac:dyDescent="0.2">
      <c r="A11" t="s">
        <v>828</v>
      </c>
      <c r="B11">
        <v>36.04</v>
      </c>
      <c r="C11">
        <v>-89.793999999999997</v>
      </c>
    </row>
    <row r="12" spans="1:3" x14ac:dyDescent="0.2">
      <c r="A12" t="s">
        <v>829</v>
      </c>
      <c r="B12">
        <v>35.597000000000001</v>
      </c>
      <c r="C12">
        <v>-90.046999999999997</v>
      </c>
    </row>
    <row r="13" spans="1:3" x14ac:dyDescent="0.2">
      <c r="A13" t="s">
        <v>830</v>
      </c>
      <c r="B13">
        <v>34.976999999999997</v>
      </c>
      <c r="C13">
        <v>-90.677999999999997</v>
      </c>
    </row>
    <row r="14" spans="1:3" x14ac:dyDescent="0.2">
      <c r="A14" t="s">
        <v>831</v>
      </c>
      <c r="B14">
        <v>34.963999999999999</v>
      </c>
      <c r="C14">
        <v>-90.176000000000002</v>
      </c>
    </row>
    <row r="15" spans="1:3" x14ac:dyDescent="0.2">
      <c r="A15" t="s">
        <v>832</v>
      </c>
      <c r="B15">
        <v>35.055</v>
      </c>
      <c r="C15">
        <v>-90.122</v>
      </c>
    </row>
    <row r="16" spans="1:3" x14ac:dyDescent="0.2">
      <c r="A16" t="s">
        <v>833</v>
      </c>
      <c r="B16">
        <v>34.877000000000002</v>
      </c>
      <c r="C16">
        <v>-90.724000000000004</v>
      </c>
    </row>
    <row r="17" spans="1:3" x14ac:dyDescent="0.2">
      <c r="A17" t="s">
        <v>834</v>
      </c>
      <c r="B17">
        <v>35.308</v>
      </c>
      <c r="C17">
        <v>-90.162000000000006</v>
      </c>
    </row>
    <row r="18" spans="1:3" x14ac:dyDescent="0.2">
      <c r="A18" t="s">
        <v>835</v>
      </c>
      <c r="B18">
        <v>35.307000000000002</v>
      </c>
      <c r="C18">
        <v>-90.197999999999993</v>
      </c>
    </row>
    <row r="19" spans="1:3" x14ac:dyDescent="0.2">
      <c r="A19" t="s">
        <v>836</v>
      </c>
      <c r="B19">
        <v>35.308</v>
      </c>
      <c r="C19">
        <v>-90.159000000000006</v>
      </c>
    </row>
    <row r="20" spans="1:3" x14ac:dyDescent="0.2">
      <c r="A20" t="s">
        <v>837</v>
      </c>
      <c r="B20">
        <v>34.86</v>
      </c>
      <c r="C20">
        <v>-90.546000000000006</v>
      </c>
    </row>
    <row r="21" spans="1:3" x14ac:dyDescent="0.2">
      <c r="A21" t="s">
        <v>838</v>
      </c>
      <c r="B21">
        <v>36.094000000000001</v>
      </c>
      <c r="C21">
        <v>-89.885000000000005</v>
      </c>
    </row>
    <row r="22" spans="1:3" x14ac:dyDescent="0.2">
      <c r="A22" t="s">
        <v>839</v>
      </c>
      <c r="B22">
        <v>35.847000000000001</v>
      </c>
      <c r="C22">
        <v>-89.644000000000005</v>
      </c>
    </row>
    <row r="23" spans="1:3" x14ac:dyDescent="0.2">
      <c r="A23" t="s">
        <v>840</v>
      </c>
      <c r="B23">
        <v>35.414000000000001</v>
      </c>
      <c r="C23">
        <v>-90.546000000000006</v>
      </c>
    </row>
    <row r="24" spans="1:3" x14ac:dyDescent="0.2">
      <c r="A24" t="s">
        <v>841</v>
      </c>
      <c r="B24">
        <v>35.704000000000001</v>
      </c>
      <c r="C24">
        <v>-89.861999999999995</v>
      </c>
    </row>
    <row r="25" spans="1:3" x14ac:dyDescent="0.2">
      <c r="A25" t="s">
        <v>842</v>
      </c>
      <c r="B25">
        <v>35.704000000000001</v>
      </c>
      <c r="C25">
        <v>-90.19</v>
      </c>
    </row>
    <row r="26" spans="1:3" x14ac:dyDescent="0.2">
      <c r="A26" t="s">
        <v>843</v>
      </c>
      <c r="B26">
        <v>35.597000000000001</v>
      </c>
      <c r="C26">
        <v>-89.885999999999996</v>
      </c>
    </row>
    <row r="27" spans="1:3" x14ac:dyDescent="0.2">
      <c r="A27" t="s">
        <v>844</v>
      </c>
      <c r="B27">
        <v>35.575000000000003</v>
      </c>
      <c r="C27">
        <v>-89.882000000000005</v>
      </c>
    </row>
    <row r="28" spans="1:3" x14ac:dyDescent="0.2">
      <c r="A28" t="s">
        <v>845</v>
      </c>
      <c r="B28">
        <v>34.915999999999997</v>
      </c>
      <c r="C28">
        <v>-90.156000000000006</v>
      </c>
    </row>
    <row r="29" spans="1:3" x14ac:dyDescent="0.2">
      <c r="A29" t="s">
        <v>846</v>
      </c>
      <c r="B29">
        <v>35.268999999999998</v>
      </c>
      <c r="C29">
        <v>-90.061999999999998</v>
      </c>
    </row>
    <row r="30" spans="1:3" x14ac:dyDescent="0.2">
      <c r="A30" t="s">
        <v>847</v>
      </c>
      <c r="B30">
        <v>35.719000000000001</v>
      </c>
      <c r="C30">
        <v>-89.772000000000006</v>
      </c>
    </row>
    <row r="31" spans="1:3" x14ac:dyDescent="0.2">
      <c r="A31" t="s">
        <v>848</v>
      </c>
      <c r="B31">
        <v>34.81</v>
      </c>
      <c r="C31">
        <v>-90.531000000000006</v>
      </c>
    </row>
    <row r="32" spans="1:3" x14ac:dyDescent="0.2">
      <c r="A32" t="s">
        <v>849</v>
      </c>
      <c r="B32">
        <v>35.957999999999998</v>
      </c>
      <c r="C32">
        <v>-89.783000000000001</v>
      </c>
    </row>
    <row r="33" spans="1:3" x14ac:dyDescent="0.2">
      <c r="A33" t="s">
        <v>850</v>
      </c>
      <c r="B33">
        <v>35.732999999999997</v>
      </c>
      <c r="C33">
        <v>-89.814999999999998</v>
      </c>
    </row>
    <row r="34" spans="1:3" x14ac:dyDescent="0.2">
      <c r="A34" t="s">
        <v>851</v>
      </c>
      <c r="B34">
        <v>35.584000000000003</v>
      </c>
      <c r="C34">
        <v>-89.965999999999994</v>
      </c>
    </row>
    <row r="35" spans="1:3" x14ac:dyDescent="0.2">
      <c r="A35" t="s">
        <v>852</v>
      </c>
      <c r="B35">
        <v>35.079000000000001</v>
      </c>
      <c r="C35">
        <v>-90.239000000000004</v>
      </c>
    </row>
    <row r="36" spans="1:3" x14ac:dyDescent="0.2">
      <c r="A36" t="s">
        <v>853</v>
      </c>
      <c r="B36">
        <v>35.340000000000003</v>
      </c>
      <c r="C36">
        <v>-90.540999999999997</v>
      </c>
    </row>
    <row r="37" spans="1:3" x14ac:dyDescent="0.2">
      <c r="A37" t="s">
        <v>854</v>
      </c>
      <c r="B37">
        <v>35.536999999999999</v>
      </c>
      <c r="C37">
        <v>-90.102999999999994</v>
      </c>
    </row>
    <row r="38" spans="1:3" x14ac:dyDescent="0.2">
      <c r="A38" t="s">
        <v>855</v>
      </c>
      <c r="B38">
        <v>36.484000000000002</v>
      </c>
      <c r="C38">
        <v>-89.379000000000005</v>
      </c>
    </row>
    <row r="39" spans="1:3" x14ac:dyDescent="0.2">
      <c r="A39" t="s">
        <v>856</v>
      </c>
      <c r="B39">
        <v>35.276000000000003</v>
      </c>
      <c r="C39">
        <v>-90.555999999999997</v>
      </c>
    </row>
    <row r="40" spans="1:3" x14ac:dyDescent="0.2">
      <c r="A40" t="s">
        <v>857</v>
      </c>
      <c r="B40">
        <v>35.481999999999999</v>
      </c>
      <c r="C40">
        <v>-90.046000000000006</v>
      </c>
    </row>
    <row r="41" spans="1:3" x14ac:dyDescent="0.2">
      <c r="A41" t="s">
        <v>858</v>
      </c>
      <c r="B41">
        <v>35.698</v>
      </c>
      <c r="C41">
        <v>-89.778999999999996</v>
      </c>
    </row>
    <row r="42" spans="1:3" x14ac:dyDescent="0.2">
      <c r="A42" t="s">
        <v>859</v>
      </c>
      <c r="B42">
        <v>35.390999999999998</v>
      </c>
      <c r="C42">
        <v>-89.992999999999995</v>
      </c>
    </row>
    <row r="43" spans="1:3" x14ac:dyDescent="0.2">
      <c r="A43" t="s">
        <v>860</v>
      </c>
      <c r="B43">
        <v>35.502000000000002</v>
      </c>
      <c r="C43">
        <v>-89.947999999999993</v>
      </c>
    </row>
    <row r="44" spans="1:3" x14ac:dyDescent="0.2">
      <c r="A44" t="s">
        <v>861</v>
      </c>
      <c r="B44">
        <v>35.234000000000002</v>
      </c>
      <c r="C44">
        <v>-90.61</v>
      </c>
    </row>
    <row r="45" spans="1:3" x14ac:dyDescent="0.2">
      <c r="A45" t="s">
        <v>862</v>
      </c>
      <c r="B45">
        <v>35.469000000000001</v>
      </c>
      <c r="C45">
        <v>-90.119</v>
      </c>
    </row>
    <row r="46" spans="1:3" x14ac:dyDescent="0.2">
      <c r="A46" t="s">
        <v>863</v>
      </c>
      <c r="B46">
        <v>34.828000000000003</v>
      </c>
      <c r="C46">
        <v>-90.659000000000006</v>
      </c>
    </row>
    <row r="47" spans="1:3" x14ac:dyDescent="0.2">
      <c r="A47" t="s">
        <v>864</v>
      </c>
      <c r="B47">
        <v>34.768999999999998</v>
      </c>
      <c r="C47">
        <v>-90.584000000000003</v>
      </c>
    </row>
    <row r="48" spans="1:3" x14ac:dyDescent="0.2">
      <c r="A48" t="s">
        <v>865</v>
      </c>
      <c r="B48">
        <v>35.728000000000002</v>
      </c>
      <c r="C48">
        <v>-89.899000000000001</v>
      </c>
    </row>
    <row r="49" spans="1:3" x14ac:dyDescent="0.2">
      <c r="A49" t="s">
        <v>866</v>
      </c>
      <c r="B49">
        <v>35.598999999999997</v>
      </c>
      <c r="C49">
        <v>-89.977999999999994</v>
      </c>
    </row>
    <row r="50" spans="1:3" x14ac:dyDescent="0.2">
      <c r="A50" t="s">
        <v>867</v>
      </c>
      <c r="B50">
        <v>35.335000000000001</v>
      </c>
      <c r="C50">
        <v>-90.524000000000001</v>
      </c>
    </row>
    <row r="51" spans="1:3" x14ac:dyDescent="0.2">
      <c r="A51" t="s">
        <v>868</v>
      </c>
      <c r="B51">
        <v>34.984999999999999</v>
      </c>
      <c r="C51">
        <v>-90.209000000000003</v>
      </c>
    </row>
    <row r="52" spans="1:3" x14ac:dyDescent="0.2">
      <c r="A52" t="s">
        <v>869</v>
      </c>
      <c r="B52">
        <v>35.453000000000003</v>
      </c>
      <c r="C52">
        <v>-89.972999999999999</v>
      </c>
    </row>
    <row r="53" spans="1:3" x14ac:dyDescent="0.2">
      <c r="A53" t="s">
        <v>870</v>
      </c>
      <c r="B53">
        <v>35.716000000000001</v>
      </c>
      <c r="C53">
        <v>-90.241</v>
      </c>
    </row>
    <row r="54" spans="1:3" x14ac:dyDescent="0.2">
      <c r="A54" t="s">
        <v>871</v>
      </c>
      <c r="B54">
        <v>35.305</v>
      </c>
      <c r="C54">
        <v>-90.581000000000003</v>
      </c>
    </row>
    <row r="55" spans="1:3" x14ac:dyDescent="0.2">
      <c r="A55" t="s">
        <v>872</v>
      </c>
      <c r="B55">
        <v>34.96</v>
      </c>
      <c r="C55">
        <v>-90.218999999999994</v>
      </c>
    </row>
    <row r="56" spans="1:3" x14ac:dyDescent="0.2">
      <c r="A56" t="s">
        <v>873</v>
      </c>
      <c r="B56">
        <v>35.085000000000001</v>
      </c>
      <c r="C56">
        <v>-90.325000000000003</v>
      </c>
    </row>
    <row r="57" spans="1:3" x14ac:dyDescent="0.2">
      <c r="A57" t="s">
        <v>874</v>
      </c>
      <c r="B57">
        <v>34.377555999999998</v>
      </c>
      <c r="C57">
        <v>-90.489711999999997</v>
      </c>
    </row>
    <row r="58" spans="1:3" x14ac:dyDescent="0.2">
      <c r="A58" t="s">
        <v>875</v>
      </c>
      <c r="B58">
        <v>34.264679999999998</v>
      </c>
      <c r="C58">
        <v>-90.408116000000007</v>
      </c>
    </row>
    <row r="59" spans="1:3" x14ac:dyDescent="0.2">
      <c r="A59" t="s">
        <v>876</v>
      </c>
      <c r="B59">
        <v>34.435063999999997</v>
      </c>
      <c r="C59">
        <v>-90.464838</v>
      </c>
    </row>
    <row r="60" spans="1:3" x14ac:dyDescent="0.2">
      <c r="A60" t="s">
        <v>877</v>
      </c>
      <c r="B60">
        <v>34.358172000000003</v>
      </c>
      <c r="C60">
        <v>-90.549252999999993</v>
      </c>
    </row>
    <row r="61" spans="1:3" x14ac:dyDescent="0.2">
      <c r="A61" t="s">
        <v>878</v>
      </c>
      <c r="B61">
        <v>34.392601999999997</v>
      </c>
      <c r="C61">
        <v>-90.493656000000001</v>
      </c>
    </row>
    <row r="62" spans="1:3" x14ac:dyDescent="0.2">
      <c r="A62" t="s">
        <v>879</v>
      </c>
      <c r="B62">
        <v>34.170211000000002</v>
      </c>
      <c r="C62">
        <v>-90.462485000000001</v>
      </c>
    </row>
    <row r="63" spans="1:3" x14ac:dyDescent="0.2">
      <c r="A63" t="s">
        <v>880</v>
      </c>
      <c r="B63">
        <v>34.336253999999997</v>
      </c>
      <c r="C63">
        <v>-90.540186000000006</v>
      </c>
    </row>
    <row r="64" spans="1:3" x14ac:dyDescent="0.2">
      <c r="A64" t="s">
        <v>881</v>
      </c>
      <c r="B64">
        <v>34.218114</v>
      </c>
      <c r="C64">
        <v>-90.516852999999998</v>
      </c>
    </row>
    <row r="65" spans="1:3" x14ac:dyDescent="0.2">
      <c r="A65" t="s">
        <v>882</v>
      </c>
      <c r="B65">
        <v>34.215676000000002</v>
      </c>
      <c r="C65">
        <v>-90.475643000000005</v>
      </c>
    </row>
    <row r="66" spans="1:3" x14ac:dyDescent="0.2">
      <c r="A66" t="s">
        <v>883</v>
      </c>
      <c r="B66">
        <v>34.124789</v>
      </c>
      <c r="C66">
        <v>-90.470695000000006</v>
      </c>
    </row>
    <row r="67" spans="1:3" x14ac:dyDescent="0.2">
      <c r="A67" t="s">
        <v>884</v>
      </c>
      <c r="B67">
        <v>34.092049000000003</v>
      </c>
      <c r="C67">
        <v>-90.610443000000004</v>
      </c>
    </row>
    <row r="68" spans="1:3" x14ac:dyDescent="0.2">
      <c r="A68" t="s">
        <v>885</v>
      </c>
      <c r="B68">
        <v>34.123373000000001</v>
      </c>
      <c r="C68">
        <v>-90.612446000000006</v>
      </c>
    </row>
    <row r="69" spans="1:3" x14ac:dyDescent="0.2">
      <c r="A69" t="s">
        <v>886</v>
      </c>
      <c r="B69">
        <v>34.196117000000001</v>
      </c>
      <c r="C69">
        <v>-90.560463999999996</v>
      </c>
    </row>
    <row r="70" spans="1:3" x14ac:dyDescent="0.2">
      <c r="A70" t="s">
        <v>887</v>
      </c>
      <c r="B70">
        <v>34.089883</v>
      </c>
      <c r="C70">
        <v>-90.737857000000005</v>
      </c>
    </row>
    <row r="71" spans="1:3" x14ac:dyDescent="0.2">
      <c r="A71" t="s">
        <v>888</v>
      </c>
      <c r="B71">
        <v>34.065266000000001</v>
      </c>
      <c r="C71">
        <v>-90.861585000000005</v>
      </c>
    </row>
    <row r="72" spans="1:3" x14ac:dyDescent="0.2">
      <c r="A72" t="s">
        <v>889</v>
      </c>
      <c r="B72">
        <v>34.285798</v>
      </c>
      <c r="C72">
        <v>-90.631820000000005</v>
      </c>
    </row>
    <row r="73" spans="1:3" x14ac:dyDescent="0.2">
      <c r="A73" t="s">
        <v>890</v>
      </c>
      <c r="B73">
        <v>34.057648999999998</v>
      </c>
      <c r="C73">
        <v>-90.605084000000005</v>
      </c>
    </row>
    <row r="74" spans="1:3" x14ac:dyDescent="0.2">
      <c r="A74" t="s">
        <v>891</v>
      </c>
      <c r="B74">
        <v>34.294308999999998</v>
      </c>
      <c r="C74">
        <v>-90.673208000000002</v>
      </c>
    </row>
    <row r="75" spans="1:3" x14ac:dyDescent="0.2">
      <c r="A75" t="s">
        <v>892</v>
      </c>
      <c r="B75">
        <v>34.128672999999999</v>
      </c>
      <c r="C75">
        <v>-90.464053000000007</v>
      </c>
    </row>
    <row r="76" spans="1:3" x14ac:dyDescent="0.2">
      <c r="A76" t="s">
        <v>893</v>
      </c>
      <c r="B76">
        <v>34.067540000000001</v>
      </c>
      <c r="C76">
        <v>-90.461890999999994</v>
      </c>
    </row>
    <row r="77" spans="1:3" x14ac:dyDescent="0.2">
      <c r="A77" t="s">
        <v>894</v>
      </c>
      <c r="B77">
        <v>34.061010000000003</v>
      </c>
      <c r="C77">
        <v>-90.453073000000003</v>
      </c>
    </row>
    <row r="78" spans="1:3" x14ac:dyDescent="0.2">
      <c r="A78" t="s">
        <v>895</v>
      </c>
      <c r="B78">
        <v>34.141216</v>
      </c>
      <c r="C78">
        <v>-90.694027000000006</v>
      </c>
    </row>
    <row r="79" spans="1:3" x14ac:dyDescent="0.2">
      <c r="A79" t="s">
        <v>896</v>
      </c>
      <c r="B79">
        <v>34.247003999999997</v>
      </c>
      <c r="C79">
        <v>-90.261973999999995</v>
      </c>
    </row>
    <row r="80" spans="1:3" x14ac:dyDescent="0.2">
      <c r="A80" t="s">
        <v>897</v>
      </c>
      <c r="B80">
        <v>34.188087000000003</v>
      </c>
      <c r="C80">
        <v>-90.223254999999995</v>
      </c>
    </row>
    <row r="81" spans="1:3" x14ac:dyDescent="0.2">
      <c r="A81" t="s">
        <v>898</v>
      </c>
      <c r="B81">
        <v>36.081082000000002</v>
      </c>
      <c r="C81">
        <v>-90.155109999999993</v>
      </c>
    </row>
    <row r="82" spans="1:3" x14ac:dyDescent="0.2">
      <c r="A82" t="s">
        <v>899</v>
      </c>
      <c r="B82">
        <v>36.402385000000002</v>
      </c>
      <c r="C82">
        <v>-90.012388000000001</v>
      </c>
    </row>
    <row r="83" spans="1:3" x14ac:dyDescent="0.2">
      <c r="A83" t="s">
        <v>900</v>
      </c>
      <c r="B83">
        <v>36.252473999999999</v>
      </c>
      <c r="C83">
        <v>-90.017087000000004</v>
      </c>
    </row>
    <row r="84" spans="1:3" x14ac:dyDescent="0.2">
      <c r="A84" t="s">
        <v>901</v>
      </c>
      <c r="B84">
        <v>36.153964999999999</v>
      </c>
      <c r="C84">
        <v>-90.089146</v>
      </c>
    </row>
    <row r="85" spans="1:3" x14ac:dyDescent="0.2">
      <c r="A85" t="s">
        <v>902</v>
      </c>
      <c r="B85">
        <v>36.024377000000001</v>
      </c>
      <c r="C85">
        <v>-90.314098000000001</v>
      </c>
    </row>
    <row r="86" spans="1:3" x14ac:dyDescent="0.2">
      <c r="A86" t="s">
        <v>903</v>
      </c>
      <c r="B86">
        <v>34.340313999999999</v>
      </c>
      <c r="C86">
        <v>-90.589748</v>
      </c>
    </row>
    <row r="87" spans="1:3" x14ac:dyDescent="0.2">
      <c r="A87" t="s">
        <v>904</v>
      </c>
      <c r="B87">
        <v>35.887507999999997</v>
      </c>
      <c r="C87">
        <v>-90.673338999999999</v>
      </c>
    </row>
    <row r="88" spans="1:3" x14ac:dyDescent="0.2">
      <c r="A88" t="s">
        <v>905</v>
      </c>
      <c r="B88">
        <v>35.766106999999998</v>
      </c>
      <c r="C88">
        <v>-90.742666999999997</v>
      </c>
    </row>
    <row r="89" spans="1:3" x14ac:dyDescent="0.2">
      <c r="A89" t="s">
        <v>906</v>
      </c>
      <c r="B89">
        <v>35.733969999999999</v>
      </c>
      <c r="C89">
        <v>-90.681928999999997</v>
      </c>
    </row>
    <row r="90" spans="1:3" x14ac:dyDescent="0.2">
      <c r="A90" t="s">
        <v>907</v>
      </c>
      <c r="B90">
        <v>35.883656999999999</v>
      </c>
      <c r="C90">
        <v>-90.722542000000004</v>
      </c>
    </row>
    <row r="91" spans="1:3" x14ac:dyDescent="0.2">
      <c r="A91" t="s">
        <v>908</v>
      </c>
      <c r="B91">
        <v>35.841369999999998</v>
      </c>
      <c r="C91">
        <v>-90.736261999999996</v>
      </c>
    </row>
    <row r="92" spans="1:3" x14ac:dyDescent="0.2">
      <c r="A92" t="s">
        <v>909</v>
      </c>
      <c r="B92">
        <v>35.861609999999999</v>
      </c>
      <c r="C92">
        <v>-90.748420999999993</v>
      </c>
    </row>
    <row r="93" spans="1:3" x14ac:dyDescent="0.2">
      <c r="A93" t="s">
        <v>910</v>
      </c>
      <c r="B93">
        <v>35.964852999999998</v>
      </c>
      <c r="C93">
        <v>-90.764673999999999</v>
      </c>
    </row>
    <row r="94" spans="1:3" x14ac:dyDescent="0.2">
      <c r="A94" t="s">
        <v>911</v>
      </c>
      <c r="B94">
        <v>35.845430999999998</v>
      </c>
      <c r="C94">
        <v>-91.027878000000001</v>
      </c>
    </row>
    <row r="95" spans="1:3" x14ac:dyDescent="0.2">
      <c r="A95" t="s">
        <v>912</v>
      </c>
      <c r="B95">
        <v>35.854993</v>
      </c>
      <c r="C95">
        <v>-91.028306000000001</v>
      </c>
    </row>
    <row r="96" spans="1:3" x14ac:dyDescent="0.2">
      <c r="A96" t="s">
        <v>913</v>
      </c>
      <c r="B96">
        <v>35.853169999999999</v>
      </c>
      <c r="C96">
        <v>-91.032557999999995</v>
      </c>
    </row>
    <row r="97" spans="1:3" x14ac:dyDescent="0.2">
      <c r="A97" t="s">
        <v>914</v>
      </c>
      <c r="B97">
        <v>35.902638000000003</v>
      </c>
      <c r="C97">
        <v>-90.725322000000006</v>
      </c>
    </row>
    <row r="98" spans="1:3" x14ac:dyDescent="0.2">
      <c r="A98" t="s">
        <v>915</v>
      </c>
      <c r="B98">
        <v>35.917594999999999</v>
      </c>
      <c r="C98">
        <v>-90.821145000000001</v>
      </c>
    </row>
    <row r="99" spans="1:3" x14ac:dyDescent="0.2">
      <c r="A99" t="s">
        <v>916</v>
      </c>
      <c r="B99">
        <v>35.710279</v>
      </c>
      <c r="C99">
        <v>-90.702465000000004</v>
      </c>
    </row>
    <row r="100" spans="1:3" x14ac:dyDescent="0.2">
      <c r="A100" t="s">
        <v>917</v>
      </c>
      <c r="B100">
        <v>35.747421000000003</v>
      </c>
      <c r="C100">
        <v>-90.438593999999995</v>
      </c>
    </row>
    <row r="101" spans="1:3" x14ac:dyDescent="0.2">
      <c r="A101" t="s">
        <v>918</v>
      </c>
      <c r="B101">
        <v>35.704433999999999</v>
      </c>
      <c r="C101">
        <v>-90.359764999999996</v>
      </c>
    </row>
    <row r="102" spans="1:3" x14ac:dyDescent="0.2">
      <c r="A102" t="s">
        <v>919</v>
      </c>
      <c r="B102">
        <v>35.707214</v>
      </c>
      <c r="C102">
        <v>-90.348855</v>
      </c>
    </row>
    <row r="103" spans="1:3" x14ac:dyDescent="0.2">
      <c r="A103" t="s">
        <v>920</v>
      </c>
      <c r="B103">
        <v>35.953054000000002</v>
      </c>
      <c r="C103">
        <v>-90.799295999999998</v>
      </c>
    </row>
    <row r="104" spans="1:3" x14ac:dyDescent="0.2">
      <c r="A104" t="s">
        <v>921</v>
      </c>
      <c r="B104">
        <v>35.366947000000003</v>
      </c>
      <c r="C104">
        <v>-90.393653</v>
      </c>
    </row>
    <row r="105" spans="1:3" x14ac:dyDescent="0.2">
      <c r="A105" t="s">
        <v>922</v>
      </c>
      <c r="B105">
        <v>35.478276000000001</v>
      </c>
      <c r="C105">
        <v>-90.054930999999996</v>
      </c>
    </row>
    <row r="106" spans="1:3" x14ac:dyDescent="0.2">
      <c r="A106" t="s">
        <v>923</v>
      </c>
      <c r="B106">
        <v>35.135067999999997</v>
      </c>
      <c r="C106">
        <v>-90.449285000000003</v>
      </c>
    </row>
    <row r="107" spans="1:3" x14ac:dyDescent="0.2">
      <c r="A107" t="s">
        <v>924</v>
      </c>
      <c r="B107">
        <v>32.676130999999998</v>
      </c>
      <c r="C107">
        <v>-91.311115999999998</v>
      </c>
    </row>
    <row r="108" spans="1:3" x14ac:dyDescent="0.2">
      <c r="A108" t="s">
        <v>925</v>
      </c>
      <c r="B108">
        <v>33.916936999999997</v>
      </c>
      <c r="C108">
        <v>-90.372242999999997</v>
      </c>
    </row>
    <row r="109" spans="1:3" x14ac:dyDescent="0.2">
      <c r="A109" t="s">
        <v>926</v>
      </c>
      <c r="B109">
        <v>34.431959999999997</v>
      </c>
      <c r="C109">
        <v>-90.280235000000005</v>
      </c>
    </row>
    <row r="110" spans="1:3" x14ac:dyDescent="0.2">
      <c r="A110" t="s">
        <v>927</v>
      </c>
      <c r="B110">
        <v>32.637028999999998</v>
      </c>
      <c r="C110">
        <v>-90.836596</v>
      </c>
    </row>
    <row r="111" spans="1:3" x14ac:dyDescent="0.2">
      <c r="A111" t="s">
        <v>928</v>
      </c>
      <c r="B111">
        <v>32.871892000000003</v>
      </c>
      <c r="C111">
        <v>-92.085046000000006</v>
      </c>
    </row>
    <row r="112" spans="1:3" x14ac:dyDescent="0.2">
      <c r="A112" t="s">
        <v>929</v>
      </c>
      <c r="B112">
        <v>31.821576</v>
      </c>
      <c r="C112">
        <v>-91.568081000000006</v>
      </c>
    </row>
    <row r="113" spans="1:3" x14ac:dyDescent="0.2">
      <c r="A113" t="s">
        <v>930</v>
      </c>
      <c r="B113">
        <v>32.930892</v>
      </c>
      <c r="C113">
        <v>-90.983892999999995</v>
      </c>
    </row>
    <row r="114" spans="1:3" x14ac:dyDescent="0.2">
      <c r="A114" t="s">
        <v>931</v>
      </c>
      <c r="B114">
        <v>30.951229999999999</v>
      </c>
      <c r="C114">
        <v>-91.564982000000001</v>
      </c>
    </row>
    <row r="115" spans="1:3" x14ac:dyDescent="0.2">
      <c r="A115" t="s">
        <v>932</v>
      </c>
      <c r="B115">
        <v>32.971893999999999</v>
      </c>
      <c r="C115">
        <v>-90.841302999999996</v>
      </c>
    </row>
    <row r="116" spans="1:3" x14ac:dyDescent="0.2">
      <c r="A116" t="s">
        <v>933</v>
      </c>
      <c r="B116">
        <v>31.713508000000001</v>
      </c>
      <c r="C116">
        <v>-91.314541000000006</v>
      </c>
    </row>
    <row r="117" spans="1:3" x14ac:dyDescent="0.2">
      <c r="A117" t="s">
        <v>934</v>
      </c>
      <c r="B117">
        <v>32.740771000000002</v>
      </c>
      <c r="C117">
        <v>-90.657945999999995</v>
      </c>
    </row>
    <row r="118" spans="1:3" x14ac:dyDescent="0.2">
      <c r="A118" t="s">
        <v>935</v>
      </c>
      <c r="B118">
        <v>33.310794000000001</v>
      </c>
      <c r="C118">
        <v>-90.293632000000002</v>
      </c>
    </row>
    <row r="119" spans="1:3" x14ac:dyDescent="0.2">
      <c r="A119" t="s">
        <v>936</v>
      </c>
      <c r="B119">
        <v>33.245018999999999</v>
      </c>
      <c r="C119">
        <v>-90.883246</v>
      </c>
    </row>
    <row r="120" spans="1:3" x14ac:dyDescent="0.2">
      <c r="A120" t="s">
        <v>937</v>
      </c>
      <c r="B120">
        <v>33.272399999999998</v>
      </c>
      <c r="C120">
        <v>-90.880287999999993</v>
      </c>
    </row>
    <row r="121" spans="1:3" x14ac:dyDescent="0.2">
      <c r="A121" t="s">
        <v>938</v>
      </c>
      <c r="B121">
        <v>33.633476999999999</v>
      </c>
      <c r="C121">
        <v>-90.595877000000002</v>
      </c>
    </row>
    <row r="122" spans="1:3" x14ac:dyDescent="0.2">
      <c r="A122" t="s">
        <v>939</v>
      </c>
      <c r="B122">
        <v>33.351412000000003</v>
      </c>
      <c r="C122">
        <v>-91.047477999999998</v>
      </c>
    </row>
    <row r="123" spans="1:3" x14ac:dyDescent="0.2">
      <c r="A123" t="s">
        <v>940</v>
      </c>
      <c r="B123">
        <v>31.780957999999998</v>
      </c>
      <c r="C123">
        <v>-91.437208999999996</v>
      </c>
    </row>
    <row r="124" spans="1:3" x14ac:dyDescent="0.2">
      <c r="A124" t="s">
        <v>941</v>
      </c>
      <c r="B124">
        <v>33.459936999999996</v>
      </c>
      <c r="C124">
        <v>-91.074354</v>
      </c>
    </row>
    <row r="125" spans="1:3" x14ac:dyDescent="0.2">
      <c r="A125" t="s">
        <v>942</v>
      </c>
      <c r="B125">
        <v>31.463455</v>
      </c>
      <c r="C125">
        <v>-91.998857000000001</v>
      </c>
    </row>
    <row r="126" spans="1:3" x14ac:dyDescent="0.2">
      <c r="A126" t="s">
        <v>943</v>
      </c>
      <c r="B126">
        <v>31.468439</v>
      </c>
      <c r="C126">
        <v>-92.008656999999999</v>
      </c>
    </row>
    <row r="127" spans="1:3" x14ac:dyDescent="0.2">
      <c r="A127" t="s">
        <v>944</v>
      </c>
      <c r="B127">
        <v>31.459955000000001</v>
      </c>
      <c r="C127">
        <v>-91.994264000000001</v>
      </c>
    </row>
    <row r="128" spans="1:3" x14ac:dyDescent="0.2">
      <c r="A128" t="s">
        <v>945</v>
      </c>
      <c r="B128">
        <v>32.131737999999999</v>
      </c>
      <c r="C128">
        <v>-91.241596999999999</v>
      </c>
    </row>
    <row r="129" spans="1:3" x14ac:dyDescent="0.2">
      <c r="A129" t="s">
        <v>946</v>
      </c>
      <c r="B129">
        <v>32.681386000000003</v>
      </c>
      <c r="C129">
        <v>-91.687848000000002</v>
      </c>
    </row>
    <row r="130" spans="1:3" x14ac:dyDescent="0.2">
      <c r="A130" t="s">
        <v>947</v>
      </c>
      <c r="B130">
        <v>36.683889999999998</v>
      </c>
      <c r="C130">
        <v>-95.315297999999999</v>
      </c>
    </row>
    <row r="131" spans="1:3" x14ac:dyDescent="0.2">
      <c r="A131" t="s">
        <v>948</v>
      </c>
      <c r="B131">
        <v>34.169293000000003</v>
      </c>
      <c r="C131">
        <v>-90.470017999999996</v>
      </c>
    </row>
    <row r="132" spans="1:3" x14ac:dyDescent="0.2">
      <c r="A132" t="s">
        <v>573</v>
      </c>
      <c r="B132">
        <v>34.897286000000001</v>
      </c>
      <c r="C132">
        <v>-90.458674999999999</v>
      </c>
    </row>
    <row r="133" spans="1:3" x14ac:dyDescent="0.2">
      <c r="A133" t="s">
        <v>949</v>
      </c>
      <c r="B133">
        <v>32.70776</v>
      </c>
      <c r="C133">
        <v>-90.558336999999995</v>
      </c>
    </row>
    <row r="134" spans="1:3" x14ac:dyDescent="0.2">
      <c r="A134" t="s">
        <v>302</v>
      </c>
      <c r="B134">
        <v>35.375759000000002</v>
      </c>
      <c r="C134">
        <v>-90.389297999999997</v>
      </c>
    </row>
    <row r="135" spans="1:3" x14ac:dyDescent="0.2">
      <c r="A135" t="s">
        <v>950</v>
      </c>
      <c r="B135">
        <v>35.731088999999997</v>
      </c>
      <c r="C135">
        <v>-90.387516000000005</v>
      </c>
    </row>
    <row r="136" spans="1:3" x14ac:dyDescent="0.2">
      <c r="A136" t="s">
        <v>951</v>
      </c>
      <c r="B136">
        <v>31.097833999999999</v>
      </c>
      <c r="C136">
        <v>-92.038403000000002</v>
      </c>
    </row>
    <row r="137" spans="1:3" x14ac:dyDescent="0.2">
      <c r="A137" t="s">
        <v>952</v>
      </c>
      <c r="B137">
        <v>33.371695000000003</v>
      </c>
      <c r="C137">
        <v>-90.721727999999999</v>
      </c>
    </row>
    <row r="138" spans="1:3" x14ac:dyDescent="0.2">
      <c r="A138" t="s">
        <v>952</v>
      </c>
      <c r="B138">
        <v>33.393749999999997</v>
      </c>
      <c r="C138">
        <v>-90.723163</v>
      </c>
    </row>
    <row r="139" spans="1:3" x14ac:dyDescent="0.2">
      <c r="A139" t="s">
        <v>953</v>
      </c>
      <c r="B139">
        <v>30.193286000000001</v>
      </c>
      <c r="C139">
        <v>-91.9114</v>
      </c>
    </row>
    <row r="140" spans="1:3" x14ac:dyDescent="0.2">
      <c r="A140" t="s">
        <v>954</v>
      </c>
      <c r="B140">
        <v>30.753575999999999</v>
      </c>
      <c r="C140">
        <v>-91.834170999999998</v>
      </c>
    </row>
    <row r="141" spans="1:3" x14ac:dyDescent="0.2">
      <c r="A141" t="s">
        <v>955</v>
      </c>
      <c r="B141">
        <v>33.075116999999999</v>
      </c>
      <c r="C141">
        <v>-90.958907999999994</v>
      </c>
    </row>
    <row r="142" spans="1:3" x14ac:dyDescent="0.2">
      <c r="A142" t="s">
        <v>956</v>
      </c>
      <c r="B142">
        <v>34.914957999999999</v>
      </c>
      <c r="C142">
        <v>-90.388311000000002</v>
      </c>
    </row>
    <row r="143" spans="1:3" x14ac:dyDescent="0.2">
      <c r="A143" t="s">
        <v>957</v>
      </c>
      <c r="B143">
        <v>33.036360000000002</v>
      </c>
      <c r="C143">
        <v>-90.345894000000001</v>
      </c>
    </row>
    <row r="144" spans="1:3" x14ac:dyDescent="0.2">
      <c r="A144" t="s">
        <v>958</v>
      </c>
      <c r="B144">
        <v>35.530422000000002</v>
      </c>
      <c r="C144">
        <v>-90.114483000000007</v>
      </c>
    </row>
    <row r="145" spans="1:3" x14ac:dyDescent="0.2">
      <c r="A145" t="s">
        <v>959</v>
      </c>
      <c r="B145">
        <v>34.923540000000003</v>
      </c>
      <c r="C145">
        <v>-90.394210999999999</v>
      </c>
    </row>
    <row r="146" spans="1:3" x14ac:dyDescent="0.2">
      <c r="A146" t="s">
        <v>960</v>
      </c>
      <c r="B146">
        <v>33.177759000000002</v>
      </c>
      <c r="C146">
        <v>-90.480604</v>
      </c>
    </row>
    <row r="147" spans="1:3" x14ac:dyDescent="0.2">
      <c r="A147" t="s">
        <v>961</v>
      </c>
      <c r="B147">
        <v>32.197572999999998</v>
      </c>
      <c r="C147">
        <v>-91.821751000000006</v>
      </c>
    </row>
    <row r="148" spans="1:3" x14ac:dyDescent="0.2">
      <c r="A148" t="s">
        <v>962</v>
      </c>
      <c r="B148">
        <v>35.297224999999997</v>
      </c>
      <c r="C148">
        <v>-90.466963000000007</v>
      </c>
    </row>
    <row r="149" spans="1:3" x14ac:dyDescent="0.2">
      <c r="A149" t="s">
        <v>963</v>
      </c>
      <c r="B149">
        <v>32.635581000000002</v>
      </c>
      <c r="C149">
        <v>-91.882394000000005</v>
      </c>
    </row>
    <row r="150" spans="1:3" x14ac:dyDescent="0.2">
      <c r="A150" t="s">
        <v>964</v>
      </c>
      <c r="B150">
        <v>31.455912999999999</v>
      </c>
      <c r="C150">
        <v>-91.967027000000002</v>
      </c>
    </row>
    <row r="151" spans="1:3" x14ac:dyDescent="0.2">
      <c r="A151" t="s">
        <v>965</v>
      </c>
      <c r="B151">
        <v>35.097945000000003</v>
      </c>
      <c r="C151">
        <v>-90.709539000000007</v>
      </c>
    </row>
    <row r="152" spans="1:3" x14ac:dyDescent="0.2">
      <c r="A152" t="s">
        <v>966</v>
      </c>
      <c r="B152">
        <v>31.439176</v>
      </c>
      <c r="C152">
        <v>-91.924109999999999</v>
      </c>
    </row>
    <row r="153" spans="1:3" x14ac:dyDescent="0.2">
      <c r="A153" t="s">
        <v>967</v>
      </c>
      <c r="B153">
        <v>31.445058</v>
      </c>
      <c r="C153">
        <v>-91.919833999999994</v>
      </c>
    </row>
    <row r="154" spans="1:3" x14ac:dyDescent="0.2">
      <c r="A154" t="s">
        <v>968</v>
      </c>
      <c r="B154">
        <v>31.438893</v>
      </c>
      <c r="C154">
        <v>-91.924870999999996</v>
      </c>
    </row>
    <row r="155" spans="1:3" x14ac:dyDescent="0.2">
      <c r="A155" t="s">
        <v>969</v>
      </c>
      <c r="B155">
        <v>36.085251999999997</v>
      </c>
      <c r="C155">
        <v>-90.300989999999999</v>
      </c>
    </row>
    <row r="156" spans="1:3" x14ac:dyDescent="0.2">
      <c r="A156" t="s">
        <v>970</v>
      </c>
      <c r="B156">
        <v>32.775407000000001</v>
      </c>
      <c r="C156">
        <v>-91.685978000000006</v>
      </c>
    </row>
    <row r="157" spans="1:3" x14ac:dyDescent="0.2">
      <c r="A157" t="s">
        <v>971</v>
      </c>
      <c r="B157">
        <v>32.44153</v>
      </c>
      <c r="C157">
        <v>-90.817819</v>
      </c>
    </row>
    <row r="158" spans="1:3" x14ac:dyDescent="0.2">
      <c r="A158" t="s">
        <v>972</v>
      </c>
      <c r="B158">
        <v>33.946418000000001</v>
      </c>
      <c r="C158">
        <v>-90.899184000000005</v>
      </c>
    </row>
    <row r="159" spans="1:3" x14ac:dyDescent="0.2">
      <c r="A159" t="s">
        <v>973</v>
      </c>
      <c r="B159">
        <v>32.744332999999997</v>
      </c>
      <c r="C159">
        <v>-90.934248999999994</v>
      </c>
    </row>
    <row r="160" spans="1:3" x14ac:dyDescent="0.2">
      <c r="A160" t="s">
        <v>974</v>
      </c>
      <c r="B160">
        <v>35.283208000000002</v>
      </c>
      <c r="C160">
        <v>-90.578277999999997</v>
      </c>
    </row>
    <row r="161" spans="1:3" x14ac:dyDescent="0.2">
      <c r="A161" t="s">
        <v>975</v>
      </c>
      <c r="B161">
        <v>33.079638000000003</v>
      </c>
      <c r="C161">
        <v>-91.276835000000005</v>
      </c>
    </row>
    <row r="162" spans="1:3" x14ac:dyDescent="0.2">
      <c r="A162" t="s">
        <v>976</v>
      </c>
      <c r="B162">
        <v>34.127597999999999</v>
      </c>
      <c r="C162">
        <v>-90.211719000000002</v>
      </c>
    </row>
    <row r="163" spans="1:3" x14ac:dyDescent="0.2">
      <c r="A163" t="s">
        <v>977</v>
      </c>
      <c r="B163">
        <v>33.781716000000003</v>
      </c>
      <c r="C163">
        <v>-91.137718000000007</v>
      </c>
    </row>
    <row r="164" spans="1:3" x14ac:dyDescent="0.2">
      <c r="A164" t="s">
        <v>977</v>
      </c>
      <c r="B164">
        <v>33.713059999999999</v>
      </c>
      <c r="C164">
        <v>-90.898014000000003</v>
      </c>
    </row>
    <row r="165" spans="1:3" x14ac:dyDescent="0.2">
      <c r="A165" t="s">
        <v>978</v>
      </c>
      <c r="B165">
        <v>31.482378000000001</v>
      </c>
      <c r="C165">
        <v>-91.862219999999994</v>
      </c>
    </row>
    <row r="166" spans="1:3" x14ac:dyDescent="0.2">
      <c r="A166" t="s">
        <v>979</v>
      </c>
      <c r="B166">
        <v>32.585599999999999</v>
      </c>
      <c r="C166">
        <v>-91.743996999999993</v>
      </c>
    </row>
    <row r="167" spans="1:3" x14ac:dyDescent="0.2">
      <c r="A167" t="s">
        <v>980</v>
      </c>
      <c r="B167">
        <v>31.754909000000001</v>
      </c>
      <c r="C167">
        <v>-91.819412</v>
      </c>
    </row>
    <row r="168" spans="1:3" x14ac:dyDescent="0.2">
      <c r="A168" t="s">
        <v>981</v>
      </c>
      <c r="B168">
        <v>32.898300999999996</v>
      </c>
      <c r="C168">
        <v>-90.430930000000004</v>
      </c>
    </row>
    <row r="169" spans="1:3" x14ac:dyDescent="0.2">
      <c r="A169" t="s">
        <v>982</v>
      </c>
      <c r="B169">
        <v>32.928220000000003</v>
      </c>
      <c r="C169">
        <v>-91.766813999999997</v>
      </c>
    </row>
    <row r="170" spans="1:3" x14ac:dyDescent="0.2">
      <c r="A170" t="s">
        <v>983</v>
      </c>
      <c r="B170">
        <v>34.525782999999997</v>
      </c>
      <c r="C170">
        <v>-90.651961</v>
      </c>
    </row>
    <row r="171" spans="1:3" x14ac:dyDescent="0.2">
      <c r="A171" t="s">
        <v>984</v>
      </c>
      <c r="B171">
        <v>35.049157999999998</v>
      </c>
      <c r="C171">
        <v>-90.266276000000005</v>
      </c>
    </row>
    <row r="172" spans="1:3" x14ac:dyDescent="0.2">
      <c r="A172" t="s">
        <v>351</v>
      </c>
      <c r="B172">
        <v>35.308816999999998</v>
      </c>
      <c r="C172">
        <v>-90.162734</v>
      </c>
    </row>
    <row r="173" spans="1:3" x14ac:dyDescent="0.2">
      <c r="A173" t="s">
        <v>985</v>
      </c>
      <c r="B173">
        <v>36.074336000000002</v>
      </c>
      <c r="C173">
        <v>-90.095571000000007</v>
      </c>
    </row>
    <row r="174" spans="1:3" x14ac:dyDescent="0.2">
      <c r="A174" t="s">
        <v>986</v>
      </c>
      <c r="B174">
        <v>32.021259000000001</v>
      </c>
      <c r="C174">
        <v>-91.880239000000003</v>
      </c>
    </row>
    <row r="175" spans="1:3" x14ac:dyDescent="0.2">
      <c r="A175" t="s">
        <v>987</v>
      </c>
      <c r="B175">
        <v>32.580868000000002</v>
      </c>
      <c r="C175">
        <v>-91.757902000000001</v>
      </c>
    </row>
    <row r="176" spans="1:3" x14ac:dyDescent="0.2">
      <c r="A176" t="s">
        <v>988</v>
      </c>
      <c r="B176">
        <v>32.890825999999997</v>
      </c>
      <c r="C176">
        <v>-91.828868</v>
      </c>
    </row>
    <row r="177" spans="1:3" x14ac:dyDescent="0.2">
      <c r="A177" t="s">
        <v>989</v>
      </c>
      <c r="B177">
        <v>33.180083000000003</v>
      </c>
      <c r="C177">
        <v>-90.308274999999995</v>
      </c>
    </row>
    <row r="178" spans="1:3" x14ac:dyDescent="0.2">
      <c r="A178" t="s">
        <v>990</v>
      </c>
      <c r="B178">
        <v>32.164489000000003</v>
      </c>
      <c r="C178">
        <v>-91.841774999999998</v>
      </c>
    </row>
    <row r="179" spans="1:3" x14ac:dyDescent="0.2">
      <c r="A179" t="s">
        <v>991</v>
      </c>
      <c r="B179">
        <v>31.460256999999999</v>
      </c>
      <c r="C179">
        <v>-92.118583999999998</v>
      </c>
    </row>
    <row r="180" spans="1:3" x14ac:dyDescent="0.2">
      <c r="A180" t="s">
        <v>992</v>
      </c>
      <c r="B180">
        <v>31.491520000000001</v>
      </c>
      <c r="C180">
        <v>-92.089105000000004</v>
      </c>
    </row>
    <row r="181" spans="1:3" x14ac:dyDescent="0.2">
      <c r="A181" t="s">
        <v>993</v>
      </c>
      <c r="B181">
        <v>33.293501999999997</v>
      </c>
      <c r="C181">
        <v>-90.498367000000002</v>
      </c>
    </row>
    <row r="182" spans="1:3" x14ac:dyDescent="0.2">
      <c r="A182" t="s">
        <v>994</v>
      </c>
      <c r="B182">
        <v>32.230592000000001</v>
      </c>
      <c r="C182">
        <v>-91.529441000000006</v>
      </c>
    </row>
    <row r="183" spans="1:3" x14ac:dyDescent="0.2">
      <c r="A183" t="s">
        <v>995</v>
      </c>
      <c r="B183">
        <v>32.920634</v>
      </c>
      <c r="C183">
        <v>-91.765849000000003</v>
      </c>
    </row>
    <row r="184" spans="1:3" x14ac:dyDescent="0.2">
      <c r="A184" t="s">
        <v>996</v>
      </c>
      <c r="B184">
        <v>31.482156</v>
      </c>
      <c r="C184">
        <v>-92.000973999999999</v>
      </c>
    </row>
    <row r="185" spans="1:3" x14ac:dyDescent="0.2">
      <c r="A185" t="s">
        <v>997</v>
      </c>
      <c r="B185">
        <v>34.557426</v>
      </c>
      <c r="C185">
        <v>-90.271034</v>
      </c>
    </row>
    <row r="186" spans="1:3" x14ac:dyDescent="0.2">
      <c r="A186" t="s">
        <v>998</v>
      </c>
      <c r="B186">
        <v>35.601843000000002</v>
      </c>
      <c r="C186">
        <v>-90.04692</v>
      </c>
    </row>
    <row r="187" spans="1:3" x14ac:dyDescent="0.2">
      <c r="A187" t="s">
        <v>999</v>
      </c>
      <c r="B187">
        <v>34.293621999999999</v>
      </c>
      <c r="C187">
        <v>-90.671227999999999</v>
      </c>
    </row>
    <row r="188" spans="1:3" x14ac:dyDescent="0.2">
      <c r="A188" t="s">
        <v>1000</v>
      </c>
      <c r="B188">
        <v>32.804239000000003</v>
      </c>
      <c r="C188">
        <v>-90.931348</v>
      </c>
    </row>
    <row r="189" spans="1:3" x14ac:dyDescent="0.2">
      <c r="A189" t="s">
        <v>1001</v>
      </c>
      <c r="B189">
        <v>36.408614</v>
      </c>
      <c r="C189">
        <v>-90.088674999999995</v>
      </c>
    </row>
    <row r="190" spans="1:3" x14ac:dyDescent="0.2">
      <c r="A190" t="s">
        <v>1002</v>
      </c>
      <c r="B190">
        <v>34.977519000000001</v>
      </c>
      <c r="C190">
        <v>-90.678442000000004</v>
      </c>
    </row>
    <row r="191" spans="1:3" x14ac:dyDescent="0.2">
      <c r="A191" t="s">
        <v>1003</v>
      </c>
      <c r="B191">
        <v>32.595593999999998</v>
      </c>
      <c r="C191">
        <v>-91.779573999999997</v>
      </c>
    </row>
    <row r="192" spans="1:3" x14ac:dyDescent="0.2">
      <c r="A192" t="s">
        <v>1004</v>
      </c>
      <c r="B192">
        <v>32.876247999999997</v>
      </c>
      <c r="C192">
        <v>-90.400493999999995</v>
      </c>
    </row>
    <row r="193" spans="1:3" x14ac:dyDescent="0.2">
      <c r="A193" t="s">
        <v>1005</v>
      </c>
      <c r="B193">
        <v>31.463681000000001</v>
      </c>
      <c r="C193">
        <v>-91.337219000000005</v>
      </c>
    </row>
    <row r="194" spans="1:3" x14ac:dyDescent="0.2">
      <c r="A194" t="s">
        <v>1006</v>
      </c>
      <c r="B194">
        <v>32.923091999999997</v>
      </c>
      <c r="C194">
        <v>-90.883634000000001</v>
      </c>
    </row>
    <row r="195" spans="1:3" x14ac:dyDescent="0.2">
      <c r="A195" t="s">
        <v>1007</v>
      </c>
      <c r="B195">
        <v>33.538009000000002</v>
      </c>
      <c r="C195">
        <v>-90.836149000000006</v>
      </c>
    </row>
    <row r="196" spans="1:3" x14ac:dyDescent="0.2">
      <c r="A196" t="s">
        <v>1008</v>
      </c>
      <c r="B196">
        <v>35.062738000000003</v>
      </c>
      <c r="C196">
        <v>-90.130424000000005</v>
      </c>
    </row>
    <row r="197" spans="1:3" x14ac:dyDescent="0.2">
      <c r="A197" t="s">
        <v>1009</v>
      </c>
      <c r="B197">
        <v>31.623000000000001</v>
      </c>
      <c r="C197">
        <v>-91.667490999999998</v>
      </c>
    </row>
    <row r="198" spans="1:3" x14ac:dyDescent="0.2">
      <c r="A198" t="s">
        <v>1010</v>
      </c>
      <c r="B198">
        <v>32.167932999999998</v>
      </c>
      <c r="C198">
        <v>-91.916860999999997</v>
      </c>
    </row>
    <row r="199" spans="1:3" x14ac:dyDescent="0.2">
      <c r="A199" t="s">
        <v>1011</v>
      </c>
      <c r="B199">
        <v>31.229247000000001</v>
      </c>
      <c r="C199">
        <v>-92.097173999999995</v>
      </c>
    </row>
    <row r="200" spans="1:3" x14ac:dyDescent="0.2">
      <c r="A200" t="s">
        <v>1012</v>
      </c>
      <c r="B200">
        <v>34.876824999999997</v>
      </c>
      <c r="C200">
        <v>-90.729236</v>
      </c>
    </row>
    <row r="201" spans="1:3" x14ac:dyDescent="0.2">
      <c r="A201" t="s">
        <v>1013</v>
      </c>
      <c r="B201">
        <v>34.087400000000002</v>
      </c>
      <c r="C201">
        <v>-90.645109000000005</v>
      </c>
    </row>
    <row r="202" spans="1:3" x14ac:dyDescent="0.2">
      <c r="A202" t="s">
        <v>1014</v>
      </c>
      <c r="B202">
        <v>33.144601000000002</v>
      </c>
      <c r="C202">
        <v>-90.839225999999996</v>
      </c>
    </row>
    <row r="203" spans="1:3" x14ac:dyDescent="0.2">
      <c r="A203" t="s">
        <v>1015</v>
      </c>
      <c r="B203">
        <v>36.019624</v>
      </c>
      <c r="C203">
        <v>-90.349982999999995</v>
      </c>
    </row>
    <row r="204" spans="1:3" x14ac:dyDescent="0.2">
      <c r="A204" t="s">
        <v>1016</v>
      </c>
      <c r="B204">
        <v>33.220492</v>
      </c>
      <c r="C204">
        <v>-90.626552000000004</v>
      </c>
    </row>
    <row r="205" spans="1:3" x14ac:dyDescent="0.2">
      <c r="A205" t="s">
        <v>1017</v>
      </c>
      <c r="B205">
        <v>33.652721</v>
      </c>
      <c r="C205">
        <v>-90.291043999999999</v>
      </c>
    </row>
    <row r="206" spans="1:3" x14ac:dyDescent="0.2">
      <c r="A206" t="s">
        <v>1018</v>
      </c>
      <c r="B206">
        <v>31.260687999999998</v>
      </c>
      <c r="C206">
        <v>-92.140231999999997</v>
      </c>
    </row>
    <row r="207" spans="1:3" x14ac:dyDescent="0.2">
      <c r="A207" t="s">
        <v>1019</v>
      </c>
      <c r="B207">
        <v>32.319574000000003</v>
      </c>
      <c r="C207">
        <v>-91.083749999999995</v>
      </c>
    </row>
    <row r="208" spans="1:3" x14ac:dyDescent="0.2">
      <c r="A208" t="s">
        <v>1020</v>
      </c>
      <c r="B208">
        <v>34.857613000000001</v>
      </c>
      <c r="C208">
        <v>-90.685710999999998</v>
      </c>
    </row>
    <row r="209" spans="1:3" x14ac:dyDescent="0.2">
      <c r="A209" t="s">
        <v>1020</v>
      </c>
      <c r="B209">
        <v>34.842962999999997</v>
      </c>
      <c r="C209">
        <v>-90.690877999999998</v>
      </c>
    </row>
    <row r="210" spans="1:3" x14ac:dyDescent="0.2">
      <c r="A210" t="s">
        <v>1021</v>
      </c>
      <c r="B210">
        <v>32.853667999999999</v>
      </c>
      <c r="C210">
        <v>-91.794070000000005</v>
      </c>
    </row>
    <row r="211" spans="1:3" x14ac:dyDescent="0.2">
      <c r="A211" t="s">
        <v>1022</v>
      </c>
      <c r="B211">
        <v>32.862507000000001</v>
      </c>
      <c r="C211">
        <v>-91.794998000000007</v>
      </c>
    </row>
    <row r="212" spans="1:3" x14ac:dyDescent="0.2">
      <c r="A212" t="s">
        <v>1023</v>
      </c>
      <c r="B212">
        <v>31.930177</v>
      </c>
      <c r="C212">
        <v>-91.507842999999994</v>
      </c>
    </row>
    <row r="213" spans="1:3" x14ac:dyDescent="0.2">
      <c r="A213" t="s">
        <v>1024</v>
      </c>
      <c r="B213">
        <v>34.398879000000001</v>
      </c>
      <c r="C213">
        <v>-90.186335</v>
      </c>
    </row>
    <row r="214" spans="1:3" x14ac:dyDescent="0.2">
      <c r="A214" t="s">
        <v>1025</v>
      </c>
      <c r="B214">
        <v>30.205335000000002</v>
      </c>
      <c r="C214">
        <v>-91.964125999999993</v>
      </c>
    </row>
    <row r="215" spans="1:3" x14ac:dyDescent="0.2">
      <c r="A215" t="s">
        <v>1026</v>
      </c>
      <c r="B215">
        <v>31.327739000000001</v>
      </c>
      <c r="C215">
        <v>-92.033257000000006</v>
      </c>
    </row>
    <row r="216" spans="1:3" x14ac:dyDescent="0.2">
      <c r="A216" t="s">
        <v>1027</v>
      </c>
      <c r="B216">
        <v>32.631655000000002</v>
      </c>
      <c r="C216">
        <v>-90.744954000000007</v>
      </c>
    </row>
    <row r="217" spans="1:3" x14ac:dyDescent="0.2">
      <c r="A217" t="s">
        <v>1028</v>
      </c>
      <c r="B217">
        <v>31.327724</v>
      </c>
      <c r="C217">
        <v>-91.935596000000004</v>
      </c>
    </row>
    <row r="218" spans="1:3" x14ac:dyDescent="0.2">
      <c r="A218" t="s">
        <v>1029</v>
      </c>
      <c r="B218">
        <v>35.006557000000001</v>
      </c>
      <c r="C218">
        <v>-90.485382999999999</v>
      </c>
    </row>
    <row r="219" spans="1:3" x14ac:dyDescent="0.2">
      <c r="A219" t="s">
        <v>1030</v>
      </c>
      <c r="B219">
        <v>34.500574999999998</v>
      </c>
      <c r="C219">
        <v>-90.189333000000005</v>
      </c>
    </row>
    <row r="220" spans="1:3" x14ac:dyDescent="0.2">
      <c r="A220" t="s">
        <v>1031</v>
      </c>
      <c r="B220">
        <v>32.735563999999997</v>
      </c>
      <c r="C220">
        <v>-90.609003999999999</v>
      </c>
    </row>
    <row r="221" spans="1:3" x14ac:dyDescent="0.2">
      <c r="A221" t="s">
        <v>1032</v>
      </c>
      <c r="B221">
        <v>31.565335999999999</v>
      </c>
      <c r="C221">
        <v>-91.985927000000004</v>
      </c>
    </row>
    <row r="222" spans="1:3" x14ac:dyDescent="0.2">
      <c r="A222" t="s">
        <v>1033</v>
      </c>
      <c r="B222">
        <v>31.430620999999999</v>
      </c>
      <c r="C222">
        <v>-91.972271000000006</v>
      </c>
    </row>
    <row r="223" spans="1:3" x14ac:dyDescent="0.2">
      <c r="A223" t="s">
        <v>1034</v>
      </c>
      <c r="B223">
        <v>34.291311999999998</v>
      </c>
      <c r="C223">
        <v>-90.863010000000003</v>
      </c>
    </row>
    <row r="224" spans="1:3" x14ac:dyDescent="0.2">
      <c r="A224" t="s">
        <v>1035</v>
      </c>
      <c r="B224">
        <v>32.983238</v>
      </c>
      <c r="C224">
        <v>-90.419560000000004</v>
      </c>
    </row>
    <row r="225" spans="1:3" x14ac:dyDescent="0.2">
      <c r="A225" t="s">
        <v>1036</v>
      </c>
      <c r="B225">
        <v>35.617462000000003</v>
      </c>
      <c r="C225">
        <v>-90.633191999999994</v>
      </c>
    </row>
    <row r="226" spans="1:3" x14ac:dyDescent="0.2">
      <c r="A226" t="s">
        <v>1037</v>
      </c>
      <c r="B226">
        <v>35.458176999999999</v>
      </c>
      <c r="C226">
        <v>-90.477238</v>
      </c>
    </row>
    <row r="227" spans="1:3" x14ac:dyDescent="0.2">
      <c r="A227" t="s">
        <v>1038</v>
      </c>
      <c r="B227">
        <v>36.227995</v>
      </c>
      <c r="C227">
        <v>-90.100862000000006</v>
      </c>
    </row>
    <row r="228" spans="1:3" x14ac:dyDescent="0.2">
      <c r="A228" t="s">
        <v>1039</v>
      </c>
      <c r="B228">
        <v>31.993863000000001</v>
      </c>
      <c r="C228">
        <v>-91.616133000000005</v>
      </c>
    </row>
    <row r="229" spans="1:3" x14ac:dyDescent="0.2">
      <c r="A229" t="s">
        <v>1040</v>
      </c>
      <c r="B229">
        <v>31.475254</v>
      </c>
      <c r="C229">
        <v>-91.998648000000003</v>
      </c>
    </row>
    <row r="230" spans="1:3" x14ac:dyDescent="0.2">
      <c r="A230" t="s">
        <v>1041</v>
      </c>
      <c r="B230">
        <v>31.690396</v>
      </c>
      <c r="C230">
        <v>-91.673407999999995</v>
      </c>
    </row>
    <row r="231" spans="1:3" x14ac:dyDescent="0.2">
      <c r="A231" t="s">
        <v>1042</v>
      </c>
      <c r="B231">
        <v>32.560535000000002</v>
      </c>
      <c r="C231">
        <v>-91.712084000000004</v>
      </c>
    </row>
    <row r="232" spans="1:3" x14ac:dyDescent="0.2">
      <c r="A232" t="s">
        <v>1043</v>
      </c>
      <c r="B232">
        <v>31.943010000000001</v>
      </c>
      <c r="C232">
        <v>-91.849936999999997</v>
      </c>
    </row>
    <row r="233" spans="1:3" x14ac:dyDescent="0.2">
      <c r="A233" t="s">
        <v>1044</v>
      </c>
      <c r="B233">
        <v>33.308871000000003</v>
      </c>
      <c r="C233">
        <v>-90.732933000000003</v>
      </c>
    </row>
    <row r="234" spans="1:3" x14ac:dyDescent="0.2">
      <c r="A234" t="s">
        <v>1045</v>
      </c>
      <c r="B234">
        <v>32.997177999999998</v>
      </c>
      <c r="C234">
        <v>-91.629622999999995</v>
      </c>
    </row>
    <row r="235" spans="1:3" x14ac:dyDescent="0.2">
      <c r="A235" t="s">
        <v>60</v>
      </c>
      <c r="B235">
        <v>34.863686999999999</v>
      </c>
      <c r="C235">
        <v>-90.514831999999998</v>
      </c>
    </row>
    <row r="236" spans="1:3" x14ac:dyDescent="0.2">
      <c r="A236" t="s">
        <v>1046</v>
      </c>
      <c r="B236">
        <v>32.848978000000002</v>
      </c>
      <c r="C236">
        <v>-91.711747000000003</v>
      </c>
    </row>
    <row r="237" spans="1:3" x14ac:dyDescent="0.2">
      <c r="A237" t="s">
        <v>1047</v>
      </c>
      <c r="B237">
        <v>32.167040999999998</v>
      </c>
      <c r="C237">
        <v>-91.828931999999995</v>
      </c>
    </row>
    <row r="238" spans="1:3" x14ac:dyDescent="0.2">
      <c r="A238" t="s">
        <v>1048</v>
      </c>
      <c r="B238">
        <v>32.452902000000002</v>
      </c>
      <c r="C238">
        <v>-91.490702999999996</v>
      </c>
    </row>
    <row r="239" spans="1:3" x14ac:dyDescent="0.2">
      <c r="A239" t="s">
        <v>1049</v>
      </c>
      <c r="B239">
        <v>31.429856000000001</v>
      </c>
      <c r="C239">
        <v>-92.164869999999993</v>
      </c>
    </row>
    <row r="240" spans="1:3" x14ac:dyDescent="0.2">
      <c r="A240" t="s">
        <v>1050</v>
      </c>
      <c r="B240">
        <v>35.065750999999999</v>
      </c>
      <c r="C240">
        <v>-90.681952999999993</v>
      </c>
    </row>
    <row r="241" spans="1:3" x14ac:dyDescent="0.2">
      <c r="A241" t="s">
        <v>1051</v>
      </c>
      <c r="B241">
        <v>34.314314000000003</v>
      </c>
      <c r="C241">
        <v>-90.615547000000007</v>
      </c>
    </row>
    <row r="242" spans="1:3" x14ac:dyDescent="0.2">
      <c r="A242" t="s">
        <v>1052</v>
      </c>
      <c r="B242">
        <v>32.552292000000001</v>
      </c>
      <c r="C242">
        <v>-90.741170999999994</v>
      </c>
    </row>
    <row r="243" spans="1:3" x14ac:dyDescent="0.2">
      <c r="A243" t="s">
        <v>1053</v>
      </c>
      <c r="B243">
        <v>34.762022999999999</v>
      </c>
      <c r="C243">
        <v>-90.609555999999998</v>
      </c>
    </row>
    <row r="244" spans="1:3" x14ac:dyDescent="0.2">
      <c r="A244" t="s">
        <v>1054</v>
      </c>
      <c r="B244">
        <v>31.314699999999998</v>
      </c>
      <c r="C244">
        <v>-91.940408000000005</v>
      </c>
    </row>
    <row r="245" spans="1:3" x14ac:dyDescent="0.2">
      <c r="A245" t="s">
        <v>1055</v>
      </c>
      <c r="B245">
        <v>31.493207000000002</v>
      </c>
      <c r="C245">
        <v>-92.195473000000007</v>
      </c>
    </row>
    <row r="246" spans="1:3" x14ac:dyDescent="0.2">
      <c r="A246" t="s">
        <v>1056</v>
      </c>
      <c r="B246">
        <v>31.727274999999999</v>
      </c>
      <c r="C246">
        <v>-91.659667999999996</v>
      </c>
    </row>
    <row r="247" spans="1:3" x14ac:dyDescent="0.2">
      <c r="A247" t="s">
        <v>1057</v>
      </c>
      <c r="B247">
        <v>34.520896</v>
      </c>
      <c r="C247">
        <v>-90.460517999999993</v>
      </c>
    </row>
    <row r="248" spans="1:3" x14ac:dyDescent="0.2">
      <c r="A248" t="s">
        <v>1058</v>
      </c>
      <c r="B248">
        <v>33.407220000000002</v>
      </c>
      <c r="C248">
        <v>-90.839022</v>
      </c>
    </row>
    <row r="249" spans="1:3" x14ac:dyDescent="0.2">
      <c r="A249" t="s">
        <v>1059</v>
      </c>
      <c r="B249">
        <v>32.933788999999997</v>
      </c>
      <c r="C249">
        <v>-90.501074000000003</v>
      </c>
    </row>
    <row r="250" spans="1:3" x14ac:dyDescent="0.2">
      <c r="A250" t="s">
        <v>1060</v>
      </c>
      <c r="B250">
        <v>35.099741999999999</v>
      </c>
      <c r="C250">
        <v>-90.308108000000004</v>
      </c>
    </row>
    <row r="251" spans="1:3" x14ac:dyDescent="0.2">
      <c r="A251" t="s">
        <v>1061</v>
      </c>
      <c r="B251">
        <v>32.083506999999997</v>
      </c>
      <c r="C251">
        <v>-91.671488999999994</v>
      </c>
    </row>
    <row r="252" spans="1:3" x14ac:dyDescent="0.2">
      <c r="A252" t="s">
        <v>1062</v>
      </c>
      <c r="B252">
        <v>32.5794</v>
      </c>
      <c r="C252">
        <v>-90.659405000000007</v>
      </c>
    </row>
    <row r="253" spans="1:3" x14ac:dyDescent="0.2">
      <c r="A253" t="s">
        <v>1063</v>
      </c>
      <c r="B253">
        <v>31.616564</v>
      </c>
      <c r="C253">
        <v>-91.666234000000003</v>
      </c>
    </row>
    <row r="254" spans="1:3" x14ac:dyDescent="0.2">
      <c r="A254" t="s">
        <v>1064</v>
      </c>
      <c r="B254">
        <v>33.479391999999997</v>
      </c>
      <c r="C254">
        <v>-91.058954999999997</v>
      </c>
    </row>
    <row r="255" spans="1:3" x14ac:dyDescent="0.2">
      <c r="A255" t="s">
        <v>1065</v>
      </c>
      <c r="B255">
        <v>31.635926999999999</v>
      </c>
      <c r="C255">
        <v>-91.247198999999995</v>
      </c>
    </row>
    <row r="256" spans="1:3" x14ac:dyDescent="0.2">
      <c r="A256" t="s">
        <v>1066</v>
      </c>
      <c r="B256">
        <v>35.433517999999999</v>
      </c>
      <c r="C256">
        <v>-90.415231000000006</v>
      </c>
    </row>
    <row r="257" spans="1:3" x14ac:dyDescent="0.2">
      <c r="A257" t="s">
        <v>1067</v>
      </c>
      <c r="B257">
        <v>32.736099000000003</v>
      </c>
      <c r="C257">
        <v>-90.588003</v>
      </c>
    </row>
    <row r="258" spans="1:3" x14ac:dyDescent="0.2">
      <c r="A258" t="s">
        <v>1068</v>
      </c>
      <c r="B258">
        <v>33.074021000000002</v>
      </c>
      <c r="C258">
        <v>-91.606750000000005</v>
      </c>
    </row>
    <row r="259" spans="1:3" x14ac:dyDescent="0.2">
      <c r="A259" t="s">
        <v>1069</v>
      </c>
      <c r="B259">
        <v>32.908351000000003</v>
      </c>
      <c r="C259">
        <v>-90.529571000000004</v>
      </c>
    </row>
    <row r="260" spans="1:3" x14ac:dyDescent="0.2">
      <c r="A260" t="s">
        <v>1070</v>
      </c>
      <c r="B260">
        <v>32.604888000000003</v>
      </c>
      <c r="C260">
        <v>-90.744356999999994</v>
      </c>
    </row>
    <row r="261" spans="1:3" x14ac:dyDescent="0.2">
      <c r="A261" t="s">
        <v>1071</v>
      </c>
      <c r="B261">
        <v>33.453175000000002</v>
      </c>
      <c r="C261">
        <v>-90.626273999999995</v>
      </c>
    </row>
    <row r="262" spans="1:3" x14ac:dyDescent="0.2">
      <c r="A262" t="s">
        <v>1072</v>
      </c>
      <c r="B262">
        <v>32.747872999999998</v>
      </c>
      <c r="C262">
        <v>-90.700571999999994</v>
      </c>
    </row>
    <row r="263" spans="1:3" x14ac:dyDescent="0.2">
      <c r="A263" t="s">
        <v>1073</v>
      </c>
      <c r="B263">
        <v>33.765526000000001</v>
      </c>
      <c r="C263">
        <v>-90.301886999999994</v>
      </c>
    </row>
    <row r="264" spans="1:3" x14ac:dyDescent="0.2">
      <c r="A264" t="s">
        <v>1074</v>
      </c>
      <c r="B264">
        <v>31.531565000000001</v>
      </c>
      <c r="C264">
        <v>-91.381747000000004</v>
      </c>
    </row>
    <row r="265" spans="1:3" x14ac:dyDescent="0.2">
      <c r="A265" t="s">
        <v>1075</v>
      </c>
      <c r="B265">
        <v>31.844128000000001</v>
      </c>
      <c r="C265">
        <v>-91.196524999999994</v>
      </c>
    </row>
    <row r="266" spans="1:3" x14ac:dyDescent="0.2">
      <c r="A266" t="s">
        <v>1076</v>
      </c>
      <c r="B266">
        <v>32.205266000000002</v>
      </c>
      <c r="C266">
        <v>-91.967049000000003</v>
      </c>
    </row>
    <row r="267" spans="1:3" x14ac:dyDescent="0.2">
      <c r="A267" t="s">
        <v>1077</v>
      </c>
      <c r="B267">
        <v>33.284227000000001</v>
      </c>
      <c r="C267">
        <v>-90.281774999999996</v>
      </c>
    </row>
    <row r="268" spans="1:3" x14ac:dyDescent="0.2">
      <c r="A268" t="s">
        <v>1078</v>
      </c>
      <c r="B268">
        <v>32.634034999999997</v>
      </c>
      <c r="C268">
        <v>-91.706394000000003</v>
      </c>
    </row>
    <row r="269" spans="1:3" x14ac:dyDescent="0.2">
      <c r="A269" t="s">
        <v>1079</v>
      </c>
      <c r="B269">
        <v>32.004469</v>
      </c>
      <c r="C269">
        <v>-91.444692000000003</v>
      </c>
    </row>
    <row r="270" spans="1:3" x14ac:dyDescent="0.2">
      <c r="A270" t="s">
        <v>1080</v>
      </c>
      <c r="B270">
        <v>33.075786999999998</v>
      </c>
      <c r="C270">
        <v>-90.437175999999994</v>
      </c>
    </row>
    <row r="271" spans="1:3" x14ac:dyDescent="0.2">
      <c r="A271" t="s">
        <v>1081</v>
      </c>
      <c r="B271">
        <v>35.415053999999998</v>
      </c>
      <c r="C271">
        <v>-90.547184000000001</v>
      </c>
    </row>
    <row r="272" spans="1:3" x14ac:dyDescent="0.2">
      <c r="A272" t="s">
        <v>1082</v>
      </c>
      <c r="B272">
        <v>31.596869999999999</v>
      </c>
      <c r="C272">
        <v>-91.329460999999995</v>
      </c>
    </row>
    <row r="273" spans="1:3" x14ac:dyDescent="0.2">
      <c r="A273" t="s">
        <v>1083</v>
      </c>
      <c r="B273">
        <v>30.223333</v>
      </c>
      <c r="C273">
        <v>-91.948892000000001</v>
      </c>
    </row>
    <row r="274" spans="1:3" x14ac:dyDescent="0.2">
      <c r="A274" t="s">
        <v>1084</v>
      </c>
      <c r="B274">
        <v>32.638629000000002</v>
      </c>
      <c r="C274">
        <v>-92.041585999999995</v>
      </c>
    </row>
    <row r="275" spans="1:3" x14ac:dyDescent="0.2">
      <c r="A275" t="s">
        <v>1085</v>
      </c>
      <c r="B275">
        <v>32.661765000000003</v>
      </c>
      <c r="C275">
        <v>-90.620907000000003</v>
      </c>
    </row>
    <row r="276" spans="1:3" x14ac:dyDescent="0.2">
      <c r="A276" t="s">
        <v>1086</v>
      </c>
      <c r="B276">
        <v>31.604592</v>
      </c>
      <c r="C276">
        <v>-91.670494000000005</v>
      </c>
    </row>
    <row r="277" spans="1:3" x14ac:dyDescent="0.2">
      <c r="A277" t="s">
        <v>1087</v>
      </c>
      <c r="B277">
        <v>33.128667999999998</v>
      </c>
      <c r="C277">
        <v>-90.192511999999994</v>
      </c>
    </row>
    <row r="278" spans="1:3" x14ac:dyDescent="0.2">
      <c r="A278" t="s">
        <v>1088</v>
      </c>
      <c r="B278">
        <v>32.667444000000003</v>
      </c>
      <c r="C278">
        <v>-90.668796</v>
      </c>
    </row>
    <row r="279" spans="1:3" x14ac:dyDescent="0.2">
      <c r="A279" t="s">
        <v>1089</v>
      </c>
      <c r="B279">
        <v>34.059116000000003</v>
      </c>
      <c r="C279">
        <v>-90.482787999999999</v>
      </c>
    </row>
    <row r="280" spans="1:3" x14ac:dyDescent="0.2">
      <c r="A280" t="s">
        <v>1090</v>
      </c>
      <c r="B280">
        <v>32.218051000000003</v>
      </c>
      <c r="C280">
        <v>-90.937010999999998</v>
      </c>
    </row>
    <row r="281" spans="1:3" x14ac:dyDescent="0.2">
      <c r="A281" t="s">
        <v>1091</v>
      </c>
      <c r="B281">
        <v>35.289451</v>
      </c>
      <c r="C281">
        <v>-90.474120999999997</v>
      </c>
    </row>
    <row r="282" spans="1:3" x14ac:dyDescent="0.2">
      <c r="A282" t="s">
        <v>1092</v>
      </c>
      <c r="B282">
        <v>33.1113</v>
      </c>
      <c r="C282">
        <v>-90.498638999999997</v>
      </c>
    </row>
    <row r="283" spans="1:3" x14ac:dyDescent="0.2">
      <c r="A283" t="s">
        <v>1093</v>
      </c>
      <c r="B283">
        <v>33.118062999999999</v>
      </c>
      <c r="C283">
        <v>-90.612575000000007</v>
      </c>
    </row>
    <row r="284" spans="1:3" x14ac:dyDescent="0.2">
      <c r="A284" t="s">
        <v>1094</v>
      </c>
      <c r="B284">
        <v>31.710740999999999</v>
      </c>
      <c r="C284">
        <v>-91.173873</v>
      </c>
    </row>
    <row r="285" spans="1:3" x14ac:dyDescent="0.2">
      <c r="A285" t="s">
        <v>1095</v>
      </c>
      <c r="B285">
        <v>31.509841999999999</v>
      </c>
      <c r="C285">
        <v>-92.082525000000004</v>
      </c>
    </row>
    <row r="286" spans="1:3" x14ac:dyDescent="0.2">
      <c r="A286" t="s">
        <v>1096</v>
      </c>
      <c r="B286">
        <v>34.110630999999998</v>
      </c>
      <c r="C286">
        <v>-90.624846000000005</v>
      </c>
    </row>
    <row r="287" spans="1:3" x14ac:dyDescent="0.2">
      <c r="A287" t="s">
        <v>1097</v>
      </c>
      <c r="B287">
        <v>32.988830999999998</v>
      </c>
      <c r="C287">
        <v>-90.970956000000001</v>
      </c>
    </row>
    <row r="288" spans="1:3" x14ac:dyDescent="0.2">
      <c r="A288" t="s">
        <v>61</v>
      </c>
      <c r="B288">
        <v>34.756386999999997</v>
      </c>
      <c r="C288">
        <v>-90.61636</v>
      </c>
    </row>
    <row r="289" spans="1:3" x14ac:dyDescent="0.2">
      <c r="A289" t="s">
        <v>1098</v>
      </c>
      <c r="B289">
        <v>34.965297</v>
      </c>
      <c r="C289">
        <v>-90.384304</v>
      </c>
    </row>
    <row r="290" spans="1:3" x14ac:dyDescent="0.2">
      <c r="A290" t="s">
        <v>1099</v>
      </c>
      <c r="B290">
        <v>31.142337999999999</v>
      </c>
      <c r="C290">
        <v>-92.041478999999995</v>
      </c>
    </row>
    <row r="291" spans="1:3" x14ac:dyDescent="0.2">
      <c r="A291" t="s">
        <v>519</v>
      </c>
      <c r="B291">
        <v>34.757545</v>
      </c>
      <c r="C291">
        <v>-90.672471999999999</v>
      </c>
    </row>
    <row r="292" spans="1:3" x14ac:dyDescent="0.2">
      <c r="A292" t="s">
        <v>1100</v>
      </c>
      <c r="B292">
        <v>33.110030000000002</v>
      </c>
      <c r="C292">
        <v>-91.010467000000006</v>
      </c>
    </row>
    <row r="293" spans="1:3" x14ac:dyDescent="0.2">
      <c r="A293" t="s">
        <v>1101</v>
      </c>
      <c r="B293">
        <v>32.175431000000003</v>
      </c>
      <c r="C293">
        <v>-91.945875999999998</v>
      </c>
    </row>
    <row r="294" spans="1:3" x14ac:dyDescent="0.2">
      <c r="A294" t="s">
        <v>1102</v>
      </c>
      <c r="B294">
        <v>32.158613000000003</v>
      </c>
      <c r="C294">
        <v>-91.954256999999998</v>
      </c>
    </row>
    <row r="295" spans="1:3" x14ac:dyDescent="0.2">
      <c r="A295" t="s">
        <v>1103</v>
      </c>
      <c r="B295">
        <v>31.453866000000001</v>
      </c>
      <c r="C295">
        <v>-92.000221999999994</v>
      </c>
    </row>
    <row r="296" spans="1:3" x14ac:dyDescent="0.2">
      <c r="A296" t="s">
        <v>1104</v>
      </c>
      <c r="B296">
        <v>34.342236999999997</v>
      </c>
      <c r="C296">
        <v>-90.523947000000007</v>
      </c>
    </row>
    <row r="297" spans="1:3" x14ac:dyDescent="0.2">
      <c r="A297" t="s">
        <v>1105</v>
      </c>
      <c r="B297">
        <v>31.700084</v>
      </c>
      <c r="C297">
        <v>-91.692515999999998</v>
      </c>
    </row>
    <row r="298" spans="1:3" x14ac:dyDescent="0.2">
      <c r="A298" t="s">
        <v>1106</v>
      </c>
      <c r="B298">
        <v>32.593429</v>
      </c>
      <c r="C298">
        <v>-90.854134999999999</v>
      </c>
    </row>
    <row r="299" spans="1:3" x14ac:dyDescent="0.2">
      <c r="A299" t="s">
        <v>1107</v>
      </c>
      <c r="B299">
        <v>32.794254000000002</v>
      </c>
      <c r="C299">
        <v>-91.695109000000002</v>
      </c>
    </row>
    <row r="300" spans="1:3" x14ac:dyDescent="0.2">
      <c r="A300" t="s">
        <v>1108</v>
      </c>
      <c r="B300">
        <v>32.203645999999999</v>
      </c>
      <c r="C300">
        <v>-91.562147999999993</v>
      </c>
    </row>
    <row r="301" spans="1:3" x14ac:dyDescent="0.2">
      <c r="A301" t="s">
        <v>1109</v>
      </c>
      <c r="B301">
        <v>32.670910999999997</v>
      </c>
      <c r="C301">
        <v>-90.671969000000004</v>
      </c>
    </row>
    <row r="302" spans="1:3" x14ac:dyDescent="0.2">
      <c r="A302" t="s">
        <v>1109</v>
      </c>
      <c r="B302">
        <v>32.680643000000003</v>
      </c>
      <c r="C302">
        <v>-90.687156000000002</v>
      </c>
    </row>
    <row r="303" spans="1:3" x14ac:dyDescent="0.2">
      <c r="A303" t="s">
        <v>1110</v>
      </c>
      <c r="B303">
        <v>34.427829000000003</v>
      </c>
      <c r="C303">
        <v>-91.602435999999997</v>
      </c>
    </row>
    <row r="304" spans="1:3" x14ac:dyDescent="0.2">
      <c r="A304" t="s">
        <v>1111</v>
      </c>
      <c r="B304">
        <v>32.519080000000002</v>
      </c>
      <c r="C304">
        <v>-90.784355000000005</v>
      </c>
    </row>
    <row r="305" spans="1:3" x14ac:dyDescent="0.2">
      <c r="A305" t="s">
        <v>1112</v>
      </c>
      <c r="B305">
        <v>35.545625999999999</v>
      </c>
      <c r="C305">
        <v>-90.401578000000001</v>
      </c>
    </row>
    <row r="306" spans="1:3" x14ac:dyDescent="0.2">
      <c r="A306" t="s">
        <v>1113</v>
      </c>
      <c r="B306">
        <v>32.863106999999999</v>
      </c>
      <c r="C306">
        <v>-91.342866999999998</v>
      </c>
    </row>
    <row r="307" spans="1:3" x14ac:dyDescent="0.2">
      <c r="A307" t="s">
        <v>1114</v>
      </c>
      <c r="B307">
        <v>33.346204999999998</v>
      </c>
      <c r="C307">
        <v>-90.820204000000004</v>
      </c>
    </row>
    <row r="308" spans="1:3" x14ac:dyDescent="0.2">
      <c r="A308" t="s">
        <v>1115</v>
      </c>
      <c r="B308">
        <v>33.515597</v>
      </c>
      <c r="C308">
        <v>-90.617368999999997</v>
      </c>
    </row>
    <row r="309" spans="1:3" x14ac:dyDescent="0.2">
      <c r="A309" t="s">
        <v>1116</v>
      </c>
      <c r="B309">
        <v>32.474553</v>
      </c>
      <c r="C309">
        <v>-91.328936999999996</v>
      </c>
    </row>
    <row r="310" spans="1:3" x14ac:dyDescent="0.2">
      <c r="A310" t="s">
        <v>1117</v>
      </c>
      <c r="B310">
        <v>31.511046</v>
      </c>
      <c r="C310">
        <v>-92.002309999999994</v>
      </c>
    </row>
    <row r="311" spans="1:3" x14ac:dyDescent="0.2">
      <c r="A311" t="s">
        <v>1118</v>
      </c>
      <c r="B311">
        <v>36.386429</v>
      </c>
      <c r="C311">
        <v>-90.054940000000002</v>
      </c>
    </row>
    <row r="312" spans="1:3" x14ac:dyDescent="0.2">
      <c r="A312" t="s">
        <v>1119</v>
      </c>
      <c r="B312">
        <v>35.242378000000002</v>
      </c>
      <c r="C312">
        <v>-90.424029000000004</v>
      </c>
    </row>
    <row r="313" spans="1:3" x14ac:dyDescent="0.2">
      <c r="A313" t="s">
        <v>1120</v>
      </c>
      <c r="B313">
        <v>32.706471000000001</v>
      </c>
      <c r="C313">
        <v>-90.715266</v>
      </c>
    </row>
    <row r="314" spans="1:3" x14ac:dyDescent="0.2">
      <c r="A314" t="s">
        <v>1121</v>
      </c>
      <c r="B314">
        <v>33.133662999999999</v>
      </c>
      <c r="C314">
        <v>-90.504103000000001</v>
      </c>
    </row>
    <row r="315" spans="1:3" x14ac:dyDescent="0.2">
      <c r="A315" t="s">
        <v>1122</v>
      </c>
      <c r="B315">
        <v>33.397868000000003</v>
      </c>
      <c r="C315">
        <v>-90.838436999999999</v>
      </c>
    </row>
    <row r="316" spans="1:3" x14ac:dyDescent="0.2">
      <c r="A316" t="s">
        <v>1123</v>
      </c>
      <c r="B316">
        <v>31.468796999999999</v>
      </c>
      <c r="C316">
        <v>-91.893709000000001</v>
      </c>
    </row>
    <row r="317" spans="1:3" x14ac:dyDescent="0.2">
      <c r="A317" t="s">
        <v>1124</v>
      </c>
      <c r="B317">
        <v>31.413315000000001</v>
      </c>
      <c r="C317">
        <v>-91.90446</v>
      </c>
    </row>
    <row r="318" spans="1:3" x14ac:dyDescent="0.2">
      <c r="A318" t="s">
        <v>1125</v>
      </c>
      <c r="B318">
        <v>31.439219999999999</v>
      </c>
      <c r="C318">
        <v>-91.912323999999998</v>
      </c>
    </row>
    <row r="319" spans="1:3" x14ac:dyDescent="0.2">
      <c r="A319" t="s">
        <v>1126</v>
      </c>
      <c r="B319">
        <v>32.725380999999999</v>
      </c>
      <c r="C319">
        <v>-90.966502000000006</v>
      </c>
    </row>
    <row r="320" spans="1:3" x14ac:dyDescent="0.2">
      <c r="A320" t="s">
        <v>1127</v>
      </c>
      <c r="B320">
        <v>32.338272000000003</v>
      </c>
      <c r="C320">
        <v>-91.192015999999995</v>
      </c>
    </row>
    <row r="321" spans="1:3" x14ac:dyDescent="0.2">
      <c r="A321" t="s">
        <v>1128</v>
      </c>
      <c r="B321">
        <v>33.100845999999997</v>
      </c>
      <c r="C321">
        <v>-90.316490000000002</v>
      </c>
    </row>
    <row r="322" spans="1:3" x14ac:dyDescent="0.2">
      <c r="A322" t="s">
        <v>1129</v>
      </c>
      <c r="B322">
        <v>32.709256000000003</v>
      </c>
      <c r="C322">
        <v>-91.709406999999999</v>
      </c>
    </row>
    <row r="323" spans="1:3" x14ac:dyDescent="0.2">
      <c r="A323" t="s">
        <v>1130</v>
      </c>
      <c r="B323">
        <v>31.949228000000002</v>
      </c>
      <c r="C323">
        <v>-91.929676999999998</v>
      </c>
    </row>
    <row r="324" spans="1:3" x14ac:dyDescent="0.2">
      <c r="A324" t="s">
        <v>1131</v>
      </c>
      <c r="B324">
        <v>33.489336000000002</v>
      </c>
      <c r="C324">
        <v>-90.652061000000003</v>
      </c>
    </row>
    <row r="325" spans="1:3" x14ac:dyDescent="0.2">
      <c r="A325" t="s">
        <v>1132</v>
      </c>
      <c r="B325">
        <v>32.622593000000002</v>
      </c>
      <c r="C325">
        <v>-91.376773</v>
      </c>
    </row>
    <row r="326" spans="1:3" x14ac:dyDescent="0.2">
      <c r="A326" t="s">
        <v>481</v>
      </c>
      <c r="B326">
        <v>34.948495999999999</v>
      </c>
      <c r="C326">
        <v>-90.470703999999998</v>
      </c>
    </row>
    <row r="327" spans="1:3" x14ac:dyDescent="0.2">
      <c r="A327" t="s">
        <v>1133</v>
      </c>
      <c r="B327">
        <v>32.880122</v>
      </c>
      <c r="C327">
        <v>-91.699539000000001</v>
      </c>
    </row>
    <row r="328" spans="1:3" x14ac:dyDescent="0.2">
      <c r="A328" t="s">
        <v>1134</v>
      </c>
      <c r="B328">
        <v>34.392029999999998</v>
      </c>
      <c r="C328">
        <v>-90.825593999999995</v>
      </c>
    </row>
    <row r="329" spans="1:3" x14ac:dyDescent="0.2">
      <c r="A329" t="s">
        <v>1135</v>
      </c>
      <c r="B329">
        <v>34.369584000000003</v>
      </c>
      <c r="C329">
        <v>-90.513901000000004</v>
      </c>
    </row>
    <row r="330" spans="1:3" x14ac:dyDescent="0.2">
      <c r="A330" t="s">
        <v>1136</v>
      </c>
      <c r="B330">
        <v>33.320515999999998</v>
      </c>
      <c r="C330">
        <v>-90.425618</v>
      </c>
    </row>
    <row r="331" spans="1:3" x14ac:dyDescent="0.2">
      <c r="A331" t="s">
        <v>1137</v>
      </c>
      <c r="B331">
        <v>32.325516</v>
      </c>
      <c r="C331">
        <v>-91.373322000000002</v>
      </c>
    </row>
    <row r="332" spans="1:3" x14ac:dyDescent="0.2">
      <c r="A332" t="s">
        <v>1138</v>
      </c>
      <c r="B332">
        <v>34.437728999999997</v>
      </c>
      <c r="C332">
        <v>-90.150487999999996</v>
      </c>
    </row>
    <row r="333" spans="1:3" x14ac:dyDescent="0.2">
      <c r="A333" t="s">
        <v>1139</v>
      </c>
      <c r="B333">
        <v>33.239545999999997</v>
      </c>
      <c r="C333">
        <v>-90.812436000000005</v>
      </c>
    </row>
    <row r="334" spans="1:3" x14ac:dyDescent="0.2">
      <c r="A334" t="s">
        <v>1139</v>
      </c>
      <c r="B334">
        <v>33.12997</v>
      </c>
      <c r="C334">
        <v>-90.811119000000005</v>
      </c>
    </row>
    <row r="335" spans="1:3" x14ac:dyDescent="0.2">
      <c r="A335" t="s">
        <v>1139</v>
      </c>
      <c r="B335">
        <v>33.389330000000001</v>
      </c>
      <c r="C335">
        <v>-90.891964999999999</v>
      </c>
    </row>
    <row r="336" spans="1:3" x14ac:dyDescent="0.2">
      <c r="A336" t="s">
        <v>1139</v>
      </c>
      <c r="B336">
        <v>33.142803000000001</v>
      </c>
      <c r="C336">
        <v>-90.689387999999994</v>
      </c>
    </row>
    <row r="337" spans="1:3" x14ac:dyDescent="0.2">
      <c r="A337" t="s">
        <v>1139</v>
      </c>
      <c r="B337">
        <v>34.114331</v>
      </c>
      <c r="C337">
        <v>-90.313668000000007</v>
      </c>
    </row>
    <row r="338" spans="1:3" x14ac:dyDescent="0.2">
      <c r="A338" t="s">
        <v>1139</v>
      </c>
      <c r="B338">
        <v>33.179788000000002</v>
      </c>
      <c r="C338">
        <v>-90.681929999999994</v>
      </c>
    </row>
    <row r="339" spans="1:3" x14ac:dyDescent="0.2">
      <c r="A339" t="s">
        <v>1139</v>
      </c>
      <c r="B339">
        <v>33.692858999999999</v>
      </c>
      <c r="C339">
        <v>-90.968429</v>
      </c>
    </row>
    <row r="340" spans="1:3" x14ac:dyDescent="0.2">
      <c r="A340" t="s">
        <v>1139</v>
      </c>
      <c r="B340">
        <v>33.854771</v>
      </c>
      <c r="C340">
        <v>-90.704567999999995</v>
      </c>
    </row>
    <row r="341" spans="1:3" x14ac:dyDescent="0.2">
      <c r="A341" t="s">
        <v>1139</v>
      </c>
      <c r="B341">
        <v>33.031694999999999</v>
      </c>
      <c r="C341">
        <v>-90.832694000000004</v>
      </c>
    </row>
    <row r="342" spans="1:3" x14ac:dyDescent="0.2">
      <c r="A342" t="s">
        <v>1139</v>
      </c>
      <c r="B342">
        <v>33.778731000000001</v>
      </c>
      <c r="C342">
        <v>-90.919313000000002</v>
      </c>
    </row>
    <row r="343" spans="1:3" x14ac:dyDescent="0.2">
      <c r="A343" t="s">
        <v>1139</v>
      </c>
      <c r="B343">
        <v>33.805000999999997</v>
      </c>
      <c r="C343">
        <v>-90.928657999999999</v>
      </c>
    </row>
    <row r="344" spans="1:3" x14ac:dyDescent="0.2">
      <c r="A344" t="s">
        <v>1139</v>
      </c>
      <c r="B344">
        <v>33.867840000000001</v>
      </c>
      <c r="C344">
        <v>-90.916375000000002</v>
      </c>
    </row>
    <row r="345" spans="1:3" x14ac:dyDescent="0.2">
      <c r="A345" t="s">
        <v>1139</v>
      </c>
      <c r="B345">
        <v>33.873393</v>
      </c>
      <c r="C345">
        <v>-90.907764999999998</v>
      </c>
    </row>
    <row r="346" spans="1:3" x14ac:dyDescent="0.2">
      <c r="A346" t="s">
        <v>1139</v>
      </c>
      <c r="B346">
        <v>33.913718000000003</v>
      </c>
      <c r="C346">
        <v>-90.992348000000007</v>
      </c>
    </row>
    <row r="347" spans="1:3" x14ac:dyDescent="0.2">
      <c r="A347" t="s">
        <v>1139</v>
      </c>
      <c r="B347">
        <v>34.086469000000001</v>
      </c>
      <c r="C347">
        <v>-90.527563999999998</v>
      </c>
    </row>
    <row r="348" spans="1:3" x14ac:dyDescent="0.2">
      <c r="A348" t="s">
        <v>1139</v>
      </c>
      <c r="B348">
        <v>34.165644999999998</v>
      </c>
      <c r="C348">
        <v>-90.310416000000004</v>
      </c>
    </row>
    <row r="349" spans="1:3" x14ac:dyDescent="0.2">
      <c r="A349" t="s">
        <v>1139</v>
      </c>
      <c r="B349">
        <v>33.979401000000003</v>
      </c>
      <c r="C349">
        <v>-90.568839999999994</v>
      </c>
    </row>
    <row r="350" spans="1:3" x14ac:dyDescent="0.2">
      <c r="A350" t="s">
        <v>1139</v>
      </c>
      <c r="B350">
        <v>33.824989000000002</v>
      </c>
      <c r="C350">
        <v>-90.997276999999997</v>
      </c>
    </row>
    <row r="351" spans="1:3" x14ac:dyDescent="0.2">
      <c r="A351" t="s">
        <v>1139</v>
      </c>
      <c r="B351">
        <v>33.991264000000001</v>
      </c>
      <c r="C351">
        <v>-90.985805999999997</v>
      </c>
    </row>
    <row r="352" spans="1:3" x14ac:dyDescent="0.2">
      <c r="A352" t="s">
        <v>1139</v>
      </c>
      <c r="B352">
        <v>34.216112000000003</v>
      </c>
      <c r="C352">
        <v>-90.475759999999994</v>
      </c>
    </row>
    <row r="353" spans="1:3" x14ac:dyDescent="0.2">
      <c r="A353" t="s">
        <v>1139</v>
      </c>
      <c r="B353">
        <v>34.248100999999998</v>
      </c>
      <c r="C353">
        <v>-90.625668000000005</v>
      </c>
    </row>
    <row r="354" spans="1:3" x14ac:dyDescent="0.2">
      <c r="A354" t="s">
        <v>1139</v>
      </c>
      <c r="B354">
        <v>32.337491999999997</v>
      </c>
      <c r="C354">
        <v>-91.192924000000005</v>
      </c>
    </row>
    <row r="355" spans="1:3" x14ac:dyDescent="0.2">
      <c r="A355" t="s">
        <v>1139</v>
      </c>
      <c r="B355">
        <v>32.3001</v>
      </c>
      <c r="C355">
        <v>-91.132413999999997</v>
      </c>
    </row>
    <row r="356" spans="1:3" x14ac:dyDescent="0.2">
      <c r="A356" t="s">
        <v>1139</v>
      </c>
      <c r="B356">
        <v>32.095638999999998</v>
      </c>
      <c r="C356">
        <v>-91.449973</v>
      </c>
    </row>
    <row r="357" spans="1:3" x14ac:dyDescent="0.2">
      <c r="A357" t="s">
        <v>1139</v>
      </c>
      <c r="B357">
        <v>32.021448999999997</v>
      </c>
      <c r="C357">
        <v>-91.213554999999999</v>
      </c>
    </row>
    <row r="358" spans="1:3" x14ac:dyDescent="0.2">
      <c r="A358" t="s">
        <v>1139</v>
      </c>
      <c r="B358">
        <v>32.855355000000003</v>
      </c>
      <c r="C358">
        <v>-91.164886999999993</v>
      </c>
    </row>
    <row r="359" spans="1:3" x14ac:dyDescent="0.2">
      <c r="A359" t="s">
        <v>1139</v>
      </c>
      <c r="B359">
        <v>33.435969</v>
      </c>
      <c r="C359">
        <v>-90.956142999999997</v>
      </c>
    </row>
    <row r="360" spans="1:3" x14ac:dyDescent="0.2">
      <c r="A360" t="s">
        <v>1139</v>
      </c>
      <c r="B360">
        <v>33.620586000000003</v>
      </c>
      <c r="C360">
        <v>-91.200692000000004</v>
      </c>
    </row>
    <row r="361" spans="1:3" x14ac:dyDescent="0.2">
      <c r="A361" t="s">
        <v>1139</v>
      </c>
      <c r="B361">
        <v>33.750436999999998</v>
      </c>
      <c r="C361">
        <v>-91.273679000000001</v>
      </c>
    </row>
    <row r="362" spans="1:3" x14ac:dyDescent="0.2">
      <c r="A362" t="s">
        <v>1139</v>
      </c>
      <c r="B362">
        <v>33.782913999999998</v>
      </c>
      <c r="C362">
        <v>-91.549239</v>
      </c>
    </row>
    <row r="363" spans="1:3" x14ac:dyDescent="0.2">
      <c r="A363" t="s">
        <v>1139</v>
      </c>
      <c r="B363">
        <v>34.097237</v>
      </c>
      <c r="C363">
        <v>-91.175533000000001</v>
      </c>
    </row>
    <row r="364" spans="1:3" x14ac:dyDescent="0.2">
      <c r="A364" t="s">
        <v>1139</v>
      </c>
      <c r="B364">
        <v>33.982644999999998</v>
      </c>
      <c r="C364">
        <v>-91.262590000000003</v>
      </c>
    </row>
    <row r="365" spans="1:3" x14ac:dyDescent="0.2">
      <c r="A365" t="s">
        <v>1139</v>
      </c>
      <c r="B365">
        <v>34.158365000000003</v>
      </c>
      <c r="C365">
        <v>-91.790695999999997</v>
      </c>
    </row>
    <row r="366" spans="1:3" x14ac:dyDescent="0.2">
      <c r="A366" t="s">
        <v>1139</v>
      </c>
      <c r="B366">
        <v>34.161043999999997</v>
      </c>
      <c r="C366">
        <v>-91.769829000000001</v>
      </c>
    </row>
    <row r="367" spans="1:3" x14ac:dyDescent="0.2">
      <c r="A367" t="s">
        <v>1139</v>
      </c>
      <c r="B367">
        <v>34.163713999999999</v>
      </c>
      <c r="C367">
        <v>-91.806459000000004</v>
      </c>
    </row>
    <row r="368" spans="1:3" x14ac:dyDescent="0.2">
      <c r="A368" t="s">
        <v>1139</v>
      </c>
      <c r="B368">
        <v>33.574184000000002</v>
      </c>
      <c r="C368">
        <v>-90.794194000000005</v>
      </c>
    </row>
    <row r="369" spans="1:3" x14ac:dyDescent="0.2">
      <c r="A369" t="s">
        <v>1139</v>
      </c>
      <c r="B369">
        <v>33.578806999999998</v>
      </c>
      <c r="C369">
        <v>-90.792568000000003</v>
      </c>
    </row>
    <row r="370" spans="1:3" x14ac:dyDescent="0.2">
      <c r="A370" t="s">
        <v>1139</v>
      </c>
      <c r="B370">
        <v>33.552838000000001</v>
      </c>
      <c r="C370">
        <v>-90.792540000000002</v>
      </c>
    </row>
    <row r="371" spans="1:3" x14ac:dyDescent="0.2">
      <c r="A371" t="s">
        <v>1139</v>
      </c>
      <c r="B371">
        <v>33.479554</v>
      </c>
      <c r="C371">
        <v>-90.791839999999993</v>
      </c>
    </row>
    <row r="372" spans="1:3" x14ac:dyDescent="0.2">
      <c r="A372" t="s">
        <v>1139</v>
      </c>
      <c r="B372">
        <v>30.753551000000002</v>
      </c>
      <c r="C372">
        <v>-91.832436999999999</v>
      </c>
    </row>
    <row r="373" spans="1:3" x14ac:dyDescent="0.2">
      <c r="A373" t="s">
        <v>1139</v>
      </c>
      <c r="B373">
        <v>33.088309000000002</v>
      </c>
      <c r="C373">
        <v>-91.571810999999997</v>
      </c>
    </row>
    <row r="374" spans="1:3" x14ac:dyDescent="0.2">
      <c r="A374" t="s">
        <v>1140</v>
      </c>
      <c r="B374">
        <v>32.183993999999998</v>
      </c>
      <c r="C374">
        <v>-91.299944999999994</v>
      </c>
    </row>
    <row r="375" spans="1:3" x14ac:dyDescent="0.2">
      <c r="A375" t="s">
        <v>1140</v>
      </c>
      <c r="B375">
        <v>32.067087000000001</v>
      </c>
      <c r="C375">
        <v>-91.273257999999998</v>
      </c>
    </row>
    <row r="376" spans="1:3" x14ac:dyDescent="0.2">
      <c r="A376" t="s">
        <v>1140</v>
      </c>
      <c r="B376">
        <v>34.226652000000001</v>
      </c>
      <c r="C376">
        <v>-90.248024999999998</v>
      </c>
    </row>
    <row r="377" spans="1:3" x14ac:dyDescent="0.2">
      <c r="A377" t="s">
        <v>1140</v>
      </c>
      <c r="B377">
        <v>33.368107000000002</v>
      </c>
      <c r="C377">
        <v>-90.822226000000001</v>
      </c>
    </row>
    <row r="378" spans="1:3" x14ac:dyDescent="0.2">
      <c r="A378" t="s">
        <v>1140</v>
      </c>
      <c r="B378">
        <v>33.786288999999996</v>
      </c>
      <c r="C378">
        <v>-90.651283000000006</v>
      </c>
    </row>
    <row r="379" spans="1:3" x14ac:dyDescent="0.2">
      <c r="A379" t="s">
        <v>1140</v>
      </c>
      <c r="B379">
        <v>33.310161000000001</v>
      </c>
      <c r="C379">
        <v>-91.038044999999997</v>
      </c>
    </row>
    <row r="380" spans="1:3" x14ac:dyDescent="0.2">
      <c r="A380" t="s">
        <v>1140</v>
      </c>
      <c r="B380">
        <v>33.077952000000003</v>
      </c>
      <c r="C380">
        <v>-90.816981999999996</v>
      </c>
    </row>
    <row r="381" spans="1:3" x14ac:dyDescent="0.2">
      <c r="A381" t="s">
        <v>1140</v>
      </c>
      <c r="B381">
        <v>32.320956000000002</v>
      </c>
      <c r="C381">
        <v>-91.084496000000001</v>
      </c>
    </row>
    <row r="382" spans="1:3" x14ac:dyDescent="0.2">
      <c r="A382" t="s">
        <v>1140</v>
      </c>
      <c r="B382">
        <v>33.769426000000003</v>
      </c>
      <c r="C382">
        <v>-91.543419</v>
      </c>
    </row>
    <row r="383" spans="1:3" x14ac:dyDescent="0.2">
      <c r="A383" t="s">
        <v>1140</v>
      </c>
      <c r="B383">
        <v>32.644745999999998</v>
      </c>
      <c r="C383">
        <v>-91.759504000000007</v>
      </c>
    </row>
    <row r="384" spans="1:3" x14ac:dyDescent="0.2">
      <c r="A384" t="s">
        <v>1140</v>
      </c>
      <c r="B384">
        <v>32.151536</v>
      </c>
      <c r="C384">
        <v>-91.301608999999999</v>
      </c>
    </row>
    <row r="385" spans="1:3" x14ac:dyDescent="0.2">
      <c r="A385" t="s">
        <v>1140</v>
      </c>
      <c r="B385">
        <v>32.138812999999999</v>
      </c>
      <c r="C385">
        <v>-91.170563999999999</v>
      </c>
    </row>
    <row r="386" spans="1:3" x14ac:dyDescent="0.2">
      <c r="A386" t="s">
        <v>1140</v>
      </c>
      <c r="B386">
        <v>33.179662999999998</v>
      </c>
      <c r="C386">
        <v>-91.133658999999994</v>
      </c>
    </row>
    <row r="387" spans="1:3" x14ac:dyDescent="0.2">
      <c r="A387" t="s">
        <v>1141</v>
      </c>
      <c r="B387">
        <v>32.988370000000003</v>
      </c>
      <c r="C387">
        <v>-90.298620999999997</v>
      </c>
    </row>
    <row r="388" spans="1:3" x14ac:dyDescent="0.2">
      <c r="A388" t="s">
        <v>1142</v>
      </c>
      <c r="B388">
        <v>32.388556000000001</v>
      </c>
      <c r="C388">
        <v>-91.481089999999995</v>
      </c>
    </row>
    <row r="389" spans="1:3" x14ac:dyDescent="0.2">
      <c r="A389" t="s">
        <v>1143</v>
      </c>
      <c r="B389">
        <v>33.480834999999999</v>
      </c>
      <c r="C389">
        <v>-91.015168000000003</v>
      </c>
    </row>
    <row r="390" spans="1:3" x14ac:dyDescent="0.2">
      <c r="A390" t="s">
        <v>1144</v>
      </c>
      <c r="B390">
        <v>31.423017999999999</v>
      </c>
      <c r="C390">
        <v>-91.899717999999993</v>
      </c>
    </row>
    <row r="391" spans="1:3" x14ac:dyDescent="0.2">
      <c r="A391" t="s">
        <v>1145</v>
      </c>
      <c r="B391">
        <v>33.256732</v>
      </c>
      <c r="C391">
        <v>-90.608249999999998</v>
      </c>
    </row>
    <row r="392" spans="1:3" x14ac:dyDescent="0.2">
      <c r="A392" t="s">
        <v>1146</v>
      </c>
      <c r="B392">
        <v>32.668784000000002</v>
      </c>
      <c r="C392">
        <v>-91.780702000000005</v>
      </c>
    </row>
    <row r="393" spans="1:3" x14ac:dyDescent="0.2">
      <c r="A393" t="s">
        <v>1147</v>
      </c>
      <c r="B393">
        <v>32.534115</v>
      </c>
      <c r="C393">
        <v>-91.388908000000001</v>
      </c>
    </row>
    <row r="394" spans="1:3" x14ac:dyDescent="0.2">
      <c r="A394" t="s">
        <v>1148</v>
      </c>
      <c r="B394">
        <v>33.703887000000002</v>
      </c>
      <c r="C394">
        <v>-90.179675000000003</v>
      </c>
    </row>
    <row r="395" spans="1:3" x14ac:dyDescent="0.2">
      <c r="A395" t="s">
        <v>1149</v>
      </c>
      <c r="B395">
        <v>33.277831999999997</v>
      </c>
      <c r="C395">
        <v>-90.512328999999994</v>
      </c>
    </row>
    <row r="396" spans="1:3" x14ac:dyDescent="0.2">
      <c r="A396" t="s">
        <v>1150</v>
      </c>
      <c r="B396">
        <v>33.237062999999999</v>
      </c>
      <c r="C396">
        <v>-90.485598999999993</v>
      </c>
    </row>
    <row r="397" spans="1:3" x14ac:dyDescent="0.2">
      <c r="A397" t="s">
        <v>1151</v>
      </c>
      <c r="B397">
        <v>32.643729999999998</v>
      </c>
      <c r="C397">
        <v>-90.823088999999996</v>
      </c>
    </row>
    <row r="398" spans="1:3" x14ac:dyDescent="0.2">
      <c r="A398" t="s">
        <v>1152</v>
      </c>
      <c r="B398">
        <v>32.839444</v>
      </c>
      <c r="C398">
        <v>-90.695981000000003</v>
      </c>
    </row>
    <row r="399" spans="1:3" x14ac:dyDescent="0.2">
      <c r="A399" t="s">
        <v>558</v>
      </c>
      <c r="B399">
        <v>34.825963000000002</v>
      </c>
      <c r="C399">
        <v>-90.535775000000001</v>
      </c>
    </row>
    <row r="400" spans="1:3" x14ac:dyDescent="0.2">
      <c r="A400" t="s">
        <v>1153</v>
      </c>
      <c r="B400">
        <v>32.616470999999997</v>
      </c>
      <c r="C400">
        <v>-91.366502999999994</v>
      </c>
    </row>
    <row r="401" spans="1:3" x14ac:dyDescent="0.2">
      <c r="A401" t="s">
        <v>1154</v>
      </c>
      <c r="B401">
        <v>32.655124999999998</v>
      </c>
      <c r="C401">
        <v>-90.973595000000003</v>
      </c>
    </row>
    <row r="402" spans="1:3" x14ac:dyDescent="0.2">
      <c r="A402" t="s">
        <v>1155</v>
      </c>
      <c r="B402">
        <v>35.842221000000002</v>
      </c>
      <c r="C402">
        <v>-90.704166000000001</v>
      </c>
    </row>
    <row r="403" spans="1:3" x14ac:dyDescent="0.2">
      <c r="A403" t="s">
        <v>1156</v>
      </c>
      <c r="B403">
        <v>31.623493</v>
      </c>
      <c r="C403">
        <v>-91.816394000000003</v>
      </c>
    </row>
    <row r="404" spans="1:3" x14ac:dyDescent="0.2">
      <c r="A404" t="s">
        <v>1157</v>
      </c>
      <c r="B404">
        <v>31.439952999999999</v>
      </c>
      <c r="C404">
        <v>-92.197528000000005</v>
      </c>
    </row>
    <row r="405" spans="1:3" x14ac:dyDescent="0.2">
      <c r="A405" t="s">
        <v>1158</v>
      </c>
      <c r="B405">
        <v>32.753655000000002</v>
      </c>
      <c r="C405">
        <v>-90.728831999999997</v>
      </c>
    </row>
    <row r="406" spans="1:3" x14ac:dyDescent="0.2">
      <c r="A406" t="s">
        <v>1159</v>
      </c>
      <c r="B406">
        <v>36.230178000000002</v>
      </c>
      <c r="C406">
        <v>-90.104297000000003</v>
      </c>
    </row>
    <row r="407" spans="1:3" x14ac:dyDescent="0.2">
      <c r="A407" t="s">
        <v>57</v>
      </c>
      <c r="B407">
        <v>34.815728999999997</v>
      </c>
      <c r="C407">
        <v>-90.536124000000001</v>
      </c>
    </row>
    <row r="408" spans="1:3" x14ac:dyDescent="0.2">
      <c r="A408" t="s">
        <v>1160</v>
      </c>
      <c r="B408">
        <v>33.003796000000001</v>
      </c>
      <c r="C408">
        <v>-91.314852999999999</v>
      </c>
    </row>
    <row r="409" spans="1:3" x14ac:dyDescent="0.2">
      <c r="A409" t="s">
        <v>1161</v>
      </c>
      <c r="B409">
        <v>31.961995000000002</v>
      </c>
      <c r="C409">
        <v>-91.552424999999999</v>
      </c>
    </row>
    <row r="410" spans="1:3" x14ac:dyDescent="0.2">
      <c r="A410" t="s">
        <v>1162</v>
      </c>
      <c r="B410">
        <v>31.701134</v>
      </c>
      <c r="C410">
        <v>-91.806925000000007</v>
      </c>
    </row>
    <row r="411" spans="1:3" x14ac:dyDescent="0.2">
      <c r="A411" t="s">
        <v>1163</v>
      </c>
      <c r="B411">
        <v>33.253883999999999</v>
      </c>
      <c r="C411">
        <v>-90.991433999999998</v>
      </c>
    </row>
    <row r="412" spans="1:3" x14ac:dyDescent="0.2">
      <c r="A412" t="s">
        <v>1164</v>
      </c>
      <c r="B412">
        <v>32.413913999999998</v>
      </c>
      <c r="C412">
        <v>-90.840705</v>
      </c>
    </row>
    <row r="413" spans="1:3" x14ac:dyDescent="0.2">
      <c r="A413" t="s">
        <v>1165</v>
      </c>
      <c r="B413">
        <v>33.316569999999999</v>
      </c>
      <c r="C413">
        <v>-90.709761</v>
      </c>
    </row>
    <row r="414" spans="1:3" x14ac:dyDescent="0.2">
      <c r="A414" t="s">
        <v>1166</v>
      </c>
      <c r="B414">
        <v>33.259889999999999</v>
      </c>
      <c r="C414">
        <v>-90.995354000000006</v>
      </c>
    </row>
    <row r="415" spans="1:3" x14ac:dyDescent="0.2">
      <c r="A415" t="s">
        <v>1167</v>
      </c>
      <c r="B415">
        <v>32.630395999999998</v>
      </c>
      <c r="C415">
        <v>-90.737131000000005</v>
      </c>
    </row>
    <row r="416" spans="1:3" x14ac:dyDescent="0.2">
      <c r="A416" t="s">
        <v>1168</v>
      </c>
      <c r="B416">
        <v>33.119819999999997</v>
      </c>
      <c r="C416">
        <v>-90.745574000000005</v>
      </c>
    </row>
    <row r="417" spans="1:3" x14ac:dyDescent="0.2">
      <c r="A417" t="s">
        <v>1169</v>
      </c>
      <c r="B417">
        <v>30.217300000000002</v>
      </c>
      <c r="C417">
        <v>-92.038602999999995</v>
      </c>
    </row>
    <row r="418" spans="1:3" x14ac:dyDescent="0.2">
      <c r="A418" t="s">
        <v>1170</v>
      </c>
      <c r="B418">
        <v>30.256910999999999</v>
      </c>
      <c r="C418">
        <v>-91.986785999999995</v>
      </c>
    </row>
    <row r="419" spans="1:3" x14ac:dyDescent="0.2">
      <c r="A419" t="s">
        <v>1171</v>
      </c>
      <c r="B419">
        <v>33.297342</v>
      </c>
      <c r="C419">
        <v>-90.626941000000002</v>
      </c>
    </row>
    <row r="420" spans="1:3" x14ac:dyDescent="0.2">
      <c r="A420" t="s">
        <v>1172</v>
      </c>
      <c r="B420">
        <v>32.813997000000001</v>
      </c>
      <c r="C420">
        <v>-90.683321000000007</v>
      </c>
    </row>
    <row r="421" spans="1:3" x14ac:dyDescent="0.2">
      <c r="A421" t="s">
        <v>1173</v>
      </c>
      <c r="B421">
        <v>31.824587999999999</v>
      </c>
      <c r="C421">
        <v>-91.652304999999998</v>
      </c>
    </row>
    <row r="422" spans="1:3" x14ac:dyDescent="0.2">
      <c r="A422" t="s">
        <v>1174</v>
      </c>
      <c r="B422">
        <v>32.447279000000002</v>
      </c>
      <c r="C422">
        <v>-91.409857000000002</v>
      </c>
    </row>
    <row r="423" spans="1:3" x14ac:dyDescent="0.2">
      <c r="A423" t="s">
        <v>1175</v>
      </c>
      <c r="B423">
        <v>31.128302999999999</v>
      </c>
      <c r="C423">
        <v>-92.172179999999997</v>
      </c>
    </row>
    <row r="424" spans="1:3" x14ac:dyDescent="0.2">
      <c r="A424" t="s">
        <v>1176</v>
      </c>
      <c r="B424">
        <v>32.758611000000002</v>
      </c>
      <c r="C424">
        <v>-90.688171999999994</v>
      </c>
    </row>
    <row r="425" spans="1:3" x14ac:dyDescent="0.2">
      <c r="A425" t="s">
        <v>1177</v>
      </c>
      <c r="B425">
        <v>36.079894000000003</v>
      </c>
      <c r="C425">
        <v>-90.095478</v>
      </c>
    </row>
    <row r="426" spans="1:3" x14ac:dyDescent="0.2">
      <c r="A426" t="s">
        <v>1178</v>
      </c>
      <c r="B426">
        <v>33.087685</v>
      </c>
      <c r="C426">
        <v>-91.019604999999999</v>
      </c>
    </row>
    <row r="427" spans="1:3" x14ac:dyDescent="0.2">
      <c r="A427" t="s">
        <v>1179</v>
      </c>
      <c r="B427">
        <v>35.953339</v>
      </c>
      <c r="C427">
        <v>-90.377685</v>
      </c>
    </row>
    <row r="428" spans="1:3" x14ac:dyDescent="0.2">
      <c r="A428" t="s">
        <v>1180</v>
      </c>
      <c r="B428">
        <v>32.565266999999999</v>
      </c>
      <c r="C428">
        <v>-92.156218999999993</v>
      </c>
    </row>
    <row r="429" spans="1:3" x14ac:dyDescent="0.2">
      <c r="A429" t="s">
        <v>1181</v>
      </c>
      <c r="B429">
        <v>32.664814</v>
      </c>
      <c r="C429">
        <v>-90.729440999999994</v>
      </c>
    </row>
    <row r="430" spans="1:3" x14ac:dyDescent="0.2">
      <c r="A430" t="s">
        <v>1182</v>
      </c>
      <c r="B430">
        <v>33.418964000000003</v>
      </c>
      <c r="C430">
        <v>-90.891087999999996</v>
      </c>
    </row>
    <row r="431" spans="1:3" x14ac:dyDescent="0.2">
      <c r="A431" t="s">
        <v>1183</v>
      </c>
      <c r="B431">
        <v>33.087643999999997</v>
      </c>
      <c r="C431">
        <v>-90.950187999999997</v>
      </c>
    </row>
    <row r="432" spans="1:3" x14ac:dyDescent="0.2">
      <c r="A432" t="s">
        <v>1184</v>
      </c>
      <c r="B432">
        <v>31.436433999999998</v>
      </c>
      <c r="C432">
        <v>-91.950321000000002</v>
      </c>
    </row>
    <row r="433" spans="1:3" x14ac:dyDescent="0.2">
      <c r="A433" t="s">
        <v>1185</v>
      </c>
      <c r="B433">
        <v>32.925196999999997</v>
      </c>
      <c r="C433">
        <v>-91.583763000000005</v>
      </c>
    </row>
    <row r="434" spans="1:3" x14ac:dyDescent="0.2">
      <c r="A434" t="s">
        <v>1186</v>
      </c>
      <c r="B434">
        <v>32.690486999999997</v>
      </c>
      <c r="C434">
        <v>-90.696798000000001</v>
      </c>
    </row>
    <row r="435" spans="1:3" x14ac:dyDescent="0.2">
      <c r="A435" t="s">
        <v>1187</v>
      </c>
      <c r="B435">
        <v>31.394788999999999</v>
      </c>
      <c r="C435">
        <v>-91.924279999999996</v>
      </c>
    </row>
    <row r="436" spans="1:3" x14ac:dyDescent="0.2">
      <c r="A436" t="s">
        <v>1188</v>
      </c>
      <c r="B436">
        <v>32.964723999999997</v>
      </c>
      <c r="C436">
        <v>-90.488382999999999</v>
      </c>
    </row>
    <row r="437" spans="1:3" x14ac:dyDescent="0.2">
      <c r="A437" t="s">
        <v>1189</v>
      </c>
      <c r="B437">
        <v>32.609316</v>
      </c>
      <c r="C437">
        <v>-91.399209999999997</v>
      </c>
    </row>
    <row r="438" spans="1:3" x14ac:dyDescent="0.2">
      <c r="A438" t="s">
        <v>1190</v>
      </c>
      <c r="B438">
        <v>32.823652000000003</v>
      </c>
      <c r="C438">
        <v>-90.763940000000005</v>
      </c>
    </row>
    <row r="439" spans="1:3" x14ac:dyDescent="0.2">
      <c r="A439" t="s">
        <v>1191</v>
      </c>
      <c r="B439">
        <v>34.468862999999999</v>
      </c>
      <c r="C439">
        <v>-90.501238999999998</v>
      </c>
    </row>
    <row r="440" spans="1:3" x14ac:dyDescent="0.2">
      <c r="A440" t="s">
        <v>1192</v>
      </c>
      <c r="B440">
        <v>36.323619999999998</v>
      </c>
      <c r="C440">
        <v>-90.022394000000006</v>
      </c>
    </row>
    <row r="441" spans="1:3" x14ac:dyDescent="0.2">
      <c r="A441" t="s">
        <v>1193</v>
      </c>
      <c r="B441">
        <v>32.773618999999997</v>
      </c>
      <c r="C441">
        <v>-90.695683000000002</v>
      </c>
    </row>
    <row r="442" spans="1:3" x14ac:dyDescent="0.2">
      <c r="A442" t="s">
        <v>1194</v>
      </c>
      <c r="B442">
        <v>32.542037999999998</v>
      </c>
      <c r="C442">
        <v>-91.439964000000003</v>
      </c>
    </row>
    <row r="443" spans="1:3" x14ac:dyDescent="0.2">
      <c r="A443" t="s">
        <v>1195</v>
      </c>
      <c r="B443">
        <v>33.091310999999997</v>
      </c>
      <c r="C443">
        <v>-90.856161</v>
      </c>
    </row>
    <row r="444" spans="1:3" x14ac:dyDescent="0.2">
      <c r="A444" t="s">
        <v>1196</v>
      </c>
      <c r="B444">
        <v>32.656495</v>
      </c>
      <c r="C444">
        <v>-91.070238000000003</v>
      </c>
    </row>
    <row r="445" spans="1:3" x14ac:dyDescent="0.2">
      <c r="A445" t="s">
        <v>1197</v>
      </c>
      <c r="B445">
        <v>32.667175</v>
      </c>
      <c r="C445">
        <v>-91.683053999999998</v>
      </c>
    </row>
    <row r="446" spans="1:3" x14ac:dyDescent="0.2">
      <c r="A446" t="s">
        <v>1198</v>
      </c>
      <c r="B446">
        <v>35.791221</v>
      </c>
      <c r="C446">
        <v>-90.376564999999999</v>
      </c>
    </row>
    <row r="447" spans="1:3" x14ac:dyDescent="0.2">
      <c r="A447" t="s">
        <v>1199</v>
      </c>
      <c r="B447">
        <v>35.039887</v>
      </c>
      <c r="C447">
        <v>-90.726189000000005</v>
      </c>
    </row>
    <row r="448" spans="1:3" x14ac:dyDescent="0.2">
      <c r="A448" t="s">
        <v>1200</v>
      </c>
      <c r="B448">
        <v>32.681382999999997</v>
      </c>
      <c r="C448">
        <v>-90.980637000000002</v>
      </c>
    </row>
    <row r="449" spans="1:3" x14ac:dyDescent="0.2">
      <c r="A449" t="s">
        <v>1201</v>
      </c>
      <c r="B449">
        <v>32.497922000000003</v>
      </c>
      <c r="C449">
        <v>-91.484916999999996</v>
      </c>
    </row>
    <row r="450" spans="1:3" x14ac:dyDescent="0.2">
      <c r="A450" t="s">
        <v>1202</v>
      </c>
      <c r="B450">
        <v>31.124233</v>
      </c>
      <c r="C450">
        <v>-92.047995999999998</v>
      </c>
    </row>
    <row r="451" spans="1:3" x14ac:dyDescent="0.2">
      <c r="A451" t="s">
        <v>1203</v>
      </c>
      <c r="B451">
        <v>33.014719999999997</v>
      </c>
      <c r="C451">
        <v>-90.951503000000002</v>
      </c>
    </row>
    <row r="452" spans="1:3" x14ac:dyDescent="0.2">
      <c r="A452" t="s">
        <v>1204</v>
      </c>
      <c r="B452">
        <v>31.218138</v>
      </c>
      <c r="C452">
        <v>-92.118948000000003</v>
      </c>
    </row>
    <row r="453" spans="1:3" x14ac:dyDescent="0.2">
      <c r="A453" t="s">
        <v>1205</v>
      </c>
      <c r="B453">
        <v>32.887453000000001</v>
      </c>
      <c r="C453">
        <v>-91.054599999999994</v>
      </c>
    </row>
    <row r="454" spans="1:3" x14ac:dyDescent="0.2">
      <c r="A454" t="s">
        <v>1206</v>
      </c>
      <c r="B454">
        <v>33.471514999999997</v>
      </c>
      <c r="C454">
        <v>-90.312922999999998</v>
      </c>
    </row>
    <row r="455" spans="1:3" x14ac:dyDescent="0.2">
      <c r="A455" t="s">
        <v>1207</v>
      </c>
      <c r="B455">
        <v>33.200862000000001</v>
      </c>
      <c r="C455">
        <v>-90.420901000000001</v>
      </c>
    </row>
    <row r="456" spans="1:3" x14ac:dyDescent="0.2">
      <c r="A456" t="s">
        <v>1208</v>
      </c>
      <c r="B456">
        <v>33.121803</v>
      </c>
      <c r="C456">
        <v>-90.573757000000001</v>
      </c>
    </row>
    <row r="457" spans="1:3" x14ac:dyDescent="0.2">
      <c r="A457" t="s">
        <v>1209</v>
      </c>
      <c r="B457">
        <v>36.440004000000002</v>
      </c>
      <c r="C457">
        <v>-90.391388000000006</v>
      </c>
    </row>
    <row r="458" spans="1:3" x14ac:dyDescent="0.2">
      <c r="A458" t="s">
        <v>1209</v>
      </c>
      <c r="B458">
        <v>36.254921000000003</v>
      </c>
      <c r="C458">
        <v>-90.383171000000004</v>
      </c>
    </row>
    <row r="459" spans="1:3" x14ac:dyDescent="0.2">
      <c r="A459" t="s">
        <v>1210</v>
      </c>
      <c r="B459">
        <v>33.430376000000003</v>
      </c>
      <c r="C459">
        <v>-90.222538</v>
      </c>
    </row>
    <row r="460" spans="1:3" x14ac:dyDescent="0.2">
      <c r="A460" t="s">
        <v>1211</v>
      </c>
      <c r="B460">
        <v>31.821083000000002</v>
      </c>
      <c r="C460">
        <v>-91.795706999999993</v>
      </c>
    </row>
    <row r="461" spans="1:3" x14ac:dyDescent="0.2">
      <c r="A461" t="s">
        <v>1212</v>
      </c>
      <c r="B461">
        <v>32.547151999999997</v>
      </c>
      <c r="C461">
        <v>-92.134747000000004</v>
      </c>
    </row>
    <row r="462" spans="1:3" x14ac:dyDescent="0.2">
      <c r="A462" t="s">
        <v>1213</v>
      </c>
      <c r="B462">
        <v>32.920993000000003</v>
      </c>
      <c r="C462">
        <v>-91.322818999999996</v>
      </c>
    </row>
    <row r="463" spans="1:3" x14ac:dyDescent="0.2">
      <c r="A463" t="s">
        <v>1214</v>
      </c>
      <c r="B463">
        <v>35.270207999999997</v>
      </c>
      <c r="C463">
        <v>-90.494557999999998</v>
      </c>
    </row>
    <row r="464" spans="1:3" x14ac:dyDescent="0.2">
      <c r="A464" t="s">
        <v>1215</v>
      </c>
      <c r="B464">
        <v>32.679670000000002</v>
      </c>
      <c r="C464">
        <v>-90.662401000000003</v>
      </c>
    </row>
    <row r="465" spans="1:3" x14ac:dyDescent="0.2">
      <c r="A465" t="s">
        <v>1216</v>
      </c>
      <c r="B465">
        <v>34.137537999999999</v>
      </c>
      <c r="C465">
        <v>-90.464634000000004</v>
      </c>
    </row>
    <row r="466" spans="1:3" x14ac:dyDescent="0.2">
      <c r="A466" t="s">
        <v>1217</v>
      </c>
      <c r="B466">
        <v>33.468364999999999</v>
      </c>
      <c r="C466">
        <v>-91.000658000000001</v>
      </c>
    </row>
    <row r="467" spans="1:3" x14ac:dyDescent="0.2">
      <c r="A467" t="s">
        <v>1218</v>
      </c>
      <c r="B467">
        <v>33.049396999999999</v>
      </c>
      <c r="C467">
        <v>-90.573305000000005</v>
      </c>
    </row>
    <row r="468" spans="1:3" x14ac:dyDescent="0.2">
      <c r="A468" t="s">
        <v>1219</v>
      </c>
      <c r="B468">
        <v>33.055438000000002</v>
      </c>
      <c r="C468">
        <v>-90.578374999999994</v>
      </c>
    </row>
    <row r="469" spans="1:3" x14ac:dyDescent="0.2">
      <c r="A469" t="s">
        <v>1220</v>
      </c>
      <c r="B469">
        <v>35.511397000000002</v>
      </c>
      <c r="C469">
        <v>-90.444827000000004</v>
      </c>
    </row>
    <row r="470" spans="1:3" x14ac:dyDescent="0.2">
      <c r="A470" t="s">
        <v>1221</v>
      </c>
      <c r="B470">
        <v>33.488132</v>
      </c>
      <c r="C470">
        <v>-90.628140000000002</v>
      </c>
    </row>
    <row r="471" spans="1:3" x14ac:dyDescent="0.2">
      <c r="A471" t="s">
        <v>1222</v>
      </c>
      <c r="B471">
        <v>31.201767</v>
      </c>
      <c r="C471">
        <v>-92.122228000000007</v>
      </c>
    </row>
    <row r="472" spans="1:3" x14ac:dyDescent="0.2">
      <c r="A472" t="s">
        <v>1223</v>
      </c>
      <c r="B472">
        <v>32.562798999999998</v>
      </c>
      <c r="C472">
        <v>-92.122581999999994</v>
      </c>
    </row>
    <row r="473" spans="1:3" x14ac:dyDescent="0.2">
      <c r="A473" t="s">
        <v>1224</v>
      </c>
      <c r="B473">
        <v>34.296390000000002</v>
      </c>
      <c r="C473">
        <v>-90.684056999999996</v>
      </c>
    </row>
    <row r="474" spans="1:3" x14ac:dyDescent="0.2">
      <c r="A474" t="s">
        <v>1225</v>
      </c>
      <c r="B474">
        <v>33.305549999999997</v>
      </c>
      <c r="C474">
        <v>-90.336742999999998</v>
      </c>
    </row>
    <row r="475" spans="1:3" x14ac:dyDescent="0.2">
      <c r="A475" t="s">
        <v>1226</v>
      </c>
      <c r="B475">
        <v>32.901476000000002</v>
      </c>
      <c r="C475">
        <v>-91.930216999999999</v>
      </c>
    </row>
    <row r="476" spans="1:3" x14ac:dyDescent="0.2">
      <c r="A476" t="s">
        <v>1227</v>
      </c>
      <c r="B476">
        <v>35.660327000000002</v>
      </c>
      <c r="C476">
        <v>-90.548293999999999</v>
      </c>
    </row>
    <row r="477" spans="1:3" x14ac:dyDescent="0.2">
      <c r="A477" t="s">
        <v>663</v>
      </c>
      <c r="B477">
        <v>34.624405000000003</v>
      </c>
      <c r="C477">
        <v>-90.634832000000003</v>
      </c>
    </row>
    <row r="478" spans="1:3" x14ac:dyDescent="0.2">
      <c r="A478" t="s">
        <v>1228</v>
      </c>
      <c r="B478">
        <v>33.406342000000002</v>
      </c>
      <c r="C478">
        <v>-90.504132999999996</v>
      </c>
    </row>
    <row r="479" spans="1:3" x14ac:dyDescent="0.2">
      <c r="A479" t="s">
        <v>1229</v>
      </c>
      <c r="B479">
        <v>33.380794000000002</v>
      </c>
      <c r="C479">
        <v>-90.343703000000005</v>
      </c>
    </row>
    <row r="480" spans="1:3" x14ac:dyDescent="0.2">
      <c r="A480" t="s">
        <v>1230</v>
      </c>
      <c r="B480">
        <v>33.220916000000003</v>
      </c>
      <c r="C480">
        <v>-90.630809999999997</v>
      </c>
    </row>
    <row r="481" spans="1:3" x14ac:dyDescent="0.2">
      <c r="A481" t="s">
        <v>1231</v>
      </c>
      <c r="B481">
        <v>32.654873000000002</v>
      </c>
      <c r="C481">
        <v>-91.689194999999998</v>
      </c>
    </row>
    <row r="482" spans="1:3" x14ac:dyDescent="0.2">
      <c r="A482" t="s">
        <v>1232</v>
      </c>
      <c r="B482">
        <v>32.656869</v>
      </c>
      <c r="C482">
        <v>-91.405090000000001</v>
      </c>
    </row>
    <row r="483" spans="1:3" x14ac:dyDescent="0.2">
      <c r="A483" t="s">
        <v>1233</v>
      </c>
      <c r="B483">
        <v>32.309168999999997</v>
      </c>
      <c r="C483">
        <v>-91.507397999999995</v>
      </c>
    </row>
    <row r="484" spans="1:3" x14ac:dyDescent="0.2">
      <c r="A484" t="s">
        <v>1234</v>
      </c>
      <c r="B484">
        <v>32.538266999999998</v>
      </c>
      <c r="C484">
        <v>-90.984528999999995</v>
      </c>
    </row>
    <row r="485" spans="1:3" x14ac:dyDescent="0.2">
      <c r="A485" t="s">
        <v>1234</v>
      </c>
      <c r="B485">
        <v>32.54918</v>
      </c>
      <c r="C485">
        <v>-90.956643</v>
      </c>
    </row>
    <row r="486" spans="1:3" x14ac:dyDescent="0.2">
      <c r="A486" t="s">
        <v>546</v>
      </c>
      <c r="B486">
        <v>34.869356000000003</v>
      </c>
      <c r="C486">
        <v>-90.545375000000007</v>
      </c>
    </row>
    <row r="487" spans="1:3" x14ac:dyDescent="0.2">
      <c r="A487" t="s">
        <v>1235</v>
      </c>
      <c r="B487">
        <v>35.191862</v>
      </c>
      <c r="C487">
        <v>-90.126183999999995</v>
      </c>
    </row>
    <row r="488" spans="1:3" x14ac:dyDescent="0.2">
      <c r="A488" t="s">
        <v>1236</v>
      </c>
      <c r="B488">
        <v>32.933286000000003</v>
      </c>
      <c r="C488">
        <v>-90.502970000000005</v>
      </c>
    </row>
    <row r="489" spans="1:3" x14ac:dyDescent="0.2">
      <c r="A489" t="s">
        <v>1237</v>
      </c>
      <c r="B489">
        <v>32.943966000000003</v>
      </c>
      <c r="C489">
        <v>-90.870174000000006</v>
      </c>
    </row>
    <row r="490" spans="1:3" x14ac:dyDescent="0.2">
      <c r="A490" t="s">
        <v>1238</v>
      </c>
      <c r="B490">
        <v>35.079431999999997</v>
      </c>
      <c r="C490">
        <v>-90.240703999999994</v>
      </c>
    </row>
    <row r="491" spans="1:3" x14ac:dyDescent="0.2">
      <c r="A491" t="s">
        <v>1239</v>
      </c>
      <c r="B491">
        <v>33.466644000000002</v>
      </c>
      <c r="C491">
        <v>-90.858807999999996</v>
      </c>
    </row>
    <row r="492" spans="1:3" x14ac:dyDescent="0.2">
      <c r="A492" t="s">
        <v>1239</v>
      </c>
      <c r="B492">
        <v>34.101469000000002</v>
      </c>
      <c r="C492">
        <v>-90.514544999999998</v>
      </c>
    </row>
    <row r="493" spans="1:3" x14ac:dyDescent="0.2">
      <c r="A493" t="s">
        <v>1239</v>
      </c>
      <c r="B493">
        <v>34.088262</v>
      </c>
      <c r="C493">
        <v>-90.530199999999994</v>
      </c>
    </row>
    <row r="494" spans="1:3" x14ac:dyDescent="0.2">
      <c r="A494" t="s">
        <v>1239</v>
      </c>
      <c r="B494">
        <v>33.644866999999998</v>
      </c>
      <c r="C494">
        <v>-90.799259000000006</v>
      </c>
    </row>
    <row r="495" spans="1:3" x14ac:dyDescent="0.2">
      <c r="A495" t="s">
        <v>1239</v>
      </c>
      <c r="B495">
        <v>34.819175999999999</v>
      </c>
      <c r="C495">
        <v>-90.385174000000006</v>
      </c>
    </row>
    <row r="496" spans="1:3" x14ac:dyDescent="0.2">
      <c r="A496" t="s">
        <v>1239</v>
      </c>
      <c r="B496">
        <v>33.416376999999997</v>
      </c>
      <c r="C496">
        <v>-90.601428999999996</v>
      </c>
    </row>
    <row r="497" spans="1:3" x14ac:dyDescent="0.2">
      <c r="A497" t="s">
        <v>1239</v>
      </c>
      <c r="B497">
        <v>33.730811000000003</v>
      </c>
      <c r="C497">
        <v>-90.188547999999997</v>
      </c>
    </row>
    <row r="498" spans="1:3" x14ac:dyDescent="0.2">
      <c r="A498" t="s">
        <v>1239</v>
      </c>
      <c r="B498">
        <v>33.715806000000001</v>
      </c>
      <c r="C498">
        <v>-91.005934999999994</v>
      </c>
    </row>
    <row r="499" spans="1:3" x14ac:dyDescent="0.2">
      <c r="A499" t="s">
        <v>1239</v>
      </c>
      <c r="B499">
        <v>33.762780999999997</v>
      </c>
      <c r="C499">
        <v>-90.872326000000001</v>
      </c>
    </row>
    <row r="500" spans="1:3" x14ac:dyDescent="0.2">
      <c r="A500" t="s">
        <v>1239</v>
      </c>
      <c r="B500">
        <v>34.777268999999997</v>
      </c>
      <c r="C500">
        <v>-90.370591000000005</v>
      </c>
    </row>
    <row r="501" spans="1:3" x14ac:dyDescent="0.2">
      <c r="A501" t="s">
        <v>1239</v>
      </c>
      <c r="B501">
        <v>34.063234000000001</v>
      </c>
      <c r="C501">
        <v>-90.582784000000004</v>
      </c>
    </row>
    <row r="502" spans="1:3" x14ac:dyDescent="0.2">
      <c r="A502" t="s">
        <v>1239</v>
      </c>
      <c r="B502">
        <v>34.897528000000001</v>
      </c>
      <c r="C502">
        <v>-90.458164999999994</v>
      </c>
    </row>
    <row r="503" spans="1:3" x14ac:dyDescent="0.2">
      <c r="A503" t="s">
        <v>1239</v>
      </c>
      <c r="B503">
        <v>32.514980999999999</v>
      </c>
      <c r="C503">
        <v>-91.314307999999997</v>
      </c>
    </row>
    <row r="504" spans="1:3" x14ac:dyDescent="0.2">
      <c r="A504" t="s">
        <v>1239</v>
      </c>
      <c r="B504">
        <v>34.266423000000003</v>
      </c>
      <c r="C504">
        <v>-91.860969999999995</v>
      </c>
    </row>
    <row r="505" spans="1:3" x14ac:dyDescent="0.2">
      <c r="A505" t="s">
        <v>1239</v>
      </c>
      <c r="B505">
        <v>32.901786999999999</v>
      </c>
      <c r="C505">
        <v>-91.775456000000005</v>
      </c>
    </row>
    <row r="506" spans="1:3" x14ac:dyDescent="0.2">
      <c r="A506" t="s">
        <v>1239</v>
      </c>
      <c r="B506">
        <v>33.563889000000003</v>
      </c>
      <c r="C506">
        <v>-91.157015999999999</v>
      </c>
    </row>
    <row r="507" spans="1:3" x14ac:dyDescent="0.2">
      <c r="A507" t="s">
        <v>1239</v>
      </c>
      <c r="B507">
        <v>33.561805</v>
      </c>
      <c r="C507">
        <v>-91.184419000000005</v>
      </c>
    </row>
    <row r="508" spans="1:3" x14ac:dyDescent="0.2">
      <c r="A508" t="s">
        <v>1239</v>
      </c>
      <c r="B508">
        <v>31.38289</v>
      </c>
      <c r="C508">
        <v>-91.996768000000003</v>
      </c>
    </row>
    <row r="509" spans="1:3" x14ac:dyDescent="0.2">
      <c r="A509" t="s">
        <v>1239</v>
      </c>
      <c r="B509">
        <v>31.364483</v>
      </c>
      <c r="C509">
        <v>-91.996459000000002</v>
      </c>
    </row>
    <row r="510" spans="1:3" x14ac:dyDescent="0.2">
      <c r="A510" t="s">
        <v>1239</v>
      </c>
      <c r="B510">
        <v>31.604520000000001</v>
      </c>
      <c r="C510">
        <v>-91.670536999999996</v>
      </c>
    </row>
    <row r="511" spans="1:3" x14ac:dyDescent="0.2">
      <c r="A511" t="s">
        <v>1240</v>
      </c>
      <c r="B511">
        <v>31.820920999999998</v>
      </c>
      <c r="C511">
        <v>-91.567667999999998</v>
      </c>
    </row>
    <row r="512" spans="1:3" x14ac:dyDescent="0.2">
      <c r="A512" t="s">
        <v>1241</v>
      </c>
      <c r="B512">
        <v>35.114438999999997</v>
      </c>
      <c r="C512">
        <v>-90.267211000000003</v>
      </c>
    </row>
    <row r="513" spans="1:3" x14ac:dyDescent="0.2">
      <c r="A513" t="s">
        <v>1241</v>
      </c>
      <c r="B513">
        <v>31.934176000000001</v>
      </c>
      <c r="C513">
        <v>-91.421464</v>
      </c>
    </row>
    <row r="514" spans="1:3" x14ac:dyDescent="0.2">
      <c r="A514" t="s">
        <v>1242</v>
      </c>
      <c r="B514">
        <v>31.431629999999998</v>
      </c>
      <c r="C514">
        <v>-91.981098000000003</v>
      </c>
    </row>
    <row r="515" spans="1:3" x14ac:dyDescent="0.2">
      <c r="A515" t="s">
        <v>1243</v>
      </c>
      <c r="B515">
        <v>31.384502000000001</v>
      </c>
      <c r="C515">
        <v>-92.052026999999995</v>
      </c>
    </row>
    <row r="516" spans="1:3" x14ac:dyDescent="0.2">
      <c r="A516" t="s">
        <v>1244</v>
      </c>
      <c r="B516">
        <v>33.454346999999999</v>
      </c>
      <c r="C516">
        <v>-90.358110999999994</v>
      </c>
    </row>
    <row r="517" spans="1:3" x14ac:dyDescent="0.2">
      <c r="A517" t="s">
        <v>1245</v>
      </c>
      <c r="B517">
        <v>32.748516000000002</v>
      </c>
      <c r="C517">
        <v>-91.346070999999995</v>
      </c>
    </row>
    <row r="518" spans="1:3" x14ac:dyDescent="0.2">
      <c r="A518" t="s">
        <v>1246</v>
      </c>
      <c r="B518">
        <v>35.342260000000003</v>
      </c>
      <c r="C518">
        <v>-90.542533000000006</v>
      </c>
    </row>
    <row r="519" spans="1:3" x14ac:dyDescent="0.2">
      <c r="A519" t="s">
        <v>1247</v>
      </c>
      <c r="B519">
        <v>33.610143000000001</v>
      </c>
      <c r="C519">
        <v>-90.133257999999998</v>
      </c>
    </row>
    <row r="520" spans="1:3" x14ac:dyDescent="0.2">
      <c r="A520" t="s">
        <v>1248</v>
      </c>
      <c r="B520">
        <v>33.610143999999998</v>
      </c>
      <c r="C520">
        <v>-90.133268999999999</v>
      </c>
    </row>
    <row r="521" spans="1:3" x14ac:dyDescent="0.2">
      <c r="A521" t="s">
        <v>1249</v>
      </c>
      <c r="B521">
        <v>32.977099000000003</v>
      </c>
      <c r="C521">
        <v>-91.655979000000002</v>
      </c>
    </row>
    <row r="522" spans="1:3" x14ac:dyDescent="0.2">
      <c r="A522" t="s">
        <v>1250</v>
      </c>
      <c r="B522">
        <v>35.518701999999998</v>
      </c>
      <c r="C522">
        <v>-90.131339999999994</v>
      </c>
    </row>
    <row r="523" spans="1:3" x14ac:dyDescent="0.2">
      <c r="A523" t="s">
        <v>1251</v>
      </c>
      <c r="B523">
        <v>32.222912999999998</v>
      </c>
      <c r="C523">
        <v>-91.511482999999998</v>
      </c>
    </row>
    <row r="524" spans="1:3" x14ac:dyDescent="0.2">
      <c r="A524" t="s">
        <v>1252</v>
      </c>
      <c r="B524">
        <v>33.337693999999999</v>
      </c>
      <c r="C524">
        <v>-90.435714000000004</v>
      </c>
    </row>
    <row r="525" spans="1:3" x14ac:dyDescent="0.2">
      <c r="A525" t="s">
        <v>40</v>
      </c>
      <c r="B525">
        <v>31.109466000000001</v>
      </c>
      <c r="C525">
        <v>-92.042271</v>
      </c>
    </row>
    <row r="526" spans="1:3" x14ac:dyDescent="0.2">
      <c r="A526" t="s">
        <v>1253</v>
      </c>
      <c r="B526">
        <v>32.641373000000002</v>
      </c>
      <c r="C526">
        <v>-90.556455999999997</v>
      </c>
    </row>
    <row r="527" spans="1:3" x14ac:dyDescent="0.2">
      <c r="A527" t="s">
        <v>1254</v>
      </c>
      <c r="B527">
        <v>34.699303999999998</v>
      </c>
      <c r="C527">
        <v>-90.667609999999996</v>
      </c>
    </row>
    <row r="528" spans="1:3" x14ac:dyDescent="0.2">
      <c r="A528" t="s">
        <v>1255</v>
      </c>
      <c r="B528">
        <v>31.202729999999999</v>
      </c>
      <c r="C528">
        <v>-92.093311999999997</v>
      </c>
    </row>
    <row r="529" spans="1:3" x14ac:dyDescent="0.2">
      <c r="A529" t="s">
        <v>1255</v>
      </c>
      <c r="B529">
        <v>31.183821999999999</v>
      </c>
      <c r="C529">
        <v>-92.143739999999994</v>
      </c>
    </row>
    <row r="530" spans="1:3" x14ac:dyDescent="0.2">
      <c r="A530" t="s">
        <v>1255</v>
      </c>
      <c r="B530">
        <v>34.103495000000002</v>
      </c>
      <c r="C530">
        <v>-90.470712000000006</v>
      </c>
    </row>
    <row r="531" spans="1:3" x14ac:dyDescent="0.2">
      <c r="A531" t="s">
        <v>1256</v>
      </c>
      <c r="B531">
        <v>34.103495000000002</v>
      </c>
      <c r="C531">
        <v>-90.470712000000006</v>
      </c>
    </row>
    <row r="532" spans="1:3" x14ac:dyDescent="0.2">
      <c r="A532" t="s">
        <v>1257</v>
      </c>
      <c r="B532">
        <v>35.537260000000003</v>
      </c>
      <c r="C532">
        <v>-90.090750999999997</v>
      </c>
    </row>
    <row r="533" spans="1:3" x14ac:dyDescent="0.2">
      <c r="A533" t="s">
        <v>1258</v>
      </c>
      <c r="B533">
        <v>33.392288000000001</v>
      </c>
      <c r="C533">
        <v>-90.390773999999993</v>
      </c>
    </row>
    <row r="534" spans="1:3" x14ac:dyDescent="0.2">
      <c r="A534" t="s">
        <v>1259</v>
      </c>
      <c r="B534">
        <v>31.335861000000001</v>
      </c>
      <c r="C534">
        <v>-92.009923000000001</v>
      </c>
    </row>
    <row r="535" spans="1:3" x14ac:dyDescent="0.2">
      <c r="A535" t="s">
        <v>1260</v>
      </c>
      <c r="B535">
        <v>36.139488999999998</v>
      </c>
      <c r="C535">
        <v>-90.228776999999994</v>
      </c>
    </row>
    <row r="536" spans="1:3" x14ac:dyDescent="0.2">
      <c r="A536" t="s">
        <v>1261</v>
      </c>
      <c r="B536">
        <v>32.725031999999999</v>
      </c>
      <c r="C536">
        <v>-90.967191999999997</v>
      </c>
    </row>
    <row r="537" spans="1:3" x14ac:dyDescent="0.2">
      <c r="A537" t="s">
        <v>1262</v>
      </c>
      <c r="B537">
        <v>36.678733999999999</v>
      </c>
      <c r="C537">
        <v>-95.644056000000006</v>
      </c>
    </row>
    <row r="538" spans="1:3" x14ac:dyDescent="0.2">
      <c r="A538" t="s">
        <v>1263</v>
      </c>
      <c r="B538">
        <v>34.215865000000001</v>
      </c>
      <c r="C538">
        <v>-90.534521999999996</v>
      </c>
    </row>
    <row r="539" spans="1:3" x14ac:dyDescent="0.2">
      <c r="A539" t="s">
        <v>1264</v>
      </c>
      <c r="B539">
        <v>33.463441000000003</v>
      </c>
      <c r="C539">
        <v>-90.219955999999996</v>
      </c>
    </row>
    <row r="540" spans="1:3" x14ac:dyDescent="0.2">
      <c r="A540" t="s">
        <v>1265</v>
      </c>
      <c r="B540">
        <v>33.072088000000001</v>
      </c>
      <c r="C540">
        <v>-90.866320000000002</v>
      </c>
    </row>
    <row r="541" spans="1:3" x14ac:dyDescent="0.2">
      <c r="A541" t="s">
        <v>1266</v>
      </c>
      <c r="B541">
        <v>32.525748</v>
      </c>
      <c r="C541">
        <v>-91.345364000000004</v>
      </c>
    </row>
    <row r="542" spans="1:3" x14ac:dyDescent="0.2">
      <c r="A542" t="s">
        <v>1267</v>
      </c>
      <c r="B542">
        <v>35.278137000000001</v>
      </c>
      <c r="C542">
        <v>-90.557411000000002</v>
      </c>
    </row>
    <row r="543" spans="1:3" x14ac:dyDescent="0.2">
      <c r="A543" t="s">
        <v>1268</v>
      </c>
      <c r="B543">
        <v>32.661748000000003</v>
      </c>
      <c r="C543">
        <v>-91.679039000000003</v>
      </c>
    </row>
    <row r="544" spans="1:3" x14ac:dyDescent="0.2">
      <c r="A544" t="s">
        <v>1269</v>
      </c>
      <c r="B544">
        <v>32.707928000000003</v>
      </c>
      <c r="C544">
        <v>-91.870908999999997</v>
      </c>
    </row>
    <row r="545" spans="1:3" x14ac:dyDescent="0.2">
      <c r="A545" t="s">
        <v>1270</v>
      </c>
      <c r="B545">
        <v>31.444272999999999</v>
      </c>
      <c r="C545">
        <v>-91.991821000000002</v>
      </c>
    </row>
    <row r="546" spans="1:3" x14ac:dyDescent="0.2">
      <c r="A546" t="s">
        <v>1271</v>
      </c>
      <c r="B546">
        <v>33.302911999999999</v>
      </c>
      <c r="C546">
        <v>-90.48124</v>
      </c>
    </row>
    <row r="547" spans="1:3" x14ac:dyDescent="0.2">
      <c r="A547" t="s">
        <v>1272</v>
      </c>
      <c r="B547">
        <v>33.170971999999999</v>
      </c>
      <c r="C547">
        <v>-90.455935999999994</v>
      </c>
    </row>
    <row r="548" spans="1:3" x14ac:dyDescent="0.2">
      <c r="A548" t="s">
        <v>1273</v>
      </c>
      <c r="B548">
        <v>31.823084000000001</v>
      </c>
      <c r="C548">
        <v>-91.593329999999995</v>
      </c>
    </row>
    <row r="549" spans="1:3" x14ac:dyDescent="0.2">
      <c r="A549" t="s">
        <v>1274</v>
      </c>
      <c r="B549">
        <v>36.152776000000003</v>
      </c>
      <c r="C549">
        <v>-90.036672999999993</v>
      </c>
    </row>
    <row r="550" spans="1:3" x14ac:dyDescent="0.2">
      <c r="A550" t="s">
        <v>1275</v>
      </c>
      <c r="B550">
        <v>33.131867999999997</v>
      </c>
      <c r="C550">
        <v>-90.971089000000006</v>
      </c>
    </row>
    <row r="551" spans="1:3" x14ac:dyDescent="0.2">
      <c r="A551" t="s">
        <v>1276</v>
      </c>
      <c r="B551">
        <v>33.266658999999997</v>
      </c>
      <c r="C551">
        <v>-90.463628</v>
      </c>
    </row>
    <row r="552" spans="1:3" x14ac:dyDescent="0.2">
      <c r="A552" t="s">
        <v>1277</v>
      </c>
      <c r="B552">
        <v>32.817988</v>
      </c>
      <c r="C552">
        <v>-90.663707000000002</v>
      </c>
    </row>
    <row r="553" spans="1:3" x14ac:dyDescent="0.2">
      <c r="A553" t="s">
        <v>1278</v>
      </c>
      <c r="B553">
        <v>32.902146000000002</v>
      </c>
      <c r="C553">
        <v>-90.432893000000007</v>
      </c>
    </row>
    <row r="554" spans="1:3" x14ac:dyDescent="0.2">
      <c r="A554" t="s">
        <v>1279</v>
      </c>
      <c r="B554">
        <v>34.820362000000003</v>
      </c>
      <c r="C554">
        <v>-90.480630000000005</v>
      </c>
    </row>
    <row r="555" spans="1:3" x14ac:dyDescent="0.2">
      <c r="A555" t="s">
        <v>1280</v>
      </c>
      <c r="B555">
        <v>34.830021000000002</v>
      </c>
      <c r="C555">
        <v>-90.476924999999994</v>
      </c>
    </row>
    <row r="556" spans="1:3" x14ac:dyDescent="0.2">
      <c r="A556" t="s">
        <v>1281</v>
      </c>
      <c r="B556">
        <v>31.597920999999999</v>
      </c>
      <c r="C556">
        <v>-92.036969999999997</v>
      </c>
    </row>
    <row r="557" spans="1:3" x14ac:dyDescent="0.2">
      <c r="A557" t="s">
        <v>1282</v>
      </c>
      <c r="B557">
        <v>32.288293000000003</v>
      </c>
      <c r="C557">
        <v>-91.219087000000002</v>
      </c>
    </row>
    <row r="558" spans="1:3" x14ac:dyDescent="0.2">
      <c r="A558" t="s">
        <v>1283</v>
      </c>
      <c r="B558">
        <v>32.184282000000003</v>
      </c>
      <c r="C558">
        <v>-91.829210000000003</v>
      </c>
    </row>
    <row r="559" spans="1:3" x14ac:dyDescent="0.2">
      <c r="A559" t="s">
        <v>1284</v>
      </c>
      <c r="B559">
        <v>33.417878000000002</v>
      </c>
      <c r="C559">
        <v>-90.816844000000003</v>
      </c>
    </row>
    <row r="560" spans="1:3" x14ac:dyDescent="0.2">
      <c r="A560" t="s">
        <v>1285</v>
      </c>
      <c r="B560">
        <v>33.338934999999999</v>
      </c>
      <c r="C560">
        <v>-90.438598999999996</v>
      </c>
    </row>
    <row r="561" spans="1:3" x14ac:dyDescent="0.2">
      <c r="A561" t="s">
        <v>1286</v>
      </c>
      <c r="B561">
        <v>32.746744999999997</v>
      </c>
      <c r="C561">
        <v>-91.591547000000006</v>
      </c>
    </row>
    <row r="562" spans="1:3" x14ac:dyDescent="0.2">
      <c r="A562" t="s">
        <v>1287</v>
      </c>
      <c r="B562">
        <v>34.333146999999997</v>
      </c>
      <c r="C562">
        <v>-90.302491000000003</v>
      </c>
    </row>
    <row r="563" spans="1:3" x14ac:dyDescent="0.2">
      <c r="A563" t="s">
        <v>1288</v>
      </c>
      <c r="B563">
        <v>32.720900999999998</v>
      </c>
      <c r="C563">
        <v>-90.590631000000002</v>
      </c>
    </row>
    <row r="564" spans="1:3" x14ac:dyDescent="0.2">
      <c r="A564" t="s">
        <v>1289</v>
      </c>
      <c r="B564">
        <v>35.024355999999997</v>
      </c>
      <c r="C564">
        <v>-90.359235999999996</v>
      </c>
    </row>
    <row r="565" spans="1:3" x14ac:dyDescent="0.2">
      <c r="A565" t="s">
        <v>1290</v>
      </c>
      <c r="B565">
        <v>32.635106</v>
      </c>
      <c r="C565">
        <v>-91.410123999999996</v>
      </c>
    </row>
    <row r="566" spans="1:3" x14ac:dyDescent="0.2">
      <c r="A566" t="s">
        <v>1291</v>
      </c>
      <c r="B566">
        <v>35.679977000000001</v>
      </c>
      <c r="C566">
        <v>-90.551360000000003</v>
      </c>
    </row>
    <row r="567" spans="1:3" x14ac:dyDescent="0.2">
      <c r="A567" t="s">
        <v>1292</v>
      </c>
      <c r="B567">
        <v>33.372256999999998</v>
      </c>
      <c r="C567">
        <v>-90.413735000000003</v>
      </c>
    </row>
    <row r="568" spans="1:3" x14ac:dyDescent="0.2">
      <c r="A568" t="s">
        <v>1293</v>
      </c>
      <c r="B568">
        <v>31.772807</v>
      </c>
      <c r="C568">
        <v>-91.792489000000003</v>
      </c>
    </row>
    <row r="569" spans="1:3" x14ac:dyDescent="0.2">
      <c r="A569" t="s">
        <v>1294</v>
      </c>
      <c r="B569">
        <v>33.100349000000001</v>
      </c>
      <c r="C569">
        <v>-90.324838999999997</v>
      </c>
    </row>
    <row r="570" spans="1:3" x14ac:dyDescent="0.2">
      <c r="A570" t="s">
        <v>1295</v>
      </c>
      <c r="B570">
        <v>32.910615</v>
      </c>
      <c r="C570">
        <v>-91.800335000000004</v>
      </c>
    </row>
    <row r="571" spans="1:3" x14ac:dyDescent="0.2">
      <c r="A571" t="s">
        <v>1296</v>
      </c>
      <c r="B571">
        <v>36.129426000000002</v>
      </c>
      <c r="C571">
        <v>-90.118269999999995</v>
      </c>
    </row>
    <row r="572" spans="1:3" x14ac:dyDescent="0.2">
      <c r="A572" t="s">
        <v>1297</v>
      </c>
      <c r="B572">
        <v>32.527752999999997</v>
      </c>
      <c r="C572">
        <v>-91.404193000000006</v>
      </c>
    </row>
    <row r="573" spans="1:3" x14ac:dyDescent="0.2">
      <c r="A573" t="s">
        <v>1298</v>
      </c>
      <c r="B573">
        <v>32.958866</v>
      </c>
      <c r="C573">
        <v>-90.497073</v>
      </c>
    </row>
    <row r="574" spans="1:3" x14ac:dyDescent="0.2">
      <c r="A574" t="s">
        <v>1299</v>
      </c>
      <c r="B574">
        <v>33.867334999999997</v>
      </c>
      <c r="C574">
        <v>-90.916387</v>
      </c>
    </row>
    <row r="575" spans="1:3" x14ac:dyDescent="0.2">
      <c r="A575" t="s">
        <v>1300</v>
      </c>
      <c r="B575">
        <v>31.478777999999998</v>
      </c>
      <c r="C575">
        <v>-91.992462000000003</v>
      </c>
    </row>
    <row r="576" spans="1:3" x14ac:dyDescent="0.2">
      <c r="A576" t="s">
        <v>571</v>
      </c>
      <c r="B576">
        <v>34.769243000000003</v>
      </c>
      <c r="C576">
        <v>-90.617300999999998</v>
      </c>
    </row>
    <row r="577" spans="1:3" x14ac:dyDescent="0.2">
      <c r="A577" t="s">
        <v>1301</v>
      </c>
      <c r="B577">
        <v>32.477500999999997</v>
      </c>
      <c r="C577">
        <v>-90.803599000000006</v>
      </c>
    </row>
    <row r="578" spans="1:3" x14ac:dyDescent="0.2">
      <c r="A578" t="s">
        <v>1302</v>
      </c>
      <c r="B578">
        <v>31.428678000000001</v>
      </c>
      <c r="C578">
        <v>-91.955121000000005</v>
      </c>
    </row>
    <row r="579" spans="1:3" x14ac:dyDescent="0.2">
      <c r="A579" t="s">
        <v>1303</v>
      </c>
      <c r="B579">
        <v>33.308571000000001</v>
      </c>
      <c r="C579">
        <v>-91.099384000000001</v>
      </c>
    </row>
    <row r="580" spans="1:3" x14ac:dyDescent="0.2">
      <c r="A580" t="s">
        <v>1304</v>
      </c>
      <c r="B580">
        <v>35.338876999999997</v>
      </c>
      <c r="C580">
        <v>-90.443376000000001</v>
      </c>
    </row>
    <row r="581" spans="1:3" x14ac:dyDescent="0.2">
      <c r="A581" t="s">
        <v>1305</v>
      </c>
      <c r="B581">
        <v>35.526941000000001</v>
      </c>
      <c r="C581">
        <v>-90.425545</v>
      </c>
    </row>
    <row r="582" spans="1:3" x14ac:dyDescent="0.2">
      <c r="A582" t="s">
        <v>1306</v>
      </c>
      <c r="B582">
        <v>33.393186999999998</v>
      </c>
      <c r="C582">
        <v>-90.422561999999999</v>
      </c>
    </row>
    <row r="583" spans="1:3" x14ac:dyDescent="0.2">
      <c r="A583" t="s">
        <v>1307</v>
      </c>
      <c r="B583">
        <v>32.744155999999997</v>
      </c>
      <c r="C583">
        <v>-91.707025000000002</v>
      </c>
    </row>
    <row r="584" spans="1:3" x14ac:dyDescent="0.2">
      <c r="A584" t="s">
        <v>1308</v>
      </c>
      <c r="B584">
        <v>32.814309000000002</v>
      </c>
      <c r="C584">
        <v>-90.491804000000002</v>
      </c>
    </row>
    <row r="585" spans="1:3" x14ac:dyDescent="0.2">
      <c r="A585" t="s">
        <v>1309</v>
      </c>
      <c r="B585">
        <v>33.428496000000003</v>
      </c>
      <c r="C585">
        <v>-90.234425000000002</v>
      </c>
    </row>
    <row r="586" spans="1:3" x14ac:dyDescent="0.2">
      <c r="A586" t="s">
        <v>1310</v>
      </c>
      <c r="B586">
        <v>32.895971000000003</v>
      </c>
      <c r="C586">
        <v>-90.879661999999996</v>
      </c>
    </row>
    <row r="587" spans="1:3" x14ac:dyDescent="0.2">
      <c r="A587" t="s">
        <v>1311</v>
      </c>
      <c r="B587">
        <v>35.236060999999999</v>
      </c>
      <c r="C587">
        <v>-90.609874000000005</v>
      </c>
    </row>
    <row r="588" spans="1:3" x14ac:dyDescent="0.2">
      <c r="A588" t="s">
        <v>1312</v>
      </c>
      <c r="B588">
        <v>31.431804</v>
      </c>
      <c r="C588">
        <v>-91.949026000000003</v>
      </c>
    </row>
    <row r="589" spans="1:3" x14ac:dyDescent="0.2">
      <c r="A589" t="s">
        <v>1313</v>
      </c>
      <c r="B589">
        <v>32.811925000000002</v>
      </c>
      <c r="C589">
        <v>-90.490759999999995</v>
      </c>
    </row>
    <row r="590" spans="1:3" x14ac:dyDescent="0.2">
      <c r="A590" t="s">
        <v>1314</v>
      </c>
      <c r="B590">
        <v>32.161271999999997</v>
      </c>
      <c r="C590">
        <v>-91.857001999999994</v>
      </c>
    </row>
    <row r="591" spans="1:3" x14ac:dyDescent="0.2">
      <c r="A591" t="s">
        <v>1315</v>
      </c>
      <c r="B591">
        <v>31.484372</v>
      </c>
      <c r="C591">
        <v>-92.199476000000004</v>
      </c>
    </row>
    <row r="592" spans="1:3" x14ac:dyDescent="0.2">
      <c r="A592" t="s">
        <v>1316</v>
      </c>
      <c r="B592">
        <v>30.243061999999998</v>
      </c>
      <c r="C592">
        <v>-91.881752000000006</v>
      </c>
    </row>
    <row r="593" spans="1:3" x14ac:dyDescent="0.2">
      <c r="A593" t="s">
        <v>1317</v>
      </c>
      <c r="B593">
        <v>34.352882999999999</v>
      </c>
      <c r="C593">
        <v>-90.484969000000007</v>
      </c>
    </row>
    <row r="594" spans="1:3" x14ac:dyDescent="0.2">
      <c r="A594" t="s">
        <v>1318</v>
      </c>
      <c r="B594">
        <v>31.575213000000002</v>
      </c>
      <c r="C594">
        <v>-92.089894000000001</v>
      </c>
    </row>
    <row r="595" spans="1:3" x14ac:dyDescent="0.2">
      <c r="A595" t="s">
        <v>1319</v>
      </c>
      <c r="B595">
        <v>31.447906</v>
      </c>
      <c r="C595">
        <v>-92.171277000000003</v>
      </c>
    </row>
    <row r="596" spans="1:3" x14ac:dyDescent="0.2">
      <c r="A596" t="s">
        <v>1320</v>
      </c>
      <c r="B596">
        <v>32.670828</v>
      </c>
      <c r="C596">
        <v>-90.544172000000003</v>
      </c>
    </row>
    <row r="597" spans="1:3" x14ac:dyDescent="0.2">
      <c r="A597" t="s">
        <v>1321</v>
      </c>
      <c r="B597">
        <v>31.183281999999998</v>
      </c>
      <c r="C597">
        <v>-92.068520000000007</v>
      </c>
    </row>
    <row r="598" spans="1:3" x14ac:dyDescent="0.2">
      <c r="A598" t="s">
        <v>1322</v>
      </c>
      <c r="B598">
        <v>33.949913000000002</v>
      </c>
      <c r="C598">
        <v>-90.889004</v>
      </c>
    </row>
    <row r="599" spans="1:3" x14ac:dyDescent="0.2">
      <c r="A599" t="s">
        <v>1323</v>
      </c>
      <c r="B599">
        <v>32.811694000000003</v>
      </c>
      <c r="C599">
        <v>-90.705123</v>
      </c>
    </row>
    <row r="600" spans="1:3" x14ac:dyDescent="0.2">
      <c r="A600" t="s">
        <v>1324</v>
      </c>
      <c r="B600">
        <v>32.751218999999999</v>
      </c>
      <c r="C600">
        <v>-90.738230999999999</v>
      </c>
    </row>
    <row r="601" spans="1:3" x14ac:dyDescent="0.2">
      <c r="A601" t="s">
        <v>1325</v>
      </c>
      <c r="B601">
        <v>32.932927999999997</v>
      </c>
      <c r="C601">
        <v>-90.503086999999994</v>
      </c>
    </row>
    <row r="602" spans="1:3" x14ac:dyDescent="0.2">
      <c r="A602" t="s">
        <v>1326</v>
      </c>
      <c r="B602">
        <v>32.724550000000001</v>
      </c>
      <c r="C602">
        <v>-90.966435000000004</v>
      </c>
    </row>
    <row r="603" spans="1:3" x14ac:dyDescent="0.2">
      <c r="A603" t="s">
        <v>1327</v>
      </c>
      <c r="B603">
        <v>33.786929000000001</v>
      </c>
      <c r="C603">
        <v>-90.650834000000003</v>
      </c>
    </row>
    <row r="604" spans="1:3" x14ac:dyDescent="0.2">
      <c r="A604" t="s">
        <v>1328</v>
      </c>
      <c r="B604">
        <v>32.973422999999997</v>
      </c>
      <c r="C604">
        <v>-90.414540000000002</v>
      </c>
    </row>
    <row r="605" spans="1:3" x14ac:dyDescent="0.2">
      <c r="A605" t="s">
        <v>1329</v>
      </c>
      <c r="B605">
        <v>32.677078000000002</v>
      </c>
      <c r="C605">
        <v>-90.696822999999995</v>
      </c>
    </row>
    <row r="606" spans="1:3" x14ac:dyDescent="0.2">
      <c r="A606" t="s">
        <v>1330</v>
      </c>
      <c r="B606">
        <v>33.348928000000001</v>
      </c>
      <c r="C606">
        <v>-90.560479000000001</v>
      </c>
    </row>
    <row r="607" spans="1:3" x14ac:dyDescent="0.2">
      <c r="A607" t="s">
        <v>1331</v>
      </c>
      <c r="B607">
        <v>32.537972000000003</v>
      </c>
      <c r="C607">
        <v>-90.977423999999999</v>
      </c>
    </row>
    <row r="608" spans="1:3" x14ac:dyDescent="0.2">
      <c r="A608" t="s">
        <v>1332</v>
      </c>
      <c r="B608">
        <v>31.756653</v>
      </c>
      <c r="C608">
        <v>-91.820699000000005</v>
      </c>
    </row>
    <row r="609" spans="1:3" x14ac:dyDescent="0.2">
      <c r="A609" t="s">
        <v>1333</v>
      </c>
      <c r="B609">
        <v>32.808700999999999</v>
      </c>
      <c r="C609">
        <v>-90.709620000000001</v>
      </c>
    </row>
    <row r="610" spans="1:3" x14ac:dyDescent="0.2">
      <c r="A610" t="s">
        <v>1334</v>
      </c>
      <c r="B610">
        <v>47.187733999999999</v>
      </c>
      <c r="C610">
        <v>-94.929728999999995</v>
      </c>
    </row>
    <row r="611" spans="1:3" x14ac:dyDescent="0.2">
      <c r="A611" t="s">
        <v>1335</v>
      </c>
      <c r="B611">
        <v>31.690901</v>
      </c>
      <c r="C611">
        <v>-91.676861000000002</v>
      </c>
    </row>
    <row r="612" spans="1:3" x14ac:dyDescent="0.2">
      <c r="A612" t="s">
        <v>1336</v>
      </c>
      <c r="B612">
        <v>35.062834000000002</v>
      </c>
      <c r="C612">
        <v>-90.131067999999999</v>
      </c>
    </row>
    <row r="613" spans="1:3" x14ac:dyDescent="0.2">
      <c r="A613" t="s">
        <v>1337</v>
      </c>
      <c r="B613">
        <v>33.466321000000001</v>
      </c>
      <c r="C613">
        <v>-90.983576999999997</v>
      </c>
    </row>
    <row r="614" spans="1:3" x14ac:dyDescent="0.2">
      <c r="A614" t="s">
        <v>1338</v>
      </c>
      <c r="B614">
        <v>33.390593000000003</v>
      </c>
      <c r="C614">
        <v>-90.314342999999994</v>
      </c>
    </row>
    <row r="615" spans="1:3" x14ac:dyDescent="0.2">
      <c r="A615" t="s">
        <v>1339</v>
      </c>
      <c r="B615">
        <v>33.258716999999997</v>
      </c>
      <c r="C615">
        <v>-90.480975000000001</v>
      </c>
    </row>
    <row r="616" spans="1:3" x14ac:dyDescent="0.2">
      <c r="A616" t="s">
        <v>1340</v>
      </c>
      <c r="B616">
        <v>33.084851</v>
      </c>
      <c r="C616">
        <v>-90.433774</v>
      </c>
    </row>
    <row r="617" spans="1:3" x14ac:dyDescent="0.2">
      <c r="A617" t="s">
        <v>1341</v>
      </c>
      <c r="B617">
        <v>33.365704000000001</v>
      </c>
      <c r="C617">
        <v>-90.82508</v>
      </c>
    </row>
    <row r="618" spans="1:3" x14ac:dyDescent="0.2">
      <c r="A618" t="s">
        <v>1340</v>
      </c>
      <c r="B618">
        <v>32.718299000000002</v>
      </c>
      <c r="C618">
        <v>-90.582882999999995</v>
      </c>
    </row>
    <row r="619" spans="1:3" x14ac:dyDescent="0.2">
      <c r="A619" t="s">
        <v>1340</v>
      </c>
      <c r="B619">
        <v>32.677663000000003</v>
      </c>
      <c r="C619">
        <v>-90.696712000000005</v>
      </c>
    </row>
    <row r="620" spans="1:3" x14ac:dyDescent="0.2">
      <c r="A620" t="s">
        <v>1340</v>
      </c>
      <c r="B620">
        <v>32.973469999999999</v>
      </c>
      <c r="C620">
        <v>-90.414196000000004</v>
      </c>
    </row>
    <row r="621" spans="1:3" x14ac:dyDescent="0.2">
      <c r="A621" t="s">
        <v>1341</v>
      </c>
      <c r="B621">
        <v>33.180579000000002</v>
      </c>
      <c r="C621">
        <v>-90.682284999999993</v>
      </c>
    </row>
    <row r="622" spans="1:3" x14ac:dyDescent="0.2">
      <c r="A622" t="s">
        <v>1341</v>
      </c>
      <c r="B622">
        <v>34.112242000000002</v>
      </c>
      <c r="C622">
        <v>-90.313810000000004</v>
      </c>
    </row>
    <row r="623" spans="1:3" x14ac:dyDescent="0.2">
      <c r="A623" t="s">
        <v>1342</v>
      </c>
      <c r="B623">
        <v>33.606619999999999</v>
      </c>
      <c r="C623">
        <v>-90.270724000000001</v>
      </c>
    </row>
    <row r="624" spans="1:3" x14ac:dyDescent="0.2">
      <c r="A624" t="s">
        <v>1343</v>
      </c>
      <c r="B624">
        <v>32.916556</v>
      </c>
      <c r="C624">
        <v>-90.472746999999998</v>
      </c>
    </row>
    <row r="625" spans="1:3" x14ac:dyDescent="0.2">
      <c r="A625" t="s">
        <v>1344</v>
      </c>
      <c r="B625">
        <v>32.43394</v>
      </c>
      <c r="C625">
        <v>-91.457059000000001</v>
      </c>
    </row>
    <row r="626" spans="1:3" x14ac:dyDescent="0.2">
      <c r="A626" t="s">
        <v>1345</v>
      </c>
      <c r="B626">
        <v>33.414721999999998</v>
      </c>
      <c r="C626">
        <v>-90.907341000000002</v>
      </c>
    </row>
    <row r="627" spans="1:3" x14ac:dyDescent="0.2">
      <c r="A627" t="s">
        <v>1346</v>
      </c>
      <c r="B627">
        <v>33.391084999999997</v>
      </c>
      <c r="C627">
        <v>-90.715547000000001</v>
      </c>
    </row>
    <row r="628" spans="1:3" x14ac:dyDescent="0.2">
      <c r="A628" t="s">
        <v>1347</v>
      </c>
      <c r="B628">
        <v>31.323226999999999</v>
      </c>
      <c r="C628">
        <v>-92.000259999999997</v>
      </c>
    </row>
    <row r="629" spans="1:3" x14ac:dyDescent="0.2">
      <c r="A629" t="s">
        <v>1348</v>
      </c>
      <c r="B629">
        <v>33.097042999999999</v>
      </c>
      <c r="C629">
        <v>-90.490922999999995</v>
      </c>
    </row>
    <row r="630" spans="1:3" x14ac:dyDescent="0.2">
      <c r="A630" t="s">
        <v>1349</v>
      </c>
      <c r="B630">
        <v>33.158420999999997</v>
      </c>
      <c r="C630">
        <v>-91.024630999999999</v>
      </c>
    </row>
    <row r="631" spans="1:3" x14ac:dyDescent="0.2">
      <c r="A631" t="s">
        <v>1350</v>
      </c>
      <c r="B631">
        <v>33.296919000000003</v>
      </c>
      <c r="C631">
        <v>-90.456599999999995</v>
      </c>
    </row>
    <row r="632" spans="1:3" x14ac:dyDescent="0.2">
      <c r="A632" t="s">
        <v>1351</v>
      </c>
      <c r="B632">
        <v>33.290213999999999</v>
      </c>
      <c r="C632">
        <v>-90.503861000000001</v>
      </c>
    </row>
    <row r="633" spans="1:3" x14ac:dyDescent="0.2">
      <c r="A633" t="s">
        <v>1352</v>
      </c>
      <c r="B633">
        <v>35.264347000000001</v>
      </c>
      <c r="C633">
        <v>-90.520291999999998</v>
      </c>
    </row>
    <row r="634" spans="1:3" x14ac:dyDescent="0.2">
      <c r="A634" t="s">
        <v>1353</v>
      </c>
      <c r="B634">
        <v>30.554541</v>
      </c>
      <c r="C634">
        <v>-91.284544999999994</v>
      </c>
    </row>
    <row r="635" spans="1:3" x14ac:dyDescent="0.2">
      <c r="A635" t="s">
        <v>1354</v>
      </c>
      <c r="B635">
        <v>33.116656999999996</v>
      </c>
      <c r="C635">
        <v>-90.142916</v>
      </c>
    </row>
    <row r="636" spans="1:3" x14ac:dyDescent="0.2">
      <c r="A636" t="s">
        <v>59</v>
      </c>
      <c r="B636">
        <v>34.824461999999997</v>
      </c>
      <c r="C636">
        <v>-90.666218000000001</v>
      </c>
    </row>
    <row r="637" spans="1:3" x14ac:dyDescent="0.2">
      <c r="A637" t="s">
        <v>1355</v>
      </c>
      <c r="B637">
        <v>32.759735999999997</v>
      </c>
      <c r="C637">
        <v>-90.731986000000006</v>
      </c>
    </row>
    <row r="638" spans="1:3" x14ac:dyDescent="0.2">
      <c r="A638" t="s">
        <v>1356</v>
      </c>
      <c r="B638">
        <v>33.772415000000002</v>
      </c>
      <c r="C638">
        <v>-90.23039</v>
      </c>
    </row>
    <row r="639" spans="1:3" x14ac:dyDescent="0.2">
      <c r="A639" t="s">
        <v>1357</v>
      </c>
      <c r="B639">
        <v>32.798473999999999</v>
      </c>
      <c r="C639">
        <v>-90.715969000000001</v>
      </c>
    </row>
    <row r="640" spans="1:3" x14ac:dyDescent="0.2">
      <c r="A640" t="s">
        <v>47</v>
      </c>
      <c r="B640">
        <v>34.757402999999996</v>
      </c>
      <c r="C640">
        <v>-90.561158000000006</v>
      </c>
    </row>
    <row r="641" spans="1:3" x14ac:dyDescent="0.2">
      <c r="A641" t="s">
        <v>1358</v>
      </c>
      <c r="B641">
        <v>32.589302000000004</v>
      </c>
      <c r="C641">
        <v>-91.680135000000007</v>
      </c>
    </row>
    <row r="642" spans="1:3" x14ac:dyDescent="0.2">
      <c r="A642" t="s">
        <v>1359</v>
      </c>
      <c r="B642">
        <v>32.643627000000002</v>
      </c>
      <c r="C642">
        <v>-91.303156999999999</v>
      </c>
    </row>
    <row r="643" spans="1:3" x14ac:dyDescent="0.2">
      <c r="A643" t="s">
        <v>1360</v>
      </c>
      <c r="B643">
        <v>34.293601000000002</v>
      </c>
      <c r="C643">
        <v>-90.674379000000002</v>
      </c>
    </row>
    <row r="644" spans="1:3" x14ac:dyDescent="0.2">
      <c r="A644" t="s">
        <v>1361</v>
      </c>
      <c r="B644">
        <v>33.048116999999998</v>
      </c>
      <c r="C644">
        <v>-90.674583999999996</v>
      </c>
    </row>
    <row r="645" spans="1:3" x14ac:dyDescent="0.2">
      <c r="A645" t="s">
        <v>1362</v>
      </c>
      <c r="B645">
        <v>33.057712000000002</v>
      </c>
      <c r="C645">
        <v>-90.644360000000006</v>
      </c>
    </row>
    <row r="646" spans="1:3" x14ac:dyDescent="0.2">
      <c r="A646" t="s">
        <v>1363</v>
      </c>
      <c r="B646">
        <v>31.934121999999999</v>
      </c>
      <c r="C646">
        <v>-91.421548999999999</v>
      </c>
    </row>
    <row r="647" spans="1:3" x14ac:dyDescent="0.2">
      <c r="A647" t="s">
        <v>1364</v>
      </c>
      <c r="B647">
        <v>32.219389</v>
      </c>
      <c r="C647">
        <v>-91.584798000000006</v>
      </c>
    </row>
    <row r="648" spans="1:3" x14ac:dyDescent="0.2">
      <c r="A648" t="s">
        <v>1365</v>
      </c>
      <c r="B648">
        <v>32.190528999999998</v>
      </c>
      <c r="C648">
        <v>-91.569205999999994</v>
      </c>
    </row>
    <row r="649" spans="1:3" x14ac:dyDescent="0.2">
      <c r="A649" t="s">
        <v>1366</v>
      </c>
      <c r="B649">
        <v>34.302315</v>
      </c>
      <c r="C649">
        <v>-90.467837000000003</v>
      </c>
    </row>
    <row r="650" spans="1:3" x14ac:dyDescent="0.2">
      <c r="A650" t="s">
        <v>1367</v>
      </c>
      <c r="B650">
        <v>33.099649999999997</v>
      </c>
      <c r="C650">
        <v>-90.998593999999997</v>
      </c>
    </row>
    <row r="651" spans="1:3" x14ac:dyDescent="0.2">
      <c r="A651" t="s">
        <v>1368</v>
      </c>
      <c r="B651">
        <v>34.154932000000002</v>
      </c>
      <c r="C651">
        <v>-90.489772000000002</v>
      </c>
    </row>
    <row r="652" spans="1:3" x14ac:dyDescent="0.2">
      <c r="A652" t="s">
        <v>1369</v>
      </c>
      <c r="B652">
        <v>32.840873000000002</v>
      </c>
      <c r="C652">
        <v>-90.693731999999997</v>
      </c>
    </row>
    <row r="653" spans="1:3" x14ac:dyDescent="0.2">
      <c r="A653" t="s">
        <v>1370</v>
      </c>
      <c r="B653">
        <v>34.431111000000001</v>
      </c>
      <c r="C653">
        <v>-90.242358999999993</v>
      </c>
    </row>
    <row r="654" spans="1:3" x14ac:dyDescent="0.2">
      <c r="A654" t="s">
        <v>1371</v>
      </c>
      <c r="B654">
        <v>31.758742000000002</v>
      </c>
      <c r="C654">
        <v>-91.820293000000007</v>
      </c>
    </row>
    <row r="655" spans="1:3" x14ac:dyDescent="0.2">
      <c r="A655" t="s">
        <v>1372</v>
      </c>
      <c r="B655">
        <v>35.53969</v>
      </c>
      <c r="C655">
        <v>-90.447766999999999</v>
      </c>
    </row>
    <row r="656" spans="1:3" x14ac:dyDescent="0.2">
      <c r="A656" t="s">
        <v>1373</v>
      </c>
      <c r="B656">
        <v>33.184753000000001</v>
      </c>
      <c r="C656">
        <v>-90.258325999999997</v>
      </c>
    </row>
    <row r="657" spans="1:3" x14ac:dyDescent="0.2">
      <c r="A657" t="s">
        <v>1374</v>
      </c>
      <c r="B657">
        <v>34.281109999999998</v>
      </c>
      <c r="C657">
        <v>-90.701898</v>
      </c>
    </row>
    <row r="658" spans="1:3" x14ac:dyDescent="0.2">
      <c r="A658" t="s">
        <v>1375</v>
      </c>
      <c r="B658">
        <v>33.115991999999999</v>
      </c>
      <c r="C658">
        <v>-90.173021000000006</v>
      </c>
    </row>
    <row r="659" spans="1:3" x14ac:dyDescent="0.2">
      <c r="A659" t="s">
        <v>1376</v>
      </c>
      <c r="B659">
        <v>33.604855000000001</v>
      </c>
      <c r="C659">
        <v>-90.104387000000003</v>
      </c>
    </row>
    <row r="660" spans="1:3" x14ac:dyDescent="0.2">
      <c r="A660" t="s">
        <v>1377</v>
      </c>
      <c r="B660">
        <v>32.483136000000002</v>
      </c>
      <c r="C660">
        <v>-91.390296000000006</v>
      </c>
    </row>
    <row r="661" spans="1:3" x14ac:dyDescent="0.2">
      <c r="A661" t="s">
        <v>1378</v>
      </c>
      <c r="B661">
        <v>32.654437000000001</v>
      </c>
      <c r="C661">
        <v>-90.778451000000004</v>
      </c>
    </row>
    <row r="662" spans="1:3" x14ac:dyDescent="0.2">
      <c r="A662" t="s">
        <v>1379</v>
      </c>
      <c r="B662">
        <v>35.349431000000003</v>
      </c>
      <c r="C662">
        <v>-90.567257999999995</v>
      </c>
    </row>
    <row r="663" spans="1:3" x14ac:dyDescent="0.2">
      <c r="A663" t="s">
        <v>1380</v>
      </c>
      <c r="B663">
        <v>32.73321</v>
      </c>
      <c r="C663">
        <v>-90.654814999999999</v>
      </c>
    </row>
    <row r="664" spans="1:3" x14ac:dyDescent="0.2">
      <c r="A664" t="s">
        <v>1381</v>
      </c>
      <c r="B664">
        <v>32.683905000000003</v>
      </c>
      <c r="C664">
        <v>-91.203297000000006</v>
      </c>
    </row>
    <row r="665" spans="1:3" x14ac:dyDescent="0.2">
      <c r="A665" t="s">
        <v>1382</v>
      </c>
      <c r="B665">
        <v>33.349266999999998</v>
      </c>
      <c r="C665">
        <v>-90.790430999999998</v>
      </c>
    </row>
    <row r="666" spans="1:3" x14ac:dyDescent="0.2">
      <c r="A666" t="s">
        <v>1383</v>
      </c>
      <c r="B666">
        <v>34.841225999999999</v>
      </c>
      <c r="C666">
        <v>-90.684858000000006</v>
      </c>
    </row>
    <row r="667" spans="1:3" x14ac:dyDescent="0.2">
      <c r="A667" t="s">
        <v>1384</v>
      </c>
      <c r="B667">
        <v>31.623273999999999</v>
      </c>
      <c r="C667">
        <v>-91.816058999999996</v>
      </c>
    </row>
    <row r="668" spans="1:3" x14ac:dyDescent="0.2">
      <c r="A668" t="s">
        <v>1385</v>
      </c>
      <c r="B668">
        <v>35.673608000000002</v>
      </c>
      <c r="C668">
        <v>-90.507225000000005</v>
      </c>
    </row>
    <row r="669" spans="1:3" x14ac:dyDescent="0.2">
      <c r="A669" t="s">
        <v>1386</v>
      </c>
      <c r="B669">
        <v>30.379204999999999</v>
      </c>
      <c r="C669">
        <v>-92.055296999999996</v>
      </c>
    </row>
    <row r="670" spans="1:3" x14ac:dyDescent="0.2">
      <c r="A670" t="s">
        <v>1387</v>
      </c>
      <c r="B670">
        <v>35.439169999999997</v>
      </c>
      <c r="C670">
        <v>-90.527484999999999</v>
      </c>
    </row>
    <row r="671" spans="1:3" x14ac:dyDescent="0.2">
      <c r="A671" t="s">
        <v>1388</v>
      </c>
      <c r="B671">
        <v>34.167755</v>
      </c>
      <c r="C671">
        <v>-90.217511999999999</v>
      </c>
    </row>
    <row r="672" spans="1:3" x14ac:dyDescent="0.2">
      <c r="A672" t="s">
        <v>1389</v>
      </c>
      <c r="B672">
        <v>32.895802000000003</v>
      </c>
      <c r="C672">
        <v>-91.790698000000006</v>
      </c>
    </row>
    <row r="673" spans="1:3" x14ac:dyDescent="0.2">
      <c r="A673" t="s">
        <v>1390</v>
      </c>
      <c r="B673">
        <v>35.385193999999998</v>
      </c>
      <c r="C673">
        <v>-90.542045999999999</v>
      </c>
    </row>
    <row r="674" spans="1:3" x14ac:dyDescent="0.2">
      <c r="A674" t="s">
        <v>1391</v>
      </c>
      <c r="B674">
        <v>30.366493999999999</v>
      </c>
      <c r="C674">
        <v>-91.906406000000004</v>
      </c>
    </row>
    <row r="675" spans="1:3" x14ac:dyDescent="0.2">
      <c r="A675" t="s">
        <v>1392</v>
      </c>
      <c r="B675">
        <v>35.779719999999998</v>
      </c>
      <c r="C675">
        <v>-90.742779999999996</v>
      </c>
    </row>
    <row r="676" spans="1:3" x14ac:dyDescent="0.2">
      <c r="A676" t="s">
        <v>1393</v>
      </c>
      <c r="B676">
        <v>36.394486000000001</v>
      </c>
      <c r="C676">
        <v>-90.055717000000001</v>
      </c>
    </row>
    <row r="677" spans="1:3" x14ac:dyDescent="0.2">
      <c r="A677" t="s">
        <v>1394</v>
      </c>
      <c r="B677">
        <v>32.740609999999997</v>
      </c>
      <c r="C677">
        <v>-91.701644000000002</v>
      </c>
    </row>
    <row r="678" spans="1:3" x14ac:dyDescent="0.2">
      <c r="A678" t="s">
        <v>1395</v>
      </c>
      <c r="B678">
        <v>34.386237000000001</v>
      </c>
      <c r="C678">
        <v>-90.973346000000006</v>
      </c>
    </row>
    <row r="679" spans="1:3" x14ac:dyDescent="0.2">
      <c r="A679" t="s">
        <v>1396</v>
      </c>
      <c r="B679">
        <v>33.281682000000004</v>
      </c>
      <c r="C679">
        <v>-90.353076999999999</v>
      </c>
    </row>
    <row r="680" spans="1:3" x14ac:dyDescent="0.2">
      <c r="A680" t="s">
        <v>1397</v>
      </c>
      <c r="B680">
        <v>32.812876000000003</v>
      </c>
      <c r="C680">
        <v>-90.694371000000004</v>
      </c>
    </row>
    <row r="681" spans="1:3" x14ac:dyDescent="0.2">
      <c r="A681" t="s">
        <v>1398</v>
      </c>
      <c r="B681">
        <v>32.891689999999997</v>
      </c>
      <c r="C681">
        <v>-91.790796999999998</v>
      </c>
    </row>
    <row r="682" spans="1:3" x14ac:dyDescent="0.2">
      <c r="A682" t="s">
        <v>1399</v>
      </c>
      <c r="B682">
        <v>34.803888000000001</v>
      </c>
      <c r="C682">
        <v>-90.535426999999999</v>
      </c>
    </row>
    <row r="683" spans="1:3" x14ac:dyDescent="0.2">
      <c r="A683" t="s">
        <v>1400</v>
      </c>
      <c r="B683">
        <v>32.369235000000003</v>
      </c>
      <c r="C683">
        <v>-92.130578999999997</v>
      </c>
    </row>
    <row r="684" spans="1:3" x14ac:dyDescent="0.2">
      <c r="A684" t="s">
        <v>1401</v>
      </c>
      <c r="B684">
        <v>33.895426999999998</v>
      </c>
      <c r="C684">
        <v>-90.319593999999995</v>
      </c>
    </row>
    <row r="685" spans="1:3" x14ac:dyDescent="0.2">
      <c r="A685" t="s">
        <v>1402</v>
      </c>
      <c r="B685">
        <v>32.566175000000001</v>
      </c>
      <c r="C685">
        <v>-91.368992000000006</v>
      </c>
    </row>
    <row r="686" spans="1:3" x14ac:dyDescent="0.2">
      <c r="A686" t="s">
        <v>1403</v>
      </c>
      <c r="B686">
        <v>33.189794999999997</v>
      </c>
      <c r="C686">
        <v>-90.412486000000001</v>
      </c>
    </row>
    <row r="687" spans="1:3" x14ac:dyDescent="0.2">
      <c r="A687" t="s">
        <v>1404</v>
      </c>
      <c r="B687">
        <v>34.546011</v>
      </c>
      <c r="C687">
        <v>-90.473068999999995</v>
      </c>
    </row>
    <row r="688" spans="1:3" x14ac:dyDescent="0.2">
      <c r="A688" t="s">
        <v>1405</v>
      </c>
      <c r="B688">
        <v>32.898857999999997</v>
      </c>
      <c r="C688">
        <v>-91.758324999999999</v>
      </c>
    </row>
    <row r="689" spans="1:3" x14ac:dyDescent="0.2">
      <c r="A689" t="s">
        <v>1406</v>
      </c>
      <c r="B689">
        <v>34.317641000000002</v>
      </c>
      <c r="C689">
        <v>-90.361984000000007</v>
      </c>
    </row>
    <row r="690" spans="1:3" x14ac:dyDescent="0.2">
      <c r="A690" t="s">
        <v>1407</v>
      </c>
      <c r="B690">
        <v>32.618355000000001</v>
      </c>
      <c r="C690">
        <v>-91.687819000000005</v>
      </c>
    </row>
    <row r="691" spans="1:3" x14ac:dyDescent="0.2">
      <c r="A691" t="s">
        <v>1408</v>
      </c>
      <c r="B691">
        <v>35.02431</v>
      </c>
      <c r="C691">
        <v>-90.689524000000006</v>
      </c>
    </row>
    <row r="692" spans="1:3" x14ac:dyDescent="0.2">
      <c r="A692" t="s">
        <v>1409</v>
      </c>
      <c r="B692">
        <v>31.426071</v>
      </c>
      <c r="C692">
        <v>-91.990080000000006</v>
      </c>
    </row>
    <row r="693" spans="1:3" x14ac:dyDescent="0.2">
      <c r="A693" t="s">
        <v>1410</v>
      </c>
      <c r="B693">
        <v>31.368684999999999</v>
      </c>
      <c r="C693">
        <v>-91.944429</v>
      </c>
    </row>
    <row r="694" spans="1:3" x14ac:dyDescent="0.2">
      <c r="A694" t="s">
        <v>1411</v>
      </c>
      <c r="B694">
        <v>36.090654999999998</v>
      </c>
      <c r="C694">
        <v>-90.296374999999998</v>
      </c>
    </row>
    <row r="695" spans="1:3" x14ac:dyDescent="0.2">
      <c r="A695" t="s">
        <v>288</v>
      </c>
      <c r="B695">
        <v>33.460104999999999</v>
      </c>
      <c r="C695">
        <v>-90.601299999999995</v>
      </c>
    </row>
    <row r="696" spans="1:3" x14ac:dyDescent="0.2">
      <c r="A696" t="s">
        <v>1412</v>
      </c>
      <c r="B696">
        <v>35.306275999999997</v>
      </c>
      <c r="C696">
        <v>-90.581890000000001</v>
      </c>
    </row>
    <row r="697" spans="1:3" x14ac:dyDescent="0.2">
      <c r="A697" t="s">
        <v>1413</v>
      </c>
      <c r="B697">
        <v>32.334601999999997</v>
      </c>
      <c r="C697">
        <v>-92.110934999999998</v>
      </c>
    </row>
    <row r="698" spans="1:3" x14ac:dyDescent="0.2">
      <c r="A698" t="s">
        <v>1414</v>
      </c>
      <c r="B698">
        <v>32.929119999999998</v>
      </c>
      <c r="C698">
        <v>-90.499323000000004</v>
      </c>
    </row>
    <row r="699" spans="1:3" x14ac:dyDescent="0.2">
      <c r="A699" t="s">
        <v>1415</v>
      </c>
      <c r="B699">
        <v>31.945764</v>
      </c>
      <c r="C699">
        <v>-91.126671000000002</v>
      </c>
    </row>
    <row r="700" spans="1:3" x14ac:dyDescent="0.2">
      <c r="A700" t="s">
        <v>1416</v>
      </c>
      <c r="B700">
        <v>33.484990000000003</v>
      </c>
      <c r="C700">
        <v>-91.061746999999997</v>
      </c>
    </row>
    <row r="701" spans="1:3" x14ac:dyDescent="0.2">
      <c r="A701" t="s">
        <v>1417</v>
      </c>
      <c r="B701">
        <v>36.178961000000001</v>
      </c>
      <c r="C701">
        <v>-90.163667000000004</v>
      </c>
    </row>
    <row r="702" spans="1:3" x14ac:dyDescent="0.2">
      <c r="A702" t="s">
        <v>1418</v>
      </c>
      <c r="B702">
        <v>33.117930000000001</v>
      </c>
      <c r="C702">
        <v>-90.953684999999993</v>
      </c>
    </row>
    <row r="703" spans="1:3" x14ac:dyDescent="0.2">
      <c r="A703" t="s">
        <v>1419</v>
      </c>
      <c r="B703">
        <v>32.864502999999999</v>
      </c>
      <c r="C703">
        <v>-90.409395000000004</v>
      </c>
    </row>
    <row r="704" spans="1:3" x14ac:dyDescent="0.2">
      <c r="A704" t="s">
        <v>1420</v>
      </c>
      <c r="B704">
        <v>32.109641000000003</v>
      </c>
      <c r="C704">
        <v>-90.956917000000004</v>
      </c>
    </row>
    <row r="705" spans="1:3" x14ac:dyDescent="0.2">
      <c r="A705" t="s">
        <v>1421</v>
      </c>
      <c r="B705">
        <v>32.880566000000002</v>
      </c>
      <c r="C705">
        <v>-90.381005000000002</v>
      </c>
    </row>
    <row r="706" spans="1:3" x14ac:dyDescent="0.2">
      <c r="A706" t="s">
        <v>1422</v>
      </c>
      <c r="B706">
        <v>32.740197999999999</v>
      </c>
      <c r="C706">
        <v>-90.616082000000006</v>
      </c>
    </row>
    <row r="707" spans="1:3" x14ac:dyDescent="0.2">
      <c r="A707" t="s">
        <v>1423</v>
      </c>
      <c r="B707">
        <v>35.983908</v>
      </c>
      <c r="C707">
        <v>-90.131957999999997</v>
      </c>
    </row>
    <row r="708" spans="1:3" x14ac:dyDescent="0.2">
      <c r="A708" t="s">
        <v>1424</v>
      </c>
      <c r="B708">
        <v>36.495320999999997</v>
      </c>
      <c r="C708">
        <v>-90.155658000000003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Views>
    <sheetView topLeftCell="A65" workbookViewId="0">
      <selection activeCell="F138" sqref="E138:F138"/>
    </sheetView>
  </sheetViews>
  <sheetFormatPr baseColWidth="10" defaultRowHeight="16" x14ac:dyDescent="0.2"/>
  <sheetData>
    <row r="1" spans="1:6" x14ac:dyDescent="0.2">
      <c r="A1" t="s">
        <v>1429</v>
      </c>
      <c r="B1" t="s">
        <v>1430</v>
      </c>
      <c r="C1" t="s">
        <v>1431</v>
      </c>
      <c r="D1" t="s">
        <v>101</v>
      </c>
      <c r="E1" t="s">
        <v>1425</v>
      </c>
      <c r="F1" t="s">
        <v>1426</v>
      </c>
    </row>
    <row r="2" spans="1:6" x14ac:dyDescent="0.2">
      <c r="A2" t="s">
        <v>72</v>
      </c>
      <c r="B2">
        <v>3943300</v>
      </c>
      <c r="C2">
        <v>767520</v>
      </c>
      <c r="D2">
        <v>15</v>
      </c>
      <c r="E2">
        <v>-90.047130710831695</v>
      </c>
      <c r="F2">
        <v>35.597305454976599</v>
      </c>
    </row>
    <row r="3" spans="1:6" x14ac:dyDescent="0.2">
      <c r="A3" t="s">
        <v>190</v>
      </c>
      <c r="B3">
        <v>3935520</v>
      </c>
      <c r="C3">
        <v>761580</v>
      </c>
      <c r="D3">
        <v>15</v>
      </c>
      <c r="E3">
        <v>-90.115134899950107</v>
      </c>
      <c r="F3">
        <v>35.528833783055902</v>
      </c>
    </row>
    <row r="4" spans="1:6" x14ac:dyDescent="0.2">
      <c r="A4" t="s">
        <v>197</v>
      </c>
      <c r="B4">
        <v>3934120</v>
      </c>
      <c r="C4">
        <v>760410</v>
      </c>
      <c r="D4">
        <v>15</v>
      </c>
      <c r="E4">
        <v>-90.128473345942098</v>
      </c>
      <c r="F4">
        <v>35.516534210355601</v>
      </c>
    </row>
    <row r="5" spans="1:6" x14ac:dyDescent="0.2">
      <c r="A5" t="s">
        <v>203</v>
      </c>
      <c r="B5">
        <v>3936400</v>
      </c>
      <c r="C5">
        <v>762620</v>
      </c>
      <c r="D5">
        <v>15</v>
      </c>
      <c r="E5">
        <v>-90.103393146290998</v>
      </c>
      <c r="F5">
        <v>35.536483463700897</v>
      </c>
    </row>
    <row r="6" spans="1:6" x14ac:dyDescent="0.2">
      <c r="A6" t="s">
        <v>208</v>
      </c>
      <c r="B6">
        <v>3943700</v>
      </c>
      <c r="C6">
        <v>773800</v>
      </c>
      <c r="D6">
        <v>15</v>
      </c>
      <c r="E6">
        <v>-89.977762204487803</v>
      </c>
      <c r="F6">
        <v>35.599189272357101</v>
      </c>
    </row>
    <row r="7" spans="1:6" x14ac:dyDescent="0.2">
      <c r="A7" t="s">
        <v>213</v>
      </c>
      <c r="B7">
        <v>3940400</v>
      </c>
      <c r="C7">
        <v>773550</v>
      </c>
      <c r="D7">
        <v>15</v>
      </c>
      <c r="E7">
        <v>-89.981634589249893</v>
      </c>
      <c r="F7">
        <v>35.569545161452702</v>
      </c>
    </row>
    <row r="8" spans="1:6" x14ac:dyDescent="0.2">
      <c r="A8" t="s">
        <v>74</v>
      </c>
      <c r="B8">
        <v>3906400</v>
      </c>
      <c r="C8">
        <v>722250</v>
      </c>
      <c r="D8">
        <v>15</v>
      </c>
      <c r="E8">
        <v>-90.556439328524306</v>
      </c>
      <c r="F8">
        <v>35.276098242393601</v>
      </c>
    </row>
    <row r="9" spans="1:6" x14ac:dyDescent="0.2">
      <c r="A9" t="s">
        <v>222</v>
      </c>
      <c r="B9">
        <v>3904500</v>
      </c>
      <c r="C9">
        <v>710900</v>
      </c>
      <c r="D9">
        <v>15</v>
      </c>
      <c r="E9">
        <v>-90.681623097253194</v>
      </c>
      <c r="F9">
        <v>35.261435714397997</v>
      </c>
    </row>
    <row r="10" spans="1:6" x14ac:dyDescent="0.2">
      <c r="A10" t="s">
        <v>228</v>
      </c>
      <c r="B10">
        <v>3910400</v>
      </c>
      <c r="C10">
        <v>719500</v>
      </c>
      <c r="D10">
        <v>15</v>
      </c>
      <c r="E10">
        <v>-90.585579992515704</v>
      </c>
      <c r="F10">
        <v>35.312740946932898</v>
      </c>
    </row>
    <row r="11" spans="1:6" x14ac:dyDescent="0.2">
      <c r="A11" t="s">
        <v>233</v>
      </c>
      <c r="B11">
        <v>3924500</v>
      </c>
      <c r="C11">
        <v>724720</v>
      </c>
      <c r="D11">
        <v>15</v>
      </c>
      <c r="E11">
        <v>-90.524330202360801</v>
      </c>
      <c r="F11">
        <v>35.438600384339601</v>
      </c>
    </row>
    <row r="12" spans="1:6" x14ac:dyDescent="0.2">
      <c r="A12" t="s">
        <v>237</v>
      </c>
      <c r="B12">
        <v>3909500</v>
      </c>
      <c r="C12">
        <v>719950</v>
      </c>
      <c r="D12">
        <v>15</v>
      </c>
      <c r="E12">
        <v>-90.580875623184099</v>
      </c>
      <c r="F12">
        <v>35.3045340089622</v>
      </c>
    </row>
    <row r="13" spans="1:6" x14ac:dyDescent="0.2">
      <c r="A13" t="s">
        <v>242</v>
      </c>
      <c r="B13">
        <v>3918950</v>
      </c>
      <c r="C13">
        <v>723125</v>
      </c>
      <c r="D13">
        <v>15</v>
      </c>
      <c r="E13">
        <v>-90.543406153300097</v>
      </c>
      <c r="F13">
        <v>35.388962097317297</v>
      </c>
    </row>
    <row r="14" spans="1:6" x14ac:dyDescent="0.2">
      <c r="A14" t="s">
        <v>248</v>
      </c>
      <c r="B14">
        <v>3921670</v>
      </c>
      <c r="C14">
        <v>722850</v>
      </c>
      <c r="D14">
        <v>15</v>
      </c>
      <c r="E14">
        <v>-90.545688429752403</v>
      </c>
      <c r="F14">
        <v>35.413526865828601</v>
      </c>
    </row>
    <row r="15" spans="1:6" x14ac:dyDescent="0.2">
      <c r="A15" t="s">
        <v>253</v>
      </c>
      <c r="B15">
        <v>3920400</v>
      </c>
      <c r="C15">
        <v>724150</v>
      </c>
      <c r="D15">
        <v>15</v>
      </c>
      <c r="E15">
        <v>-90.531732014784197</v>
      </c>
      <c r="F15">
        <v>35.401794423604898</v>
      </c>
    </row>
    <row r="16" spans="1:6" x14ac:dyDescent="0.2">
      <c r="A16" t="s">
        <v>258</v>
      </c>
      <c r="B16">
        <v>3907350</v>
      </c>
      <c r="C16">
        <v>724440</v>
      </c>
      <c r="D16">
        <v>15</v>
      </c>
      <c r="E16">
        <v>-90.532121059310995</v>
      </c>
      <c r="F16">
        <v>35.284167827526197</v>
      </c>
    </row>
    <row r="17" spans="1:6" x14ac:dyDescent="0.2">
      <c r="A17" t="s">
        <v>264</v>
      </c>
      <c r="B17">
        <v>3908400</v>
      </c>
      <c r="C17">
        <v>725230</v>
      </c>
      <c r="D17">
        <v>15</v>
      </c>
      <c r="E17">
        <v>-90.523153390421299</v>
      </c>
      <c r="F17">
        <v>35.293449329794697</v>
      </c>
    </row>
    <row r="18" spans="1:6" x14ac:dyDescent="0.2">
      <c r="A18" t="s">
        <v>76</v>
      </c>
      <c r="B18">
        <v>3913500</v>
      </c>
      <c r="C18">
        <v>723480</v>
      </c>
      <c r="D18">
        <v>15</v>
      </c>
      <c r="E18">
        <v>-90.540991018677403</v>
      </c>
      <c r="F18">
        <v>35.339785895549099</v>
      </c>
    </row>
    <row r="19" spans="1:6" x14ac:dyDescent="0.2">
      <c r="A19" t="s">
        <v>274</v>
      </c>
      <c r="B19">
        <v>3913410</v>
      </c>
      <c r="C19">
        <v>722900</v>
      </c>
      <c r="D19">
        <v>15</v>
      </c>
      <c r="E19">
        <v>-90.547392204664206</v>
      </c>
      <c r="F19">
        <v>35.339104738266101</v>
      </c>
    </row>
    <row r="20" spans="1:6" x14ac:dyDescent="0.2">
      <c r="A20" t="s">
        <v>279</v>
      </c>
      <c r="B20">
        <v>3906950</v>
      </c>
      <c r="C20">
        <v>720220</v>
      </c>
      <c r="D20">
        <v>15</v>
      </c>
      <c r="E20">
        <v>-90.578593054610906</v>
      </c>
      <c r="F20">
        <v>35.281501819514602</v>
      </c>
    </row>
    <row r="21" spans="1:6" x14ac:dyDescent="0.2">
      <c r="A21" t="s">
        <v>284</v>
      </c>
      <c r="B21">
        <v>3925160</v>
      </c>
      <c r="C21">
        <v>690340</v>
      </c>
      <c r="D21">
        <v>15</v>
      </c>
      <c r="E21">
        <v>-90.902682561415105</v>
      </c>
      <c r="F21">
        <v>35.451719058719704</v>
      </c>
    </row>
    <row r="22" spans="1:6" x14ac:dyDescent="0.2">
      <c r="A22" t="s">
        <v>289</v>
      </c>
      <c r="B22">
        <v>3911040</v>
      </c>
      <c r="C22">
        <v>719500</v>
      </c>
      <c r="D22">
        <v>15</v>
      </c>
      <c r="E22">
        <v>-90.585408524562297</v>
      </c>
      <c r="F22">
        <v>35.318506669667698</v>
      </c>
    </row>
    <row r="23" spans="1:6" x14ac:dyDescent="0.2">
      <c r="A23" t="s">
        <v>73</v>
      </c>
      <c r="B23">
        <v>3913000</v>
      </c>
      <c r="C23">
        <v>725000</v>
      </c>
      <c r="D23">
        <v>15</v>
      </c>
      <c r="E23">
        <v>-90.524417395058606</v>
      </c>
      <c r="F23">
        <v>35.334940355634401</v>
      </c>
    </row>
    <row r="24" spans="1:6" x14ac:dyDescent="0.2">
      <c r="A24" t="s">
        <v>297</v>
      </c>
      <c r="B24">
        <v>3928100</v>
      </c>
      <c r="C24">
        <v>730000</v>
      </c>
      <c r="D24">
        <v>15</v>
      </c>
      <c r="E24">
        <v>-90.465194796324795</v>
      </c>
      <c r="F24">
        <v>35.4698225225927</v>
      </c>
    </row>
    <row r="25" spans="1:6" x14ac:dyDescent="0.2">
      <c r="A25" t="s">
        <v>75</v>
      </c>
      <c r="B25">
        <v>3918000</v>
      </c>
      <c r="C25">
        <v>737150</v>
      </c>
      <c r="D25">
        <v>15</v>
      </c>
      <c r="E25">
        <v>-90.389406360280404</v>
      </c>
      <c r="F25">
        <v>35.377167479080903</v>
      </c>
    </row>
    <row r="26" spans="1:6" x14ac:dyDescent="0.2">
      <c r="A26" t="s">
        <v>309</v>
      </c>
      <c r="B26">
        <v>3914900</v>
      </c>
      <c r="C26">
        <v>736700</v>
      </c>
      <c r="D26">
        <v>15</v>
      </c>
      <c r="E26">
        <v>-90.395253152722304</v>
      </c>
      <c r="F26">
        <v>35.349350964620797</v>
      </c>
    </row>
    <row r="27" spans="1:6" x14ac:dyDescent="0.2">
      <c r="A27" t="s">
        <v>315</v>
      </c>
      <c r="B27">
        <v>3929800</v>
      </c>
      <c r="C27">
        <v>737670</v>
      </c>
      <c r="D27">
        <v>15</v>
      </c>
      <c r="E27">
        <v>-90.380245133216604</v>
      </c>
      <c r="F27">
        <v>35.483330552407701</v>
      </c>
    </row>
    <row r="28" spans="1:6" x14ac:dyDescent="0.2">
      <c r="A28" t="s">
        <v>319</v>
      </c>
      <c r="B28">
        <v>3944100</v>
      </c>
      <c r="C28">
        <v>714360</v>
      </c>
      <c r="D28">
        <v>15</v>
      </c>
      <c r="E28">
        <v>-90.633191850226595</v>
      </c>
      <c r="F28">
        <v>35.617461722064597</v>
      </c>
    </row>
    <row r="29" spans="1:6" x14ac:dyDescent="0.2">
      <c r="A29" t="s">
        <v>324</v>
      </c>
      <c r="B29">
        <v>3924190</v>
      </c>
      <c r="C29">
        <v>734640</v>
      </c>
      <c r="D29">
        <v>15</v>
      </c>
      <c r="E29">
        <v>-90.415231165208297</v>
      </c>
      <c r="F29">
        <v>35.433518452155901</v>
      </c>
    </row>
    <row r="30" spans="1:6" x14ac:dyDescent="0.2">
      <c r="A30" t="s">
        <v>328</v>
      </c>
      <c r="B30">
        <v>3924830</v>
      </c>
      <c r="C30">
        <v>734650</v>
      </c>
      <c r="D30">
        <v>15</v>
      </c>
      <c r="E30">
        <v>-90.414936720257401</v>
      </c>
      <c r="F30">
        <v>35.439280950906401</v>
      </c>
    </row>
    <row r="31" spans="1:6" x14ac:dyDescent="0.2">
      <c r="A31" t="s">
        <v>333</v>
      </c>
      <c r="B31">
        <v>3911480</v>
      </c>
      <c r="C31">
        <v>730800</v>
      </c>
      <c r="D31">
        <v>15</v>
      </c>
      <c r="E31">
        <v>-90.461085977133393</v>
      </c>
      <c r="F31">
        <v>35.319924808781899</v>
      </c>
    </row>
    <row r="32" spans="1:6" x14ac:dyDescent="0.2">
      <c r="A32" t="s">
        <v>338</v>
      </c>
      <c r="B32">
        <v>3913360</v>
      </c>
      <c r="C32">
        <v>732350</v>
      </c>
      <c r="D32">
        <v>15</v>
      </c>
      <c r="E32">
        <v>-90.443516810900405</v>
      </c>
      <c r="F32">
        <v>35.336500622104602</v>
      </c>
    </row>
    <row r="33" spans="1:6" x14ac:dyDescent="0.2">
      <c r="A33" t="s">
        <v>343</v>
      </c>
      <c r="B33">
        <v>3916540</v>
      </c>
      <c r="C33">
        <v>736740</v>
      </c>
      <c r="D33">
        <v>15</v>
      </c>
      <c r="E33">
        <v>-90.394338554555105</v>
      </c>
      <c r="F33">
        <v>35.364113880066803</v>
      </c>
    </row>
    <row r="34" spans="1:6" x14ac:dyDescent="0.2">
      <c r="A34" t="s">
        <v>347</v>
      </c>
      <c r="B34">
        <v>3931860</v>
      </c>
      <c r="C34">
        <v>761300</v>
      </c>
      <c r="D34">
        <v>15</v>
      </c>
      <c r="E34">
        <v>-90.119397914690694</v>
      </c>
      <c r="F34">
        <v>35.495948385851499</v>
      </c>
    </row>
    <row r="35" spans="1:6" x14ac:dyDescent="0.2">
      <c r="A35" t="s">
        <v>352</v>
      </c>
      <c r="B35">
        <v>3910900</v>
      </c>
      <c r="C35">
        <v>758280</v>
      </c>
      <c r="D35">
        <v>15</v>
      </c>
      <c r="E35">
        <v>-90.159288824418098</v>
      </c>
      <c r="F35">
        <v>35.307978883911503</v>
      </c>
    </row>
    <row r="36" spans="1:6" x14ac:dyDescent="0.2">
      <c r="A36" t="s">
        <v>352</v>
      </c>
      <c r="B36">
        <v>3910900</v>
      </c>
      <c r="C36">
        <v>758280</v>
      </c>
      <c r="D36">
        <v>15</v>
      </c>
      <c r="E36">
        <v>-90.159288824418098</v>
      </c>
      <c r="F36">
        <v>35.307978883911503</v>
      </c>
    </row>
    <row r="37" spans="1:6" x14ac:dyDescent="0.2">
      <c r="A37" t="s">
        <v>358</v>
      </c>
      <c r="B37">
        <v>3918541.28</v>
      </c>
      <c r="C37">
        <v>753900</v>
      </c>
      <c r="D37">
        <v>15</v>
      </c>
      <c r="E37">
        <v>-90.205040186662202</v>
      </c>
      <c r="F37">
        <v>35.377916826666699</v>
      </c>
    </row>
    <row r="38" spans="1:6" x14ac:dyDescent="0.2">
      <c r="A38" t="s">
        <v>363</v>
      </c>
      <c r="B38">
        <v>3917220</v>
      </c>
      <c r="C38">
        <v>753580</v>
      </c>
      <c r="D38">
        <v>15</v>
      </c>
      <c r="E38">
        <v>-90.208969005847607</v>
      </c>
      <c r="F38">
        <v>35.3661011015272</v>
      </c>
    </row>
    <row r="39" spans="1:6" x14ac:dyDescent="0.2">
      <c r="A39" t="s">
        <v>368</v>
      </c>
      <c r="B39">
        <v>3917540</v>
      </c>
      <c r="C39">
        <v>757100</v>
      </c>
      <c r="D39">
        <v>15</v>
      </c>
      <c r="E39">
        <v>-90.170167288639206</v>
      </c>
      <c r="F39">
        <v>35.368082253087699</v>
      </c>
    </row>
    <row r="40" spans="1:6" x14ac:dyDescent="0.2">
      <c r="A40" t="s">
        <v>372</v>
      </c>
      <c r="B40">
        <v>3883280</v>
      </c>
      <c r="C40">
        <v>711650</v>
      </c>
      <c r="D40">
        <v>15</v>
      </c>
      <c r="E40">
        <v>-90.678826304843298</v>
      </c>
      <c r="F40">
        <v>35.070090466578598</v>
      </c>
    </row>
    <row r="41" spans="1:6" x14ac:dyDescent="0.2">
      <c r="A41" t="s">
        <v>378</v>
      </c>
      <c r="B41">
        <v>3878020</v>
      </c>
      <c r="C41">
        <v>710760</v>
      </c>
      <c r="D41">
        <v>15</v>
      </c>
      <c r="E41">
        <v>-90.689915261823302</v>
      </c>
      <c r="F41">
        <v>35.022884142506598</v>
      </c>
    </row>
    <row r="42" spans="1:6" x14ac:dyDescent="0.2">
      <c r="A42" t="s">
        <v>382</v>
      </c>
      <c r="B42">
        <v>3888530</v>
      </c>
      <c r="C42">
        <v>722840</v>
      </c>
      <c r="D42">
        <v>15</v>
      </c>
      <c r="E42">
        <v>-90.554789596060203</v>
      </c>
      <c r="F42">
        <v>35.114978048297701</v>
      </c>
    </row>
    <row r="43" spans="1:6" x14ac:dyDescent="0.2">
      <c r="A43" t="s">
        <v>388</v>
      </c>
      <c r="B43">
        <v>3745720</v>
      </c>
      <c r="C43">
        <v>707320</v>
      </c>
      <c r="D43">
        <v>15</v>
      </c>
      <c r="E43">
        <v>-90.759645121597799</v>
      </c>
      <c r="F43">
        <v>33.831404034463901</v>
      </c>
    </row>
    <row r="44" spans="1:6" x14ac:dyDescent="0.2">
      <c r="A44" t="s">
        <v>393</v>
      </c>
      <c r="B44">
        <v>3891230</v>
      </c>
      <c r="C44">
        <v>712120</v>
      </c>
      <c r="D44">
        <v>15</v>
      </c>
      <c r="E44">
        <v>-90.6716383370063</v>
      </c>
      <c r="F44">
        <v>35.141619828300698</v>
      </c>
    </row>
    <row r="45" spans="1:6" x14ac:dyDescent="0.2">
      <c r="A45" t="s">
        <v>397</v>
      </c>
      <c r="B45">
        <v>3888590</v>
      </c>
      <c r="C45">
        <v>727000</v>
      </c>
      <c r="D45">
        <v>15</v>
      </c>
      <c r="E45">
        <v>-90.509163703863294</v>
      </c>
      <c r="F45">
        <v>35.114589415355397</v>
      </c>
    </row>
    <row r="46" spans="1:6" x14ac:dyDescent="0.2">
      <c r="A46" t="s">
        <v>401</v>
      </c>
      <c r="B46">
        <v>3880450</v>
      </c>
      <c r="C46">
        <v>708240</v>
      </c>
      <c r="D46">
        <v>15</v>
      </c>
      <c r="E46">
        <v>-90.716907559991995</v>
      </c>
      <c r="F46">
        <v>35.045301490007397</v>
      </c>
    </row>
    <row r="47" spans="1:6" x14ac:dyDescent="0.2">
      <c r="A47" t="s">
        <v>91</v>
      </c>
      <c r="B47">
        <v>3901650</v>
      </c>
      <c r="C47">
        <v>717460</v>
      </c>
      <c r="D47">
        <v>15</v>
      </c>
      <c r="E47">
        <v>-90.610319472424194</v>
      </c>
      <c r="F47">
        <v>35.234356644694799</v>
      </c>
    </row>
    <row r="48" spans="1:6" x14ac:dyDescent="0.2">
      <c r="A48" t="s">
        <v>412</v>
      </c>
      <c r="B48">
        <v>3888750</v>
      </c>
      <c r="C48">
        <v>710000</v>
      </c>
      <c r="D48">
        <v>15</v>
      </c>
      <c r="E48">
        <v>-90.695521888939595</v>
      </c>
      <c r="F48">
        <v>35.119720005231699</v>
      </c>
    </row>
    <row r="49" spans="1:6" x14ac:dyDescent="0.2">
      <c r="A49" t="s">
        <v>417</v>
      </c>
      <c r="B49">
        <v>3900660</v>
      </c>
      <c r="C49">
        <v>712820</v>
      </c>
      <c r="D49">
        <v>15</v>
      </c>
      <c r="E49">
        <v>-90.661526562117402</v>
      </c>
      <c r="F49">
        <v>35.226432918855203</v>
      </c>
    </row>
    <row r="50" spans="1:6" x14ac:dyDescent="0.2">
      <c r="A50" t="s">
        <v>421</v>
      </c>
      <c r="B50">
        <v>3898930</v>
      </c>
      <c r="C50">
        <v>714520</v>
      </c>
      <c r="D50">
        <v>15</v>
      </c>
      <c r="E50">
        <v>-90.643311749049602</v>
      </c>
      <c r="F50">
        <v>35.2104843296528</v>
      </c>
    </row>
    <row r="51" spans="1:6" x14ac:dyDescent="0.2">
      <c r="A51" t="s">
        <v>426</v>
      </c>
      <c r="B51">
        <v>3894330</v>
      </c>
      <c r="C51">
        <v>720150</v>
      </c>
      <c r="D51">
        <v>15</v>
      </c>
      <c r="E51">
        <v>-90.582738105082598</v>
      </c>
      <c r="F51">
        <v>35.167823036804201</v>
      </c>
    </row>
    <row r="52" spans="1:6" x14ac:dyDescent="0.2">
      <c r="A52" t="s">
        <v>432</v>
      </c>
      <c r="B52">
        <v>3896200</v>
      </c>
      <c r="C52">
        <v>721340</v>
      </c>
      <c r="D52">
        <v>15</v>
      </c>
      <c r="E52">
        <v>-90.569180514439594</v>
      </c>
      <c r="F52">
        <v>35.184408572195899</v>
      </c>
    </row>
    <row r="53" spans="1:6" x14ac:dyDescent="0.2">
      <c r="A53" t="s">
        <v>438</v>
      </c>
      <c r="B53">
        <v>3851260</v>
      </c>
      <c r="C53">
        <v>717650</v>
      </c>
      <c r="D53">
        <v>15</v>
      </c>
      <c r="E53">
        <v>-90.621418418533096</v>
      </c>
      <c r="F53">
        <v>34.780321939588902</v>
      </c>
    </row>
    <row r="54" spans="1:6" x14ac:dyDescent="0.2">
      <c r="A54" t="s">
        <v>444</v>
      </c>
      <c r="B54">
        <v>3887490</v>
      </c>
      <c r="C54">
        <v>746480</v>
      </c>
      <c r="D54">
        <v>15</v>
      </c>
      <c r="E54">
        <v>-90.295943501319798</v>
      </c>
      <c r="F54">
        <v>35.100102455850298</v>
      </c>
    </row>
    <row r="55" spans="1:6" x14ac:dyDescent="0.2">
      <c r="A55" t="s">
        <v>448</v>
      </c>
      <c r="B55">
        <v>3878800</v>
      </c>
      <c r="C55">
        <v>741000</v>
      </c>
      <c r="D55">
        <v>15</v>
      </c>
      <c r="E55">
        <v>-90.358529701553095</v>
      </c>
      <c r="F55">
        <v>35.023150919074297</v>
      </c>
    </row>
    <row r="56" spans="1:6" x14ac:dyDescent="0.2">
      <c r="A56" t="s">
        <v>453</v>
      </c>
      <c r="B56">
        <v>3877520</v>
      </c>
      <c r="C56">
        <v>735360</v>
      </c>
      <c r="D56">
        <v>15</v>
      </c>
      <c r="E56">
        <v>-90.420652714384303</v>
      </c>
      <c r="F56">
        <v>35.012949825459003</v>
      </c>
    </row>
    <row r="57" spans="1:6" x14ac:dyDescent="0.2">
      <c r="A57" t="s">
        <v>458</v>
      </c>
      <c r="B57">
        <v>3878460</v>
      </c>
      <c r="C57">
        <v>734540</v>
      </c>
      <c r="D57">
        <v>15</v>
      </c>
      <c r="E57">
        <v>-90.429366017253102</v>
      </c>
      <c r="F57">
        <v>35.021608237817503</v>
      </c>
    </row>
    <row r="58" spans="1:6" x14ac:dyDescent="0.2">
      <c r="A58" t="s">
        <v>88</v>
      </c>
      <c r="B58">
        <v>3876440</v>
      </c>
      <c r="C58">
        <v>729450</v>
      </c>
      <c r="D58">
        <v>15</v>
      </c>
      <c r="E58">
        <v>-90.485663149257803</v>
      </c>
      <c r="F58">
        <v>35.004579259665199</v>
      </c>
    </row>
    <row r="59" spans="1:6" x14ac:dyDescent="0.2">
      <c r="A59" t="s">
        <v>468</v>
      </c>
      <c r="B59">
        <v>3881800</v>
      </c>
      <c r="C59">
        <v>749500</v>
      </c>
      <c r="D59">
        <v>15</v>
      </c>
      <c r="E59">
        <v>-90.264557510499003</v>
      </c>
      <c r="F59">
        <v>35.048109267586298</v>
      </c>
    </row>
    <row r="60" spans="1:6" x14ac:dyDescent="0.2">
      <c r="A60" t="s">
        <v>473</v>
      </c>
      <c r="B60">
        <v>3885300</v>
      </c>
      <c r="C60">
        <v>751720</v>
      </c>
      <c r="D60">
        <v>15</v>
      </c>
      <c r="E60">
        <v>-90.239181130395906</v>
      </c>
      <c r="F60">
        <v>35.079082183734201</v>
      </c>
    </row>
    <row r="61" spans="1:6" x14ac:dyDescent="0.2">
      <c r="A61" t="s">
        <v>477</v>
      </c>
      <c r="B61">
        <v>3896399</v>
      </c>
      <c r="C61">
        <v>753963</v>
      </c>
      <c r="D61">
        <v>15</v>
      </c>
      <c r="E61">
        <v>-90.2111975470103</v>
      </c>
      <c r="F61">
        <v>35.178483526261701</v>
      </c>
    </row>
    <row r="62" spans="1:6" x14ac:dyDescent="0.2">
      <c r="A62" t="s">
        <v>482</v>
      </c>
      <c r="B62">
        <v>3861600</v>
      </c>
      <c r="C62">
        <v>702850</v>
      </c>
      <c r="D62">
        <v>15</v>
      </c>
      <c r="E62">
        <v>-90.780548870325902</v>
      </c>
      <c r="F62">
        <v>34.876547270166</v>
      </c>
    </row>
    <row r="63" spans="1:6" x14ac:dyDescent="0.2">
      <c r="A63" t="s">
        <v>486</v>
      </c>
      <c r="B63">
        <v>3871500</v>
      </c>
      <c r="C63">
        <v>724350</v>
      </c>
      <c r="D63">
        <v>15</v>
      </c>
      <c r="E63">
        <v>-90.5428340560875</v>
      </c>
      <c r="F63">
        <v>34.961218582645799</v>
      </c>
    </row>
    <row r="64" spans="1:6" x14ac:dyDescent="0.2">
      <c r="A64" t="s">
        <v>491</v>
      </c>
      <c r="B64">
        <v>3855100</v>
      </c>
      <c r="C64">
        <v>726680</v>
      </c>
      <c r="D64">
        <v>15</v>
      </c>
      <c r="E64">
        <v>-90.521778822873102</v>
      </c>
      <c r="F64">
        <v>34.812949921809697</v>
      </c>
    </row>
    <row r="65" spans="1:6" x14ac:dyDescent="0.2">
      <c r="A65" t="s">
        <v>497</v>
      </c>
      <c r="B65">
        <v>3848720</v>
      </c>
      <c r="C65">
        <v>718180</v>
      </c>
      <c r="D65">
        <v>15</v>
      </c>
      <c r="E65">
        <v>-90.616289212331395</v>
      </c>
      <c r="F65">
        <v>34.757323364828501</v>
      </c>
    </row>
    <row r="66" spans="1:6" x14ac:dyDescent="0.2">
      <c r="A66" t="s">
        <v>502</v>
      </c>
      <c r="B66">
        <v>3854080</v>
      </c>
      <c r="C66">
        <v>725340</v>
      </c>
      <c r="D66">
        <v>15</v>
      </c>
      <c r="E66">
        <v>-90.536690210543796</v>
      </c>
      <c r="F66">
        <v>34.804057782112302</v>
      </c>
    </row>
    <row r="67" spans="1:6" x14ac:dyDescent="0.2">
      <c r="A67" t="s">
        <v>506</v>
      </c>
      <c r="B67">
        <v>3867210</v>
      </c>
      <c r="C67">
        <v>721550</v>
      </c>
      <c r="D67">
        <v>15</v>
      </c>
      <c r="E67">
        <v>-90.574615120517706</v>
      </c>
      <c r="F67">
        <v>34.923184597785699</v>
      </c>
    </row>
    <row r="68" spans="1:6" x14ac:dyDescent="0.2">
      <c r="A68" t="s">
        <v>509</v>
      </c>
      <c r="B68">
        <v>3859600</v>
      </c>
      <c r="C68">
        <v>711300</v>
      </c>
      <c r="D68">
        <v>15</v>
      </c>
      <c r="E68">
        <v>-90.688664463760105</v>
      </c>
      <c r="F68">
        <v>34.8568042503641</v>
      </c>
    </row>
    <row r="69" spans="1:6" x14ac:dyDescent="0.2">
      <c r="A69" t="s">
        <v>90</v>
      </c>
      <c r="B69">
        <v>3871500</v>
      </c>
      <c r="C69">
        <v>724350</v>
      </c>
      <c r="D69">
        <v>15</v>
      </c>
      <c r="E69">
        <v>-90.5428340560875</v>
      </c>
      <c r="F69">
        <v>34.961218582645799</v>
      </c>
    </row>
    <row r="70" spans="1:6" x14ac:dyDescent="0.2">
      <c r="A70" t="s">
        <v>79</v>
      </c>
      <c r="B70">
        <v>3850050</v>
      </c>
      <c r="C70">
        <v>721080</v>
      </c>
      <c r="D70">
        <v>15</v>
      </c>
      <c r="E70">
        <v>-90.584280970605505</v>
      </c>
      <c r="F70">
        <v>34.7686821362459</v>
      </c>
    </row>
    <row r="71" spans="1:6" x14ac:dyDescent="0.2">
      <c r="A71" t="s">
        <v>520</v>
      </c>
      <c r="B71">
        <v>3848410</v>
      </c>
      <c r="C71">
        <v>713070</v>
      </c>
      <c r="D71">
        <v>15</v>
      </c>
      <c r="E71">
        <v>-90.672155317160104</v>
      </c>
      <c r="F71">
        <v>34.755610045201699</v>
      </c>
    </row>
    <row r="72" spans="1:6" x14ac:dyDescent="0.2">
      <c r="A72" t="s">
        <v>525</v>
      </c>
      <c r="B72">
        <v>3872280</v>
      </c>
      <c r="C72">
        <v>718090</v>
      </c>
      <c r="D72">
        <v>15</v>
      </c>
      <c r="E72">
        <v>-90.611138205894804</v>
      </c>
      <c r="F72">
        <v>34.969613590924602</v>
      </c>
    </row>
    <row r="73" spans="1:6" x14ac:dyDescent="0.2">
      <c r="A73" t="s">
        <v>529</v>
      </c>
      <c r="B73">
        <v>3872570</v>
      </c>
      <c r="C73">
        <v>712650</v>
      </c>
      <c r="D73">
        <v>15</v>
      </c>
      <c r="E73">
        <v>-90.670607288518497</v>
      </c>
      <c r="F73">
        <v>34.973383812961401</v>
      </c>
    </row>
    <row r="74" spans="1:6" x14ac:dyDescent="0.2">
      <c r="A74" t="s">
        <v>534</v>
      </c>
      <c r="B74">
        <v>3856900</v>
      </c>
      <c r="C74">
        <v>720800</v>
      </c>
      <c r="D74">
        <v>15</v>
      </c>
      <c r="E74">
        <v>-90.585538327603601</v>
      </c>
      <c r="F74">
        <v>34.830459339772403</v>
      </c>
    </row>
    <row r="75" spans="1:6" x14ac:dyDescent="0.2">
      <c r="A75" t="s">
        <v>538</v>
      </c>
      <c r="B75">
        <v>3872310</v>
      </c>
      <c r="C75">
        <v>713100</v>
      </c>
      <c r="D75">
        <v>15</v>
      </c>
      <c r="E75">
        <v>-90.665748059026697</v>
      </c>
      <c r="F75">
        <v>34.9709465818487</v>
      </c>
    </row>
    <row r="76" spans="1:6" x14ac:dyDescent="0.2">
      <c r="A76" t="s">
        <v>87</v>
      </c>
      <c r="B76">
        <v>3872820</v>
      </c>
      <c r="C76">
        <v>712000</v>
      </c>
      <c r="D76">
        <v>15</v>
      </c>
      <c r="E76">
        <v>-90.677658648596505</v>
      </c>
      <c r="F76">
        <v>34.9757726710613</v>
      </c>
    </row>
    <row r="77" spans="1:6" x14ac:dyDescent="0.2">
      <c r="A77" t="s">
        <v>547</v>
      </c>
      <c r="B77">
        <v>3861400</v>
      </c>
      <c r="C77">
        <v>724360</v>
      </c>
      <c r="D77">
        <v>15</v>
      </c>
      <c r="E77">
        <v>-90.545436519689602</v>
      </c>
      <c r="F77">
        <v>34.870222850991297</v>
      </c>
    </row>
    <row r="78" spans="1:6" x14ac:dyDescent="0.2">
      <c r="A78" t="s">
        <v>78</v>
      </c>
      <c r="B78">
        <v>3854800</v>
      </c>
      <c r="C78">
        <v>725840</v>
      </c>
      <c r="D78">
        <v>15</v>
      </c>
      <c r="E78">
        <v>-90.531035378217595</v>
      </c>
      <c r="F78">
        <v>34.810433769078799</v>
      </c>
    </row>
    <row r="79" spans="1:6" x14ac:dyDescent="0.2">
      <c r="A79" t="s">
        <v>77</v>
      </c>
      <c r="B79">
        <v>3860300</v>
      </c>
      <c r="C79">
        <v>725300</v>
      </c>
      <c r="D79">
        <v>15</v>
      </c>
      <c r="E79">
        <v>-90.535456918689903</v>
      </c>
      <c r="F79">
        <v>34.860104664741201</v>
      </c>
    </row>
    <row r="80" spans="1:6" x14ac:dyDescent="0.2">
      <c r="A80" t="s">
        <v>559</v>
      </c>
      <c r="B80">
        <v>3856210</v>
      </c>
      <c r="C80">
        <v>726020</v>
      </c>
      <c r="D80">
        <v>15</v>
      </c>
      <c r="E80">
        <v>-90.528689638438493</v>
      </c>
      <c r="F80">
        <v>34.823096952767301</v>
      </c>
    </row>
    <row r="81" spans="1:6" x14ac:dyDescent="0.2">
      <c r="A81" t="s">
        <v>563</v>
      </c>
      <c r="B81">
        <v>3861780</v>
      </c>
      <c r="C81">
        <v>708000</v>
      </c>
      <c r="D81">
        <v>15</v>
      </c>
      <c r="E81">
        <v>-90.724195162807305</v>
      </c>
      <c r="F81">
        <v>34.877127722194601</v>
      </c>
    </row>
    <row r="82" spans="1:6" x14ac:dyDescent="0.2">
      <c r="A82" t="s">
        <v>568</v>
      </c>
      <c r="B82">
        <v>3856480</v>
      </c>
      <c r="C82">
        <v>726000</v>
      </c>
      <c r="D82">
        <v>15</v>
      </c>
      <c r="E82">
        <v>-90.528835441247196</v>
      </c>
      <c r="F82">
        <v>34.825533902113598</v>
      </c>
    </row>
    <row r="83" spans="1:6" x14ac:dyDescent="0.2">
      <c r="A83" t="s">
        <v>572</v>
      </c>
      <c r="B83">
        <v>3851260</v>
      </c>
      <c r="C83">
        <v>717650</v>
      </c>
      <c r="D83">
        <v>15</v>
      </c>
      <c r="E83">
        <v>-90.621418418533096</v>
      </c>
      <c r="F83">
        <v>34.780321939588902</v>
      </c>
    </row>
    <row r="84" spans="1:6" x14ac:dyDescent="0.2">
      <c r="A84" t="s">
        <v>574</v>
      </c>
      <c r="B84">
        <v>3864600</v>
      </c>
      <c r="C84">
        <v>732400</v>
      </c>
      <c r="D84">
        <v>15</v>
      </c>
      <c r="E84">
        <v>-90.456663502172404</v>
      </c>
      <c r="F84">
        <v>34.8972437815315</v>
      </c>
    </row>
    <row r="85" spans="1:6" x14ac:dyDescent="0.2">
      <c r="A85" t="s">
        <v>81</v>
      </c>
      <c r="B85">
        <v>3851300</v>
      </c>
      <c r="C85">
        <v>740620</v>
      </c>
      <c r="D85">
        <v>15</v>
      </c>
      <c r="E85">
        <v>-90.370602948777204</v>
      </c>
      <c r="F85">
        <v>34.775520388087799</v>
      </c>
    </row>
    <row r="86" spans="1:6" x14ac:dyDescent="0.2">
      <c r="A86" t="s">
        <v>80</v>
      </c>
      <c r="B86">
        <v>3855772</v>
      </c>
      <c r="C86">
        <v>739436</v>
      </c>
      <c r="D86">
        <v>15</v>
      </c>
      <c r="E86">
        <v>-90.382255413899998</v>
      </c>
      <c r="F86">
        <v>34.8160842405021</v>
      </c>
    </row>
    <row r="87" spans="1:6" x14ac:dyDescent="0.2">
      <c r="A87" t="s">
        <v>583</v>
      </c>
      <c r="B87">
        <v>3853220</v>
      </c>
      <c r="C87">
        <v>740940</v>
      </c>
      <c r="D87">
        <v>15</v>
      </c>
      <c r="E87">
        <v>-90.366559373863396</v>
      </c>
      <c r="F87">
        <v>34.7927405986701</v>
      </c>
    </row>
    <row r="88" spans="1:6" x14ac:dyDescent="0.2">
      <c r="A88" t="s">
        <v>586</v>
      </c>
      <c r="B88">
        <v>3872150</v>
      </c>
      <c r="C88">
        <v>738780</v>
      </c>
      <c r="D88">
        <v>15</v>
      </c>
      <c r="E88">
        <v>-90.384746793429002</v>
      </c>
      <c r="F88">
        <v>34.963774608014901</v>
      </c>
    </row>
    <row r="89" spans="1:6" x14ac:dyDescent="0.2">
      <c r="A89" t="s">
        <v>592</v>
      </c>
      <c r="B89">
        <v>3870150</v>
      </c>
      <c r="C89">
        <v>733280</v>
      </c>
      <c r="D89">
        <v>15</v>
      </c>
      <c r="E89">
        <v>-90.445491552785896</v>
      </c>
      <c r="F89">
        <v>34.947039530821598</v>
      </c>
    </row>
    <row r="90" spans="1:6" x14ac:dyDescent="0.2">
      <c r="A90" t="s">
        <v>597</v>
      </c>
      <c r="B90">
        <v>3872640</v>
      </c>
      <c r="C90">
        <v>738420</v>
      </c>
      <c r="D90">
        <v>15</v>
      </c>
      <c r="E90">
        <v>-90.388545926899695</v>
      </c>
      <c r="F90">
        <v>34.968273397534603</v>
      </c>
    </row>
    <row r="91" spans="1:6" x14ac:dyDescent="0.2">
      <c r="A91" t="s">
        <v>86</v>
      </c>
      <c r="B91">
        <v>3870150</v>
      </c>
      <c r="C91">
        <v>733280</v>
      </c>
      <c r="D91">
        <v>15</v>
      </c>
      <c r="E91">
        <v>-90.445491552785896</v>
      </c>
      <c r="F91">
        <v>34.947039530821598</v>
      </c>
    </row>
    <row r="92" spans="1:6" x14ac:dyDescent="0.2">
      <c r="A92" t="s">
        <v>605</v>
      </c>
      <c r="B92">
        <v>3873060</v>
      </c>
      <c r="C92">
        <v>729580</v>
      </c>
      <c r="D92">
        <v>15</v>
      </c>
      <c r="E92">
        <v>-90.485171830652504</v>
      </c>
      <c r="F92">
        <v>34.974100198600702</v>
      </c>
    </row>
    <row r="93" spans="1:6" x14ac:dyDescent="0.2">
      <c r="A93" t="s">
        <v>85</v>
      </c>
      <c r="B93">
        <v>3866850</v>
      </c>
      <c r="C93">
        <v>738580</v>
      </c>
      <c r="D93">
        <v>15</v>
      </c>
      <c r="E93">
        <v>-90.3884502785465</v>
      </c>
      <c r="F93">
        <v>34.916078649455798</v>
      </c>
    </row>
    <row r="94" spans="1:6" x14ac:dyDescent="0.2">
      <c r="A94" t="s">
        <v>615</v>
      </c>
      <c r="B94">
        <v>3864600</v>
      </c>
      <c r="C94">
        <v>732400</v>
      </c>
      <c r="D94">
        <v>15</v>
      </c>
      <c r="E94">
        <v>-90.456663502172404</v>
      </c>
      <c r="F94">
        <v>34.8972437815315</v>
      </c>
    </row>
    <row r="95" spans="1:6" x14ac:dyDescent="0.2">
      <c r="A95" t="s">
        <v>618</v>
      </c>
      <c r="B95">
        <v>3875620</v>
      </c>
      <c r="C95">
        <v>737480</v>
      </c>
      <c r="D95">
        <v>15</v>
      </c>
      <c r="E95">
        <v>-90.397982808568202</v>
      </c>
      <c r="F95">
        <v>34.995338584090099</v>
      </c>
    </row>
    <row r="96" spans="1:6" x14ac:dyDescent="0.2">
      <c r="A96" t="s">
        <v>82</v>
      </c>
      <c r="B96">
        <v>3874859</v>
      </c>
      <c r="C96">
        <v>754769</v>
      </c>
      <c r="D96">
        <v>15</v>
      </c>
      <c r="E96">
        <v>-90.208976618573104</v>
      </c>
      <c r="F96">
        <v>34.9842780388338</v>
      </c>
    </row>
    <row r="97" spans="1:6" x14ac:dyDescent="0.2">
      <c r="A97" t="s">
        <v>84</v>
      </c>
      <c r="B97">
        <v>3867421</v>
      </c>
      <c r="C97">
        <v>759796</v>
      </c>
      <c r="D97">
        <v>15</v>
      </c>
      <c r="E97">
        <v>-90.156281098309805</v>
      </c>
      <c r="F97">
        <v>34.916010653203799</v>
      </c>
    </row>
    <row r="98" spans="1:6" x14ac:dyDescent="0.2">
      <c r="A98" t="s">
        <v>626</v>
      </c>
      <c r="B98">
        <v>3872116</v>
      </c>
      <c r="C98">
        <v>753929</v>
      </c>
      <c r="D98">
        <v>15</v>
      </c>
      <c r="E98">
        <v>-90.219005066193901</v>
      </c>
      <c r="F98">
        <v>34.959783436397601</v>
      </c>
    </row>
    <row r="99" spans="1:6" x14ac:dyDescent="0.2">
      <c r="A99" t="s">
        <v>629</v>
      </c>
      <c r="B99">
        <v>3868370</v>
      </c>
      <c r="C99">
        <v>758561</v>
      </c>
      <c r="D99">
        <v>15</v>
      </c>
      <c r="E99">
        <v>-90.169491019475899</v>
      </c>
      <c r="F99">
        <v>34.924873342737001</v>
      </c>
    </row>
    <row r="100" spans="1:6" x14ac:dyDescent="0.2">
      <c r="A100" t="s">
        <v>632</v>
      </c>
      <c r="B100">
        <v>3869837</v>
      </c>
      <c r="C100">
        <v>760317</v>
      </c>
      <c r="D100">
        <v>15</v>
      </c>
      <c r="E100">
        <v>-90.149831524087801</v>
      </c>
      <c r="F100">
        <v>34.937636485072098</v>
      </c>
    </row>
    <row r="101" spans="1:6" x14ac:dyDescent="0.2">
      <c r="A101" t="s">
        <v>637</v>
      </c>
      <c r="B101">
        <v>3864400</v>
      </c>
      <c r="C101">
        <v>754509</v>
      </c>
      <c r="D101">
        <v>15</v>
      </c>
      <c r="E101">
        <v>-90.215010620133299</v>
      </c>
      <c r="F101">
        <v>34.890140924108003</v>
      </c>
    </row>
    <row r="102" spans="1:6" x14ac:dyDescent="0.2">
      <c r="A102" t="s">
        <v>639</v>
      </c>
      <c r="B102">
        <v>3872748</v>
      </c>
      <c r="C102">
        <v>757787</v>
      </c>
      <c r="D102">
        <v>15</v>
      </c>
      <c r="E102">
        <v>-90.176602581875699</v>
      </c>
      <c r="F102">
        <v>34.964501043047903</v>
      </c>
    </row>
    <row r="103" spans="1:6" x14ac:dyDescent="0.2">
      <c r="A103" t="s">
        <v>641</v>
      </c>
      <c r="B103">
        <v>3870774</v>
      </c>
      <c r="C103">
        <v>752674</v>
      </c>
      <c r="D103">
        <v>15</v>
      </c>
      <c r="E103">
        <v>-90.233141915886193</v>
      </c>
      <c r="F103">
        <v>34.948009941326298</v>
      </c>
    </row>
    <row r="104" spans="1:6" x14ac:dyDescent="0.2">
      <c r="A104" t="s">
        <v>83</v>
      </c>
      <c r="B104">
        <v>3867620</v>
      </c>
      <c r="C104">
        <v>755793</v>
      </c>
      <c r="D104">
        <v>15</v>
      </c>
      <c r="E104">
        <v>-90.199990117650103</v>
      </c>
      <c r="F104">
        <v>34.918820175245799</v>
      </c>
    </row>
    <row r="105" spans="1:6" x14ac:dyDescent="0.2">
      <c r="A105" t="s">
        <v>648</v>
      </c>
      <c r="B105">
        <v>3867119</v>
      </c>
      <c r="C105">
        <v>755880</v>
      </c>
      <c r="D105">
        <v>15</v>
      </c>
      <c r="E105">
        <v>-90.199192197801494</v>
      </c>
      <c r="F105">
        <v>34.914285847127204</v>
      </c>
    </row>
    <row r="106" spans="1:6" x14ac:dyDescent="0.2">
      <c r="A106" t="s">
        <v>650</v>
      </c>
      <c r="B106">
        <v>3820150</v>
      </c>
      <c r="C106">
        <v>666950</v>
      </c>
      <c r="D106">
        <v>15</v>
      </c>
      <c r="E106">
        <v>-91.181341186904802</v>
      </c>
      <c r="F106">
        <v>34.5094810264617</v>
      </c>
    </row>
    <row r="107" spans="1:6" x14ac:dyDescent="0.2">
      <c r="A107" t="s">
        <v>655</v>
      </c>
      <c r="B107">
        <v>3836130</v>
      </c>
      <c r="C107">
        <v>694170</v>
      </c>
      <c r="D107">
        <v>15</v>
      </c>
      <c r="E107">
        <v>-90.881335521058205</v>
      </c>
      <c r="F107">
        <v>34.648718321703399</v>
      </c>
    </row>
    <row r="108" spans="1:6" x14ac:dyDescent="0.2">
      <c r="A108" t="s">
        <v>659</v>
      </c>
      <c r="B108">
        <v>3828650</v>
      </c>
      <c r="C108">
        <v>686800</v>
      </c>
      <c r="D108">
        <v>15</v>
      </c>
      <c r="E108">
        <v>-90.963354494173998</v>
      </c>
      <c r="F108">
        <v>34.5826768647457</v>
      </c>
    </row>
    <row r="109" spans="1:6" x14ac:dyDescent="0.2">
      <c r="A109" t="s">
        <v>664</v>
      </c>
      <c r="B109">
        <v>3834510</v>
      </c>
      <c r="C109">
        <v>717270</v>
      </c>
      <c r="D109">
        <v>15</v>
      </c>
      <c r="E109">
        <v>-90.629878533630404</v>
      </c>
      <c r="F109">
        <v>34.629483356280801</v>
      </c>
    </row>
    <row r="110" spans="1:6" x14ac:dyDescent="0.2">
      <c r="A110" t="s">
        <v>668</v>
      </c>
      <c r="B110">
        <v>3834070</v>
      </c>
      <c r="C110">
        <v>718300</v>
      </c>
      <c r="D110">
        <v>15</v>
      </c>
      <c r="E110">
        <v>-90.618764518844401</v>
      </c>
      <c r="F110">
        <v>34.625300073877099</v>
      </c>
    </row>
    <row r="111" spans="1:6" x14ac:dyDescent="0.2">
      <c r="A111" t="s">
        <v>673</v>
      </c>
      <c r="B111">
        <v>3846900</v>
      </c>
      <c r="C111">
        <v>707220</v>
      </c>
      <c r="D111">
        <v>15</v>
      </c>
      <c r="E111">
        <v>-90.736394722358895</v>
      </c>
      <c r="F111">
        <v>34.743208604973397</v>
      </c>
    </row>
    <row r="112" spans="1:6" x14ac:dyDescent="0.2">
      <c r="A112" t="s">
        <v>679</v>
      </c>
      <c r="B112">
        <v>3822310</v>
      </c>
      <c r="C112">
        <v>715570</v>
      </c>
      <c r="D112">
        <v>15</v>
      </c>
      <c r="E112">
        <v>-90.651504478661096</v>
      </c>
      <c r="F112">
        <v>34.519914558657298</v>
      </c>
    </row>
    <row r="113" spans="1:6" x14ac:dyDescent="0.2">
      <c r="A113" t="s">
        <v>686</v>
      </c>
      <c r="B113">
        <v>3820240</v>
      </c>
      <c r="C113">
        <v>720200</v>
      </c>
      <c r="D113">
        <v>15</v>
      </c>
      <c r="E113">
        <v>-90.601636949510606</v>
      </c>
      <c r="F113">
        <v>34.500283367958502</v>
      </c>
    </row>
    <row r="114" spans="1:6" x14ac:dyDescent="0.2">
      <c r="A114" t="s">
        <v>691</v>
      </c>
      <c r="B114">
        <v>3835900</v>
      </c>
      <c r="C114">
        <v>738920</v>
      </c>
      <c r="D114">
        <v>15</v>
      </c>
      <c r="E114">
        <v>-90.393520655068798</v>
      </c>
      <c r="F114">
        <v>34.637189146210801</v>
      </c>
    </row>
    <row r="115" spans="1:6" x14ac:dyDescent="0.2">
      <c r="A115" t="s">
        <v>694</v>
      </c>
      <c r="B115">
        <v>3870720</v>
      </c>
      <c r="C115">
        <v>709650</v>
      </c>
      <c r="D115">
        <v>15</v>
      </c>
      <c r="E115">
        <v>-90.703911366744194</v>
      </c>
      <c r="F115">
        <v>34.957340700731997</v>
      </c>
    </row>
    <row r="116" spans="1:6" x14ac:dyDescent="0.2">
      <c r="A116" t="s">
        <v>698</v>
      </c>
      <c r="B116">
        <v>3845860</v>
      </c>
      <c r="C116">
        <v>751580</v>
      </c>
      <c r="D116">
        <v>15</v>
      </c>
      <c r="E116">
        <v>-90.252580230140595</v>
      </c>
      <c r="F116">
        <v>34.723875267729397</v>
      </c>
    </row>
    <row r="117" spans="1:6" x14ac:dyDescent="0.2">
      <c r="A117" t="s">
        <v>701</v>
      </c>
      <c r="B117">
        <v>3827150</v>
      </c>
      <c r="C117">
        <v>750410</v>
      </c>
      <c r="D117">
        <v>15</v>
      </c>
      <c r="E117">
        <v>-90.270875291737198</v>
      </c>
      <c r="F117">
        <v>34.555628690944502</v>
      </c>
    </row>
    <row r="118" spans="1:6" x14ac:dyDescent="0.2">
      <c r="A118" t="s">
        <v>704</v>
      </c>
      <c r="B118">
        <v>3834164</v>
      </c>
      <c r="C118">
        <v>737160</v>
      </c>
      <c r="D118">
        <v>15</v>
      </c>
      <c r="E118">
        <v>-90.413189669335694</v>
      </c>
      <c r="F118">
        <v>34.621958655950301</v>
      </c>
    </row>
    <row r="119" spans="1:6" x14ac:dyDescent="0.2">
      <c r="A119" t="s">
        <v>707</v>
      </c>
      <c r="B119">
        <v>3834660</v>
      </c>
      <c r="C119">
        <v>738770</v>
      </c>
      <c r="D119">
        <v>15</v>
      </c>
      <c r="E119">
        <v>-90.395504959392198</v>
      </c>
      <c r="F119">
        <v>34.6260533818186</v>
      </c>
    </row>
    <row r="120" spans="1:6" x14ac:dyDescent="0.2">
      <c r="A120" t="s">
        <v>710</v>
      </c>
      <c r="B120">
        <v>3846780</v>
      </c>
      <c r="C120">
        <v>737110</v>
      </c>
      <c r="D120">
        <v>15</v>
      </c>
      <c r="E120">
        <v>-90.410196299897905</v>
      </c>
      <c r="F120">
        <v>34.735623879482098</v>
      </c>
    </row>
    <row r="121" spans="1:6" x14ac:dyDescent="0.2">
      <c r="A121" t="s">
        <v>713</v>
      </c>
      <c r="B121">
        <v>3842780</v>
      </c>
      <c r="C121">
        <v>735510</v>
      </c>
      <c r="D121">
        <v>15</v>
      </c>
      <c r="E121">
        <v>-90.428772870922302</v>
      </c>
      <c r="F121">
        <v>34.699959110299297</v>
      </c>
    </row>
    <row r="122" spans="1:6" x14ac:dyDescent="0.2">
      <c r="A122" t="s">
        <v>716</v>
      </c>
      <c r="B122">
        <v>3847260</v>
      </c>
      <c r="C122">
        <v>741160</v>
      </c>
      <c r="D122">
        <v>15</v>
      </c>
      <c r="E122">
        <v>-90.365864411989094</v>
      </c>
      <c r="F122">
        <v>34.738999536991599</v>
      </c>
    </row>
    <row r="123" spans="1:6" x14ac:dyDescent="0.2">
      <c r="A123" t="s">
        <v>719</v>
      </c>
      <c r="B123">
        <v>3841980</v>
      </c>
      <c r="C123">
        <v>737110</v>
      </c>
      <c r="D123">
        <v>15</v>
      </c>
      <c r="E123">
        <v>-90.411544830956103</v>
      </c>
      <c r="F123">
        <v>34.692382443831598</v>
      </c>
    </row>
    <row r="124" spans="1:6" x14ac:dyDescent="0.2">
      <c r="A124" t="s">
        <v>721</v>
      </c>
      <c r="B124">
        <v>3822810</v>
      </c>
      <c r="C124">
        <v>733135</v>
      </c>
      <c r="D124">
        <v>15</v>
      </c>
      <c r="E124">
        <v>-90.460168100872593</v>
      </c>
      <c r="F124">
        <v>34.520591318558502</v>
      </c>
    </row>
    <row r="125" spans="1:6" x14ac:dyDescent="0.2">
      <c r="A125" t="s">
        <v>725</v>
      </c>
      <c r="B125">
        <v>3842115</v>
      </c>
      <c r="C125">
        <v>754706</v>
      </c>
      <c r="D125">
        <v>15</v>
      </c>
      <c r="E125">
        <v>-90.219607332245403</v>
      </c>
      <c r="F125">
        <v>34.689368752645599</v>
      </c>
    </row>
    <row r="126" spans="1:6" x14ac:dyDescent="0.2">
      <c r="A126" t="s">
        <v>727</v>
      </c>
      <c r="B126">
        <v>3843235</v>
      </c>
      <c r="C126">
        <v>753426</v>
      </c>
      <c r="D126">
        <v>15</v>
      </c>
      <c r="E126">
        <v>-90.233229509492205</v>
      </c>
      <c r="F126">
        <v>34.699774857395902</v>
      </c>
    </row>
    <row r="127" spans="1:6" x14ac:dyDescent="0.2">
      <c r="A127" t="s">
        <v>730</v>
      </c>
      <c r="B127">
        <v>3796720</v>
      </c>
      <c r="C127">
        <v>697380</v>
      </c>
      <c r="D127">
        <v>15</v>
      </c>
      <c r="E127">
        <v>-90.855439930656402</v>
      </c>
      <c r="F127">
        <v>34.292947302149301</v>
      </c>
    </row>
    <row r="128" spans="1:6" x14ac:dyDescent="0.2">
      <c r="A128" t="s">
        <v>736</v>
      </c>
      <c r="B128">
        <v>3814590</v>
      </c>
      <c r="C128">
        <v>720290</v>
      </c>
      <c r="D128">
        <v>15</v>
      </c>
      <c r="E128">
        <v>-90.602114995620497</v>
      </c>
      <c r="F128">
        <v>34.449355960816902</v>
      </c>
    </row>
    <row r="129" spans="1:6" x14ac:dyDescent="0.2">
      <c r="A129" t="s">
        <v>742</v>
      </c>
      <c r="B129">
        <v>3797310</v>
      </c>
      <c r="C129">
        <v>713137</v>
      </c>
      <c r="D129">
        <v>15</v>
      </c>
      <c r="E129">
        <v>-90.684210621847797</v>
      </c>
      <c r="F129">
        <v>34.295148411938101</v>
      </c>
    </row>
    <row r="130" spans="1:6" x14ac:dyDescent="0.2">
      <c r="A130" t="s">
        <v>747</v>
      </c>
      <c r="B130">
        <v>3816034</v>
      </c>
      <c r="C130">
        <v>730835</v>
      </c>
      <c r="D130">
        <v>15</v>
      </c>
      <c r="E130">
        <v>-90.487036522494606</v>
      </c>
      <c r="F130">
        <v>34.460061327018899</v>
      </c>
    </row>
    <row r="131" spans="1:6" x14ac:dyDescent="0.2">
      <c r="A131" t="s">
        <v>750</v>
      </c>
      <c r="B131">
        <v>3807554</v>
      </c>
      <c r="C131">
        <v>730515</v>
      </c>
      <c r="D131">
        <v>15</v>
      </c>
      <c r="E131">
        <v>-90.492800327972304</v>
      </c>
      <c r="F131">
        <v>34.383731201190997</v>
      </c>
    </row>
    <row r="132" spans="1:6" x14ac:dyDescent="0.2">
      <c r="A132" t="s">
        <v>753</v>
      </c>
      <c r="B132">
        <v>3772010</v>
      </c>
      <c r="C132">
        <v>663590</v>
      </c>
      <c r="D132">
        <v>15</v>
      </c>
      <c r="E132">
        <v>-91.227069232903006</v>
      </c>
      <c r="F132">
        <v>34.0760798664991</v>
      </c>
    </row>
    <row r="133" spans="1:6" x14ac:dyDescent="0.2">
      <c r="A133" t="s">
        <v>760</v>
      </c>
      <c r="B133">
        <v>3790590</v>
      </c>
      <c r="C133">
        <v>671700</v>
      </c>
      <c r="D133">
        <v>15</v>
      </c>
      <c r="E133">
        <v>-91.135536962948194</v>
      </c>
      <c r="F133">
        <v>34.242258973461603</v>
      </c>
    </row>
    <row r="134" spans="1:6" x14ac:dyDescent="0.2">
      <c r="A134" t="s">
        <v>768</v>
      </c>
      <c r="B134">
        <v>3784698</v>
      </c>
      <c r="C134">
        <v>711758</v>
      </c>
      <c r="D134">
        <v>15</v>
      </c>
      <c r="E134">
        <v>-90.702274583765202</v>
      </c>
      <c r="F134">
        <v>34.181780313935903</v>
      </c>
    </row>
    <row r="135" spans="1:6" x14ac:dyDescent="0.2">
      <c r="A135" t="s">
        <v>771</v>
      </c>
      <c r="B135">
        <v>3785226</v>
      </c>
      <c r="C135">
        <v>723400</v>
      </c>
      <c r="D135">
        <v>15</v>
      </c>
      <c r="E135">
        <v>-90.575911227653094</v>
      </c>
      <c r="F135">
        <v>34.184108060973898</v>
      </c>
    </row>
    <row r="136" spans="1:6" x14ac:dyDescent="0.2">
      <c r="A136" t="s">
        <v>779</v>
      </c>
      <c r="B136">
        <v>3784015</v>
      </c>
      <c r="C136">
        <v>724179</v>
      </c>
      <c r="D136">
        <v>15</v>
      </c>
      <c r="E136">
        <v>-90.567778376973607</v>
      </c>
      <c r="F136">
        <v>34.173029092123301</v>
      </c>
    </row>
    <row r="137" spans="1:6" x14ac:dyDescent="0.2">
      <c r="A137" t="s">
        <v>786</v>
      </c>
      <c r="B137">
        <v>3770950</v>
      </c>
      <c r="C137">
        <v>721200</v>
      </c>
      <c r="D137">
        <v>15</v>
      </c>
      <c r="E137">
        <v>-90.603398636133406</v>
      </c>
      <c r="F137">
        <v>34.055938811457096</v>
      </c>
    </row>
    <row r="138" spans="1:6" x14ac:dyDescent="0.2">
      <c r="A138" t="s">
        <v>89</v>
      </c>
      <c r="B138">
        <v>3902950</v>
      </c>
      <c r="C138">
        <v>734391</v>
      </c>
      <c r="D138">
        <v>15</v>
      </c>
      <c r="E138">
        <v>-90.424054643496206</v>
      </c>
      <c r="F138">
        <v>35.242251928261297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D20" sqref="D20"/>
    </sheetView>
  </sheetViews>
  <sheetFormatPr baseColWidth="10" defaultRowHeight="16" x14ac:dyDescent="0.2"/>
  <cols>
    <col min="1" max="1" width="17.5" customWidth="1"/>
  </cols>
  <sheetData>
    <row r="1" spans="1:3" x14ac:dyDescent="0.2">
      <c r="A1" t="s">
        <v>63</v>
      </c>
      <c r="B1" t="s">
        <v>1425</v>
      </c>
      <c r="C1" t="s">
        <v>1426</v>
      </c>
    </row>
    <row r="2" spans="1:3" x14ac:dyDescent="0.2">
      <c r="A2" t="s">
        <v>10</v>
      </c>
      <c r="B2">
        <f>VLOOKUP(A2,MainfortXY!A:C,2,FALSE)</f>
        <v>35.838510224554703</v>
      </c>
      <c r="C2">
        <f>VLOOKUP(A2,MainfortXY!A:C,3,FALSE)</f>
        <v>-89.623299472967304</v>
      </c>
    </row>
    <row r="3" spans="1:3" x14ac:dyDescent="0.2">
      <c r="A3" t="s">
        <v>15</v>
      </c>
      <c r="B3">
        <f>VLOOKUP(A3,MainfortXY!A:C,2,FALSE)</f>
        <v>35.496563769001497</v>
      </c>
      <c r="C3">
        <f>VLOOKUP(A3,MainfortXY!A:C,3,FALSE)</f>
        <v>-89.970203189966796</v>
      </c>
    </row>
    <row r="4" spans="1:3" x14ac:dyDescent="0.2">
      <c r="A4" s="32" t="s">
        <v>813</v>
      </c>
      <c r="B4">
        <v>35.377167479080903</v>
      </c>
      <c r="C4">
        <v>-90.389406360280404</v>
      </c>
    </row>
    <row r="5" spans="1:3" x14ac:dyDescent="0.2">
      <c r="A5" t="s">
        <v>39</v>
      </c>
      <c r="B5">
        <f>VLOOKUP(A5,MainfortXY!A:C,2,FALSE)</f>
        <v>34.915999999999997</v>
      </c>
      <c r="C5">
        <f>VLOOKUP(A5,MainfortXY!A:C,3,FALSE)</f>
        <v>-90.156000000000006</v>
      </c>
    </row>
    <row r="6" spans="1:3" x14ac:dyDescent="0.2">
      <c r="A6" t="s">
        <v>62</v>
      </c>
      <c r="B6">
        <f>VLOOKUP(A6,MainfortXY!A:C,2,FALSE)</f>
        <v>34.920999999999999</v>
      </c>
      <c r="C6">
        <f>VLOOKUP(A6,MainfortXY!A:C,3,FALSE)</f>
        <v>-90.445491552785896</v>
      </c>
    </row>
    <row r="7" spans="1:3" x14ac:dyDescent="0.2">
      <c r="A7" t="s">
        <v>44</v>
      </c>
      <c r="B7">
        <f>VLOOKUP(A7,MainfortXY!A:C,2,FALSE)</f>
        <v>35.119999999999997</v>
      </c>
      <c r="C7">
        <f>VLOOKUP(A7,MainfortXY!A:C,3,FALSE)</f>
        <v>-90.695999999999998</v>
      </c>
    </row>
    <row r="8" spans="1:3" x14ac:dyDescent="0.2">
      <c r="A8" t="s">
        <v>12</v>
      </c>
      <c r="B8">
        <f>VLOOKUP(A8,MainfortXY!A:C,2,FALSE)</f>
        <v>35.633000000000003</v>
      </c>
      <c r="C8">
        <f>VLOOKUP(A8,MainfortXY!A:C,3,FALSE)</f>
        <v>-89.664000000000001</v>
      </c>
    </row>
    <row r="9" spans="1:3" x14ac:dyDescent="0.2">
      <c r="A9" t="s">
        <v>41</v>
      </c>
      <c r="B9">
        <f>VLOOKUP(A9,MainfortXY!A:C,2,FALSE)</f>
        <v>35.597000000000001</v>
      </c>
      <c r="C9">
        <f>VLOOKUP(A9,MainfortXY!A:C,3,FALSE)</f>
        <v>-90.046999999999997</v>
      </c>
    </row>
    <row r="10" spans="1:3" x14ac:dyDescent="0.2">
      <c r="A10" t="s">
        <v>26</v>
      </c>
      <c r="B10">
        <f>VLOOKUP(A10,MainfortXY!A:C,2,FALSE)</f>
        <v>34.9757726710613</v>
      </c>
      <c r="C10">
        <f>VLOOKUP(A10,MainfortXY!A:C,3,FALSE)</f>
        <v>-90.677658648596505</v>
      </c>
    </row>
    <row r="11" spans="1:3" x14ac:dyDescent="0.2">
      <c r="A11" t="s">
        <v>37</v>
      </c>
      <c r="B11">
        <f>VLOOKUP(A11,MainfortXY!A:C,2,FALSE)</f>
        <v>34.963999999999999</v>
      </c>
      <c r="C11">
        <f>VLOOKUP(A11,MainfortXY!A:C,3,FALSE)</f>
        <v>-90.176000000000002</v>
      </c>
    </row>
    <row r="12" spans="1:3" x14ac:dyDescent="0.2">
      <c r="A12" t="s">
        <v>55</v>
      </c>
      <c r="B12">
        <f>VLOOKUP(A12,MainfortXY!A:C,2,FALSE)</f>
        <v>35.055</v>
      </c>
      <c r="C12">
        <f>VLOOKUP(A12,MainfortXY!A:C,3,FALSE)</f>
        <v>-90.122</v>
      </c>
    </row>
    <row r="13" spans="1:3" x14ac:dyDescent="0.2">
      <c r="A13" t="s">
        <v>58</v>
      </c>
      <c r="B13">
        <f>VLOOKUP(A13,MainfortXY!A:C,2,FALSE)</f>
        <v>34.877000000000002</v>
      </c>
      <c r="C13">
        <f>VLOOKUP(A13,MainfortXY!A:C,3,FALSE)</f>
        <v>-90.724195162807305</v>
      </c>
    </row>
    <row r="14" spans="1:3" x14ac:dyDescent="0.2">
      <c r="A14" t="s">
        <v>28</v>
      </c>
      <c r="B14">
        <f>VLOOKUP(A14,MainfortXY!A:C,2,FALSE)</f>
        <v>34.8160842405021</v>
      </c>
      <c r="C14">
        <f>VLOOKUP(A14,MainfortXY!A:C,3,FALSE)</f>
        <v>-90.382255413899998</v>
      </c>
    </row>
    <row r="15" spans="1:3" x14ac:dyDescent="0.2">
      <c r="A15" t="s">
        <v>50</v>
      </c>
      <c r="B15">
        <f>VLOOKUP(A15,MainfortXY!A:C,2,FALSE)</f>
        <v>34.8568042503641</v>
      </c>
      <c r="C15">
        <f>VLOOKUP(A15,MainfortXY!A:C,3,FALSE)</f>
        <v>-90.688664463760105</v>
      </c>
    </row>
    <row r="16" spans="1:3" x14ac:dyDescent="0.2">
      <c r="A16" t="s">
        <v>814</v>
      </c>
      <c r="B16">
        <v>35.004579259665199</v>
      </c>
      <c r="C16">
        <v>-90.485663149257803</v>
      </c>
    </row>
    <row r="17" spans="1:3" x14ac:dyDescent="0.2">
      <c r="A17" t="s">
        <v>48</v>
      </c>
      <c r="B17">
        <f>VLOOKUP(A17,MainfortXY!A:C,2,FALSE)</f>
        <v>35.617461722064597</v>
      </c>
      <c r="C17">
        <f>VLOOKUP(A17,MainfortXY!A:C,3,FALSE)</f>
        <v>-90.633191850226595</v>
      </c>
    </row>
    <row r="18" spans="1:3" x14ac:dyDescent="0.2">
      <c r="A18" t="s">
        <v>60</v>
      </c>
      <c r="B18">
        <f>VLOOKUP(A18,MainfortXY!A:C,2,FALSE)</f>
        <v>34.863686999999999</v>
      </c>
      <c r="C18">
        <f>VLOOKUP(A18,MainfortXY!A:C,3,FALSE)</f>
        <v>-90.514831999999998</v>
      </c>
    </row>
    <row r="19" spans="1:3" x14ac:dyDescent="0.2">
      <c r="A19" t="s">
        <v>46</v>
      </c>
      <c r="B19">
        <f>VLOOKUP(A19,MainfortXY!A:C,2,FALSE)</f>
        <v>34.520896</v>
      </c>
      <c r="C19">
        <f>VLOOKUP(A19,MainfortXY!A:C,3,FALSE)</f>
        <v>-90.460517999999993</v>
      </c>
    </row>
    <row r="20" spans="1:3" x14ac:dyDescent="0.2">
      <c r="A20" t="s">
        <v>49</v>
      </c>
      <c r="B20">
        <f>VLOOKUP(A20,MainfortXY!A:C,2,FALSE)</f>
        <v>35.413526865828601</v>
      </c>
      <c r="C20">
        <f>VLOOKUP(A20,MainfortXY!A:C,3,FALSE)</f>
        <v>-90.545688429752403</v>
      </c>
    </row>
    <row r="21" spans="1:3" x14ac:dyDescent="0.2">
      <c r="A21" t="s">
        <v>17</v>
      </c>
      <c r="B21">
        <f>VLOOKUP(A21,MainfortXY!A:C,2,FALSE)</f>
        <v>35.704000000000001</v>
      </c>
      <c r="C21">
        <f>VLOOKUP(A21,MainfortXY!A:C,3,FALSE)</f>
        <v>-89.861999999999995</v>
      </c>
    </row>
    <row r="22" spans="1:3" x14ac:dyDescent="0.2">
      <c r="A22" t="s">
        <v>61</v>
      </c>
      <c r="B22">
        <f>VLOOKUP(A22,MainfortXY!A:C,2,FALSE)</f>
        <v>34.756386999999997</v>
      </c>
      <c r="C22">
        <f>VLOOKUP(A22,MainfortXY!A:C,3,FALSE)</f>
        <v>-90.61636</v>
      </c>
    </row>
    <row r="23" spans="1:3" x14ac:dyDescent="0.2">
      <c r="A23" t="s">
        <v>56</v>
      </c>
      <c r="B23">
        <f>VLOOKUP(A23,MainfortXY!A:C,2,FALSE)</f>
        <v>35.597000000000001</v>
      </c>
      <c r="C23">
        <f>VLOOKUP(A23,MainfortXY!A:C,3,FALSE)</f>
        <v>-89.885999999999996</v>
      </c>
    </row>
    <row r="24" spans="1:3" x14ac:dyDescent="0.2">
      <c r="A24" t="s">
        <v>11</v>
      </c>
      <c r="B24">
        <f>VLOOKUP(A24,MainfortXY!A:C,2,FALSE)</f>
        <v>35.536256875162202</v>
      </c>
      <c r="C24">
        <f>VLOOKUP(A24,MainfortXY!A:C,3,FALSE)</f>
        <v>-89.869833528919301</v>
      </c>
    </row>
    <row r="25" spans="1:3" x14ac:dyDescent="0.2">
      <c r="A25" t="s">
        <v>89</v>
      </c>
      <c r="B25">
        <v>35.242251928261297</v>
      </c>
      <c r="C25">
        <v>-90.424054643496206</v>
      </c>
    </row>
    <row r="26" spans="1:3" x14ac:dyDescent="0.2">
      <c r="A26" t="s">
        <v>27</v>
      </c>
      <c r="B26">
        <f>VLOOKUP(A26,MainfortXY!A:C,2,FALSE)</f>
        <v>34.775520388087799</v>
      </c>
      <c r="C26">
        <f>VLOOKUP(A26,MainfortXY!A:C,3,FALSE)</f>
        <v>-90.370602948777204</v>
      </c>
    </row>
    <row r="27" spans="1:3" x14ac:dyDescent="0.2">
      <c r="A27" t="s">
        <v>25</v>
      </c>
      <c r="B27">
        <f>VLOOKUP(A27,MainfortXY!A:C,2,FALSE)</f>
        <v>34.916010653203799</v>
      </c>
      <c r="C27">
        <f>VLOOKUP(A27,MainfortXY!A:C,3,FALSE)</f>
        <v>-90.156281098309805</v>
      </c>
    </row>
    <row r="28" spans="1:3" x14ac:dyDescent="0.2">
      <c r="A28" t="s">
        <v>18</v>
      </c>
      <c r="B28">
        <f>VLOOKUP(A28,MainfortXY!A:C,2,FALSE)</f>
        <v>35.268999999999998</v>
      </c>
      <c r="C28">
        <f>VLOOKUP(A28,MainfortXY!A:C,3,FALSE)</f>
        <v>-90.061999999999998</v>
      </c>
    </row>
    <row r="29" spans="1:3" x14ac:dyDescent="0.2">
      <c r="A29" t="s">
        <v>16</v>
      </c>
      <c r="B29">
        <f>VLOOKUP(A29,MainfortXY!A:C,2,FALSE)</f>
        <v>35.719000000000001</v>
      </c>
      <c r="C29">
        <f>VLOOKUP(A29,MainfortXY!A:C,3,FALSE)</f>
        <v>-89.772000000000006</v>
      </c>
    </row>
    <row r="30" spans="1:3" x14ac:dyDescent="0.2">
      <c r="A30" t="s">
        <v>812</v>
      </c>
      <c r="B30">
        <v>34.81</v>
      </c>
      <c r="C30">
        <v>-90.531000000000006</v>
      </c>
    </row>
    <row r="31" spans="1:3" x14ac:dyDescent="0.2">
      <c r="A31" t="s">
        <v>21</v>
      </c>
      <c r="B31">
        <f>VLOOKUP(A31,MainfortXY!A:C,2,FALSE)</f>
        <v>34.918820175245799</v>
      </c>
      <c r="C31">
        <f>VLOOKUP(A31,MainfortXY!A:C,3,FALSE)</f>
        <v>-90.199990117650103</v>
      </c>
    </row>
    <row r="32" spans="1:3" x14ac:dyDescent="0.2">
      <c r="A32" t="s">
        <v>42</v>
      </c>
      <c r="B32">
        <f>VLOOKUP(A32,MainfortXY!A:C,2,FALSE)</f>
        <v>35.079000000000001</v>
      </c>
      <c r="C32">
        <f>VLOOKUP(A32,MainfortXY!A:C,3,FALSE)</f>
        <v>-90.239000000000004</v>
      </c>
    </row>
    <row r="33" spans="1:3" x14ac:dyDescent="0.2">
      <c r="A33" t="s">
        <v>31</v>
      </c>
      <c r="B33">
        <f>VLOOKUP(A33,MainfortXY!A:C,2,FALSE)</f>
        <v>35.339785895549099</v>
      </c>
      <c r="C33">
        <f>VLOOKUP(A33,MainfortXY!A:C,3,FALSE)</f>
        <v>-90.540991018677403</v>
      </c>
    </row>
    <row r="34" spans="1:3" x14ac:dyDescent="0.2">
      <c r="A34" t="s">
        <v>40</v>
      </c>
      <c r="B34">
        <f>VLOOKUP(A34,MainfortXY!A:C,2,FALSE)</f>
        <v>34.961218582645799</v>
      </c>
      <c r="C34">
        <f>VLOOKUP(A34,MainfortXY!A:C,3,FALSE)</f>
        <v>-90.5428340560875</v>
      </c>
    </row>
    <row r="35" spans="1:3" x14ac:dyDescent="0.2">
      <c r="A35" t="s">
        <v>20</v>
      </c>
      <c r="B35">
        <f>VLOOKUP(A35,MainfortXY!A:C,2,FALSE)</f>
        <v>34.948009941326298</v>
      </c>
      <c r="C35">
        <f>VLOOKUP(A35,MainfortXY!A:C,3,FALSE)</f>
        <v>-90.233141915886193</v>
      </c>
    </row>
    <row r="36" spans="1:3" x14ac:dyDescent="0.2">
      <c r="A36" t="s">
        <v>23</v>
      </c>
      <c r="B36">
        <f>VLOOKUP(A36,MainfortXY!A:C,2,FALSE)</f>
        <v>35.536483463700897</v>
      </c>
      <c r="C36">
        <f>VLOOKUP(A36,MainfortXY!A:C,3,FALSE)</f>
        <v>-90.103393146290998</v>
      </c>
    </row>
    <row r="37" spans="1:3" x14ac:dyDescent="0.2">
      <c r="A37" t="s">
        <v>53</v>
      </c>
      <c r="B37">
        <f>VLOOKUP(A37,MainfortXY!A:C,2,FALSE)</f>
        <v>34.358595210569298</v>
      </c>
      <c r="C37">
        <f>VLOOKUP(A37,MainfortXY!A:C,3,FALSE)</f>
        <v>-90.565706890761703</v>
      </c>
    </row>
    <row r="38" spans="1:3" x14ac:dyDescent="0.2">
      <c r="A38" t="s">
        <v>36</v>
      </c>
      <c r="B38">
        <f>VLOOKUP(A38,MainfortXY!A:C,2,FALSE)</f>
        <v>35.276000000000003</v>
      </c>
      <c r="C38">
        <f>VLOOKUP(A38,MainfortXY!A:C,3,FALSE)</f>
        <v>-90.555999999999997</v>
      </c>
    </row>
    <row r="39" spans="1:3" x14ac:dyDescent="0.2">
      <c r="A39" t="s">
        <v>9</v>
      </c>
      <c r="B39">
        <f>VLOOKUP(A39,MainfortXY!A:C,2,FALSE)</f>
        <v>35.698</v>
      </c>
      <c r="C39">
        <f>VLOOKUP(A39,MainfortXY!A:C,3,FALSE)</f>
        <v>-89.778999999999996</v>
      </c>
    </row>
    <row r="40" spans="1:3" x14ac:dyDescent="0.2">
      <c r="A40" t="s">
        <v>45</v>
      </c>
      <c r="B40">
        <f>VLOOKUP(A40,MainfortXY!A:C,2,FALSE)</f>
        <v>35.024355999999997</v>
      </c>
      <c r="C40">
        <f>VLOOKUP(A40,MainfortXY!A:C,3,FALSE)</f>
        <v>-90.359235999999996</v>
      </c>
    </row>
    <row r="41" spans="1:3" x14ac:dyDescent="0.2">
      <c r="A41" t="s">
        <v>19</v>
      </c>
      <c r="B41">
        <f>VLOOKUP(A41,MainfortXY!A:C,2,FALSE)</f>
        <v>35.390999999999998</v>
      </c>
      <c r="C41">
        <f>VLOOKUP(A41,MainfortXY!A:C,3,FALSE)</f>
        <v>-89.992999999999995</v>
      </c>
    </row>
    <row r="42" spans="1:3" x14ac:dyDescent="0.2">
      <c r="A42" t="s">
        <v>13</v>
      </c>
      <c r="B42">
        <f>VLOOKUP(A42,MainfortXY!A:C,2,FALSE)</f>
        <v>35.502000000000002</v>
      </c>
      <c r="C42">
        <f>VLOOKUP(A42,MainfortXY!A:C,3,FALSE)</f>
        <v>-89.947999999999993</v>
      </c>
    </row>
    <row r="43" spans="1:3" x14ac:dyDescent="0.2">
      <c r="A43" t="s">
        <v>29</v>
      </c>
      <c r="B43">
        <f>VLOOKUP(A43,MainfortXY!A:C,2,FALSE)</f>
        <v>35.234356644694799</v>
      </c>
      <c r="C43">
        <f>VLOOKUP(A43,MainfortXY!A:C,3,FALSE)</f>
        <v>-90.610319472424194</v>
      </c>
    </row>
    <row r="44" spans="1:3" x14ac:dyDescent="0.2">
      <c r="A44" t="s">
        <v>54</v>
      </c>
      <c r="B44">
        <f>VLOOKUP(A44,MainfortXY!A:C,2,FALSE)</f>
        <v>34.352882999999999</v>
      </c>
      <c r="C44">
        <f>VLOOKUP(A44,MainfortXY!A:C,3,FALSE)</f>
        <v>-90.484969000000007</v>
      </c>
    </row>
    <row r="45" spans="1:3" x14ac:dyDescent="0.2">
      <c r="A45" t="s">
        <v>59</v>
      </c>
      <c r="B45">
        <f>VLOOKUP(A45,MainfortXY!A:C,2,FALSE)</f>
        <v>34.824461999999997</v>
      </c>
      <c r="C45">
        <f>VLOOKUP(A45,MainfortXY!A:C,3,FALSE)</f>
        <v>-90.666218000000001</v>
      </c>
    </row>
    <row r="46" spans="1:3" x14ac:dyDescent="0.2">
      <c r="A46" t="s">
        <v>47</v>
      </c>
      <c r="B46">
        <f>VLOOKUP(A46,MainfortXY!A:C,2,FALSE)</f>
        <v>34.757402999999996</v>
      </c>
      <c r="C46">
        <f>VLOOKUP(A46,MainfortXY!A:C,3,FALSE)</f>
        <v>-90.561158000000006</v>
      </c>
    </row>
    <row r="47" spans="1:3" x14ac:dyDescent="0.2">
      <c r="A47" t="s">
        <v>33</v>
      </c>
      <c r="B47">
        <f>VLOOKUP(A47,MainfortXY!A:C,2,FALSE)</f>
        <v>35.438600384339601</v>
      </c>
      <c r="C47">
        <f>VLOOKUP(A47,MainfortXY!A:C,3,FALSE)</f>
        <v>-90.524330202360801</v>
      </c>
    </row>
    <row r="48" spans="1:3" x14ac:dyDescent="0.2">
      <c r="A48" t="s">
        <v>22</v>
      </c>
      <c r="B48">
        <f>VLOOKUP(A48,MainfortXY!A:C,2,FALSE)</f>
        <v>35.599189272357101</v>
      </c>
      <c r="C48">
        <f>VLOOKUP(A48,MainfortXY!A:C,3,FALSE)</f>
        <v>-89.977762204487803</v>
      </c>
    </row>
    <row r="49" spans="1:3" x14ac:dyDescent="0.2">
      <c r="A49" t="s">
        <v>815</v>
      </c>
      <c r="B49">
        <v>35.335000000000001</v>
      </c>
      <c r="C49">
        <v>-90.524000000000001</v>
      </c>
    </row>
    <row r="50" spans="1:3" x14ac:dyDescent="0.2">
      <c r="A50" t="s">
        <v>24</v>
      </c>
      <c r="B50">
        <f>VLOOKUP(A50,MainfortXY!A:C,2,FALSE)</f>
        <v>34.9842780388338</v>
      </c>
      <c r="C50">
        <f>VLOOKUP(A50,MainfortXY!A:C,3,FALSE)</f>
        <v>-90.208976618573104</v>
      </c>
    </row>
    <row r="51" spans="1:3" x14ac:dyDescent="0.2">
      <c r="A51" t="s">
        <v>51</v>
      </c>
      <c r="B51">
        <f>VLOOKUP(A51,MainfortXY!A:C,2,FALSE)</f>
        <v>34.9842780388338</v>
      </c>
      <c r="C51">
        <f>VLOOKUP(A51,MainfortXY!A:C,3,FALSE)</f>
        <v>-90.208976618573104</v>
      </c>
    </row>
    <row r="52" spans="1:3" x14ac:dyDescent="0.2">
      <c r="A52" t="s">
        <v>52</v>
      </c>
      <c r="B52">
        <f>VLOOKUP(A52,MainfortXY!A:C,2,FALSE)</f>
        <v>34.546011</v>
      </c>
      <c r="C52">
        <f>VLOOKUP(A52,MainfortXY!A:C,3,FALSE)</f>
        <v>-90.473068999999995</v>
      </c>
    </row>
    <row r="53" spans="1:3" x14ac:dyDescent="0.2">
      <c r="A53" t="s">
        <v>14</v>
      </c>
      <c r="B53">
        <f>VLOOKUP(A53,MainfortXY!A:C,2,FALSE)</f>
        <v>35.453000000000003</v>
      </c>
      <c r="C53">
        <f>VLOOKUP(A53,MainfortXY!A:C,3,FALSE)</f>
        <v>-89.972999999999999</v>
      </c>
    </row>
    <row r="54" spans="1:3" x14ac:dyDescent="0.2">
      <c r="A54" t="s">
        <v>34</v>
      </c>
      <c r="B54">
        <v>35.305</v>
      </c>
      <c r="C54">
        <v>-90.581000000000003</v>
      </c>
    </row>
    <row r="55" spans="1:3" x14ac:dyDescent="0.2">
      <c r="A55" t="s">
        <v>38</v>
      </c>
      <c r="B55">
        <f>VLOOKUP(A55,MainfortXY!A:C,2,FALSE)</f>
        <v>34.96</v>
      </c>
      <c r="C55">
        <f>VLOOKUP(A55,MainfortXY!A:C,3,FALSE)</f>
        <v>-90.218999999999994</v>
      </c>
    </row>
    <row r="56" spans="1:3" x14ac:dyDescent="0.2">
      <c r="A56" t="s">
        <v>43</v>
      </c>
      <c r="B56">
        <f>VLOOKUP(A56,MainfortXY!A:C,2,FALSE)</f>
        <v>35.085000000000001</v>
      </c>
      <c r="C56">
        <f>VLOOKUP(A56,MainfortXY!A:C,3,FALSE)</f>
        <v>-90.325000000000003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mainfort-data-collapsed</vt:lpstr>
      <vt:lpstr>cpl-pfg</vt:lpstr>
      <vt:lpstr>pfg-cpl-mainfort</vt:lpstr>
      <vt:lpstr>PFG</vt:lpstr>
      <vt:lpstr>MainfortXY</vt:lpstr>
      <vt:lpstr>Spatial Data</vt:lpstr>
      <vt:lpstr>pfgXY</vt:lpstr>
      <vt:lpstr>pfg-cpl-mainfortXY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2016-06-01T14:55:17Z</dcterms:created>
  <dcterms:modified xsi:type="dcterms:W3CDTF">2016-06-01T15:18:24Z</dcterms:modified>
</cp:coreProperties>
</file>