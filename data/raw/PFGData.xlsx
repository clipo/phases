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clipo/PycharmProjects/mls-emergence/"/>
    </mc:Choice>
  </mc:AlternateContent>
  <xr:revisionPtr revIDLastSave="0" documentId="8_{31F9D741-251B-C640-BFE6-90F1D1EA4F3C}" xr6:coauthVersionLast="47" xr6:coauthVersionMax="47" xr10:uidLastSave="{00000000-0000-0000-0000-000000000000}"/>
  <bookViews>
    <workbookView xWindow="480" yWindow="660" windowWidth="24340" windowHeight="18160" xr2:uid="{00000000-000D-0000-FFFF-FFFF00000000}"/>
  </bookViews>
  <sheets>
    <sheet name="SherdData" sheetId="1" r:id="rId1"/>
    <sheet name="Sheet2" sheetId="2" r:id="rId2"/>
    <sheet name="Sheet3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267" i="1" l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<sst xmlns="http://schemas.openxmlformats.org/spreadsheetml/2006/main" count="640" uniqueCount="587">
  <si>
    <t>Site Name</t>
  </si>
  <si>
    <t>Site Number</t>
  </si>
  <si>
    <t>Bluff Creek Punctate</t>
  </si>
  <si>
    <t>Tchefuncte Stamped</t>
  </si>
  <si>
    <t>Jaketown Simple Stamped</t>
  </si>
  <si>
    <t>Tammy Pinched</t>
  </si>
  <si>
    <t>Lake Borgne Incised</t>
  </si>
  <si>
    <t>Thomas Plain</t>
  </si>
  <si>
    <t>Bowie Plain</t>
  </si>
  <si>
    <t>Blue Lake Cordmarked</t>
  </si>
  <si>
    <t>Twin Lakes Fabric Impressed</t>
  </si>
  <si>
    <t>Cormorant Cord-impressed</t>
  </si>
  <si>
    <t>Twin Lakes Punctated</t>
  </si>
  <si>
    <t>Crowder Punctated</t>
  </si>
  <si>
    <t>Baytown Plain</t>
  </si>
  <si>
    <t>Mulberry Creek Cord-marked</t>
  </si>
  <si>
    <t>Wheeler Check Stamped</t>
  </si>
  <si>
    <t>Withers Fabric-impressed</t>
  </si>
  <si>
    <t>Indian Bay Stamped</t>
  </si>
  <si>
    <t>Oxbow Incised</t>
  </si>
  <si>
    <t>Evansville Punctated</t>
  </si>
  <si>
    <t>Yates Net Impressed</t>
  </si>
  <si>
    <t>Marksville Stamped</t>
  </si>
  <si>
    <t>Marksville Incised</t>
  </si>
  <si>
    <t>Churupa Punctuated</t>
  </si>
  <si>
    <t>Coles Creek Incised</t>
  </si>
  <si>
    <t>Mazique Incised</t>
  </si>
  <si>
    <t>French Fork Incised</t>
  </si>
  <si>
    <t>Woodville Red Filmed</t>
  </si>
  <si>
    <t>Chevalier Stamped</t>
  </si>
  <si>
    <t>Larto Red Filmed</t>
  </si>
  <si>
    <t>Neeley's Ferry Plain</t>
  </si>
  <si>
    <t>Parkin Punctated</t>
  </si>
  <si>
    <t>Parkin Incised</t>
  </si>
  <si>
    <t>Ranch Incised</t>
  </si>
  <si>
    <t>Vernon Paul Applique</t>
  </si>
  <si>
    <t>Fortune Noded</t>
  </si>
  <si>
    <t>Bell Plain</t>
  </si>
  <si>
    <t>Kent Incised</t>
  </si>
  <si>
    <t>Rhodes Incised</t>
  </si>
  <si>
    <t>Walls Engraved</t>
  </si>
  <si>
    <t>Hull Engraved</t>
  </si>
  <si>
    <t>Mound Place Incised (T)</t>
  </si>
  <si>
    <t xml:space="preserve">Old Town Red </t>
  </si>
  <si>
    <t>Carson Red-on-Buff</t>
  </si>
  <si>
    <t>Nodena Red and White</t>
  </si>
  <si>
    <t>Avenue Polychrome</t>
  </si>
  <si>
    <t>Hollywood White Slipped</t>
  </si>
  <si>
    <t>Wallace Incised</t>
  </si>
  <si>
    <t>Stokes Bayou Incised</t>
  </si>
  <si>
    <t>Oliver Incised</t>
  </si>
  <si>
    <t>Owens Punctated (T)</t>
  </si>
  <si>
    <t>Leland Incised</t>
  </si>
  <si>
    <t>Blanchard Incised (T)</t>
  </si>
  <si>
    <t>Arcola Incised (T)</t>
  </si>
  <si>
    <t>Sherd Total</t>
  </si>
  <si>
    <t>Carson Lake</t>
  </si>
  <si>
    <t>10-P-1</t>
  </si>
  <si>
    <t>Bell</t>
  </si>
  <si>
    <t>10-P-2</t>
  </si>
  <si>
    <t>Nettle Ridge</t>
  </si>
  <si>
    <t>10-P-3</t>
  </si>
  <si>
    <t>Notgrass</t>
  </si>
  <si>
    <t>10-P-4</t>
  </si>
  <si>
    <t>Upper Nodena</t>
  </si>
  <si>
    <t>10-Q-1</t>
  </si>
  <si>
    <t>Turnage</t>
  </si>
  <si>
    <t>10-Q-3</t>
  </si>
  <si>
    <t>Parkin</t>
  </si>
  <si>
    <t>11-N-1</t>
  </si>
  <si>
    <t>Cross Country Club</t>
  </si>
  <si>
    <t>11-N-10</t>
  </si>
  <si>
    <t>Delta</t>
  </si>
  <si>
    <t>11-N-11</t>
  </si>
  <si>
    <t>Turnbow</t>
  </si>
  <si>
    <t>11-N-12</t>
  </si>
  <si>
    <t>Williamson</t>
  </si>
  <si>
    <t>11-N-13</t>
  </si>
  <si>
    <t>Twist Plantation No. 1</t>
  </si>
  <si>
    <t>11-N-14</t>
  </si>
  <si>
    <t>Fortune</t>
  </si>
  <si>
    <t>11-N-15</t>
  </si>
  <si>
    <t>Twist No. 2</t>
  </si>
  <si>
    <t>11-N-16</t>
  </si>
  <si>
    <t>Rogers</t>
  </si>
  <si>
    <t>11-N-2</t>
  </si>
  <si>
    <t>Roberts</t>
  </si>
  <si>
    <t>11-N-3</t>
  </si>
  <si>
    <t>Neeley's Ferry</t>
  </si>
  <si>
    <t>11-N-4</t>
  </si>
  <si>
    <t>White Place</t>
  </si>
  <si>
    <t>11-N-5</t>
  </si>
  <si>
    <t>Block Mounds</t>
  </si>
  <si>
    <t>11-N-6</t>
  </si>
  <si>
    <t>Harold</t>
  </si>
  <si>
    <t>11-N-7</t>
  </si>
  <si>
    <t>Williams</t>
  </si>
  <si>
    <t>11-N-8</t>
  </si>
  <si>
    <t>Vernon Paul</t>
  </si>
  <si>
    <t>11-N-9</t>
  </si>
  <si>
    <t>Pittman</t>
  </si>
  <si>
    <t>11-O-1</t>
  </si>
  <si>
    <t>Barton Ranch</t>
  </si>
  <si>
    <t>11-O-10</t>
  </si>
  <si>
    <t>Prosperity</t>
  </si>
  <si>
    <t>11-O-11</t>
  </si>
  <si>
    <t>Webster Cemetery</t>
  </si>
  <si>
    <t>11-O-2</t>
  </si>
  <si>
    <t>Cummins</t>
  </si>
  <si>
    <t>11-O-4</t>
  </si>
  <si>
    <t>Emory</t>
  </si>
  <si>
    <t>11-O-5</t>
  </si>
  <si>
    <t>Pinkston</t>
  </si>
  <si>
    <t>11-O-6</t>
  </si>
  <si>
    <t>Lewis</t>
  </si>
  <si>
    <t>11-O-7</t>
  </si>
  <si>
    <t>Richard's Place Bridge</t>
  </si>
  <si>
    <t>11-O-8</t>
  </si>
  <si>
    <t>Gilliland</t>
  </si>
  <si>
    <t>11-O-9</t>
  </si>
  <si>
    <t>Shawnee Village</t>
  </si>
  <si>
    <t>11-P-1</t>
  </si>
  <si>
    <t>Bradley</t>
  </si>
  <si>
    <t>11-P-2</t>
  </si>
  <si>
    <t>Golightly</t>
  </si>
  <si>
    <t>11-P-3</t>
  </si>
  <si>
    <t>Pacific</t>
  </si>
  <si>
    <t>11-P-4</t>
  </si>
  <si>
    <t>DeRossitt's Place</t>
  </si>
  <si>
    <t>12-N-10</t>
  </si>
  <si>
    <t>Widener Cemetery</t>
  </si>
  <si>
    <t>12-N-12</t>
  </si>
  <si>
    <t>Parks</t>
  </si>
  <si>
    <t>12-N-13</t>
  </si>
  <si>
    <t>12-N-13/D&amp;E</t>
  </si>
  <si>
    <t>Dent</t>
  </si>
  <si>
    <t>12-N-16</t>
  </si>
  <si>
    <t xml:space="preserve">Manly </t>
  </si>
  <si>
    <t>12-N-2</t>
  </si>
  <si>
    <t>Rose Mound</t>
  </si>
  <si>
    <t>12-N-3/A&amp;B</t>
  </si>
  <si>
    <t>12-N-3/C</t>
  </si>
  <si>
    <t>Big Eddy</t>
  </si>
  <si>
    <t>12-N-4</t>
  </si>
  <si>
    <t>Welshans</t>
  </si>
  <si>
    <t>12-N-5</t>
  </si>
  <si>
    <t>Westmorland</t>
  </si>
  <si>
    <t>12-N-6</t>
  </si>
  <si>
    <t>Lansing</t>
  </si>
  <si>
    <t>12-N-7</t>
  </si>
  <si>
    <t>Turner</t>
  </si>
  <si>
    <t>12-O-1</t>
  </si>
  <si>
    <t>Pouncey</t>
  </si>
  <si>
    <t>12-O-2</t>
  </si>
  <si>
    <t>12-O-2/D</t>
  </si>
  <si>
    <t>Thompson Lake</t>
  </si>
  <si>
    <t>12-O-3</t>
  </si>
  <si>
    <t>Davis Place</t>
  </si>
  <si>
    <t>12-O-4</t>
  </si>
  <si>
    <t>Cramor Place</t>
  </si>
  <si>
    <t>12-O-5</t>
  </si>
  <si>
    <t>Brackinseed Place (Brackenseik)</t>
  </si>
  <si>
    <t>12-O-6</t>
  </si>
  <si>
    <t>Mound Place</t>
  </si>
  <si>
    <t>12-P-1</t>
  </si>
  <si>
    <t>Shelby Place</t>
  </si>
  <si>
    <t>12-P-2</t>
  </si>
  <si>
    <t>Hughes</t>
  </si>
  <si>
    <t>13-M-1</t>
  </si>
  <si>
    <t>Sudan Cemetery</t>
  </si>
  <si>
    <t>13-N-1</t>
  </si>
  <si>
    <t>Taylor</t>
  </si>
  <si>
    <t>13-N-10</t>
  </si>
  <si>
    <t>Grant Place</t>
  </si>
  <si>
    <t>13-N-11</t>
  </si>
  <si>
    <t>Murdock</t>
  </si>
  <si>
    <t>13-N-12</t>
  </si>
  <si>
    <t>13-N-12/A</t>
  </si>
  <si>
    <t>Rawlinson</t>
  </si>
  <si>
    <t>13-N-13</t>
  </si>
  <si>
    <t>Connor</t>
  </si>
  <si>
    <t>13-N-14</t>
  </si>
  <si>
    <t>Nickle</t>
  </si>
  <si>
    <t>13-N-15/B</t>
  </si>
  <si>
    <t>13-N-15/C,D,E</t>
  </si>
  <si>
    <t>Starkley</t>
  </si>
  <si>
    <t>13-N-16</t>
  </si>
  <si>
    <t>Greer</t>
  </si>
  <si>
    <t>13-N-17</t>
  </si>
  <si>
    <t>Lakeside</t>
  </si>
  <si>
    <t>13-N-18</t>
  </si>
  <si>
    <t>Riverside</t>
  </si>
  <si>
    <t>13-N-19</t>
  </si>
  <si>
    <t>Castile</t>
  </si>
  <si>
    <t>13-N-21</t>
  </si>
  <si>
    <t>Mound Cemetery</t>
  </si>
  <si>
    <t>13-N-3</t>
  </si>
  <si>
    <t>Kent Place</t>
  </si>
  <si>
    <t>13-N-4/B,C,D,E</t>
  </si>
  <si>
    <t>13-N-4/C</t>
  </si>
  <si>
    <t>Davis</t>
  </si>
  <si>
    <t>13-N-5</t>
  </si>
  <si>
    <t>Jerusalem Church</t>
  </si>
  <si>
    <t>13-N-6</t>
  </si>
  <si>
    <t>Clay Hill</t>
  </si>
  <si>
    <t>13-N-7</t>
  </si>
  <si>
    <t>Findley</t>
  </si>
  <si>
    <t>13-N-8</t>
  </si>
  <si>
    <t>Red Oak</t>
  </si>
  <si>
    <t>13-N-9</t>
  </si>
  <si>
    <t>Barrett</t>
  </si>
  <si>
    <t>13-O-1</t>
  </si>
  <si>
    <t>Hollywood</t>
  </si>
  <si>
    <t>13-O-10</t>
  </si>
  <si>
    <t>Commerce</t>
  </si>
  <si>
    <t>13-O-11</t>
  </si>
  <si>
    <t>Indian Creek</t>
  </si>
  <si>
    <t>13-O-12</t>
  </si>
  <si>
    <t>Green River Plantation</t>
  </si>
  <si>
    <t>13-O-2</t>
  </si>
  <si>
    <t>Huber</t>
  </si>
  <si>
    <t>13-O-3</t>
  </si>
  <si>
    <t>Nickey</t>
  </si>
  <si>
    <t>13-O-4</t>
  </si>
  <si>
    <t>Belle Meade</t>
  </si>
  <si>
    <t>13-O-5</t>
  </si>
  <si>
    <t>New Bethel</t>
  </si>
  <si>
    <t>13-O-6</t>
  </si>
  <si>
    <t>Beck</t>
  </si>
  <si>
    <t>13-O-7</t>
  </si>
  <si>
    <t>Collins</t>
  </si>
  <si>
    <t>13-O-9</t>
  </si>
  <si>
    <t>Walls</t>
  </si>
  <si>
    <t>13-P-1</t>
  </si>
  <si>
    <t>Irby</t>
  </si>
  <si>
    <t>13-P-10</t>
  </si>
  <si>
    <t>Woodlyn</t>
  </si>
  <si>
    <t>13-P-11</t>
  </si>
  <si>
    <t>Dogwood</t>
  </si>
  <si>
    <t>13-P-4</t>
  </si>
  <si>
    <t>Shannon</t>
  </si>
  <si>
    <t>13-P-5</t>
  </si>
  <si>
    <t>Cheatham</t>
  </si>
  <si>
    <t>13-P-6</t>
  </si>
  <si>
    <t>Norfolk</t>
  </si>
  <si>
    <t>13-P-7</t>
  </si>
  <si>
    <t>L. Cormorant</t>
  </si>
  <si>
    <t>13-P-8</t>
  </si>
  <si>
    <t>Withers</t>
  </si>
  <si>
    <t>13-P-9</t>
  </si>
  <si>
    <t>Webster's Camp</t>
  </si>
  <si>
    <t>14-L-1</t>
  </si>
  <si>
    <t>Bonner</t>
  </si>
  <si>
    <t>14-M-2</t>
  </si>
  <si>
    <t>Broom</t>
  </si>
  <si>
    <t>14-M-3</t>
  </si>
  <si>
    <t>Moore</t>
  </si>
  <si>
    <t>14-N-1</t>
  </si>
  <si>
    <t>Steagall</t>
  </si>
  <si>
    <t>14-N-2</t>
  </si>
  <si>
    <t>Helena Crossing</t>
  </si>
  <si>
    <t>14-N-6</t>
  </si>
  <si>
    <t>Evansville</t>
  </si>
  <si>
    <t>14-O-1</t>
  </si>
  <si>
    <t>West</t>
  </si>
  <si>
    <t>14-O-10</t>
  </si>
  <si>
    <t>Kendall Mound</t>
  </si>
  <si>
    <t>14-O-11</t>
  </si>
  <si>
    <t>Canon</t>
  </si>
  <si>
    <t>14-O-13</t>
  </si>
  <si>
    <t>Owens</t>
  </si>
  <si>
    <t>14-O-2</t>
  </si>
  <si>
    <t>Beaverdam</t>
  </si>
  <si>
    <t>14-O-3</t>
  </si>
  <si>
    <t>Perry</t>
  </si>
  <si>
    <t>14-O-4</t>
  </si>
  <si>
    <t>Dundee</t>
  </si>
  <si>
    <t>14-O-8</t>
  </si>
  <si>
    <t>Wilford</t>
  </si>
  <si>
    <t>15-0-10</t>
  </si>
  <si>
    <t>D'orr</t>
  </si>
  <si>
    <t>15-0-12</t>
  </si>
  <si>
    <t>Allison</t>
  </si>
  <si>
    <t>15-0-13</t>
  </si>
  <si>
    <t>Whiting</t>
  </si>
  <si>
    <t>15-0-15</t>
  </si>
  <si>
    <t>Tidwell</t>
  </si>
  <si>
    <t>15-0-16</t>
  </si>
  <si>
    <t>Moon</t>
  </si>
  <si>
    <t>15-0-5</t>
  </si>
  <si>
    <t>Posey</t>
  </si>
  <si>
    <t>15-0-6</t>
  </si>
  <si>
    <t>Prowell</t>
  </si>
  <si>
    <t>15-0-7</t>
  </si>
  <si>
    <t>Butler</t>
  </si>
  <si>
    <t>15-L-1</t>
  </si>
  <si>
    <t>Baytown</t>
  </si>
  <si>
    <t>15-L-2</t>
  </si>
  <si>
    <t>Tinsley</t>
  </si>
  <si>
    <t>15-M-1</t>
  </si>
  <si>
    <t>Fitzhugh</t>
  </si>
  <si>
    <t>15-N-1</t>
  </si>
  <si>
    <t>Dickerson</t>
  </si>
  <si>
    <t>15-N-10</t>
  </si>
  <si>
    <t>Ellis</t>
  </si>
  <si>
    <t>15-N-2</t>
  </si>
  <si>
    <t>Old Town</t>
  </si>
  <si>
    <t>15-N-3</t>
  </si>
  <si>
    <t>Buie</t>
  </si>
  <si>
    <t>15-N-4</t>
  </si>
  <si>
    <t xml:space="preserve">Parchman </t>
  </si>
  <si>
    <t>15-N-5</t>
  </si>
  <si>
    <t>Montgomery</t>
  </si>
  <si>
    <t>15-N-6</t>
  </si>
  <si>
    <t>Stovall Mounds</t>
  </si>
  <si>
    <t>15-N-7</t>
  </si>
  <si>
    <t>Salomon</t>
  </si>
  <si>
    <t>15-O-1</t>
  </si>
  <si>
    <t>15-P-3</t>
  </si>
  <si>
    <t>Corn Lake</t>
  </si>
  <si>
    <t>15-P-4</t>
  </si>
  <si>
    <t>Jones</t>
  </si>
  <si>
    <t>16-K-1</t>
  </si>
  <si>
    <t>Bitely Place</t>
  </si>
  <si>
    <t>16-L-1</t>
  </si>
  <si>
    <t>Bitely</t>
  </si>
  <si>
    <t>16-L-3</t>
  </si>
  <si>
    <t>Stovall</t>
  </si>
  <si>
    <t>Brandenburg</t>
  </si>
  <si>
    <t>16-L-4-5</t>
  </si>
  <si>
    <t>Dupree</t>
  </si>
  <si>
    <t>16-L-6</t>
  </si>
  <si>
    <t>Avenue</t>
  </si>
  <si>
    <t>16-M-1</t>
  </si>
  <si>
    <t>Tomanelli</t>
  </si>
  <si>
    <t>16-M-2</t>
  </si>
  <si>
    <t>Yates Bayou</t>
  </si>
  <si>
    <t>16-M-3</t>
  </si>
  <si>
    <t>Mt. Olive</t>
  </si>
  <si>
    <t>16-M-5</t>
  </si>
  <si>
    <t>Stokes Bayou</t>
  </si>
  <si>
    <t>16-M-6</t>
  </si>
  <si>
    <t>Acree</t>
  </si>
  <si>
    <t>16-N-1</t>
  </si>
  <si>
    <t>Myer</t>
  </si>
  <si>
    <t>16-N-10</t>
  </si>
  <si>
    <t>Hopson Bayou</t>
  </si>
  <si>
    <t>16-N-11</t>
  </si>
  <si>
    <t>Black Bayou</t>
  </si>
  <si>
    <t>16-N-12</t>
  </si>
  <si>
    <t>Howden Lake</t>
  </si>
  <si>
    <t>16-N-17</t>
  </si>
  <si>
    <t>Bobo</t>
  </si>
  <si>
    <t>16-N-18</t>
  </si>
  <si>
    <t>Crawford Lake</t>
  </si>
  <si>
    <t>16-N-19</t>
  </si>
  <si>
    <t>Alligator</t>
  </si>
  <si>
    <t>16-N-2</t>
  </si>
  <si>
    <t>Alligator Mounds</t>
  </si>
  <si>
    <t>16-N-2/B-I</t>
  </si>
  <si>
    <t>Aderholt</t>
  </si>
  <si>
    <t>16-N-20</t>
  </si>
  <si>
    <t>Hopkins</t>
  </si>
  <si>
    <t>16-N-23</t>
  </si>
  <si>
    <t>Doadey</t>
  </si>
  <si>
    <t>16-N-25</t>
  </si>
  <si>
    <t>16-N-3/A</t>
  </si>
  <si>
    <t>16-N-4</t>
  </si>
  <si>
    <t>Oliver</t>
  </si>
  <si>
    <t>16-N-6</t>
  </si>
  <si>
    <t>Bramlett</t>
  </si>
  <si>
    <t>16-N-7</t>
  </si>
  <si>
    <t>Mattson</t>
  </si>
  <si>
    <t>16-N-9</t>
  </si>
  <si>
    <t>Dunn</t>
  </si>
  <si>
    <t>16-O-1</t>
  </si>
  <si>
    <t>Denton</t>
  </si>
  <si>
    <t>16-O-13</t>
  </si>
  <si>
    <t>Stover</t>
  </si>
  <si>
    <t>16-O-14</t>
  </si>
  <si>
    <t>Garner</t>
  </si>
  <si>
    <t>16-O-15</t>
  </si>
  <si>
    <t>Flower</t>
  </si>
  <si>
    <t>16-O-16</t>
  </si>
  <si>
    <t>Longstreet</t>
  </si>
  <si>
    <t>16-O-17</t>
  </si>
  <si>
    <t>Spendthrift</t>
  </si>
  <si>
    <t>16-O-2</t>
  </si>
  <si>
    <t>Everett</t>
  </si>
  <si>
    <t>16-O-3</t>
  </si>
  <si>
    <t>Garmon</t>
  </si>
  <si>
    <t>16-O-6</t>
  </si>
  <si>
    <t>Charleston</t>
  </si>
  <si>
    <t>16-P-1</t>
  </si>
  <si>
    <t>Shady Grove</t>
  </si>
  <si>
    <t>16-P-2</t>
  </si>
  <si>
    <t>Twin Lakes</t>
  </si>
  <si>
    <t>16-P-3</t>
  </si>
  <si>
    <t>Twin Lakes &amp; White</t>
  </si>
  <si>
    <t>16-P-3-4</t>
  </si>
  <si>
    <t>White</t>
  </si>
  <si>
    <t>16-P-4</t>
  </si>
  <si>
    <t>Crosslyn</t>
  </si>
  <si>
    <t>16-P-5</t>
  </si>
  <si>
    <t>Cox</t>
  </si>
  <si>
    <t>16-P-6</t>
  </si>
  <si>
    <t>Mitchell</t>
  </si>
  <si>
    <t>16-P-7</t>
  </si>
  <si>
    <t>Blue Lake</t>
  </si>
  <si>
    <t>16-P-8</t>
  </si>
  <si>
    <t>Menard</t>
  </si>
  <si>
    <t>17-K-1</t>
  </si>
  <si>
    <t>Thiele Hill</t>
  </si>
  <si>
    <t>17-K-2</t>
  </si>
  <si>
    <t>Wallace</t>
  </si>
  <si>
    <t>17-K3</t>
  </si>
  <si>
    <t>Almond Farm</t>
  </si>
  <si>
    <t>17-K-4</t>
  </si>
  <si>
    <t xml:space="preserve">Cooks </t>
  </si>
  <si>
    <t>17-K-5</t>
  </si>
  <si>
    <t>Bond</t>
  </si>
  <si>
    <t>17-K-6/A</t>
  </si>
  <si>
    <t>Alma Brown</t>
  </si>
  <si>
    <t>17-K-7/E/A</t>
  </si>
  <si>
    <t>17-K-7/E/B</t>
  </si>
  <si>
    <t>Masey</t>
  </si>
  <si>
    <t>17-L-1/B</t>
  </si>
  <si>
    <t>17-L-1/C</t>
  </si>
  <si>
    <t>Poor Place</t>
  </si>
  <si>
    <t>17-L-3</t>
  </si>
  <si>
    <t>Wynn</t>
  </si>
  <si>
    <t>17-L-4</t>
  </si>
  <si>
    <t>Bear Ridge</t>
  </si>
  <si>
    <t>17-M-1</t>
  </si>
  <si>
    <t>Bush</t>
  </si>
  <si>
    <t>17-M-11</t>
  </si>
  <si>
    <t>O'Donnell</t>
  </si>
  <si>
    <t>17-M-12</t>
  </si>
  <si>
    <t>MacGowan</t>
  </si>
  <si>
    <t>17-M-16</t>
  </si>
  <si>
    <t>Blanchard</t>
  </si>
  <si>
    <t>17-M-2</t>
  </si>
  <si>
    <t>Debow</t>
  </si>
  <si>
    <t>Merigold</t>
  </si>
  <si>
    <t>17-N-1</t>
  </si>
  <si>
    <t>Dockery</t>
  </si>
  <si>
    <t>17-N-11</t>
  </si>
  <si>
    <t>Long Lake</t>
  </si>
  <si>
    <t>17-N-12</t>
  </si>
  <si>
    <t>Kimball</t>
  </si>
  <si>
    <t>17-N-14</t>
  </si>
  <si>
    <t>Cook</t>
  </si>
  <si>
    <t>17-N-15</t>
  </si>
  <si>
    <t>Wilnot</t>
  </si>
  <si>
    <t>17-N-16</t>
  </si>
  <si>
    <t>Walford</t>
  </si>
  <si>
    <t>17-N-2</t>
  </si>
  <si>
    <t>17-N-3</t>
  </si>
  <si>
    <t>Penitentiary</t>
  </si>
  <si>
    <t>17-N-4</t>
  </si>
  <si>
    <t>May</t>
  </si>
  <si>
    <t>17-N-5</t>
  </si>
  <si>
    <t>Sid Dodd</t>
  </si>
  <si>
    <t>17-N-6</t>
  </si>
  <si>
    <t>Boyer</t>
  </si>
  <si>
    <t>17-N-8</t>
  </si>
  <si>
    <t>Vance</t>
  </si>
  <si>
    <t>17-N-9</t>
  </si>
  <si>
    <t>Buford</t>
  </si>
  <si>
    <t>17-O-1</t>
  </si>
  <si>
    <t>Cassidy Bayou</t>
  </si>
  <si>
    <t>17-O-11</t>
  </si>
  <si>
    <t>Rome</t>
  </si>
  <si>
    <t>17-O-12</t>
  </si>
  <si>
    <t>Petty</t>
  </si>
  <si>
    <t>17-O-3</t>
  </si>
  <si>
    <t>King</t>
  </si>
  <si>
    <t>17-O-5</t>
  </si>
  <si>
    <t>Jernberg</t>
  </si>
  <si>
    <t>17-O-6</t>
  </si>
  <si>
    <t>Falls</t>
  </si>
  <si>
    <t>17-O-8</t>
  </si>
  <si>
    <t>Powell Bayou</t>
  </si>
  <si>
    <t>17-O-9</t>
  </si>
  <si>
    <t>Tippo Bayou</t>
  </si>
  <si>
    <t>17-P-1</t>
  </si>
  <si>
    <t>Cason</t>
  </si>
  <si>
    <t>17-P-2</t>
  </si>
  <si>
    <t>Medley</t>
  </si>
  <si>
    <t>18-K-1</t>
  </si>
  <si>
    <t>Neblett Landing</t>
  </si>
  <si>
    <t>18-L-1</t>
  </si>
  <si>
    <t>18-L-1/C</t>
  </si>
  <si>
    <t>Stringtown</t>
  </si>
  <si>
    <t>18-M-3</t>
  </si>
  <si>
    <t>Lipe</t>
  </si>
  <si>
    <t>18-M-4</t>
  </si>
  <si>
    <t>Marlow</t>
  </si>
  <si>
    <t>18-N-1</t>
  </si>
  <si>
    <t>Marlow Cemetery</t>
  </si>
  <si>
    <t>18-N-2</t>
  </si>
  <si>
    <t>Steiner</t>
  </si>
  <si>
    <t>18-N-4</t>
  </si>
  <si>
    <t>18-N-7</t>
  </si>
  <si>
    <t>Mac Gregor</t>
  </si>
  <si>
    <t>18-N-8</t>
  </si>
  <si>
    <t>Eastland</t>
  </si>
  <si>
    <t>18-N-9</t>
  </si>
  <si>
    <t>Whaley</t>
  </si>
  <si>
    <t>18-P-2</t>
  </si>
  <si>
    <t>Winterville</t>
  </si>
  <si>
    <t>19-L-1</t>
  </si>
  <si>
    <t>Ely</t>
  </si>
  <si>
    <t>19-L-3</t>
  </si>
  <si>
    <t>Metcalfe</t>
  </si>
  <si>
    <t>19-L-4</t>
  </si>
  <si>
    <t>Refuge</t>
  </si>
  <si>
    <t>19-L-6</t>
  </si>
  <si>
    <t>Leland</t>
  </si>
  <si>
    <t>19-M-1</t>
  </si>
  <si>
    <t>Sheldon</t>
  </si>
  <si>
    <t>19-M-2</t>
  </si>
  <si>
    <t>Stoneville</t>
  </si>
  <si>
    <t>19-M-3</t>
  </si>
  <si>
    <t>Holly Knowe</t>
  </si>
  <si>
    <t>19-M-5</t>
  </si>
  <si>
    <t>Arcola School</t>
  </si>
  <si>
    <t>19-M-6</t>
  </si>
  <si>
    <t>Polk</t>
  </si>
  <si>
    <t>19-M-7</t>
  </si>
  <si>
    <t>Kinlock</t>
  </si>
  <si>
    <t>19-N-1</t>
  </si>
  <si>
    <t>Shields</t>
  </si>
  <si>
    <t>19-N-2</t>
  </si>
  <si>
    <t>Bay Lake</t>
  </si>
  <si>
    <t>19-N-3</t>
  </si>
  <si>
    <t>Failing</t>
  </si>
  <si>
    <t>19-N-5</t>
  </si>
  <si>
    <t>Lake Dawson</t>
  </si>
  <si>
    <t>19-N-6</t>
  </si>
  <si>
    <t>Mc Lean</t>
  </si>
  <si>
    <t>19-O-1</t>
  </si>
  <si>
    <t>Shell Bluff</t>
  </si>
  <si>
    <t>19-O-2</t>
  </si>
  <si>
    <t>Fleming</t>
  </si>
  <si>
    <t>19-O-3</t>
  </si>
  <si>
    <t>Roebuck</t>
  </si>
  <si>
    <t>19-P-2</t>
  </si>
  <si>
    <t>Arcola</t>
  </si>
  <si>
    <t>20-M-1</t>
  </si>
  <si>
    <t>Deer Creek</t>
  </si>
  <si>
    <t>20-M-2</t>
  </si>
  <si>
    <t>Panther Burn</t>
  </si>
  <si>
    <t>20-M-3</t>
  </si>
  <si>
    <t>Lessirdell</t>
  </si>
  <si>
    <t>20-M-4</t>
  </si>
  <si>
    <t>Swan Lake</t>
  </si>
  <si>
    <t>20-M-5</t>
  </si>
  <si>
    <t>Midnight</t>
  </si>
  <si>
    <t>20-N-1</t>
  </si>
  <si>
    <t>Summerfield</t>
  </si>
  <si>
    <t>20-N-2</t>
  </si>
  <si>
    <t>Jaketown</t>
  </si>
  <si>
    <t>20-O-1</t>
  </si>
  <si>
    <t>Belzoni</t>
  </si>
  <si>
    <t>20-O-2</t>
  </si>
  <si>
    <t>Lamkin</t>
  </si>
  <si>
    <t>20-O-3</t>
  </si>
  <si>
    <t xml:space="preserve">Silver City </t>
  </si>
  <si>
    <t>20-O-5</t>
  </si>
  <si>
    <t>Manly Punctated</t>
  </si>
  <si>
    <t>Tyronza Punctated</t>
  </si>
  <si>
    <t>Culture Historical Type Name</t>
  </si>
  <si>
    <t>Temper</t>
  </si>
  <si>
    <t>Surface Treatment</t>
  </si>
  <si>
    <t>Decoration</t>
  </si>
  <si>
    <t>Clay</t>
  </si>
  <si>
    <t>Cordmarked</t>
  </si>
  <si>
    <t>Punctate</t>
  </si>
  <si>
    <t>Smooth</t>
  </si>
  <si>
    <t>Stamp</t>
  </si>
  <si>
    <t>Pinched</t>
  </si>
  <si>
    <t>Sand</t>
  </si>
  <si>
    <t>Incised</t>
  </si>
  <si>
    <t>Cordmark</t>
  </si>
  <si>
    <t>Linear Stamp</t>
  </si>
  <si>
    <t>Barton Incised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</si>
</sst>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name val="Geneva"/>
      <family val="2"/>
    </font>
    <font>
      <b/>
      <sz val="10"/>
      <name val="Geneva"/>
      <family val="2"/>
    </font>
    <font>
      <sz val="8"/>
      <name val="Geneva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3" fillId="0" borderId="3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3"/>
  <sheetViews>
    <sheetView tabSelected="1" zoomScale="70" zoomScaleNormal="70" zoomScalePageLayoutView="70" workbookViewId="0">
      <pane xSplit="2" ySplit="1" topLeftCell="C24" activePane="bottomRight" state="frozenSplit"/>
      <selection pane="topRight" activeCell="C1" sqref="C1"/>
      <selection pane="bottomLeft"/>
      <selection pane="bottomRight" activeCell="F259" sqref="F259"/>
    </sheetView>
  </sheetViews>
  <sheetFormatPr baseColWidth="10" defaultColWidth="8.83203125" defaultRowHeight="15" x14ac:dyDescent="0.2"/>
  <cols>
    <col min="1" max="1" width="18.1640625" style="15" customWidth="1"/>
    <col min="2" max="2" width="12.5" style="14" customWidth="1"/>
    <col min="4" max="4" width="12" customWidth="1"/>
    <col min="29" max="29" width="8.83203125" style="13"/>
  </cols>
  <sheetData>
    <row r="1" spans="1:29" ht="38" thickBot="1" x14ac:dyDescent="0.25">
      <c r="A1" s="1" t="s">
        <v>0</v>
      </c>
      <c r="B1" s="2" t="s">
        <v>1</v>
      </c>
      <c r="C1" s="3" t="s">
        <v>31</v>
      </c>
      <c r="D1" s="3" t="s">
        <v>32</v>
      </c>
      <c r="E1" s="3" t="s">
        <v>586</v>
      </c>
      <c r="F1" s="3" t="s">
        <v>34</v>
      </c>
      <c r="G1" s="3" t="s">
        <v>35</v>
      </c>
      <c r="H1" s="3" t="s">
        <v>36</v>
      </c>
      <c r="I1" s="3" t="s">
        <v>570</v>
      </c>
      <c r="J1" s="3" t="s">
        <v>571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</row>
    <row r="2" spans="1:29" ht="16" thickTop="1" x14ac:dyDescent="0.2">
      <c r="A2" s="4" t="s">
        <v>56</v>
      </c>
      <c r="B2" s="5" t="s">
        <v>57</v>
      </c>
      <c r="C2" s="6">
        <v>2753</v>
      </c>
      <c r="D2" s="6">
        <v>39</v>
      </c>
      <c r="E2" s="6">
        <v>57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577</v>
      </c>
      <c r="L2" s="6">
        <v>4</v>
      </c>
      <c r="M2" s="6">
        <v>0</v>
      </c>
      <c r="N2" s="6">
        <v>0</v>
      </c>
      <c r="O2" s="6">
        <v>6</v>
      </c>
      <c r="P2" s="6">
        <v>1</v>
      </c>
      <c r="Q2" s="6">
        <v>22</v>
      </c>
      <c r="R2" s="6">
        <v>0</v>
      </c>
      <c r="S2" s="6">
        <v>0</v>
      </c>
      <c r="T2" s="6">
        <v>24</v>
      </c>
      <c r="U2" s="6">
        <v>0</v>
      </c>
      <c r="V2" s="6">
        <v>0</v>
      </c>
      <c r="W2" s="6">
        <v>0</v>
      </c>
      <c r="X2" s="6">
        <v>0</v>
      </c>
      <c r="Y2" s="6">
        <v>6</v>
      </c>
      <c r="Z2" s="6">
        <v>0</v>
      </c>
      <c r="AA2" s="6">
        <v>0</v>
      </c>
      <c r="AB2" s="6">
        <v>0</v>
      </c>
      <c r="AC2" s="7">
        <f t="shared" ref="AC2:AC65" si="0">SUM(C2:AB2)</f>
        <v>3489</v>
      </c>
    </row>
    <row r="3" spans="1:29" x14ac:dyDescent="0.2">
      <c r="A3" s="4" t="s">
        <v>58</v>
      </c>
      <c r="B3" s="5" t="s">
        <v>59</v>
      </c>
      <c r="C3" s="6">
        <v>211</v>
      </c>
      <c r="D3" s="6">
        <v>0</v>
      </c>
      <c r="E3" s="6">
        <v>6</v>
      </c>
      <c r="F3" s="6">
        <v>0</v>
      </c>
      <c r="G3" s="6">
        <v>0</v>
      </c>
      <c r="H3" s="6">
        <v>0</v>
      </c>
      <c r="I3" s="6">
        <v>1</v>
      </c>
      <c r="J3" s="6">
        <v>0</v>
      </c>
      <c r="K3" s="6">
        <v>117</v>
      </c>
      <c r="L3" s="6">
        <v>2</v>
      </c>
      <c r="M3" s="6">
        <v>0</v>
      </c>
      <c r="N3" s="6">
        <v>0</v>
      </c>
      <c r="O3" s="6">
        <v>0</v>
      </c>
      <c r="P3" s="6">
        <v>0</v>
      </c>
      <c r="Q3" s="6">
        <v>5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7">
        <f t="shared" si="0"/>
        <v>342</v>
      </c>
    </row>
    <row r="4" spans="1:29" x14ac:dyDescent="0.2">
      <c r="A4" s="4" t="s">
        <v>60</v>
      </c>
      <c r="B4" s="5" t="s">
        <v>61</v>
      </c>
      <c r="C4" s="6">
        <v>155</v>
      </c>
      <c r="D4" s="6">
        <v>9</v>
      </c>
      <c r="E4" s="6">
        <v>1</v>
      </c>
      <c r="F4" s="6">
        <v>0</v>
      </c>
      <c r="G4" s="6">
        <v>0</v>
      </c>
      <c r="H4" s="6">
        <v>1</v>
      </c>
      <c r="I4" s="6">
        <v>0</v>
      </c>
      <c r="J4" s="6">
        <v>0</v>
      </c>
      <c r="K4" s="6">
        <v>137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7">
        <f t="shared" si="0"/>
        <v>303</v>
      </c>
    </row>
    <row r="5" spans="1:29" x14ac:dyDescent="0.2">
      <c r="A5" s="4" t="s">
        <v>62</v>
      </c>
      <c r="B5" s="5" t="s">
        <v>63</v>
      </c>
      <c r="C5" s="6">
        <v>2580</v>
      </c>
      <c r="D5" s="6">
        <v>10</v>
      </c>
      <c r="E5" s="6">
        <v>6</v>
      </c>
      <c r="F5" s="6">
        <v>2</v>
      </c>
      <c r="G5" s="6">
        <v>0</v>
      </c>
      <c r="H5" s="6">
        <v>3</v>
      </c>
      <c r="I5" s="6">
        <v>2</v>
      </c>
      <c r="J5" s="6">
        <v>0</v>
      </c>
      <c r="K5" s="6">
        <v>552</v>
      </c>
      <c r="L5" s="6">
        <v>4</v>
      </c>
      <c r="M5" s="6">
        <v>0</v>
      </c>
      <c r="N5" s="6">
        <v>3</v>
      </c>
      <c r="O5" s="6">
        <v>0</v>
      </c>
      <c r="P5" s="6">
        <v>0</v>
      </c>
      <c r="Q5" s="6">
        <v>6</v>
      </c>
      <c r="R5" s="6">
        <v>9</v>
      </c>
      <c r="S5" s="6">
        <v>0</v>
      </c>
      <c r="T5" s="6">
        <v>4</v>
      </c>
      <c r="U5" s="6">
        <v>0</v>
      </c>
      <c r="V5" s="6">
        <v>0</v>
      </c>
      <c r="W5" s="6">
        <v>0</v>
      </c>
      <c r="X5" s="6">
        <v>0</v>
      </c>
      <c r="Y5" s="6">
        <v>1</v>
      </c>
      <c r="Z5" s="6">
        <v>0</v>
      </c>
      <c r="AA5" s="6">
        <v>0</v>
      </c>
      <c r="AB5" s="6">
        <v>0</v>
      </c>
      <c r="AC5" s="7">
        <f t="shared" si="0"/>
        <v>3182</v>
      </c>
    </row>
    <row r="6" spans="1:29" x14ac:dyDescent="0.2">
      <c r="A6" s="4" t="s">
        <v>64</v>
      </c>
      <c r="B6" s="5" t="s">
        <v>65</v>
      </c>
      <c r="C6" s="6">
        <v>1299</v>
      </c>
      <c r="D6" s="6">
        <v>5</v>
      </c>
      <c r="E6" s="6">
        <v>3</v>
      </c>
      <c r="F6" s="6">
        <v>3</v>
      </c>
      <c r="G6" s="6">
        <v>1</v>
      </c>
      <c r="H6" s="6">
        <v>0</v>
      </c>
      <c r="I6" s="6">
        <v>0</v>
      </c>
      <c r="J6" s="6">
        <v>0</v>
      </c>
      <c r="K6" s="6">
        <v>1675</v>
      </c>
      <c r="L6" s="6">
        <v>2</v>
      </c>
      <c r="M6" s="6">
        <v>1</v>
      </c>
      <c r="N6" s="6">
        <v>3</v>
      </c>
      <c r="O6" s="6">
        <v>0</v>
      </c>
      <c r="P6" s="6">
        <v>0</v>
      </c>
      <c r="Q6" s="6">
        <v>25</v>
      </c>
      <c r="R6" s="6">
        <v>0</v>
      </c>
      <c r="S6" s="6">
        <v>0</v>
      </c>
      <c r="T6" s="6">
        <v>4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7">
        <f t="shared" si="0"/>
        <v>3021</v>
      </c>
    </row>
    <row r="7" spans="1:29" x14ac:dyDescent="0.2">
      <c r="A7" s="4" t="s">
        <v>66</v>
      </c>
      <c r="B7" s="5" t="s">
        <v>67</v>
      </c>
      <c r="C7" s="6">
        <v>58</v>
      </c>
      <c r="D7" s="6">
        <v>0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115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7">
        <f t="shared" si="0"/>
        <v>175</v>
      </c>
    </row>
    <row r="8" spans="1:29" x14ac:dyDescent="0.2">
      <c r="A8" s="4" t="s">
        <v>68</v>
      </c>
      <c r="B8" s="5" t="s">
        <v>69</v>
      </c>
      <c r="C8" s="6">
        <v>5468</v>
      </c>
      <c r="D8" s="6">
        <v>865</v>
      </c>
      <c r="E8" s="6">
        <v>311</v>
      </c>
      <c r="F8" s="6">
        <v>35</v>
      </c>
      <c r="G8" s="6">
        <v>4</v>
      </c>
      <c r="H8" s="6">
        <v>17</v>
      </c>
      <c r="I8" s="6">
        <v>0</v>
      </c>
      <c r="J8" s="6">
        <v>0</v>
      </c>
      <c r="K8" s="6">
        <v>80</v>
      </c>
      <c r="L8" s="6">
        <v>12</v>
      </c>
      <c r="M8" s="6">
        <v>0</v>
      </c>
      <c r="N8" s="6">
        <v>0</v>
      </c>
      <c r="O8" s="6">
        <v>0</v>
      </c>
      <c r="P8" s="6">
        <v>0</v>
      </c>
      <c r="Q8" s="6">
        <v>53</v>
      </c>
      <c r="R8" s="6">
        <v>0</v>
      </c>
      <c r="S8" s="6">
        <v>0</v>
      </c>
      <c r="T8" s="6">
        <v>6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7">
        <f t="shared" si="0"/>
        <v>6851</v>
      </c>
    </row>
    <row r="9" spans="1:29" x14ac:dyDescent="0.2">
      <c r="A9" s="4" t="s">
        <v>70</v>
      </c>
      <c r="B9" s="5" t="s">
        <v>71</v>
      </c>
      <c r="C9" s="6">
        <v>52</v>
      </c>
      <c r="D9" s="6">
        <v>2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7">
        <f t="shared" si="0"/>
        <v>54</v>
      </c>
    </row>
    <row r="10" spans="1:29" x14ac:dyDescent="0.2">
      <c r="A10" s="4" t="s">
        <v>72</v>
      </c>
      <c r="B10" s="5" t="s">
        <v>73</v>
      </c>
      <c r="C10" s="6">
        <v>87</v>
      </c>
      <c r="D10" s="6">
        <v>0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7">
        <f t="shared" si="0"/>
        <v>89</v>
      </c>
    </row>
    <row r="11" spans="1:29" x14ac:dyDescent="0.2">
      <c r="A11" s="4" t="s">
        <v>74</v>
      </c>
      <c r="B11" s="5" t="s">
        <v>75</v>
      </c>
      <c r="C11" s="6">
        <v>2913</v>
      </c>
      <c r="D11" s="6">
        <v>20</v>
      </c>
      <c r="E11" s="6">
        <v>87</v>
      </c>
      <c r="F11" s="6">
        <v>1</v>
      </c>
      <c r="G11" s="6">
        <v>0</v>
      </c>
      <c r="H11" s="6">
        <v>7</v>
      </c>
      <c r="I11" s="6">
        <v>0</v>
      </c>
      <c r="J11" s="6">
        <v>0</v>
      </c>
      <c r="K11" s="6">
        <v>10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12</v>
      </c>
      <c r="R11" s="6">
        <v>0</v>
      </c>
      <c r="S11" s="6">
        <v>0</v>
      </c>
      <c r="T11" s="6">
        <v>1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0</v>
      </c>
      <c r="AA11" s="6">
        <v>0</v>
      </c>
      <c r="AB11" s="6">
        <v>0</v>
      </c>
      <c r="AC11" s="7">
        <f t="shared" si="0"/>
        <v>3052</v>
      </c>
    </row>
    <row r="12" spans="1:29" x14ac:dyDescent="0.2">
      <c r="A12" s="4" t="s">
        <v>76</v>
      </c>
      <c r="B12" s="5" t="s">
        <v>77</v>
      </c>
      <c r="C12" s="6">
        <v>4237</v>
      </c>
      <c r="D12" s="6">
        <v>425</v>
      </c>
      <c r="E12" s="6">
        <v>212</v>
      </c>
      <c r="F12" s="6">
        <v>0</v>
      </c>
      <c r="G12" s="6">
        <v>1</v>
      </c>
      <c r="H12" s="6">
        <v>17</v>
      </c>
      <c r="I12" s="6">
        <v>0</v>
      </c>
      <c r="J12" s="6">
        <v>0</v>
      </c>
      <c r="K12" s="6">
        <v>12</v>
      </c>
      <c r="L12" s="6">
        <v>2</v>
      </c>
      <c r="M12" s="6">
        <v>0</v>
      </c>
      <c r="N12" s="6">
        <v>0</v>
      </c>
      <c r="O12" s="6">
        <v>0</v>
      </c>
      <c r="P12" s="6">
        <v>0</v>
      </c>
      <c r="Q12" s="6">
        <v>1</v>
      </c>
      <c r="R12" s="6">
        <v>12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7">
        <f t="shared" si="0"/>
        <v>4919</v>
      </c>
    </row>
    <row r="13" spans="1:29" x14ac:dyDescent="0.2">
      <c r="A13" s="4" t="s">
        <v>78</v>
      </c>
      <c r="B13" s="5" t="s">
        <v>79</v>
      </c>
      <c r="C13" s="6">
        <v>7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7">
        <f t="shared" si="0"/>
        <v>7</v>
      </c>
    </row>
    <row r="14" spans="1:29" x14ac:dyDescent="0.2">
      <c r="A14" s="4" t="s">
        <v>80</v>
      </c>
      <c r="B14" s="5" t="s">
        <v>81</v>
      </c>
      <c r="C14" s="6">
        <v>485</v>
      </c>
      <c r="D14" s="6">
        <v>143</v>
      </c>
      <c r="E14" s="6">
        <v>53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  <c r="Q14" s="6">
        <v>3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7">
        <f t="shared" si="0"/>
        <v>685</v>
      </c>
    </row>
    <row r="15" spans="1:29" x14ac:dyDescent="0.2">
      <c r="A15" s="4" t="s">
        <v>82</v>
      </c>
      <c r="B15" s="5" t="s">
        <v>83</v>
      </c>
      <c r="C15" s="6">
        <v>102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7">
        <f t="shared" si="0"/>
        <v>103</v>
      </c>
    </row>
    <row r="16" spans="1:29" x14ac:dyDescent="0.2">
      <c r="A16" s="4" t="s">
        <v>84</v>
      </c>
      <c r="B16" s="5" t="s">
        <v>85</v>
      </c>
      <c r="C16" s="6">
        <v>33</v>
      </c>
      <c r="D16" s="6">
        <v>2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7">
        <f t="shared" si="0"/>
        <v>35</v>
      </c>
    </row>
    <row r="17" spans="1:29" x14ac:dyDescent="0.2">
      <c r="A17" s="4" t="s">
        <v>86</v>
      </c>
      <c r="B17" s="5" t="s">
        <v>87</v>
      </c>
      <c r="C17" s="6">
        <v>50</v>
      </c>
      <c r="D17" s="6">
        <v>3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7">
        <f t="shared" si="0"/>
        <v>54</v>
      </c>
    </row>
    <row r="18" spans="1:29" x14ac:dyDescent="0.2">
      <c r="A18" s="4" t="s">
        <v>88</v>
      </c>
      <c r="B18" s="5" t="s">
        <v>89</v>
      </c>
      <c r="C18" s="6">
        <v>5992</v>
      </c>
      <c r="D18" s="6">
        <v>760</v>
      </c>
      <c r="E18" s="6">
        <v>466</v>
      </c>
      <c r="F18" s="6">
        <v>9</v>
      </c>
      <c r="G18" s="6">
        <v>0</v>
      </c>
      <c r="H18" s="6">
        <v>5</v>
      </c>
      <c r="I18" s="6">
        <v>4</v>
      </c>
      <c r="J18" s="6">
        <v>3</v>
      </c>
      <c r="K18" s="6">
        <v>2</v>
      </c>
      <c r="L18" s="6">
        <v>4</v>
      </c>
      <c r="M18" s="6">
        <v>0</v>
      </c>
      <c r="N18" s="6">
        <v>0</v>
      </c>
      <c r="O18" s="6">
        <v>0</v>
      </c>
      <c r="P18" s="6">
        <v>0</v>
      </c>
      <c r="Q18" s="6">
        <v>14</v>
      </c>
      <c r="R18" s="6">
        <v>0</v>
      </c>
      <c r="S18" s="6">
        <v>0</v>
      </c>
      <c r="T18" s="6">
        <v>4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7">
        <f t="shared" si="0"/>
        <v>7263</v>
      </c>
    </row>
    <row r="19" spans="1:29" x14ac:dyDescent="0.2">
      <c r="A19" s="4" t="s">
        <v>90</v>
      </c>
      <c r="B19" s="5" t="s">
        <v>91</v>
      </c>
      <c r="C19" s="6">
        <v>6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7">
        <f t="shared" si="0"/>
        <v>6</v>
      </c>
    </row>
    <row r="20" spans="1:29" x14ac:dyDescent="0.2">
      <c r="A20" s="4" t="s">
        <v>92</v>
      </c>
      <c r="B20" s="5" t="s">
        <v>93</v>
      </c>
      <c r="C20" s="6">
        <v>134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7">
        <f t="shared" si="0"/>
        <v>135</v>
      </c>
    </row>
    <row r="21" spans="1:29" x14ac:dyDescent="0.2">
      <c r="A21" s="4" t="s">
        <v>94</v>
      </c>
      <c r="B21" s="5" t="s">
        <v>95</v>
      </c>
      <c r="C21" s="6">
        <v>35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7">
        <f t="shared" si="0"/>
        <v>35</v>
      </c>
    </row>
    <row r="22" spans="1:29" x14ac:dyDescent="0.2">
      <c r="A22" s="4" t="s">
        <v>96</v>
      </c>
      <c r="B22" s="5" t="s">
        <v>97</v>
      </c>
      <c r="C22" s="6">
        <v>53</v>
      </c>
      <c r="D22" s="6">
        <v>1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7">
        <f t="shared" si="0"/>
        <v>54</v>
      </c>
    </row>
    <row r="23" spans="1:29" x14ac:dyDescent="0.2">
      <c r="A23" s="4" t="s">
        <v>98</v>
      </c>
      <c r="B23" s="5" t="s">
        <v>99</v>
      </c>
      <c r="C23" s="6">
        <v>1807</v>
      </c>
      <c r="D23" s="6">
        <v>528</v>
      </c>
      <c r="E23" s="6">
        <v>191</v>
      </c>
      <c r="F23" s="6">
        <v>19</v>
      </c>
      <c r="G23" s="6">
        <v>0</v>
      </c>
      <c r="H23" s="6">
        <v>0</v>
      </c>
      <c r="I23" s="6">
        <v>0</v>
      </c>
      <c r="J23" s="6">
        <v>0</v>
      </c>
      <c r="K23" s="6">
        <v>2</v>
      </c>
      <c r="L23" s="6">
        <v>7</v>
      </c>
      <c r="M23" s="6">
        <v>0</v>
      </c>
      <c r="N23" s="6">
        <v>0</v>
      </c>
      <c r="O23" s="6">
        <v>0</v>
      </c>
      <c r="P23" s="6">
        <v>0</v>
      </c>
      <c r="Q23" s="6">
        <v>13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7">
        <f t="shared" si="0"/>
        <v>2567</v>
      </c>
    </row>
    <row r="24" spans="1:29" x14ac:dyDescent="0.2">
      <c r="A24" s="4" t="s">
        <v>100</v>
      </c>
      <c r="B24" s="5" t="s">
        <v>101</v>
      </c>
      <c r="C24" s="6">
        <v>25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7">
        <f t="shared" si="0"/>
        <v>30</v>
      </c>
    </row>
    <row r="25" spans="1:29" x14ac:dyDescent="0.2">
      <c r="A25" s="4" t="s">
        <v>102</v>
      </c>
      <c r="B25" s="5" t="s">
        <v>103</v>
      </c>
      <c r="C25" s="6">
        <v>4056</v>
      </c>
      <c r="D25" s="6">
        <v>395</v>
      </c>
      <c r="E25" s="6">
        <v>207</v>
      </c>
      <c r="F25" s="6">
        <v>4</v>
      </c>
      <c r="G25" s="6">
        <v>0</v>
      </c>
      <c r="H25" s="6">
        <v>16</v>
      </c>
      <c r="I25" s="6">
        <v>9</v>
      </c>
      <c r="J25" s="6">
        <v>0</v>
      </c>
      <c r="K25" s="6">
        <v>8</v>
      </c>
      <c r="L25" s="6">
        <v>0</v>
      </c>
      <c r="M25" s="6">
        <v>0</v>
      </c>
      <c r="N25" s="6">
        <v>0</v>
      </c>
      <c r="O25" s="6">
        <v>0</v>
      </c>
      <c r="P25" s="6">
        <v>1</v>
      </c>
      <c r="Q25" s="6">
        <v>6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7">
        <f t="shared" si="0"/>
        <v>4702</v>
      </c>
    </row>
    <row r="26" spans="1:29" x14ac:dyDescent="0.2">
      <c r="A26" s="4" t="s">
        <v>104</v>
      </c>
      <c r="B26" s="5" t="s">
        <v>105</v>
      </c>
      <c r="C26" s="6">
        <v>6</v>
      </c>
      <c r="D26" s="6">
        <v>2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7">
        <f t="shared" si="0"/>
        <v>8</v>
      </c>
    </row>
    <row r="27" spans="1:29" x14ac:dyDescent="0.2">
      <c r="A27" s="4" t="s">
        <v>106</v>
      </c>
      <c r="B27" s="5" t="s">
        <v>107</v>
      </c>
      <c r="C27" s="6">
        <v>15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7">
        <f t="shared" si="0"/>
        <v>15</v>
      </c>
    </row>
    <row r="28" spans="1:29" x14ac:dyDescent="0.2">
      <c r="A28" s="4" t="s">
        <v>108</v>
      </c>
      <c r="B28" s="5" t="s">
        <v>109</v>
      </c>
      <c r="C28" s="6">
        <v>443</v>
      </c>
      <c r="D28" s="6">
        <v>206</v>
      </c>
      <c r="E28" s="6">
        <v>45</v>
      </c>
      <c r="F28" s="6">
        <v>3</v>
      </c>
      <c r="G28" s="6">
        <v>2</v>
      </c>
      <c r="H28" s="6">
        <v>0</v>
      </c>
      <c r="I28" s="6">
        <v>0</v>
      </c>
      <c r="J28" s="6">
        <v>0</v>
      </c>
      <c r="K28" s="6">
        <v>9</v>
      </c>
      <c r="L28" s="6">
        <v>3</v>
      </c>
      <c r="M28" s="6">
        <v>0</v>
      </c>
      <c r="N28" s="6">
        <v>0</v>
      </c>
      <c r="O28" s="6">
        <v>0</v>
      </c>
      <c r="P28" s="6">
        <v>0</v>
      </c>
      <c r="Q28" s="6">
        <v>2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7">
        <f t="shared" si="0"/>
        <v>713</v>
      </c>
    </row>
    <row r="29" spans="1:29" x14ac:dyDescent="0.2">
      <c r="A29" s="4" t="s">
        <v>110</v>
      </c>
      <c r="B29" s="5" t="s">
        <v>111</v>
      </c>
      <c r="C29" s="6">
        <v>17</v>
      </c>
      <c r="D29" s="6">
        <v>1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4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7">
        <f t="shared" si="0"/>
        <v>22</v>
      </c>
    </row>
    <row r="30" spans="1:29" x14ac:dyDescent="0.2">
      <c r="A30" s="4" t="s">
        <v>112</v>
      </c>
      <c r="B30" s="5" t="s">
        <v>113</v>
      </c>
      <c r="C30" s="6">
        <v>22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7">
        <f t="shared" si="0"/>
        <v>22</v>
      </c>
    </row>
    <row r="31" spans="1:29" x14ac:dyDescent="0.2">
      <c r="A31" s="4" t="s">
        <v>114</v>
      </c>
      <c r="B31" s="5" t="s">
        <v>115</v>
      </c>
      <c r="C31" s="6">
        <v>204</v>
      </c>
      <c r="D31" s="6">
        <v>0</v>
      </c>
      <c r="E31" s="6">
        <v>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7">
        <f t="shared" si="0"/>
        <v>206</v>
      </c>
    </row>
    <row r="32" spans="1:29" x14ac:dyDescent="0.2">
      <c r="A32" s="4" t="s">
        <v>116</v>
      </c>
      <c r="B32" s="5" t="s">
        <v>117</v>
      </c>
      <c r="C32" s="6">
        <v>115</v>
      </c>
      <c r="D32" s="6">
        <v>14</v>
      </c>
      <c r="E32" s="6">
        <v>10</v>
      </c>
      <c r="F32" s="6">
        <v>2</v>
      </c>
      <c r="G32" s="6">
        <v>0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2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7">
        <f t="shared" si="0"/>
        <v>144</v>
      </c>
    </row>
    <row r="33" spans="1:29" x14ac:dyDescent="0.2">
      <c r="A33" s="4" t="s">
        <v>118</v>
      </c>
      <c r="B33" s="5" t="s">
        <v>119</v>
      </c>
      <c r="C33" s="6">
        <v>2</v>
      </c>
      <c r="D33" s="6">
        <v>8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7">
        <f t="shared" si="0"/>
        <v>10</v>
      </c>
    </row>
    <row r="34" spans="1:29" x14ac:dyDescent="0.2">
      <c r="A34" s="4" t="s">
        <v>120</v>
      </c>
      <c r="B34" s="5" t="s">
        <v>121</v>
      </c>
      <c r="C34" s="6">
        <v>47</v>
      </c>
      <c r="D34" s="6">
        <v>0</v>
      </c>
      <c r="E34" s="6">
        <v>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43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7">
        <f t="shared" si="0"/>
        <v>91</v>
      </c>
    </row>
    <row r="35" spans="1:29" x14ac:dyDescent="0.2">
      <c r="A35" s="4" t="s">
        <v>122</v>
      </c>
      <c r="B35" s="5" t="s">
        <v>123</v>
      </c>
      <c r="C35" s="6">
        <v>225</v>
      </c>
      <c r="D35" s="6">
        <v>5</v>
      </c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222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2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7">
        <f t="shared" si="0"/>
        <v>457</v>
      </c>
    </row>
    <row r="36" spans="1:29" x14ac:dyDescent="0.2">
      <c r="A36" s="4" t="s">
        <v>124</v>
      </c>
      <c r="B36" s="5" t="s">
        <v>125</v>
      </c>
      <c r="C36" s="6">
        <v>112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94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7">
        <f t="shared" si="0"/>
        <v>206</v>
      </c>
    </row>
    <row r="37" spans="1:29" x14ac:dyDescent="0.2">
      <c r="A37" s="4" t="s">
        <v>126</v>
      </c>
      <c r="B37" s="5" t="s">
        <v>127</v>
      </c>
      <c r="C37" s="6">
        <v>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4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7">
        <f t="shared" si="0"/>
        <v>6</v>
      </c>
    </row>
    <row r="38" spans="1:29" x14ac:dyDescent="0.2">
      <c r="A38" s="4" t="s">
        <v>128</v>
      </c>
      <c r="B38" s="5" t="s">
        <v>129</v>
      </c>
      <c r="C38" s="6">
        <v>18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7">
        <f t="shared" si="0"/>
        <v>18</v>
      </c>
    </row>
    <row r="39" spans="1:29" x14ac:dyDescent="0.2">
      <c r="A39" s="4" t="s">
        <v>130</v>
      </c>
      <c r="B39" s="5" t="s">
        <v>131</v>
      </c>
      <c r="C39" s="6">
        <v>45</v>
      </c>
      <c r="D39" s="6">
        <v>15</v>
      </c>
      <c r="E39" s="6">
        <v>2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43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5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7">
        <f t="shared" si="0"/>
        <v>111</v>
      </c>
    </row>
    <row r="40" spans="1:29" x14ac:dyDescent="0.2">
      <c r="A40" s="4" t="s">
        <v>132</v>
      </c>
      <c r="B40" s="5" t="s">
        <v>133</v>
      </c>
      <c r="C40" s="6">
        <v>204</v>
      </c>
      <c r="D40" s="6">
        <v>0</v>
      </c>
      <c r="E40" s="6">
        <v>5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7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7">
        <f t="shared" si="0"/>
        <v>217</v>
      </c>
    </row>
    <row r="41" spans="1:29" x14ac:dyDescent="0.2">
      <c r="A41" s="4" t="s">
        <v>132</v>
      </c>
      <c r="B41" s="5" t="s">
        <v>134</v>
      </c>
      <c r="C41" s="6">
        <v>3</v>
      </c>
      <c r="D41" s="6">
        <v>1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7">
        <f t="shared" si="0"/>
        <v>5</v>
      </c>
    </row>
    <row r="42" spans="1:29" x14ac:dyDescent="0.2">
      <c r="A42" s="4" t="s">
        <v>135</v>
      </c>
      <c r="B42" s="5" t="s">
        <v>136</v>
      </c>
      <c r="C42" s="6">
        <v>8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7">
        <f t="shared" si="0"/>
        <v>8</v>
      </c>
    </row>
    <row r="43" spans="1:29" x14ac:dyDescent="0.2">
      <c r="A43" s="4" t="s">
        <v>137</v>
      </c>
      <c r="B43" s="5" t="s">
        <v>138</v>
      </c>
      <c r="C43" s="6">
        <v>192</v>
      </c>
      <c r="D43" s="6">
        <v>27</v>
      </c>
      <c r="E43" s="6">
        <v>0</v>
      </c>
      <c r="F43" s="6">
        <v>0</v>
      </c>
      <c r="G43" s="6">
        <v>0</v>
      </c>
      <c r="H43" s="6">
        <v>1</v>
      </c>
      <c r="I43" s="6">
        <v>2</v>
      </c>
      <c r="J43" s="6">
        <v>0</v>
      </c>
      <c r="K43" s="6">
        <v>16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10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7">
        <f t="shared" si="0"/>
        <v>248</v>
      </c>
    </row>
    <row r="44" spans="1:29" x14ac:dyDescent="0.2">
      <c r="A44" s="4" t="s">
        <v>139</v>
      </c>
      <c r="B44" s="5" t="s">
        <v>140</v>
      </c>
      <c r="C44" s="6">
        <v>1123</v>
      </c>
      <c r="D44" s="6">
        <v>154</v>
      </c>
      <c r="E44" s="6">
        <v>62</v>
      </c>
      <c r="F44" s="6">
        <v>1</v>
      </c>
      <c r="G44" s="6">
        <v>1</v>
      </c>
      <c r="H44" s="6">
        <v>1</v>
      </c>
      <c r="I44" s="6">
        <v>0</v>
      </c>
      <c r="J44" s="6">
        <v>0</v>
      </c>
      <c r="K44" s="6">
        <v>35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6">
        <v>22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7">
        <f t="shared" si="0"/>
        <v>1400</v>
      </c>
    </row>
    <row r="45" spans="1:29" x14ac:dyDescent="0.2">
      <c r="A45" s="4" t="s">
        <v>139</v>
      </c>
      <c r="B45" s="5" t="s">
        <v>141</v>
      </c>
      <c r="C45" s="6">
        <v>193</v>
      </c>
      <c r="D45" s="6">
        <v>0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2</v>
      </c>
      <c r="L45" s="6">
        <v>1</v>
      </c>
      <c r="M45" s="6">
        <v>0</v>
      </c>
      <c r="N45" s="6">
        <v>0</v>
      </c>
      <c r="O45" s="6">
        <v>0</v>
      </c>
      <c r="P45" s="6">
        <v>0</v>
      </c>
      <c r="Q45" s="6">
        <v>1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7">
        <f t="shared" si="0"/>
        <v>198</v>
      </c>
    </row>
    <row r="46" spans="1:29" x14ac:dyDescent="0.2">
      <c r="A46" s="4" t="s">
        <v>142</v>
      </c>
      <c r="B46" s="5" t="s">
        <v>143</v>
      </c>
      <c r="C46" s="6">
        <v>486</v>
      </c>
      <c r="D46" s="6">
        <v>48</v>
      </c>
      <c r="E46" s="6">
        <v>71</v>
      </c>
      <c r="F46" s="6">
        <v>0</v>
      </c>
      <c r="G46" s="6">
        <v>0</v>
      </c>
      <c r="H46" s="6">
        <v>1</v>
      </c>
      <c r="I46" s="6">
        <v>0</v>
      </c>
      <c r="J46" s="6">
        <v>0</v>
      </c>
      <c r="K46" s="6">
        <v>6</v>
      </c>
      <c r="L46" s="6">
        <v>6</v>
      </c>
      <c r="M46" s="6">
        <v>1</v>
      </c>
      <c r="N46" s="6">
        <v>0</v>
      </c>
      <c r="O46" s="6">
        <v>0</v>
      </c>
      <c r="P46" s="6">
        <v>0</v>
      </c>
      <c r="Q46" s="6">
        <v>100</v>
      </c>
      <c r="R46" s="6">
        <v>0</v>
      </c>
      <c r="S46" s="6">
        <v>0</v>
      </c>
      <c r="T46" s="6">
        <v>2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7">
        <f t="shared" si="0"/>
        <v>721</v>
      </c>
    </row>
    <row r="47" spans="1:29" x14ac:dyDescent="0.2">
      <c r="A47" s="4" t="s">
        <v>144</v>
      </c>
      <c r="B47" s="5" t="s">
        <v>145</v>
      </c>
      <c r="C47" s="6">
        <v>505</v>
      </c>
      <c r="D47" s="6">
        <v>5</v>
      </c>
      <c r="E47" s="6">
        <v>9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8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7">
        <f t="shared" si="0"/>
        <v>532</v>
      </c>
    </row>
    <row r="48" spans="1:29" x14ac:dyDescent="0.2">
      <c r="A48" s="4" t="s">
        <v>146</v>
      </c>
      <c r="B48" s="5" t="s">
        <v>147</v>
      </c>
      <c r="C48" s="6">
        <v>28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3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7">
        <f t="shared" si="0"/>
        <v>31</v>
      </c>
    </row>
    <row r="49" spans="1:29" x14ac:dyDescent="0.2">
      <c r="A49" s="4" t="s">
        <v>148</v>
      </c>
      <c r="B49" s="5" t="s">
        <v>149</v>
      </c>
      <c r="C49" s="6">
        <v>9</v>
      </c>
      <c r="D49" s="6">
        <v>0</v>
      </c>
      <c r="E49" s="6">
        <v>1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7">
        <f t="shared" si="0"/>
        <v>10</v>
      </c>
    </row>
    <row r="50" spans="1:29" x14ac:dyDescent="0.2">
      <c r="A50" s="4" t="s">
        <v>150</v>
      </c>
      <c r="B50" s="5" t="s">
        <v>151</v>
      </c>
      <c r="C50" s="6">
        <v>351</v>
      </c>
      <c r="D50" s="6">
        <v>1</v>
      </c>
      <c r="E50" s="6">
        <v>19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78</v>
      </c>
      <c r="L50" s="6">
        <v>0</v>
      </c>
      <c r="M50" s="6">
        <v>0</v>
      </c>
      <c r="N50" s="6">
        <v>0</v>
      </c>
      <c r="O50" s="6">
        <v>0</v>
      </c>
      <c r="P50" s="6">
        <v>4</v>
      </c>
      <c r="Q50" s="6">
        <v>1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7">
        <f t="shared" si="0"/>
        <v>455</v>
      </c>
    </row>
    <row r="51" spans="1:29" x14ac:dyDescent="0.2">
      <c r="A51" s="4" t="s">
        <v>152</v>
      </c>
      <c r="B51" s="5" t="s">
        <v>153</v>
      </c>
      <c r="C51" s="6">
        <v>247</v>
      </c>
      <c r="D51" s="6">
        <v>40</v>
      </c>
      <c r="E51" s="6">
        <v>11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132</v>
      </c>
      <c r="L51" s="6">
        <v>6</v>
      </c>
      <c r="M51" s="6">
        <v>0</v>
      </c>
      <c r="N51" s="6">
        <v>2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7">
        <f t="shared" si="0"/>
        <v>439</v>
      </c>
    </row>
    <row r="52" spans="1:29" x14ac:dyDescent="0.2">
      <c r="A52" s="4" t="s">
        <v>152</v>
      </c>
      <c r="B52" s="5" t="s">
        <v>154</v>
      </c>
      <c r="C52" s="6">
        <v>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13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2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7">
        <f t="shared" si="0"/>
        <v>23</v>
      </c>
    </row>
    <row r="53" spans="1:29" x14ac:dyDescent="0.2">
      <c r="A53" s="4" t="s">
        <v>155</v>
      </c>
      <c r="B53" s="5" t="s">
        <v>156</v>
      </c>
      <c r="C53" s="6">
        <v>1</v>
      </c>
      <c r="D53" s="6">
        <v>0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3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7">
        <f t="shared" si="0"/>
        <v>5</v>
      </c>
    </row>
    <row r="54" spans="1:29" x14ac:dyDescent="0.2">
      <c r="A54" s="4" t="s">
        <v>157</v>
      </c>
      <c r="B54" s="5" t="s">
        <v>158</v>
      </c>
      <c r="C54" s="6">
        <v>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3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7">
        <f t="shared" si="0"/>
        <v>9</v>
      </c>
    </row>
    <row r="55" spans="1:29" x14ac:dyDescent="0.2">
      <c r="A55" s="4" t="s">
        <v>159</v>
      </c>
      <c r="B55" s="5" t="s">
        <v>160</v>
      </c>
      <c r="C55" s="6">
        <v>814</v>
      </c>
      <c r="D55" s="6">
        <v>91</v>
      </c>
      <c r="E55" s="6">
        <v>27</v>
      </c>
      <c r="F55" s="6">
        <v>1</v>
      </c>
      <c r="G55" s="6">
        <v>0</v>
      </c>
      <c r="H55" s="6">
        <v>3</v>
      </c>
      <c r="I55" s="6">
        <v>0</v>
      </c>
      <c r="J55" s="6">
        <v>0</v>
      </c>
      <c r="K55" s="6">
        <v>56</v>
      </c>
      <c r="L55" s="6">
        <v>9</v>
      </c>
      <c r="M55" s="6">
        <v>0</v>
      </c>
      <c r="N55" s="6">
        <v>0</v>
      </c>
      <c r="O55" s="6">
        <v>0</v>
      </c>
      <c r="P55" s="6">
        <v>0</v>
      </c>
      <c r="Q55" s="6">
        <v>7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7">
        <f t="shared" si="0"/>
        <v>1008</v>
      </c>
    </row>
    <row r="56" spans="1:29" x14ac:dyDescent="0.2">
      <c r="A56" s="4" t="s">
        <v>161</v>
      </c>
      <c r="B56" s="5" t="s">
        <v>162</v>
      </c>
      <c r="C56" s="6">
        <v>30</v>
      </c>
      <c r="D56" s="6">
        <v>1</v>
      </c>
      <c r="E56" s="6">
        <v>1</v>
      </c>
      <c r="F56" s="6">
        <v>0</v>
      </c>
      <c r="G56" s="6">
        <v>0</v>
      </c>
      <c r="H56" s="6">
        <v>1</v>
      </c>
      <c r="I56" s="6">
        <v>0</v>
      </c>
      <c r="J56" s="6">
        <v>0</v>
      </c>
      <c r="K56" s="6">
        <v>46</v>
      </c>
      <c r="L56" s="6">
        <v>3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7">
        <f t="shared" si="0"/>
        <v>83</v>
      </c>
    </row>
    <row r="57" spans="1:29" x14ac:dyDescent="0.2">
      <c r="A57" s="4" t="s">
        <v>163</v>
      </c>
      <c r="B57" s="5" t="s">
        <v>164</v>
      </c>
      <c r="C57" s="6">
        <v>1193</v>
      </c>
      <c r="D57" s="6">
        <v>97</v>
      </c>
      <c r="E57" s="6">
        <v>33</v>
      </c>
      <c r="F57" s="6">
        <v>7</v>
      </c>
      <c r="G57" s="6">
        <v>0</v>
      </c>
      <c r="H57" s="6">
        <v>1</v>
      </c>
      <c r="I57" s="6">
        <v>0</v>
      </c>
      <c r="J57" s="6">
        <v>0</v>
      </c>
      <c r="K57" s="6">
        <v>1817</v>
      </c>
      <c r="L57" s="6">
        <v>1</v>
      </c>
      <c r="M57" s="6">
        <v>5</v>
      </c>
      <c r="N57" s="6">
        <v>5</v>
      </c>
      <c r="O57" s="6">
        <v>0</v>
      </c>
      <c r="P57" s="6">
        <v>3</v>
      </c>
      <c r="Q57" s="6">
        <v>14</v>
      </c>
      <c r="R57" s="6">
        <v>0</v>
      </c>
      <c r="S57" s="6">
        <v>0</v>
      </c>
      <c r="T57" s="6">
        <v>2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7">
        <f t="shared" si="0"/>
        <v>3178</v>
      </c>
    </row>
    <row r="58" spans="1:29" x14ac:dyDescent="0.2">
      <c r="A58" s="4" t="s">
        <v>165</v>
      </c>
      <c r="B58" s="5" t="s">
        <v>166</v>
      </c>
      <c r="C58" s="6">
        <v>131</v>
      </c>
      <c r="D58" s="6">
        <v>30</v>
      </c>
      <c r="E58" s="6">
        <v>11</v>
      </c>
      <c r="F58" s="6">
        <v>1</v>
      </c>
      <c r="G58" s="6">
        <v>1</v>
      </c>
      <c r="H58" s="6">
        <v>1</v>
      </c>
      <c r="I58" s="6">
        <v>0</v>
      </c>
      <c r="J58" s="6">
        <v>0</v>
      </c>
      <c r="K58" s="6">
        <v>288</v>
      </c>
      <c r="L58" s="6">
        <v>2</v>
      </c>
      <c r="M58" s="6">
        <v>5</v>
      </c>
      <c r="N58" s="6">
        <v>4</v>
      </c>
      <c r="O58" s="6">
        <v>2</v>
      </c>
      <c r="P58" s="6">
        <v>0</v>
      </c>
      <c r="Q58" s="6">
        <v>5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7">
        <f t="shared" si="0"/>
        <v>481</v>
      </c>
    </row>
    <row r="59" spans="1:29" x14ac:dyDescent="0.2">
      <c r="A59" s="4" t="s">
        <v>167</v>
      </c>
      <c r="B59" s="5" t="s">
        <v>168</v>
      </c>
      <c r="C59" s="6">
        <v>4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2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7">
        <f t="shared" si="0"/>
        <v>6</v>
      </c>
    </row>
    <row r="60" spans="1:29" x14ac:dyDescent="0.2">
      <c r="A60" s="4" t="s">
        <v>169</v>
      </c>
      <c r="B60" s="5" t="s">
        <v>170</v>
      </c>
      <c r="C60" s="6">
        <v>18</v>
      </c>
      <c r="D60" s="6">
        <v>3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1</v>
      </c>
      <c r="L60" s="6">
        <v>1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7">
        <f t="shared" si="0"/>
        <v>24</v>
      </c>
    </row>
    <row r="61" spans="1:29" x14ac:dyDescent="0.2">
      <c r="A61" s="4" t="s">
        <v>171</v>
      </c>
      <c r="B61" s="5" t="s">
        <v>172</v>
      </c>
      <c r="C61" s="6">
        <v>3</v>
      </c>
      <c r="D61" s="6">
        <v>0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2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5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7">
        <f t="shared" si="0"/>
        <v>12</v>
      </c>
    </row>
    <row r="62" spans="1:29" x14ac:dyDescent="0.2">
      <c r="A62" s="4" t="s">
        <v>173</v>
      </c>
      <c r="B62" s="5" t="s">
        <v>174</v>
      </c>
      <c r="C62" s="6">
        <v>373</v>
      </c>
      <c r="D62" s="6">
        <v>11</v>
      </c>
      <c r="E62" s="6">
        <v>28</v>
      </c>
      <c r="F62" s="6">
        <v>2</v>
      </c>
      <c r="G62" s="6">
        <v>0</v>
      </c>
      <c r="H62" s="6">
        <v>0</v>
      </c>
      <c r="I62" s="6">
        <v>0</v>
      </c>
      <c r="J62" s="6">
        <v>0</v>
      </c>
      <c r="K62" s="6">
        <v>49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52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7">
        <f t="shared" si="0"/>
        <v>515</v>
      </c>
    </row>
    <row r="63" spans="1:29" x14ac:dyDescent="0.2">
      <c r="A63" s="4" t="s">
        <v>175</v>
      </c>
      <c r="B63" s="5" t="s">
        <v>176</v>
      </c>
      <c r="C63" s="6">
        <v>14</v>
      </c>
      <c r="D63" s="6">
        <v>7</v>
      </c>
      <c r="E63" s="6">
        <v>3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31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3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7">
        <f t="shared" si="0"/>
        <v>59</v>
      </c>
    </row>
    <row r="64" spans="1:29" x14ac:dyDescent="0.2">
      <c r="A64" s="4" t="s">
        <v>175</v>
      </c>
      <c r="B64" s="5" t="s">
        <v>177</v>
      </c>
      <c r="C64" s="6">
        <v>23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7">
        <f t="shared" si="0"/>
        <v>23</v>
      </c>
    </row>
    <row r="65" spans="1:29" x14ac:dyDescent="0.2">
      <c r="A65" s="4" t="s">
        <v>178</v>
      </c>
      <c r="B65" s="5" t="s">
        <v>179</v>
      </c>
      <c r="C65" s="6">
        <v>66</v>
      </c>
      <c r="D65" s="6">
        <v>1</v>
      </c>
      <c r="E65" s="6">
        <v>5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3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2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7">
        <f t="shared" si="0"/>
        <v>77</v>
      </c>
    </row>
    <row r="66" spans="1:29" x14ac:dyDescent="0.2">
      <c r="A66" s="4" t="s">
        <v>180</v>
      </c>
      <c r="B66" s="5" t="s">
        <v>181</v>
      </c>
      <c r="C66" s="6">
        <v>427</v>
      </c>
      <c r="D66" s="6">
        <v>27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26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11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7">
        <f t="shared" ref="AC66:AC129" si="1">SUM(C66:AB66)</f>
        <v>491</v>
      </c>
    </row>
    <row r="67" spans="1:29" x14ac:dyDescent="0.2">
      <c r="A67" s="4" t="s">
        <v>182</v>
      </c>
      <c r="B67" s="5" t="s">
        <v>183</v>
      </c>
      <c r="C67" s="6">
        <v>78</v>
      </c>
      <c r="D67" s="6">
        <v>8</v>
      </c>
      <c r="E67" s="6">
        <v>6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21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2</v>
      </c>
      <c r="R67" s="6">
        <v>0</v>
      </c>
      <c r="S67" s="6">
        <v>0</v>
      </c>
      <c r="T67" s="6">
        <v>1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7">
        <f t="shared" si="1"/>
        <v>117</v>
      </c>
    </row>
    <row r="68" spans="1:29" x14ac:dyDescent="0.2">
      <c r="A68" s="4" t="s">
        <v>182</v>
      </c>
      <c r="B68" s="5" t="s">
        <v>184</v>
      </c>
      <c r="C68" s="6">
        <v>514</v>
      </c>
      <c r="D68" s="6">
        <v>106</v>
      </c>
      <c r="E68" s="6">
        <v>31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60</v>
      </c>
      <c r="L68" s="6">
        <v>3</v>
      </c>
      <c r="M68" s="6">
        <v>2</v>
      </c>
      <c r="N68" s="6">
        <v>0</v>
      </c>
      <c r="O68" s="6">
        <v>0</v>
      </c>
      <c r="P68" s="6">
        <v>0</v>
      </c>
      <c r="Q68" s="6">
        <v>18</v>
      </c>
      <c r="R68" s="6">
        <v>0</v>
      </c>
      <c r="S68" s="6">
        <v>0</v>
      </c>
      <c r="T68" s="6">
        <v>1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1</v>
      </c>
      <c r="AA68" s="6">
        <v>0</v>
      </c>
      <c r="AB68" s="6">
        <v>0</v>
      </c>
      <c r="AC68" s="7">
        <f t="shared" si="1"/>
        <v>737</v>
      </c>
    </row>
    <row r="69" spans="1:29" x14ac:dyDescent="0.2">
      <c r="A69" s="4" t="s">
        <v>185</v>
      </c>
      <c r="B69" s="5" t="s">
        <v>186</v>
      </c>
      <c r="C69" s="6">
        <v>672</v>
      </c>
      <c r="D69" s="6">
        <v>42</v>
      </c>
      <c r="E69" s="6">
        <v>46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75</v>
      </c>
      <c r="L69" s="6">
        <v>10</v>
      </c>
      <c r="M69" s="6">
        <v>0</v>
      </c>
      <c r="N69" s="6">
        <v>3</v>
      </c>
      <c r="O69" s="6">
        <v>0</v>
      </c>
      <c r="P69" s="6">
        <v>0</v>
      </c>
      <c r="Q69" s="6">
        <v>67</v>
      </c>
      <c r="R69" s="6">
        <v>0</v>
      </c>
      <c r="S69" s="6">
        <v>0</v>
      </c>
      <c r="T69" s="6">
        <v>2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7">
        <f t="shared" si="1"/>
        <v>918</v>
      </c>
    </row>
    <row r="70" spans="1:29" x14ac:dyDescent="0.2">
      <c r="A70" s="4" t="s">
        <v>187</v>
      </c>
      <c r="B70" s="5" t="s">
        <v>188</v>
      </c>
      <c r="C70" s="6">
        <v>10</v>
      </c>
      <c r="D70" s="6">
        <v>2</v>
      </c>
      <c r="E70" s="6">
        <v>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3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7">
        <f t="shared" si="1"/>
        <v>16</v>
      </c>
    </row>
    <row r="71" spans="1:29" x14ac:dyDescent="0.2">
      <c r="A71" s="4" t="s">
        <v>189</v>
      </c>
      <c r="B71" s="5" t="s">
        <v>190</v>
      </c>
      <c r="C71" s="6">
        <v>206</v>
      </c>
      <c r="D71" s="6">
        <v>3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23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3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7">
        <f t="shared" si="1"/>
        <v>235</v>
      </c>
    </row>
    <row r="72" spans="1:29" x14ac:dyDescent="0.2">
      <c r="A72" s="4" t="s">
        <v>191</v>
      </c>
      <c r="B72" s="5" t="s">
        <v>192</v>
      </c>
      <c r="C72" s="6">
        <v>89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2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7">
        <f t="shared" si="1"/>
        <v>92</v>
      </c>
    </row>
    <row r="73" spans="1:29" x14ac:dyDescent="0.2">
      <c r="A73" s="4" t="s">
        <v>193</v>
      </c>
      <c r="B73" s="5" t="s">
        <v>194</v>
      </c>
      <c r="C73" s="6">
        <v>1537</v>
      </c>
      <c r="D73" s="6">
        <v>268</v>
      </c>
      <c r="E73" s="6">
        <v>36</v>
      </c>
      <c r="F73" s="6">
        <v>3</v>
      </c>
      <c r="G73" s="6">
        <v>1</v>
      </c>
      <c r="H73" s="6">
        <v>3</v>
      </c>
      <c r="I73" s="6">
        <v>0</v>
      </c>
      <c r="J73" s="6">
        <v>0</v>
      </c>
      <c r="K73" s="6">
        <v>68</v>
      </c>
      <c r="L73" s="6">
        <v>8</v>
      </c>
      <c r="M73" s="6">
        <v>4</v>
      </c>
      <c r="N73" s="6">
        <v>0</v>
      </c>
      <c r="O73" s="6">
        <v>0</v>
      </c>
      <c r="P73" s="6">
        <v>1</v>
      </c>
      <c r="Q73" s="6">
        <v>70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7">
        <f t="shared" si="1"/>
        <v>1999</v>
      </c>
    </row>
    <row r="74" spans="1:29" x14ac:dyDescent="0.2">
      <c r="A74" s="4" t="s">
        <v>195</v>
      </c>
      <c r="B74" s="5" t="s">
        <v>196</v>
      </c>
      <c r="C74" s="6">
        <v>17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7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7">
        <f t="shared" si="1"/>
        <v>25</v>
      </c>
    </row>
    <row r="75" spans="1:29" x14ac:dyDescent="0.2">
      <c r="A75" s="4" t="s">
        <v>197</v>
      </c>
      <c r="B75" s="5" t="s">
        <v>198</v>
      </c>
      <c r="C75" s="6">
        <v>448</v>
      </c>
      <c r="D75" s="6">
        <v>71</v>
      </c>
      <c r="E75" s="6">
        <v>45</v>
      </c>
      <c r="F75" s="6">
        <v>3</v>
      </c>
      <c r="G75" s="6">
        <v>0</v>
      </c>
      <c r="H75" s="6">
        <v>0</v>
      </c>
      <c r="I75" s="6">
        <v>0</v>
      </c>
      <c r="J75" s="6">
        <v>0</v>
      </c>
      <c r="K75" s="6">
        <v>337</v>
      </c>
      <c r="L75" s="6">
        <v>22</v>
      </c>
      <c r="M75" s="6">
        <v>0</v>
      </c>
      <c r="N75" s="6">
        <v>4</v>
      </c>
      <c r="O75" s="6">
        <v>0</v>
      </c>
      <c r="P75" s="6">
        <v>0</v>
      </c>
      <c r="Q75" s="6">
        <v>80</v>
      </c>
      <c r="R75" s="6">
        <v>0</v>
      </c>
      <c r="S75" s="6">
        <v>0</v>
      </c>
      <c r="T75" s="6">
        <v>16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7">
        <f t="shared" si="1"/>
        <v>1026</v>
      </c>
    </row>
    <row r="76" spans="1:29" x14ac:dyDescent="0.2">
      <c r="A76" s="4" t="s">
        <v>197</v>
      </c>
      <c r="B76" s="5" t="s">
        <v>199</v>
      </c>
      <c r="C76" s="6">
        <v>47</v>
      </c>
      <c r="D76" s="6">
        <v>17</v>
      </c>
      <c r="E76" s="6">
        <v>17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7</v>
      </c>
      <c r="L76" s="6">
        <v>2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7">
        <f t="shared" si="1"/>
        <v>91</v>
      </c>
    </row>
    <row r="77" spans="1:29" x14ac:dyDescent="0.2">
      <c r="A77" s="4" t="s">
        <v>200</v>
      </c>
      <c r="B77" s="5" t="s">
        <v>201</v>
      </c>
      <c r="C77" s="6">
        <v>313</v>
      </c>
      <c r="D77" s="6">
        <v>35</v>
      </c>
      <c r="E77" s="6">
        <v>9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64</v>
      </c>
      <c r="L77" s="6">
        <v>2</v>
      </c>
      <c r="M77" s="6">
        <v>0</v>
      </c>
      <c r="N77" s="6">
        <v>0</v>
      </c>
      <c r="O77" s="6">
        <v>0</v>
      </c>
      <c r="P77" s="6">
        <v>0</v>
      </c>
      <c r="Q77" s="6">
        <v>31</v>
      </c>
      <c r="R77" s="6">
        <v>0</v>
      </c>
      <c r="S77" s="6">
        <v>0</v>
      </c>
      <c r="T77" s="6">
        <v>2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7">
        <f t="shared" si="1"/>
        <v>456</v>
      </c>
    </row>
    <row r="78" spans="1:29" x14ac:dyDescent="0.2">
      <c r="A78" s="4" t="s">
        <v>202</v>
      </c>
      <c r="B78" s="5" t="s">
        <v>203</v>
      </c>
      <c r="C78" s="6">
        <v>35</v>
      </c>
      <c r="D78" s="6">
        <v>4</v>
      </c>
      <c r="E78" s="6">
        <v>5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28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7">
        <f t="shared" si="1"/>
        <v>74</v>
      </c>
    </row>
    <row r="79" spans="1:29" x14ac:dyDescent="0.2">
      <c r="A79" s="4" t="s">
        <v>204</v>
      </c>
      <c r="B79" s="5" t="s">
        <v>205</v>
      </c>
      <c r="C79" s="6">
        <v>433</v>
      </c>
      <c r="D79" s="6">
        <v>70</v>
      </c>
      <c r="E79" s="6">
        <v>49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40</v>
      </c>
      <c r="L79" s="6">
        <v>1</v>
      </c>
      <c r="M79" s="6">
        <v>0</v>
      </c>
      <c r="N79" s="6">
        <v>2</v>
      </c>
      <c r="O79" s="6">
        <v>0</v>
      </c>
      <c r="P79" s="6">
        <v>0</v>
      </c>
      <c r="Q79" s="6">
        <v>57</v>
      </c>
      <c r="R79" s="6">
        <v>0</v>
      </c>
      <c r="S79" s="6">
        <v>0</v>
      </c>
      <c r="T79" s="6">
        <v>2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7">
        <f t="shared" si="1"/>
        <v>654</v>
      </c>
    </row>
    <row r="80" spans="1:29" x14ac:dyDescent="0.2">
      <c r="A80" s="4" t="s">
        <v>206</v>
      </c>
      <c r="B80" s="5" t="s">
        <v>207</v>
      </c>
      <c r="C80" s="6">
        <v>10</v>
      </c>
      <c r="D80" s="6">
        <v>1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10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7">
        <f t="shared" si="1"/>
        <v>21</v>
      </c>
    </row>
    <row r="81" spans="1:29" x14ac:dyDescent="0.2">
      <c r="A81" s="4" t="s">
        <v>208</v>
      </c>
      <c r="B81" s="5" t="s">
        <v>209</v>
      </c>
      <c r="C81" s="6">
        <v>12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2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7">
        <f t="shared" si="1"/>
        <v>15</v>
      </c>
    </row>
    <row r="82" spans="1:29" x14ac:dyDescent="0.2">
      <c r="A82" s="4" t="s">
        <v>210</v>
      </c>
      <c r="B82" s="5" t="s">
        <v>211</v>
      </c>
      <c r="C82" s="6">
        <v>222</v>
      </c>
      <c r="D82" s="6">
        <v>4</v>
      </c>
      <c r="E82" s="6">
        <v>15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6">
        <v>75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9</v>
      </c>
      <c r="R82" s="6">
        <v>0</v>
      </c>
      <c r="S82" s="6">
        <v>1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7">
        <f t="shared" si="1"/>
        <v>327</v>
      </c>
    </row>
    <row r="83" spans="1:29" x14ac:dyDescent="0.2">
      <c r="A83" s="4" t="s">
        <v>212</v>
      </c>
      <c r="B83" s="5" t="s">
        <v>213</v>
      </c>
      <c r="C83" s="6">
        <v>671</v>
      </c>
      <c r="D83" s="6">
        <v>61</v>
      </c>
      <c r="E83" s="6">
        <v>67</v>
      </c>
      <c r="F83" s="6">
        <v>2</v>
      </c>
      <c r="G83" s="6">
        <v>0</v>
      </c>
      <c r="H83" s="6">
        <v>0</v>
      </c>
      <c r="I83" s="6">
        <v>0</v>
      </c>
      <c r="J83" s="6">
        <v>1</v>
      </c>
      <c r="K83" s="6">
        <v>589</v>
      </c>
      <c r="L83" s="6">
        <v>6</v>
      </c>
      <c r="M83" s="6">
        <v>2</v>
      </c>
      <c r="N83" s="6">
        <v>8</v>
      </c>
      <c r="O83" s="6">
        <v>0</v>
      </c>
      <c r="P83" s="6">
        <v>0</v>
      </c>
      <c r="Q83" s="6">
        <v>34</v>
      </c>
      <c r="R83" s="6">
        <v>8</v>
      </c>
      <c r="S83" s="6">
        <v>21</v>
      </c>
      <c r="T83" s="6">
        <v>0</v>
      </c>
      <c r="U83" s="6">
        <v>16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7">
        <f t="shared" si="1"/>
        <v>1486</v>
      </c>
    </row>
    <row r="84" spans="1:29" x14ac:dyDescent="0.2">
      <c r="A84" s="4" t="s">
        <v>214</v>
      </c>
      <c r="B84" s="5" t="s">
        <v>215</v>
      </c>
      <c r="C84" s="6">
        <v>655</v>
      </c>
      <c r="D84" s="6">
        <v>35</v>
      </c>
      <c r="E84" s="6">
        <v>51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314</v>
      </c>
      <c r="L84" s="6">
        <v>14</v>
      </c>
      <c r="M84" s="6">
        <v>1</v>
      </c>
      <c r="N84" s="6">
        <v>2</v>
      </c>
      <c r="O84" s="6">
        <v>1</v>
      </c>
      <c r="P84" s="6">
        <v>0</v>
      </c>
      <c r="Q84" s="6">
        <v>12</v>
      </c>
      <c r="R84" s="6">
        <v>0</v>
      </c>
      <c r="S84" s="6">
        <v>0</v>
      </c>
      <c r="T84" s="6">
        <v>12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7">
        <f t="shared" si="1"/>
        <v>1097</v>
      </c>
    </row>
    <row r="85" spans="1:29" x14ac:dyDescent="0.2">
      <c r="A85" s="4" t="s">
        <v>216</v>
      </c>
      <c r="B85" s="5" t="s">
        <v>217</v>
      </c>
      <c r="C85" s="6">
        <v>32</v>
      </c>
      <c r="D85" s="6">
        <v>0</v>
      </c>
      <c r="E85" s="6">
        <v>6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33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1</v>
      </c>
      <c r="R85" s="6">
        <v>1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7">
        <f t="shared" si="1"/>
        <v>73</v>
      </c>
    </row>
    <row r="86" spans="1:29" x14ac:dyDescent="0.2">
      <c r="A86" s="4" t="s">
        <v>218</v>
      </c>
      <c r="B86" s="5" t="s">
        <v>219</v>
      </c>
      <c r="C86" s="6">
        <v>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7">
        <f t="shared" si="1"/>
        <v>7</v>
      </c>
    </row>
    <row r="87" spans="1:29" x14ac:dyDescent="0.2">
      <c r="A87" s="4" t="s">
        <v>220</v>
      </c>
      <c r="B87" s="5" t="s">
        <v>221</v>
      </c>
      <c r="C87" s="6">
        <v>11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7">
        <f t="shared" si="1"/>
        <v>13</v>
      </c>
    </row>
    <row r="88" spans="1:29" x14ac:dyDescent="0.2">
      <c r="A88" s="4" t="s">
        <v>222</v>
      </c>
      <c r="B88" s="5" t="s">
        <v>223</v>
      </c>
      <c r="C88" s="6">
        <v>450</v>
      </c>
      <c r="D88" s="6">
        <v>1</v>
      </c>
      <c r="E88" s="6">
        <v>5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62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7">
        <f t="shared" si="1"/>
        <v>519</v>
      </c>
    </row>
    <row r="89" spans="1:29" x14ac:dyDescent="0.2">
      <c r="A89" s="4" t="s">
        <v>224</v>
      </c>
      <c r="B89" s="5" t="s">
        <v>225</v>
      </c>
      <c r="C89" s="6">
        <v>370</v>
      </c>
      <c r="D89" s="6">
        <v>128</v>
      </c>
      <c r="E89" s="6">
        <v>77</v>
      </c>
      <c r="F89" s="6">
        <v>3</v>
      </c>
      <c r="G89" s="6">
        <v>0</v>
      </c>
      <c r="H89" s="6">
        <v>0</v>
      </c>
      <c r="I89" s="6">
        <v>0</v>
      </c>
      <c r="J89" s="6">
        <v>0</v>
      </c>
      <c r="K89" s="6">
        <v>174</v>
      </c>
      <c r="L89" s="6">
        <v>32</v>
      </c>
      <c r="M89" s="6">
        <v>2</v>
      </c>
      <c r="N89" s="6">
        <v>2</v>
      </c>
      <c r="O89" s="6">
        <v>0</v>
      </c>
      <c r="P89" s="6">
        <v>0</v>
      </c>
      <c r="Q89" s="6">
        <v>8</v>
      </c>
      <c r="R89" s="6">
        <v>0</v>
      </c>
      <c r="S89" s="6">
        <v>0</v>
      </c>
      <c r="T89" s="6">
        <v>2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7">
        <f t="shared" si="1"/>
        <v>798</v>
      </c>
    </row>
    <row r="90" spans="1:29" x14ac:dyDescent="0.2">
      <c r="A90" s="4" t="s">
        <v>226</v>
      </c>
      <c r="B90" s="5" t="s">
        <v>227</v>
      </c>
      <c r="C90" s="6">
        <v>431</v>
      </c>
      <c r="D90" s="6">
        <v>6</v>
      </c>
      <c r="E90" s="6">
        <v>24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15</v>
      </c>
      <c r="L90" s="6">
        <v>1</v>
      </c>
      <c r="M90" s="6">
        <v>0</v>
      </c>
      <c r="N90" s="6">
        <v>0</v>
      </c>
      <c r="O90" s="6">
        <v>1</v>
      </c>
      <c r="P90" s="6">
        <v>0</v>
      </c>
      <c r="Q90" s="6">
        <v>3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7">
        <f t="shared" si="1"/>
        <v>481</v>
      </c>
    </row>
    <row r="91" spans="1:29" x14ac:dyDescent="0.2">
      <c r="A91" s="4" t="s">
        <v>228</v>
      </c>
      <c r="B91" s="5" t="s">
        <v>229</v>
      </c>
      <c r="C91" s="6">
        <v>84</v>
      </c>
      <c r="D91" s="6">
        <v>32</v>
      </c>
      <c r="E91" s="6">
        <v>23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94</v>
      </c>
      <c r="L91" s="6">
        <v>20</v>
      </c>
      <c r="M91" s="6">
        <v>0</v>
      </c>
      <c r="N91" s="6">
        <v>1</v>
      </c>
      <c r="O91" s="6">
        <v>0</v>
      </c>
      <c r="P91" s="6">
        <v>0</v>
      </c>
      <c r="Q91" s="6">
        <v>2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7">
        <f t="shared" si="1"/>
        <v>257</v>
      </c>
    </row>
    <row r="92" spans="1:29" x14ac:dyDescent="0.2">
      <c r="A92" s="4" t="s">
        <v>230</v>
      </c>
      <c r="B92" s="5" t="s">
        <v>231</v>
      </c>
      <c r="C92" s="6">
        <v>39</v>
      </c>
      <c r="D92" s="6">
        <v>0</v>
      </c>
      <c r="E92" s="6">
        <v>0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6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7">
        <f t="shared" si="1"/>
        <v>46</v>
      </c>
    </row>
    <row r="93" spans="1:29" x14ac:dyDescent="0.2">
      <c r="A93" s="4" t="s">
        <v>232</v>
      </c>
      <c r="B93" s="5" t="s">
        <v>233</v>
      </c>
      <c r="C93" s="6">
        <v>627</v>
      </c>
      <c r="D93" s="6">
        <v>244</v>
      </c>
      <c r="E93" s="6">
        <v>28</v>
      </c>
      <c r="F93" s="6">
        <v>16</v>
      </c>
      <c r="G93" s="6">
        <v>0</v>
      </c>
      <c r="H93" s="6">
        <v>1</v>
      </c>
      <c r="I93" s="6">
        <v>0</v>
      </c>
      <c r="J93" s="6">
        <v>0</v>
      </c>
      <c r="K93" s="6">
        <v>2805</v>
      </c>
      <c r="L93" s="6">
        <v>11</v>
      </c>
      <c r="M93" s="6">
        <v>14</v>
      </c>
      <c r="N93" s="6">
        <v>21</v>
      </c>
      <c r="O93" s="6">
        <v>6</v>
      </c>
      <c r="P93" s="6">
        <v>1</v>
      </c>
      <c r="Q93" s="6">
        <v>15</v>
      </c>
      <c r="R93" s="6">
        <v>0</v>
      </c>
      <c r="S93" s="6">
        <v>0</v>
      </c>
      <c r="T93" s="6">
        <v>3</v>
      </c>
      <c r="U93" s="6">
        <v>0</v>
      </c>
      <c r="V93" s="6">
        <v>0</v>
      </c>
      <c r="W93" s="6">
        <v>0</v>
      </c>
      <c r="X93" s="6">
        <v>0</v>
      </c>
      <c r="Y93" s="6">
        <v>1</v>
      </c>
      <c r="Z93" s="6">
        <v>0</v>
      </c>
      <c r="AA93" s="6">
        <v>0</v>
      </c>
      <c r="AB93" s="6">
        <v>0</v>
      </c>
      <c r="AC93" s="7">
        <f t="shared" si="1"/>
        <v>3793</v>
      </c>
    </row>
    <row r="94" spans="1:29" x14ac:dyDescent="0.2">
      <c r="A94" s="4" t="s">
        <v>234</v>
      </c>
      <c r="B94" s="5" t="s">
        <v>235</v>
      </c>
      <c r="C94" s="6">
        <v>125</v>
      </c>
      <c r="D94" s="6">
        <v>30</v>
      </c>
      <c r="E94" s="6">
        <v>0</v>
      </c>
      <c r="F94" s="6">
        <v>12</v>
      </c>
      <c r="G94" s="6">
        <v>2</v>
      </c>
      <c r="H94" s="6">
        <v>0</v>
      </c>
      <c r="I94" s="6">
        <v>0</v>
      </c>
      <c r="J94" s="6">
        <v>0</v>
      </c>
      <c r="K94" s="6">
        <v>542</v>
      </c>
      <c r="L94" s="6">
        <v>15</v>
      </c>
      <c r="M94" s="6">
        <v>7</v>
      </c>
      <c r="N94" s="6">
        <v>12</v>
      </c>
      <c r="O94" s="6">
        <v>1</v>
      </c>
      <c r="P94" s="6">
        <v>0</v>
      </c>
      <c r="Q94" s="6">
        <v>12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7">
        <f t="shared" si="1"/>
        <v>758</v>
      </c>
    </row>
    <row r="95" spans="1:29" x14ac:dyDescent="0.2">
      <c r="A95" s="4" t="s">
        <v>236</v>
      </c>
      <c r="B95" s="5" t="s">
        <v>237</v>
      </c>
      <c r="C95" s="6">
        <v>212</v>
      </c>
      <c r="D95" s="6">
        <v>73</v>
      </c>
      <c r="E95" s="6">
        <v>9</v>
      </c>
      <c r="F95" s="6">
        <v>6</v>
      </c>
      <c r="G95" s="6">
        <v>0</v>
      </c>
      <c r="H95" s="6">
        <v>0</v>
      </c>
      <c r="I95" s="6">
        <v>0</v>
      </c>
      <c r="J95" s="6">
        <v>0</v>
      </c>
      <c r="K95" s="6">
        <v>528</v>
      </c>
      <c r="L95" s="6">
        <v>2</v>
      </c>
      <c r="M95" s="6">
        <v>3</v>
      </c>
      <c r="N95" s="6">
        <v>6</v>
      </c>
      <c r="O95" s="6">
        <v>2</v>
      </c>
      <c r="P95" s="6">
        <v>0</v>
      </c>
      <c r="Q95" s="6">
        <v>6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7">
        <f t="shared" si="1"/>
        <v>847</v>
      </c>
    </row>
    <row r="96" spans="1:29" x14ac:dyDescent="0.2">
      <c r="A96" s="4" t="s">
        <v>238</v>
      </c>
      <c r="B96" s="5" t="s">
        <v>239</v>
      </c>
      <c r="C96" s="6">
        <v>28</v>
      </c>
      <c r="D96" s="6">
        <v>15</v>
      </c>
      <c r="E96" s="6">
        <v>1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210</v>
      </c>
      <c r="L96" s="6">
        <v>2</v>
      </c>
      <c r="M96" s="6">
        <v>3</v>
      </c>
      <c r="N96" s="6">
        <v>3</v>
      </c>
      <c r="O96" s="6">
        <v>0</v>
      </c>
      <c r="P96" s="6">
        <v>0</v>
      </c>
      <c r="Q96" s="6">
        <v>6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2</v>
      </c>
      <c r="AC96" s="7">
        <f t="shared" si="1"/>
        <v>272</v>
      </c>
    </row>
    <row r="97" spans="1:29" x14ac:dyDescent="0.2">
      <c r="A97" s="4" t="s">
        <v>240</v>
      </c>
      <c r="B97" s="5" t="s">
        <v>241</v>
      </c>
      <c r="C97" s="6">
        <v>56</v>
      </c>
      <c r="D97" s="6">
        <v>2</v>
      </c>
      <c r="E97" s="6">
        <v>3</v>
      </c>
      <c r="F97" s="6">
        <v>7</v>
      </c>
      <c r="G97" s="6">
        <v>0</v>
      </c>
      <c r="H97" s="6">
        <v>0</v>
      </c>
      <c r="I97" s="6">
        <v>0</v>
      </c>
      <c r="J97" s="6">
        <v>0</v>
      </c>
      <c r="K97" s="6">
        <v>30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7">
        <f t="shared" si="1"/>
        <v>99</v>
      </c>
    </row>
    <row r="98" spans="1:29" x14ac:dyDescent="0.2">
      <c r="A98" s="4" t="s">
        <v>242</v>
      </c>
      <c r="B98" s="5" t="s">
        <v>243</v>
      </c>
      <c r="C98" s="6">
        <v>25</v>
      </c>
      <c r="D98" s="6">
        <v>8</v>
      </c>
      <c r="E98" s="6">
        <v>4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80</v>
      </c>
      <c r="L98" s="6">
        <v>0</v>
      </c>
      <c r="M98" s="6">
        <v>1</v>
      </c>
      <c r="N98" s="6">
        <v>1</v>
      </c>
      <c r="O98" s="6">
        <v>0</v>
      </c>
      <c r="P98" s="6">
        <v>0</v>
      </c>
      <c r="Q98" s="6">
        <v>4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7">
        <f t="shared" si="1"/>
        <v>124</v>
      </c>
    </row>
    <row r="99" spans="1:29" x14ac:dyDescent="0.2">
      <c r="A99" s="4" t="s">
        <v>244</v>
      </c>
      <c r="B99" s="5" t="s">
        <v>245</v>
      </c>
      <c r="C99" s="6">
        <v>58</v>
      </c>
      <c r="D99" s="6">
        <v>18</v>
      </c>
      <c r="E99" s="6">
        <v>6</v>
      </c>
      <c r="F99" s="6">
        <v>6</v>
      </c>
      <c r="G99" s="6">
        <v>0</v>
      </c>
      <c r="H99" s="6">
        <v>0</v>
      </c>
      <c r="I99" s="6">
        <v>0</v>
      </c>
      <c r="J99" s="6">
        <v>0</v>
      </c>
      <c r="K99" s="6">
        <v>315</v>
      </c>
      <c r="L99" s="6">
        <v>8</v>
      </c>
      <c r="M99" s="6">
        <v>1</v>
      </c>
      <c r="N99" s="6">
        <v>5</v>
      </c>
      <c r="O99" s="6">
        <v>0</v>
      </c>
      <c r="P99" s="6">
        <v>0</v>
      </c>
      <c r="Q99" s="6">
        <v>5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7">
        <f t="shared" si="1"/>
        <v>422</v>
      </c>
    </row>
    <row r="100" spans="1:29" x14ac:dyDescent="0.2">
      <c r="A100" s="4" t="s">
        <v>246</v>
      </c>
      <c r="B100" s="5" t="s">
        <v>247</v>
      </c>
      <c r="C100" s="6">
        <v>232</v>
      </c>
      <c r="D100" s="6">
        <v>83</v>
      </c>
      <c r="E100" s="6">
        <v>16</v>
      </c>
      <c r="F100" s="6">
        <v>18</v>
      </c>
      <c r="G100" s="6">
        <v>0</v>
      </c>
      <c r="H100" s="6">
        <v>0</v>
      </c>
      <c r="I100" s="6">
        <v>0</v>
      </c>
      <c r="J100" s="6">
        <v>0</v>
      </c>
      <c r="K100" s="6">
        <v>506</v>
      </c>
      <c r="L100" s="6">
        <v>8</v>
      </c>
      <c r="M100" s="6">
        <v>3</v>
      </c>
      <c r="N100" s="6">
        <v>17</v>
      </c>
      <c r="O100" s="6">
        <v>3</v>
      </c>
      <c r="P100" s="6">
        <v>1</v>
      </c>
      <c r="Q100" s="6">
        <v>37</v>
      </c>
      <c r="R100" s="6">
        <v>0</v>
      </c>
      <c r="S100" s="6">
        <v>0</v>
      </c>
      <c r="T100" s="6">
        <v>6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7">
        <f t="shared" si="1"/>
        <v>930</v>
      </c>
    </row>
    <row r="101" spans="1:29" x14ac:dyDescent="0.2">
      <c r="A101" s="4" t="s">
        <v>248</v>
      </c>
      <c r="B101" s="5" t="s">
        <v>249</v>
      </c>
      <c r="C101" s="6">
        <v>11</v>
      </c>
      <c r="D101" s="6">
        <v>0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11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7">
        <f t="shared" si="1"/>
        <v>24</v>
      </c>
    </row>
    <row r="102" spans="1:29" x14ac:dyDescent="0.2">
      <c r="A102" s="4" t="s">
        <v>250</v>
      </c>
      <c r="B102" s="5" t="s">
        <v>251</v>
      </c>
      <c r="C102" s="6">
        <v>112</v>
      </c>
      <c r="D102" s="6">
        <v>5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3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7">
        <f t="shared" si="1"/>
        <v>121</v>
      </c>
    </row>
    <row r="103" spans="1:29" x14ac:dyDescent="0.2">
      <c r="A103" s="4" t="s">
        <v>252</v>
      </c>
      <c r="B103" s="5" t="s">
        <v>253</v>
      </c>
      <c r="C103" s="6">
        <v>3</v>
      </c>
      <c r="D103" s="6">
        <v>1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7">
        <f t="shared" si="1"/>
        <v>5</v>
      </c>
    </row>
    <row r="104" spans="1:29" x14ac:dyDescent="0.2">
      <c r="A104" s="4" t="s">
        <v>254</v>
      </c>
      <c r="B104" s="5" t="s">
        <v>255</v>
      </c>
      <c r="C104" s="6">
        <v>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7">
        <f t="shared" si="1"/>
        <v>6</v>
      </c>
    </row>
    <row r="105" spans="1:29" x14ac:dyDescent="0.2">
      <c r="A105" s="4" t="s">
        <v>256</v>
      </c>
      <c r="B105" s="5" t="s">
        <v>257</v>
      </c>
      <c r="C105" s="6">
        <v>199</v>
      </c>
      <c r="D105" s="6">
        <v>17</v>
      </c>
      <c r="E105" s="6">
        <v>13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19</v>
      </c>
      <c r="L105" s="6">
        <v>5</v>
      </c>
      <c r="M105" s="6">
        <v>0</v>
      </c>
      <c r="N105" s="6">
        <v>0</v>
      </c>
      <c r="O105" s="6">
        <v>0</v>
      </c>
      <c r="P105" s="6">
        <v>0</v>
      </c>
      <c r="Q105" s="6">
        <v>35</v>
      </c>
      <c r="R105" s="6">
        <v>0</v>
      </c>
      <c r="S105" s="6">
        <v>0</v>
      </c>
      <c r="T105" s="6">
        <v>8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7">
        <f t="shared" si="1"/>
        <v>296</v>
      </c>
    </row>
    <row r="106" spans="1:29" x14ac:dyDescent="0.2">
      <c r="A106" s="4" t="s">
        <v>258</v>
      </c>
      <c r="B106" s="5" t="s">
        <v>259</v>
      </c>
      <c r="C106" s="6">
        <v>36</v>
      </c>
      <c r="D106" s="6">
        <v>1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7">
        <f t="shared" si="1"/>
        <v>38</v>
      </c>
    </row>
    <row r="107" spans="1:29" x14ac:dyDescent="0.2">
      <c r="A107" s="4" t="s">
        <v>260</v>
      </c>
      <c r="B107" s="5" t="s">
        <v>261</v>
      </c>
      <c r="C107" s="6">
        <v>7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3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7">
        <f t="shared" si="1"/>
        <v>10</v>
      </c>
    </row>
    <row r="108" spans="1:29" x14ac:dyDescent="0.2">
      <c r="A108" s="4" t="s">
        <v>262</v>
      </c>
      <c r="B108" s="5" t="s">
        <v>263</v>
      </c>
      <c r="C108" s="6">
        <v>43</v>
      </c>
      <c r="D108" s="6">
        <v>1</v>
      </c>
      <c r="E108" s="6">
        <v>3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15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4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7">
        <f t="shared" si="1"/>
        <v>66</v>
      </c>
    </row>
    <row r="109" spans="1:29" x14ac:dyDescent="0.2">
      <c r="A109" s="4" t="s">
        <v>264</v>
      </c>
      <c r="B109" s="5" t="s">
        <v>265</v>
      </c>
      <c r="C109" s="6">
        <v>144</v>
      </c>
      <c r="D109" s="6">
        <v>4</v>
      </c>
      <c r="E109" s="6">
        <v>37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57</v>
      </c>
      <c r="L109" s="6">
        <v>0</v>
      </c>
      <c r="M109" s="6">
        <v>0</v>
      </c>
      <c r="N109" s="6">
        <v>2</v>
      </c>
      <c r="O109" s="6">
        <v>2</v>
      </c>
      <c r="P109" s="6">
        <v>0</v>
      </c>
      <c r="Q109" s="6">
        <v>9</v>
      </c>
      <c r="R109" s="6">
        <v>0</v>
      </c>
      <c r="S109" s="6">
        <v>0</v>
      </c>
      <c r="T109" s="6">
        <v>3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7">
        <f t="shared" si="1"/>
        <v>258</v>
      </c>
    </row>
    <row r="110" spans="1:29" x14ac:dyDescent="0.2">
      <c r="A110" s="4" t="s">
        <v>266</v>
      </c>
      <c r="B110" s="5" t="s">
        <v>267</v>
      </c>
      <c r="C110" s="6">
        <v>16</v>
      </c>
      <c r="D110" s="6">
        <v>0</v>
      </c>
      <c r="E110" s="6">
        <v>3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8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7">
        <f t="shared" si="1"/>
        <v>27</v>
      </c>
    </row>
    <row r="111" spans="1:29" x14ac:dyDescent="0.2">
      <c r="A111" s="4" t="s">
        <v>268</v>
      </c>
      <c r="B111" s="5" t="s">
        <v>269</v>
      </c>
      <c r="C111" s="6">
        <v>25</v>
      </c>
      <c r="D111" s="6">
        <v>1</v>
      </c>
      <c r="E111" s="6">
        <v>11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26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4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2</v>
      </c>
      <c r="AC111" s="7">
        <f t="shared" si="1"/>
        <v>69</v>
      </c>
    </row>
    <row r="112" spans="1:29" x14ac:dyDescent="0.2">
      <c r="A112" s="4" t="s">
        <v>270</v>
      </c>
      <c r="B112" s="5" t="s">
        <v>271</v>
      </c>
      <c r="C112" s="6">
        <v>369</v>
      </c>
      <c r="D112" s="6">
        <v>18</v>
      </c>
      <c r="E112" s="6">
        <v>63</v>
      </c>
      <c r="F112" s="6">
        <v>1</v>
      </c>
      <c r="G112" s="6">
        <v>0</v>
      </c>
      <c r="H112" s="6">
        <v>0</v>
      </c>
      <c r="I112" s="6">
        <v>0</v>
      </c>
      <c r="J112" s="6">
        <v>0</v>
      </c>
      <c r="K112" s="6">
        <v>144</v>
      </c>
      <c r="L112" s="6">
        <v>3</v>
      </c>
      <c r="M112" s="6">
        <v>1</v>
      </c>
      <c r="N112" s="6">
        <v>2</v>
      </c>
      <c r="O112" s="6">
        <v>0</v>
      </c>
      <c r="P112" s="6">
        <v>0</v>
      </c>
      <c r="Q112" s="6">
        <v>39</v>
      </c>
      <c r="R112" s="6">
        <v>0</v>
      </c>
      <c r="S112" s="6">
        <v>0</v>
      </c>
      <c r="T112" s="6">
        <v>14</v>
      </c>
      <c r="U112" s="6">
        <v>0</v>
      </c>
      <c r="V112" s="6">
        <v>0</v>
      </c>
      <c r="W112" s="6">
        <v>0</v>
      </c>
      <c r="X112" s="6">
        <v>0</v>
      </c>
      <c r="Y112" s="6">
        <v>3</v>
      </c>
      <c r="Z112" s="6">
        <v>0</v>
      </c>
      <c r="AA112" s="6">
        <v>0</v>
      </c>
      <c r="AB112" s="6">
        <v>0</v>
      </c>
      <c r="AC112" s="7">
        <f t="shared" si="1"/>
        <v>657</v>
      </c>
    </row>
    <row r="113" spans="1:29" x14ac:dyDescent="0.2">
      <c r="A113" s="4" t="s">
        <v>272</v>
      </c>
      <c r="B113" s="5" t="s">
        <v>273</v>
      </c>
      <c r="C113" s="6">
        <v>47</v>
      </c>
      <c r="D113" s="6">
        <v>2</v>
      </c>
      <c r="E113" s="6">
        <v>8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21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3</v>
      </c>
      <c r="R113" s="6">
        <v>0</v>
      </c>
      <c r="S113" s="6">
        <v>0</v>
      </c>
      <c r="T113" s="6">
        <v>2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7">
        <f t="shared" si="1"/>
        <v>83</v>
      </c>
    </row>
    <row r="114" spans="1:29" x14ac:dyDescent="0.2">
      <c r="A114" s="4" t="s">
        <v>274</v>
      </c>
      <c r="B114" s="5" t="s">
        <v>275</v>
      </c>
      <c r="C114" s="6">
        <v>149</v>
      </c>
      <c r="D114" s="6">
        <v>11</v>
      </c>
      <c r="E114" s="6">
        <v>24</v>
      </c>
      <c r="F114" s="6">
        <v>0</v>
      </c>
      <c r="G114" s="6">
        <v>0</v>
      </c>
      <c r="H114" s="6">
        <v>1</v>
      </c>
      <c r="I114" s="6">
        <v>0</v>
      </c>
      <c r="J114" s="6">
        <v>0</v>
      </c>
      <c r="K114" s="6">
        <v>122</v>
      </c>
      <c r="L114" s="6">
        <v>2</v>
      </c>
      <c r="M114" s="6">
        <v>0</v>
      </c>
      <c r="N114" s="6">
        <v>0</v>
      </c>
      <c r="O114" s="6">
        <v>0</v>
      </c>
      <c r="P114" s="6">
        <v>0</v>
      </c>
      <c r="Q114" s="6">
        <v>11</v>
      </c>
      <c r="R114" s="6">
        <v>0</v>
      </c>
      <c r="S114" s="6">
        <v>0</v>
      </c>
      <c r="T114" s="6">
        <v>1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7">
        <f t="shared" si="1"/>
        <v>321</v>
      </c>
    </row>
    <row r="115" spans="1:29" x14ac:dyDescent="0.2">
      <c r="A115" s="4" t="s">
        <v>276</v>
      </c>
      <c r="B115" s="5" t="s">
        <v>277</v>
      </c>
      <c r="C115" s="6">
        <v>377</v>
      </c>
      <c r="D115" s="6">
        <v>6</v>
      </c>
      <c r="E115" s="6">
        <v>48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183</v>
      </c>
      <c r="L115" s="6">
        <v>2</v>
      </c>
      <c r="M115" s="6">
        <v>0</v>
      </c>
      <c r="N115" s="6">
        <v>0</v>
      </c>
      <c r="O115" s="6">
        <v>0</v>
      </c>
      <c r="P115" s="6">
        <v>0</v>
      </c>
      <c r="Q115" s="6">
        <v>3</v>
      </c>
      <c r="R115" s="6">
        <v>0</v>
      </c>
      <c r="S115" s="6">
        <v>0</v>
      </c>
      <c r="T115" s="6">
        <v>2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7">
        <f t="shared" si="1"/>
        <v>621</v>
      </c>
    </row>
    <row r="116" spans="1:29" x14ac:dyDescent="0.2">
      <c r="A116" s="4" t="s">
        <v>278</v>
      </c>
      <c r="B116" s="5" t="s">
        <v>279</v>
      </c>
      <c r="C116" s="6">
        <v>71</v>
      </c>
      <c r="D116" s="6">
        <v>3</v>
      </c>
      <c r="E116" s="6">
        <v>23</v>
      </c>
      <c r="F116" s="6">
        <v>0</v>
      </c>
      <c r="G116" s="6">
        <v>0</v>
      </c>
      <c r="H116" s="6">
        <v>2</v>
      </c>
      <c r="I116" s="6">
        <v>0</v>
      </c>
      <c r="J116" s="6">
        <v>0</v>
      </c>
      <c r="K116" s="6">
        <v>19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3</v>
      </c>
      <c r="T116" s="6">
        <v>0</v>
      </c>
      <c r="U116" s="6">
        <v>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7">
        <f t="shared" si="1"/>
        <v>122</v>
      </c>
    </row>
    <row r="117" spans="1:29" x14ac:dyDescent="0.2">
      <c r="A117" s="4" t="s">
        <v>280</v>
      </c>
      <c r="B117" s="5" t="s">
        <v>281</v>
      </c>
      <c r="C117" s="6">
        <v>2</v>
      </c>
      <c r="D117" s="6">
        <v>0</v>
      </c>
      <c r="E117" s="6">
        <v>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7">
        <f t="shared" si="1"/>
        <v>5</v>
      </c>
    </row>
    <row r="118" spans="1:29" x14ac:dyDescent="0.2">
      <c r="A118" s="4" t="s">
        <v>282</v>
      </c>
      <c r="B118" s="5" t="s">
        <v>283</v>
      </c>
      <c r="C118" s="6">
        <v>34</v>
      </c>
      <c r="D118" s="6">
        <v>1</v>
      </c>
      <c r="E118" s="6">
        <v>4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18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7">
        <f t="shared" si="1"/>
        <v>57</v>
      </c>
    </row>
    <row r="119" spans="1:29" x14ac:dyDescent="0.2">
      <c r="A119" s="4" t="s">
        <v>284</v>
      </c>
      <c r="B119" s="5" t="s">
        <v>285</v>
      </c>
      <c r="C119" s="6">
        <v>58</v>
      </c>
      <c r="D119" s="6">
        <v>0</v>
      </c>
      <c r="E119" s="6">
        <v>3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6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7">
        <f t="shared" si="1"/>
        <v>67</v>
      </c>
    </row>
    <row r="120" spans="1:29" x14ac:dyDescent="0.2">
      <c r="A120" s="4" t="s">
        <v>286</v>
      </c>
      <c r="B120" s="5" t="s">
        <v>287</v>
      </c>
      <c r="C120" s="6">
        <v>21</v>
      </c>
      <c r="D120" s="6">
        <v>0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7">
        <f t="shared" si="1"/>
        <v>22</v>
      </c>
    </row>
    <row r="121" spans="1:29" x14ac:dyDescent="0.2">
      <c r="A121" s="4" t="s">
        <v>288</v>
      </c>
      <c r="B121" s="5" t="s">
        <v>289</v>
      </c>
      <c r="C121" s="6">
        <v>8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7">
        <f t="shared" si="1"/>
        <v>8</v>
      </c>
    </row>
    <row r="122" spans="1:29" x14ac:dyDescent="0.2">
      <c r="A122" s="4" t="s">
        <v>290</v>
      </c>
      <c r="B122" s="5" t="s">
        <v>291</v>
      </c>
      <c r="C122" s="6">
        <v>12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4</v>
      </c>
      <c r="L122" s="6">
        <v>0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7">
        <f t="shared" si="1"/>
        <v>17</v>
      </c>
    </row>
    <row r="123" spans="1:29" x14ac:dyDescent="0.2">
      <c r="A123" s="4" t="s">
        <v>292</v>
      </c>
      <c r="B123" s="5" t="s">
        <v>293</v>
      </c>
      <c r="C123" s="6">
        <v>12</v>
      </c>
      <c r="D123" s="6">
        <v>0</v>
      </c>
      <c r="E123" s="6">
        <v>2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7">
        <f t="shared" si="1"/>
        <v>15</v>
      </c>
    </row>
    <row r="124" spans="1:29" x14ac:dyDescent="0.2">
      <c r="A124" s="4" t="s">
        <v>294</v>
      </c>
      <c r="B124" s="5" t="s">
        <v>295</v>
      </c>
      <c r="C124" s="6">
        <v>155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7">
        <f t="shared" si="1"/>
        <v>156</v>
      </c>
    </row>
    <row r="125" spans="1:29" x14ac:dyDescent="0.2">
      <c r="A125" s="4" t="s">
        <v>296</v>
      </c>
      <c r="B125" s="5" t="s">
        <v>297</v>
      </c>
      <c r="C125" s="6">
        <v>58</v>
      </c>
      <c r="D125" s="6">
        <v>1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2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7">
        <f t="shared" si="1"/>
        <v>61</v>
      </c>
    </row>
    <row r="126" spans="1:29" x14ac:dyDescent="0.2">
      <c r="A126" s="4" t="s">
        <v>298</v>
      </c>
      <c r="B126" s="10" t="s">
        <v>299</v>
      </c>
      <c r="C126" s="6">
        <v>398</v>
      </c>
      <c r="D126" s="6">
        <v>32</v>
      </c>
      <c r="E126" s="6">
        <v>3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0</v>
      </c>
      <c r="N126" s="6">
        <v>0</v>
      </c>
      <c r="O126" s="6">
        <v>0</v>
      </c>
      <c r="P126" s="6">
        <v>0</v>
      </c>
      <c r="Q126" s="6">
        <v>3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7">
        <f t="shared" si="1"/>
        <v>437</v>
      </c>
    </row>
    <row r="127" spans="1:29" x14ac:dyDescent="0.2">
      <c r="A127" s="4" t="s">
        <v>300</v>
      </c>
      <c r="B127" s="10" t="s">
        <v>301</v>
      </c>
      <c r="C127" s="6">
        <v>15</v>
      </c>
      <c r="D127" s="6">
        <v>1</v>
      </c>
      <c r="E127" s="6">
        <v>1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1</v>
      </c>
      <c r="R127" s="6">
        <v>0</v>
      </c>
      <c r="S127" s="6">
        <v>1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7">
        <f t="shared" si="1"/>
        <v>20</v>
      </c>
    </row>
    <row r="128" spans="1:29" x14ac:dyDescent="0.2">
      <c r="A128" s="4" t="s">
        <v>302</v>
      </c>
      <c r="B128" s="10" t="s">
        <v>303</v>
      </c>
      <c r="C128" s="6">
        <v>19</v>
      </c>
      <c r="D128" s="6">
        <v>0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8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7">
        <f t="shared" si="1"/>
        <v>28</v>
      </c>
    </row>
    <row r="129" spans="1:29" x14ac:dyDescent="0.2">
      <c r="A129" s="4" t="s">
        <v>304</v>
      </c>
      <c r="B129" s="10" t="s">
        <v>305</v>
      </c>
      <c r="C129" s="6">
        <v>108</v>
      </c>
      <c r="D129" s="6">
        <v>6</v>
      </c>
      <c r="E129" s="6">
        <v>6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14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4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7">
        <f t="shared" si="1"/>
        <v>139</v>
      </c>
    </row>
    <row r="130" spans="1:29" x14ac:dyDescent="0.2">
      <c r="A130" s="4" t="s">
        <v>306</v>
      </c>
      <c r="B130" s="10" t="s">
        <v>307</v>
      </c>
      <c r="C130" s="6">
        <v>437</v>
      </c>
      <c r="D130" s="6">
        <v>36</v>
      </c>
      <c r="E130" s="6">
        <v>14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3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12</v>
      </c>
      <c r="R130" s="6">
        <v>2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7">
        <f t="shared" ref="AC130:AC193" si="2">SUM(C130:AB130)</f>
        <v>506</v>
      </c>
    </row>
    <row r="131" spans="1:29" x14ac:dyDescent="0.2">
      <c r="A131" s="4" t="s">
        <v>308</v>
      </c>
      <c r="B131" s="10" t="s">
        <v>309</v>
      </c>
      <c r="C131" s="6">
        <v>168</v>
      </c>
      <c r="D131" s="6">
        <v>10</v>
      </c>
      <c r="E131" s="6">
        <v>6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3</v>
      </c>
      <c r="R131" s="6">
        <v>2</v>
      </c>
      <c r="S131" s="6">
        <v>2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7">
        <f t="shared" si="2"/>
        <v>191</v>
      </c>
    </row>
    <row r="132" spans="1:29" x14ac:dyDescent="0.2">
      <c r="A132" s="4" t="s">
        <v>310</v>
      </c>
      <c r="B132" s="10" t="s">
        <v>311</v>
      </c>
      <c r="C132" s="6">
        <v>572</v>
      </c>
      <c r="D132" s="6">
        <v>5</v>
      </c>
      <c r="E132" s="6">
        <v>65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312</v>
      </c>
      <c r="L132" s="6">
        <v>0</v>
      </c>
      <c r="M132" s="6">
        <v>0</v>
      </c>
      <c r="N132" s="6">
        <v>0</v>
      </c>
      <c r="O132" s="6">
        <v>2</v>
      </c>
      <c r="P132" s="6">
        <v>0</v>
      </c>
      <c r="Q132" s="6">
        <v>13</v>
      </c>
      <c r="R132" s="6">
        <v>6</v>
      </c>
      <c r="S132" s="6">
        <v>10</v>
      </c>
      <c r="T132" s="6">
        <v>3</v>
      </c>
      <c r="U132" s="6">
        <v>6</v>
      </c>
      <c r="V132" s="6">
        <v>0</v>
      </c>
      <c r="W132" s="6">
        <v>0</v>
      </c>
      <c r="X132" s="6">
        <v>0</v>
      </c>
      <c r="Y132" s="6">
        <v>2</v>
      </c>
      <c r="Z132" s="6">
        <v>1</v>
      </c>
      <c r="AA132" s="6">
        <v>0</v>
      </c>
      <c r="AB132" s="6">
        <v>0</v>
      </c>
      <c r="AC132" s="7">
        <f t="shared" si="2"/>
        <v>998</v>
      </c>
    </row>
    <row r="133" spans="1:29" x14ac:dyDescent="0.2">
      <c r="A133" s="4" t="s">
        <v>312</v>
      </c>
      <c r="B133" s="10" t="s">
        <v>313</v>
      </c>
      <c r="C133" s="6">
        <v>480</v>
      </c>
      <c r="D133" s="6">
        <v>26</v>
      </c>
      <c r="E133" s="6">
        <v>63</v>
      </c>
      <c r="F133" s="6">
        <v>10</v>
      </c>
      <c r="G133" s="6">
        <v>0</v>
      </c>
      <c r="H133" s="6">
        <v>0</v>
      </c>
      <c r="I133" s="6">
        <v>0</v>
      </c>
      <c r="J133" s="6">
        <v>4</v>
      </c>
      <c r="K133" s="6">
        <v>312</v>
      </c>
      <c r="L133" s="6">
        <v>3</v>
      </c>
      <c r="M133" s="6">
        <v>0</v>
      </c>
      <c r="N133" s="6">
        <v>0</v>
      </c>
      <c r="O133" s="6">
        <v>8</v>
      </c>
      <c r="P133" s="6">
        <v>0</v>
      </c>
      <c r="Q133" s="6">
        <v>24</v>
      </c>
      <c r="R133" s="6">
        <v>3</v>
      </c>
      <c r="S133" s="6">
        <v>6</v>
      </c>
      <c r="T133" s="6">
        <v>0</v>
      </c>
      <c r="U133" s="6">
        <v>2</v>
      </c>
      <c r="V133" s="6">
        <v>0</v>
      </c>
      <c r="W133" s="6">
        <v>0</v>
      </c>
      <c r="X133" s="6">
        <v>0</v>
      </c>
      <c r="Y133" s="6">
        <v>2</v>
      </c>
      <c r="Z133" s="6">
        <v>2</v>
      </c>
      <c r="AA133" s="6">
        <v>0</v>
      </c>
      <c r="AB133" s="6">
        <v>0</v>
      </c>
      <c r="AC133" s="7">
        <f t="shared" si="2"/>
        <v>945</v>
      </c>
    </row>
    <row r="134" spans="1:29" x14ac:dyDescent="0.2">
      <c r="A134" s="4" t="s">
        <v>314</v>
      </c>
      <c r="B134" s="10" t="s">
        <v>315</v>
      </c>
      <c r="C134" s="6">
        <v>25</v>
      </c>
      <c r="D134" s="6">
        <v>1</v>
      </c>
      <c r="E134" s="6">
        <v>3</v>
      </c>
      <c r="F134" s="6">
        <v>1</v>
      </c>
      <c r="G134" s="6">
        <v>0</v>
      </c>
      <c r="H134" s="6">
        <v>0</v>
      </c>
      <c r="I134" s="6">
        <v>0</v>
      </c>
      <c r="J134" s="6">
        <v>12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7">
        <f t="shared" si="2"/>
        <v>43</v>
      </c>
    </row>
    <row r="135" spans="1:29" x14ac:dyDescent="0.2">
      <c r="A135" s="4" t="s">
        <v>316</v>
      </c>
      <c r="B135" s="10" t="s">
        <v>317</v>
      </c>
      <c r="C135" s="6">
        <v>888</v>
      </c>
      <c r="D135" s="6">
        <v>7</v>
      </c>
      <c r="E135" s="6">
        <v>47</v>
      </c>
      <c r="F135" s="6">
        <v>2</v>
      </c>
      <c r="G135" s="6">
        <v>0</v>
      </c>
      <c r="H135" s="6">
        <v>0</v>
      </c>
      <c r="I135" s="6">
        <v>0</v>
      </c>
      <c r="J135" s="6">
        <v>1</v>
      </c>
      <c r="K135" s="6">
        <v>192</v>
      </c>
      <c r="L135" s="6">
        <v>0</v>
      </c>
      <c r="M135" s="6">
        <v>0</v>
      </c>
      <c r="N135" s="6">
        <v>0</v>
      </c>
      <c r="O135" s="6">
        <v>8</v>
      </c>
      <c r="P135" s="6">
        <v>0</v>
      </c>
      <c r="Q135" s="6">
        <v>6</v>
      </c>
      <c r="R135" s="6">
        <v>0</v>
      </c>
      <c r="S135" s="6">
        <v>6</v>
      </c>
      <c r="T135" s="6">
        <v>0</v>
      </c>
      <c r="U135" s="6">
        <v>5</v>
      </c>
      <c r="V135" s="6">
        <v>0</v>
      </c>
      <c r="W135" s="6">
        <v>0</v>
      </c>
      <c r="X135" s="6">
        <v>0</v>
      </c>
      <c r="Y135" s="6">
        <v>0</v>
      </c>
      <c r="Z135" s="6">
        <v>2</v>
      </c>
      <c r="AA135" s="6">
        <v>0</v>
      </c>
      <c r="AB135" s="6">
        <v>0</v>
      </c>
      <c r="AC135" s="7">
        <f t="shared" si="2"/>
        <v>1164</v>
      </c>
    </row>
    <row r="136" spans="1:29" x14ac:dyDescent="0.2">
      <c r="A136" s="4" t="s">
        <v>216</v>
      </c>
      <c r="B136" s="10" t="s">
        <v>318</v>
      </c>
      <c r="C136" s="6">
        <v>5</v>
      </c>
      <c r="D136" s="6">
        <v>0</v>
      </c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7">
        <f t="shared" si="2"/>
        <v>6</v>
      </c>
    </row>
    <row r="137" spans="1:29" x14ac:dyDescent="0.2">
      <c r="A137" s="4" t="s">
        <v>319</v>
      </c>
      <c r="B137" s="10" t="s">
        <v>320</v>
      </c>
      <c r="C137" s="6">
        <v>11</v>
      </c>
      <c r="D137" s="6">
        <v>1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5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7">
        <f t="shared" si="2"/>
        <v>19</v>
      </c>
    </row>
    <row r="138" spans="1:29" x14ac:dyDescent="0.2">
      <c r="A138" s="4" t="s">
        <v>321</v>
      </c>
      <c r="B138" s="10" t="s">
        <v>322</v>
      </c>
      <c r="C138" s="6">
        <v>116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2</v>
      </c>
      <c r="R138" s="6">
        <v>0</v>
      </c>
      <c r="S138" s="6">
        <v>0</v>
      </c>
      <c r="T138" s="6">
        <v>0</v>
      </c>
      <c r="U138" s="6">
        <v>0</v>
      </c>
      <c r="V138" s="6">
        <v>8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7">
        <f t="shared" si="2"/>
        <v>126</v>
      </c>
    </row>
    <row r="139" spans="1:29" x14ac:dyDescent="0.2">
      <c r="A139" s="4" t="s">
        <v>323</v>
      </c>
      <c r="B139" s="10" t="s">
        <v>324</v>
      </c>
      <c r="C139" s="6">
        <v>16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7">
        <f t="shared" si="2"/>
        <v>17</v>
      </c>
    </row>
    <row r="140" spans="1:29" x14ac:dyDescent="0.2">
      <c r="A140" s="4" t="s">
        <v>325</v>
      </c>
      <c r="B140" s="10" t="s">
        <v>324</v>
      </c>
      <c r="C140" s="6">
        <v>16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1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7">
        <f t="shared" si="2"/>
        <v>17</v>
      </c>
    </row>
    <row r="141" spans="1:29" x14ac:dyDescent="0.2">
      <c r="A141" s="4" t="s">
        <v>314</v>
      </c>
      <c r="B141" s="10" t="s">
        <v>326</v>
      </c>
      <c r="C141" s="6">
        <v>85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7">
        <f t="shared" si="2"/>
        <v>85</v>
      </c>
    </row>
    <row r="142" spans="1:29" x14ac:dyDescent="0.2">
      <c r="A142" s="4" t="s">
        <v>327</v>
      </c>
      <c r="B142" s="10" t="s">
        <v>326</v>
      </c>
      <c r="C142" s="6">
        <v>85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7">
        <f t="shared" si="2"/>
        <v>85</v>
      </c>
    </row>
    <row r="143" spans="1:29" x14ac:dyDescent="0.2">
      <c r="A143" s="4" t="s">
        <v>328</v>
      </c>
      <c r="B143" s="10" t="s">
        <v>329</v>
      </c>
      <c r="C143" s="6">
        <v>119</v>
      </c>
      <c r="D143" s="6">
        <v>1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7">
        <f t="shared" si="2"/>
        <v>120</v>
      </c>
    </row>
    <row r="144" spans="1:29" x14ac:dyDescent="0.2">
      <c r="A144" s="4" t="s">
        <v>330</v>
      </c>
      <c r="B144" s="10" t="s">
        <v>331</v>
      </c>
      <c r="C144" s="6">
        <v>708</v>
      </c>
      <c r="D144" s="6">
        <v>3</v>
      </c>
      <c r="E144" s="6">
        <v>6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1</v>
      </c>
      <c r="M144" s="6">
        <v>2</v>
      </c>
      <c r="N144" s="6">
        <v>0</v>
      </c>
      <c r="O144" s="6">
        <v>0</v>
      </c>
      <c r="P144" s="6">
        <v>0</v>
      </c>
      <c r="Q144" s="6">
        <v>43</v>
      </c>
      <c r="R144" s="6">
        <v>0</v>
      </c>
      <c r="S144" s="6">
        <v>2</v>
      </c>
      <c r="T144" s="6">
        <v>0</v>
      </c>
      <c r="U144" s="6">
        <v>0</v>
      </c>
      <c r="V144" s="6">
        <v>53</v>
      </c>
      <c r="W144" s="6">
        <v>0</v>
      </c>
      <c r="X144" s="6">
        <v>1</v>
      </c>
      <c r="Y144" s="6">
        <v>0</v>
      </c>
      <c r="Z144" s="6">
        <v>0</v>
      </c>
      <c r="AA144" s="6">
        <v>0</v>
      </c>
      <c r="AB144" s="6">
        <v>0</v>
      </c>
      <c r="AC144" s="7">
        <f t="shared" si="2"/>
        <v>819</v>
      </c>
    </row>
    <row r="145" spans="1:29" x14ac:dyDescent="0.2">
      <c r="A145" s="4" t="s">
        <v>332</v>
      </c>
      <c r="B145" s="10" t="s">
        <v>333</v>
      </c>
      <c r="C145" s="6">
        <v>411</v>
      </c>
      <c r="D145" s="6">
        <v>3</v>
      </c>
      <c r="E145" s="6">
        <v>5</v>
      </c>
      <c r="F145" s="6">
        <v>1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3</v>
      </c>
      <c r="R145" s="6">
        <v>0</v>
      </c>
      <c r="S145" s="6">
        <v>0</v>
      </c>
      <c r="T145" s="6">
        <v>1</v>
      </c>
      <c r="U145" s="6">
        <v>0</v>
      </c>
      <c r="V145" s="6">
        <v>1</v>
      </c>
      <c r="W145" s="6">
        <v>0</v>
      </c>
      <c r="X145" s="6">
        <v>0</v>
      </c>
      <c r="Y145" s="6">
        <v>1</v>
      </c>
      <c r="Z145" s="6">
        <v>1</v>
      </c>
      <c r="AA145" s="6">
        <v>0</v>
      </c>
      <c r="AB145" s="6">
        <v>0</v>
      </c>
      <c r="AC145" s="7">
        <f t="shared" si="2"/>
        <v>427</v>
      </c>
    </row>
    <row r="146" spans="1:29" x14ac:dyDescent="0.2">
      <c r="A146" s="4" t="s">
        <v>334</v>
      </c>
      <c r="B146" s="10" t="s">
        <v>335</v>
      </c>
      <c r="C146" s="6">
        <v>435</v>
      </c>
      <c r="D146" s="6">
        <v>6</v>
      </c>
      <c r="E146" s="6">
        <v>13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5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3</v>
      </c>
      <c r="R146" s="6">
        <v>0</v>
      </c>
      <c r="S146" s="6">
        <v>2</v>
      </c>
      <c r="T146" s="6">
        <v>0</v>
      </c>
      <c r="U146" s="6">
        <v>0</v>
      </c>
      <c r="V146" s="6">
        <v>1</v>
      </c>
      <c r="W146" s="6">
        <v>13</v>
      </c>
      <c r="X146" s="6">
        <v>1</v>
      </c>
      <c r="Y146" s="6">
        <v>1</v>
      </c>
      <c r="Z146" s="6">
        <v>0</v>
      </c>
      <c r="AA146" s="6">
        <v>1</v>
      </c>
      <c r="AB146" s="6">
        <v>0</v>
      </c>
      <c r="AC146" s="7">
        <f t="shared" si="2"/>
        <v>482</v>
      </c>
    </row>
    <row r="147" spans="1:29" x14ac:dyDescent="0.2">
      <c r="A147" s="4" t="s">
        <v>336</v>
      </c>
      <c r="B147" s="10" t="s">
        <v>337</v>
      </c>
      <c r="C147" s="6">
        <v>188</v>
      </c>
      <c r="D147" s="6">
        <v>1</v>
      </c>
      <c r="E147" s="6">
        <v>15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7</v>
      </c>
      <c r="R147" s="6">
        <v>1</v>
      </c>
      <c r="S147" s="6">
        <v>1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7">
        <f t="shared" si="2"/>
        <v>216</v>
      </c>
    </row>
    <row r="148" spans="1:29" x14ac:dyDescent="0.2">
      <c r="A148" s="4" t="s">
        <v>338</v>
      </c>
      <c r="B148" s="10" t="s">
        <v>339</v>
      </c>
      <c r="C148" s="6">
        <v>370</v>
      </c>
      <c r="D148" s="6">
        <v>5</v>
      </c>
      <c r="E148" s="6">
        <v>12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4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1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7">
        <f t="shared" si="2"/>
        <v>392</v>
      </c>
    </row>
    <row r="149" spans="1:29" x14ac:dyDescent="0.2">
      <c r="A149" s="4" t="s">
        <v>340</v>
      </c>
      <c r="B149" s="10" t="s">
        <v>341</v>
      </c>
      <c r="C149" s="6">
        <v>2519</v>
      </c>
      <c r="D149" s="6">
        <v>5</v>
      </c>
      <c r="E149" s="6">
        <v>135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28</v>
      </c>
      <c r="L149" s="6">
        <v>2</v>
      </c>
      <c r="M149" s="6">
        <v>9</v>
      </c>
      <c r="N149" s="6">
        <v>1</v>
      </c>
      <c r="O149" s="6">
        <v>0</v>
      </c>
      <c r="P149" s="6">
        <v>3</v>
      </c>
      <c r="Q149" s="6">
        <v>22</v>
      </c>
      <c r="R149" s="6">
        <v>3</v>
      </c>
      <c r="S149" s="6">
        <v>14</v>
      </c>
      <c r="T149" s="6">
        <v>0</v>
      </c>
      <c r="U149" s="6">
        <v>5</v>
      </c>
      <c r="V149" s="6">
        <v>0</v>
      </c>
      <c r="W149" s="6">
        <v>11</v>
      </c>
      <c r="X149" s="6">
        <v>1</v>
      </c>
      <c r="Y149" s="6">
        <v>1</v>
      </c>
      <c r="Z149" s="6">
        <v>4</v>
      </c>
      <c r="AA149" s="6">
        <v>0</v>
      </c>
      <c r="AB149" s="6">
        <v>0</v>
      </c>
      <c r="AC149" s="7">
        <f t="shared" si="2"/>
        <v>2764</v>
      </c>
    </row>
    <row r="150" spans="1:29" x14ac:dyDescent="0.2">
      <c r="A150" s="4" t="s">
        <v>342</v>
      </c>
      <c r="B150" s="10" t="s">
        <v>343</v>
      </c>
      <c r="C150" s="6">
        <v>33</v>
      </c>
      <c r="D150" s="6">
        <v>3</v>
      </c>
      <c r="E150" s="6">
        <v>8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1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7">
        <f t="shared" si="2"/>
        <v>45</v>
      </c>
    </row>
    <row r="151" spans="1:29" x14ac:dyDescent="0.2">
      <c r="A151" s="8" t="s">
        <v>344</v>
      </c>
      <c r="B151" s="11" t="s">
        <v>345</v>
      </c>
      <c r="C151" s="6">
        <v>911</v>
      </c>
      <c r="D151" s="6">
        <v>24</v>
      </c>
      <c r="E151" s="6">
        <v>92</v>
      </c>
      <c r="F151" s="6">
        <v>1</v>
      </c>
      <c r="G151" s="6">
        <v>0</v>
      </c>
      <c r="H151" s="6">
        <v>1</v>
      </c>
      <c r="I151" s="6">
        <v>0</v>
      </c>
      <c r="J151" s="6">
        <v>0</v>
      </c>
      <c r="K151" s="6">
        <v>136</v>
      </c>
      <c r="L151" s="6">
        <v>0</v>
      </c>
      <c r="M151" s="6">
        <v>6</v>
      </c>
      <c r="N151" s="6">
        <v>1</v>
      </c>
      <c r="O151" s="6">
        <v>4</v>
      </c>
      <c r="P151" s="6">
        <v>0</v>
      </c>
      <c r="Q151" s="6">
        <v>38</v>
      </c>
      <c r="R151" s="6">
        <v>5</v>
      </c>
      <c r="S151" s="6">
        <v>7</v>
      </c>
      <c r="T151" s="6">
        <v>2</v>
      </c>
      <c r="U151" s="6">
        <v>3</v>
      </c>
      <c r="V151" s="6">
        <v>0</v>
      </c>
      <c r="W151" s="6">
        <v>8</v>
      </c>
      <c r="X151" s="6">
        <v>0</v>
      </c>
      <c r="Y151" s="6">
        <v>2</v>
      </c>
      <c r="Z151" s="6">
        <v>4</v>
      </c>
      <c r="AA151" s="6">
        <v>0</v>
      </c>
      <c r="AB151" s="6">
        <v>0</v>
      </c>
      <c r="AC151" s="7">
        <f t="shared" si="2"/>
        <v>1245</v>
      </c>
    </row>
    <row r="152" spans="1:29" x14ac:dyDescent="0.2">
      <c r="A152" s="8" t="s">
        <v>346</v>
      </c>
      <c r="B152" s="11" t="s">
        <v>347</v>
      </c>
      <c r="C152" s="6">
        <v>7</v>
      </c>
      <c r="D152" s="6">
        <v>0</v>
      </c>
      <c r="E152" s="6">
        <v>3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1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7">
        <f t="shared" si="2"/>
        <v>12</v>
      </c>
    </row>
    <row r="153" spans="1:29" x14ac:dyDescent="0.2">
      <c r="A153" s="4" t="s">
        <v>348</v>
      </c>
      <c r="B153" s="10" t="s">
        <v>349</v>
      </c>
      <c r="C153" s="6">
        <v>7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7">
        <f t="shared" si="2"/>
        <v>7</v>
      </c>
    </row>
    <row r="154" spans="1:29" x14ac:dyDescent="0.2">
      <c r="A154" s="8" t="s">
        <v>350</v>
      </c>
      <c r="B154" s="11" t="s">
        <v>351</v>
      </c>
      <c r="C154" s="6">
        <v>63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5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7">
        <f t="shared" si="2"/>
        <v>68</v>
      </c>
    </row>
    <row r="155" spans="1:29" x14ac:dyDescent="0.2">
      <c r="A155" s="4" t="s">
        <v>352</v>
      </c>
      <c r="B155" s="10" t="s">
        <v>353</v>
      </c>
      <c r="C155" s="6">
        <v>6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7">
        <f t="shared" si="2"/>
        <v>6</v>
      </c>
    </row>
    <row r="156" spans="1:29" x14ac:dyDescent="0.2">
      <c r="A156" s="8" t="s">
        <v>354</v>
      </c>
      <c r="B156" s="11" t="s">
        <v>355</v>
      </c>
      <c r="C156" s="6">
        <v>118</v>
      </c>
      <c r="D156" s="6">
        <v>3</v>
      </c>
      <c r="E156" s="6">
        <v>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1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7">
        <f t="shared" si="2"/>
        <v>125</v>
      </c>
    </row>
    <row r="157" spans="1:29" x14ac:dyDescent="0.2">
      <c r="A157" s="4" t="s">
        <v>356</v>
      </c>
      <c r="B157" s="10" t="s">
        <v>357</v>
      </c>
      <c r="C157" s="6">
        <v>1086</v>
      </c>
      <c r="D157" s="6">
        <v>11</v>
      </c>
      <c r="E157" s="6">
        <v>30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6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33</v>
      </c>
      <c r="R157" s="6">
        <v>0</v>
      </c>
      <c r="S157" s="6">
        <v>0</v>
      </c>
      <c r="T157" s="6">
        <v>0</v>
      </c>
      <c r="U157" s="6">
        <v>1</v>
      </c>
      <c r="V157" s="6">
        <v>2</v>
      </c>
      <c r="W157" s="6">
        <v>3</v>
      </c>
      <c r="X157" s="6">
        <v>0</v>
      </c>
      <c r="Y157" s="6">
        <v>1</v>
      </c>
      <c r="Z157" s="6">
        <v>2</v>
      </c>
      <c r="AA157" s="6">
        <v>0</v>
      </c>
      <c r="AB157" s="6">
        <v>0</v>
      </c>
      <c r="AC157" s="7">
        <f t="shared" si="2"/>
        <v>1175</v>
      </c>
    </row>
    <row r="158" spans="1:29" x14ac:dyDescent="0.2">
      <c r="A158" s="4" t="s">
        <v>358</v>
      </c>
      <c r="B158" s="10" t="s">
        <v>359</v>
      </c>
      <c r="C158" s="6">
        <v>537</v>
      </c>
      <c r="D158" s="6">
        <v>6</v>
      </c>
      <c r="E158" s="6">
        <v>8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30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22</v>
      </c>
      <c r="R158" s="6">
        <v>0</v>
      </c>
      <c r="S158" s="6">
        <v>0</v>
      </c>
      <c r="T158" s="6">
        <v>5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7">
        <f t="shared" si="2"/>
        <v>608</v>
      </c>
    </row>
    <row r="159" spans="1:29" x14ac:dyDescent="0.2">
      <c r="A159" s="8" t="s">
        <v>360</v>
      </c>
      <c r="B159" s="11" t="s">
        <v>361</v>
      </c>
      <c r="C159" s="6">
        <v>5</v>
      </c>
      <c r="D159" s="6">
        <v>0</v>
      </c>
      <c r="E159" s="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7">
        <f t="shared" si="2"/>
        <v>6</v>
      </c>
    </row>
    <row r="160" spans="1:29" x14ac:dyDescent="0.2">
      <c r="A160" s="4" t="s">
        <v>362</v>
      </c>
      <c r="B160" s="10" t="s">
        <v>363</v>
      </c>
      <c r="C160" s="6">
        <v>4</v>
      </c>
      <c r="D160" s="6">
        <v>1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7">
        <f t="shared" si="2"/>
        <v>5</v>
      </c>
    </row>
    <row r="161" spans="1:29" x14ac:dyDescent="0.2">
      <c r="A161" s="4" t="s">
        <v>364</v>
      </c>
      <c r="B161" s="10" t="s">
        <v>365</v>
      </c>
      <c r="C161" s="6">
        <v>6</v>
      </c>
      <c r="D161" s="6">
        <v>1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7">
        <f t="shared" si="2"/>
        <v>7</v>
      </c>
    </row>
    <row r="162" spans="1:29" x14ac:dyDescent="0.2">
      <c r="A162" s="4" t="s">
        <v>294</v>
      </c>
      <c r="B162" s="10" t="s">
        <v>366</v>
      </c>
      <c r="C162" s="6">
        <v>29</v>
      </c>
      <c r="D162" s="6">
        <v>0</v>
      </c>
      <c r="E162" s="6">
        <v>2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2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7">
        <f t="shared" si="2"/>
        <v>33</v>
      </c>
    </row>
    <row r="163" spans="1:29" x14ac:dyDescent="0.2">
      <c r="A163" s="4" t="s">
        <v>200</v>
      </c>
      <c r="B163" s="10" t="s">
        <v>367</v>
      </c>
      <c r="C163" s="6">
        <v>5</v>
      </c>
      <c r="D163" s="6">
        <v>0</v>
      </c>
      <c r="E163" s="6">
        <v>1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1</v>
      </c>
      <c r="AA163" s="6">
        <v>0</v>
      </c>
      <c r="AB163" s="6">
        <v>0</v>
      </c>
      <c r="AC163" s="7">
        <f t="shared" si="2"/>
        <v>8</v>
      </c>
    </row>
    <row r="164" spans="1:29" x14ac:dyDescent="0.2">
      <c r="A164" s="4" t="s">
        <v>368</v>
      </c>
      <c r="B164" s="10" t="s">
        <v>369</v>
      </c>
      <c r="C164" s="6">
        <v>467</v>
      </c>
      <c r="D164" s="6">
        <v>9</v>
      </c>
      <c r="E164" s="6">
        <v>35</v>
      </c>
      <c r="F164" s="6">
        <v>0</v>
      </c>
      <c r="G164" s="6">
        <v>1</v>
      </c>
      <c r="H164" s="6">
        <v>0</v>
      </c>
      <c r="I164" s="6">
        <v>0</v>
      </c>
      <c r="J164" s="6">
        <v>0</v>
      </c>
      <c r="K164" s="6">
        <v>11</v>
      </c>
      <c r="L164" s="6">
        <v>1</v>
      </c>
      <c r="M164" s="6">
        <v>2</v>
      </c>
      <c r="N164" s="6">
        <v>0</v>
      </c>
      <c r="O164" s="6">
        <v>0</v>
      </c>
      <c r="P164" s="6">
        <v>0</v>
      </c>
      <c r="Q164" s="6">
        <v>16</v>
      </c>
      <c r="R164" s="6">
        <v>0</v>
      </c>
      <c r="S164" s="6">
        <v>0</v>
      </c>
      <c r="T164" s="6">
        <v>8</v>
      </c>
      <c r="U164" s="6">
        <v>0</v>
      </c>
      <c r="V164" s="6">
        <v>1</v>
      </c>
      <c r="W164" s="6">
        <v>0</v>
      </c>
      <c r="X164" s="6">
        <v>0</v>
      </c>
      <c r="Y164" s="6">
        <v>0</v>
      </c>
      <c r="Z164" s="6">
        <v>1</v>
      </c>
      <c r="AA164" s="6">
        <v>0</v>
      </c>
      <c r="AB164" s="6">
        <v>0</v>
      </c>
      <c r="AC164" s="7">
        <f t="shared" si="2"/>
        <v>552</v>
      </c>
    </row>
    <row r="165" spans="1:29" x14ac:dyDescent="0.2">
      <c r="A165" s="4" t="s">
        <v>368</v>
      </c>
      <c r="B165" s="10" t="s">
        <v>369</v>
      </c>
      <c r="C165" s="6">
        <v>467</v>
      </c>
      <c r="D165" s="6">
        <v>9</v>
      </c>
      <c r="E165" s="6">
        <v>35</v>
      </c>
      <c r="F165" s="6">
        <v>0</v>
      </c>
      <c r="G165" s="6">
        <v>1</v>
      </c>
      <c r="H165" s="6">
        <v>0</v>
      </c>
      <c r="I165" s="6">
        <v>0</v>
      </c>
      <c r="J165" s="6">
        <v>0</v>
      </c>
      <c r="K165" s="6">
        <v>11</v>
      </c>
      <c r="L165" s="6">
        <v>1</v>
      </c>
      <c r="M165" s="6">
        <v>2</v>
      </c>
      <c r="N165" s="6">
        <v>0</v>
      </c>
      <c r="O165" s="6">
        <v>0</v>
      </c>
      <c r="P165" s="6">
        <v>0</v>
      </c>
      <c r="Q165" s="6">
        <v>16</v>
      </c>
      <c r="R165" s="6">
        <v>3</v>
      </c>
      <c r="S165" s="6">
        <v>4</v>
      </c>
      <c r="T165" s="6">
        <v>0</v>
      </c>
      <c r="U165" s="6">
        <v>1</v>
      </c>
      <c r="V165" s="6">
        <v>1</v>
      </c>
      <c r="W165" s="6">
        <v>1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7">
        <f t="shared" si="2"/>
        <v>553</v>
      </c>
    </row>
    <row r="166" spans="1:29" x14ac:dyDescent="0.2">
      <c r="A166" s="8" t="s">
        <v>370</v>
      </c>
      <c r="B166" s="11" t="s">
        <v>371</v>
      </c>
      <c r="C166" s="6">
        <v>74</v>
      </c>
      <c r="D166" s="6">
        <v>1</v>
      </c>
      <c r="E166" s="6">
        <v>9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7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2</v>
      </c>
      <c r="R166" s="6">
        <v>1</v>
      </c>
      <c r="S166" s="6">
        <v>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7">
        <f t="shared" si="2"/>
        <v>96</v>
      </c>
    </row>
    <row r="167" spans="1:29" x14ac:dyDescent="0.2">
      <c r="A167" s="8" t="s">
        <v>372</v>
      </c>
      <c r="B167" s="11" t="s">
        <v>373</v>
      </c>
      <c r="C167" s="6">
        <v>77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30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7">
        <f t="shared" si="2"/>
        <v>107</v>
      </c>
    </row>
    <row r="168" spans="1:29" x14ac:dyDescent="0.2">
      <c r="A168" s="4" t="s">
        <v>374</v>
      </c>
      <c r="B168" s="10" t="s">
        <v>375</v>
      </c>
      <c r="C168" s="6">
        <v>24</v>
      </c>
      <c r="D168" s="6">
        <v>0</v>
      </c>
      <c r="E168" s="6">
        <v>2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7">
        <f t="shared" si="2"/>
        <v>26</v>
      </c>
    </row>
    <row r="169" spans="1:29" x14ac:dyDescent="0.2">
      <c r="A169" s="4" t="s">
        <v>376</v>
      </c>
      <c r="B169" s="10" t="s">
        <v>377</v>
      </c>
      <c r="C169" s="6">
        <v>10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7">
        <f t="shared" si="2"/>
        <v>10</v>
      </c>
    </row>
    <row r="170" spans="1:29" x14ac:dyDescent="0.2">
      <c r="A170" s="4" t="s">
        <v>378</v>
      </c>
      <c r="B170" s="10" t="s">
        <v>379</v>
      </c>
      <c r="C170" s="6">
        <v>10</v>
      </c>
      <c r="D170" s="6">
        <v>1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7">
        <f t="shared" si="2"/>
        <v>11</v>
      </c>
    </row>
    <row r="171" spans="1:29" x14ac:dyDescent="0.2">
      <c r="A171" s="4" t="s">
        <v>380</v>
      </c>
      <c r="B171" s="10" t="s">
        <v>381</v>
      </c>
      <c r="C171" s="6">
        <v>48</v>
      </c>
      <c r="D171" s="6">
        <v>2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2</v>
      </c>
      <c r="Q171" s="6">
        <v>1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7">
        <f t="shared" si="2"/>
        <v>53</v>
      </c>
    </row>
    <row r="172" spans="1:29" x14ac:dyDescent="0.2">
      <c r="A172" s="4" t="s">
        <v>382</v>
      </c>
      <c r="B172" s="10" t="s">
        <v>383</v>
      </c>
      <c r="C172" s="6">
        <v>21</v>
      </c>
      <c r="D172" s="6">
        <v>0</v>
      </c>
      <c r="E172" s="6">
        <v>5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7">
        <f t="shared" si="2"/>
        <v>26</v>
      </c>
    </row>
    <row r="173" spans="1:29" x14ac:dyDescent="0.2">
      <c r="A173" s="4" t="s">
        <v>384</v>
      </c>
      <c r="B173" s="10" t="s">
        <v>385</v>
      </c>
      <c r="C173" s="6">
        <v>15</v>
      </c>
      <c r="D173" s="6">
        <v>2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7">
        <f t="shared" si="2"/>
        <v>17</v>
      </c>
    </row>
    <row r="174" spans="1:29" x14ac:dyDescent="0.2">
      <c r="A174" s="4" t="s">
        <v>386</v>
      </c>
      <c r="B174" s="10" t="s">
        <v>387</v>
      </c>
      <c r="C174" s="6">
        <v>784</v>
      </c>
      <c r="D174" s="6">
        <v>2</v>
      </c>
      <c r="E174" s="6">
        <v>42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62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3</v>
      </c>
      <c r="R174" s="6">
        <v>1</v>
      </c>
      <c r="S174" s="6">
        <v>5</v>
      </c>
      <c r="T174" s="6">
        <v>0</v>
      </c>
      <c r="U174" s="6">
        <v>0</v>
      </c>
      <c r="V174" s="6">
        <v>0</v>
      </c>
      <c r="W174" s="6">
        <v>2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7">
        <f t="shared" si="2"/>
        <v>901</v>
      </c>
    </row>
    <row r="175" spans="1:29" x14ac:dyDescent="0.2">
      <c r="A175" s="4" t="s">
        <v>388</v>
      </c>
      <c r="B175" s="10" t="s">
        <v>389</v>
      </c>
      <c r="C175" s="6">
        <v>19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2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7">
        <f t="shared" si="2"/>
        <v>21</v>
      </c>
    </row>
    <row r="176" spans="1:29" x14ac:dyDescent="0.2">
      <c r="A176" s="4" t="s">
        <v>390</v>
      </c>
      <c r="B176" s="10" t="s">
        <v>391</v>
      </c>
      <c r="C176" s="6">
        <v>10</v>
      </c>
      <c r="D176" s="6">
        <v>0</v>
      </c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7">
        <f t="shared" si="2"/>
        <v>11</v>
      </c>
    </row>
    <row r="177" spans="1:29" x14ac:dyDescent="0.2">
      <c r="A177" s="4" t="s">
        <v>392</v>
      </c>
      <c r="B177" s="10" t="s">
        <v>393</v>
      </c>
      <c r="C177" s="6">
        <v>167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7">
        <f t="shared" si="2"/>
        <v>168</v>
      </c>
    </row>
    <row r="178" spans="1:29" x14ac:dyDescent="0.2">
      <c r="A178" s="4" t="s">
        <v>394</v>
      </c>
      <c r="B178" s="10" t="s">
        <v>395</v>
      </c>
      <c r="C178" s="6">
        <v>174</v>
      </c>
      <c r="D178" s="6">
        <v>3</v>
      </c>
      <c r="E178" s="6">
        <v>20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2</v>
      </c>
      <c r="R178" s="6">
        <v>1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7">
        <f t="shared" si="2"/>
        <v>201</v>
      </c>
    </row>
    <row r="179" spans="1:29" x14ac:dyDescent="0.2">
      <c r="A179" s="4" t="s">
        <v>396</v>
      </c>
      <c r="B179" s="10" t="s">
        <v>397</v>
      </c>
      <c r="C179" s="6">
        <v>135</v>
      </c>
      <c r="D179" s="6">
        <v>4</v>
      </c>
      <c r="E179" s="6">
        <v>23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7">
        <f t="shared" si="2"/>
        <v>162</v>
      </c>
    </row>
    <row r="180" spans="1:29" x14ac:dyDescent="0.2">
      <c r="A180" s="4" t="s">
        <v>398</v>
      </c>
      <c r="B180" s="10" t="s">
        <v>399</v>
      </c>
      <c r="C180" s="6">
        <v>9</v>
      </c>
      <c r="D180" s="6">
        <v>0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7">
        <f t="shared" si="2"/>
        <v>10</v>
      </c>
    </row>
    <row r="181" spans="1:29" x14ac:dyDescent="0.2">
      <c r="A181" s="4" t="s">
        <v>400</v>
      </c>
      <c r="B181" s="10" t="s">
        <v>401</v>
      </c>
      <c r="C181" s="6">
        <v>178</v>
      </c>
      <c r="D181" s="6">
        <v>5</v>
      </c>
      <c r="E181" s="6">
        <v>20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0</v>
      </c>
      <c r="Q181" s="6">
        <v>3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1</v>
      </c>
      <c r="Z181" s="6">
        <v>0</v>
      </c>
      <c r="AA181" s="6">
        <v>0</v>
      </c>
      <c r="AB181" s="6">
        <v>0</v>
      </c>
      <c r="AC181" s="7">
        <f t="shared" si="2"/>
        <v>208</v>
      </c>
    </row>
    <row r="182" spans="1:29" x14ac:dyDescent="0.2">
      <c r="A182" s="4" t="s">
        <v>402</v>
      </c>
      <c r="B182" s="10" t="s">
        <v>403</v>
      </c>
      <c r="C182" s="6">
        <v>82</v>
      </c>
      <c r="D182" s="6">
        <v>3</v>
      </c>
      <c r="E182" s="6">
        <v>6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7">
        <f t="shared" si="2"/>
        <v>91</v>
      </c>
    </row>
    <row r="183" spans="1:29" x14ac:dyDescent="0.2">
      <c r="A183" s="4" t="s">
        <v>404</v>
      </c>
      <c r="B183" s="10" t="s">
        <v>405</v>
      </c>
      <c r="C183" s="6">
        <v>84</v>
      </c>
      <c r="D183" s="6">
        <v>1</v>
      </c>
      <c r="E183" s="6">
        <v>7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3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1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7">
        <f t="shared" si="2"/>
        <v>97</v>
      </c>
    </row>
    <row r="184" spans="1:29" x14ac:dyDescent="0.2">
      <c r="A184" s="4" t="s">
        <v>406</v>
      </c>
      <c r="B184" s="10" t="s">
        <v>407</v>
      </c>
      <c r="C184" s="6">
        <v>245</v>
      </c>
      <c r="D184" s="6">
        <v>5</v>
      </c>
      <c r="E184" s="6">
        <v>22</v>
      </c>
      <c r="F184" s="6">
        <v>1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7">
        <f t="shared" si="2"/>
        <v>273</v>
      </c>
    </row>
    <row r="185" spans="1:29" x14ac:dyDescent="0.2">
      <c r="A185" s="4" t="s">
        <v>408</v>
      </c>
      <c r="B185" s="10" t="s">
        <v>409</v>
      </c>
      <c r="C185" s="6">
        <v>146</v>
      </c>
      <c r="D185" s="6">
        <v>3</v>
      </c>
      <c r="E185" s="6">
        <v>0</v>
      </c>
      <c r="F185" s="6">
        <v>0</v>
      </c>
      <c r="G185" s="6">
        <v>0</v>
      </c>
      <c r="H185" s="6">
        <v>2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5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7">
        <f t="shared" si="2"/>
        <v>156</v>
      </c>
    </row>
    <row r="186" spans="1:29" x14ac:dyDescent="0.2">
      <c r="A186" s="4" t="s">
        <v>410</v>
      </c>
      <c r="B186" s="10" t="s">
        <v>411</v>
      </c>
      <c r="C186" s="6">
        <v>922</v>
      </c>
      <c r="D186" s="6">
        <v>1</v>
      </c>
      <c r="E186" s="6">
        <v>6</v>
      </c>
      <c r="F186" s="6">
        <v>0</v>
      </c>
      <c r="G186" s="6">
        <v>0</v>
      </c>
      <c r="H186" s="6">
        <v>0</v>
      </c>
      <c r="I186" s="6">
        <v>0</v>
      </c>
      <c r="J186" s="6">
        <v>1</v>
      </c>
      <c r="K186" s="6">
        <v>19</v>
      </c>
      <c r="L186" s="6">
        <v>0</v>
      </c>
      <c r="M186" s="6">
        <v>0</v>
      </c>
      <c r="N186" s="6">
        <v>1</v>
      </c>
      <c r="O186" s="6">
        <v>0</v>
      </c>
      <c r="P186" s="6">
        <v>0</v>
      </c>
      <c r="Q186" s="6">
        <v>30</v>
      </c>
      <c r="R186" s="6">
        <v>0</v>
      </c>
      <c r="S186" s="6">
        <v>1</v>
      </c>
      <c r="T186" s="6">
        <v>1</v>
      </c>
      <c r="U186" s="6">
        <v>1</v>
      </c>
      <c r="V186" s="6">
        <v>53</v>
      </c>
      <c r="W186" s="6">
        <v>1</v>
      </c>
      <c r="X186" s="6">
        <v>0</v>
      </c>
      <c r="Y186" s="6">
        <v>0</v>
      </c>
      <c r="Z186" s="6">
        <v>6</v>
      </c>
      <c r="AA186" s="6">
        <v>0</v>
      </c>
      <c r="AB186" s="6">
        <v>0</v>
      </c>
      <c r="AC186" s="7">
        <f t="shared" si="2"/>
        <v>1043</v>
      </c>
    </row>
    <row r="187" spans="1:29" x14ac:dyDescent="0.2">
      <c r="A187" s="4" t="s">
        <v>412</v>
      </c>
      <c r="B187" s="10" t="s">
        <v>413</v>
      </c>
      <c r="C187" s="6">
        <v>3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4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7">
        <f t="shared" si="2"/>
        <v>7</v>
      </c>
    </row>
    <row r="188" spans="1:29" x14ac:dyDescent="0.2">
      <c r="A188" s="4" t="s">
        <v>414</v>
      </c>
      <c r="B188" s="10" t="s">
        <v>415</v>
      </c>
      <c r="C188" s="6">
        <v>1331</v>
      </c>
      <c r="D188" s="6">
        <v>12</v>
      </c>
      <c r="E188" s="6">
        <v>13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2</v>
      </c>
      <c r="N188" s="6">
        <v>0</v>
      </c>
      <c r="O188" s="6">
        <v>0</v>
      </c>
      <c r="P188" s="6">
        <v>0</v>
      </c>
      <c r="Q188" s="6">
        <v>54</v>
      </c>
      <c r="R188" s="6">
        <v>0</v>
      </c>
      <c r="S188" s="6">
        <v>5</v>
      </c>
      <c r="T188" s="6">
        <v>0</v>
      </c>
      <c r="U188" s="6">
        <v>0</v>
      </c>
      <c r="V188" s="6">
        <v>85</v>
      </c>
      <c r="W188" s="6">
        <v>0</v>
      </c>
      <c r="X188" s="6">
        <v>4</v>
      </c>
      <c r="Y188" s="6">
        <v>0</v>
      </c>
      <c r="Z188" s="6">
        <v>1</v>
      </c>
      <c r="AA188" s="6">
        <v>0</v>
      </c>
      <c r="AB188" s="6">
        <v>0</v>
      </c>
      <c r="AC188" s="7">
        <f t="shared" si="2"/>
        <v>1507</v>
      </c>
    </row>
    <row r="189" spans="1:29" x14ac:dyDescent="0.2">
      <c r="A189" s="4" t="s">
        <v>416</v>
      </c>
      <c r="B189" s="10" t="s">
        <v>417</v>
      </c>
      <c r="C189" s="6">
        <v>94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7">
        <f t="shared" si="2"/>
        <v>94</v>
      </c>
    </row>
    <row r="190" spans="1:29" x14ac:dyDescent="0.2">
      <c r="A190" s="4" t="s">
        <v>418</v>
      </c>
      <c r="B190" s="10" t="s">
        <v>419</v>
      </c>
      <c r="C190" s="6">
        <v>12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7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7">
        <f t="shared" si="2"/>
        <v>19</v>
      </c>
    </row>
    <row r="191" spans="1:29" x14ac:dyDescent="0.2">
      <c r="A191" s="4" t="s">
        <v>420</v>
      </c>
      <c r="B191" s="10" t="s">
        <v>421</v>
      </c>
      <c r="C191" s="6">
        <v>5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7">
        <f t="shared" si="2"/>
        <v>5</v>
      </c>
    </row>
    <row r="192" spans="1:29" x14ac:dyDescent="0.2">
      <c r="A192" s="4" t="s">
        <v>422</v>
      </c>
      <c r="B192" s="10" t="s">
        <v>423</v>
      </c>
      <c r="C192" s="6">
        <v>14</v>
      </c>
      <c r="D192" s="6">
        <v>3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2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7">
        <f t="shared" si="2"/>
        <v>19</v>
      </c>
    </row>
    <row r="193" spans="1:29" x14ac:dyDescent="0.2">
      <c r="A193" s="4" t="s">
        <v>422</v>
      </c>
      <c r="B193" s="5" t="s">
        <v>424</v>
      </c>
      <c r="C193" s="6">
        <v>407</v>
      </c>
      <c r="D193" s="6">
        <v>60</v>
      </c>
      <c r="E193" s="6">
        <v>8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8</v>
      </c>
      <c r="L193" s="6">
        <v>3</v>
      </c>
      <c r="M193" s="6">
        <v>0</v>
      </c>
      <c r="N193" s="6">
        <v>0</v>
      </c>
      <c r="O193" s="6">
        <v>0</v>
      </c>
      <c r="P193" s="6">
        <v>0</v>
      </c>
      <c r="Q193" s="6">
        <v>1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7">
        <f t="shared" si="2"/>
        <v>488</v>
      </c>
    </row>
    <row r="194" spans="1:29" x14ac:dyDescent="0.2">
      <c r="A194" s="4" t="s">
        <v>425</v>
      </c>
      <c r="B194" s="5" t="s">
        <v>426</v>
      </c>
      <c r="C194" s="6">
        <v>106</v>
      </c>
      <c r="D194" s="6">
        <v>1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1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7">
        <f t="shared" ref="AC194:AC257" si="3">SUM(C194:AB194)</f>
        <v>109</v>
      </c>
    </row>
    <row r="195" spans="1:29" x14ac:dyDescent="0.2">
      <c r="A195" s="4" t="s">
        <v>425</v>
      </c>
      <c r="B195" s="5" t="s">
        <v>427</v>
      </c>
      <c r="C195" s="6">
        <v>14</v>
      </c>
      <c r="D195" s="6">
        <v>0</v>
      </c>
      <c r="E195" s="6">
        <v>2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1</v>
      </c>
      <c r="Z195" s="6">
        <v>0</v>
      </c>
      <c r="AA195" s="6">
        <v>0</v>
      </c>
      <c r="AB195" s="6">
        <v>0</v>
      </c>
      <c r="AC195" s="7">
        <f t="shared" si="3"/>
        <v>17</v>
      </c>
    </row>
    <row r="196" spans="1:29" x14ac:dyDescent="0.2">
      <c r="A196" s="4" t="s">
        <v>428</v>
      </c>
      <c r="B196" s="5" t="s">
        <v>429</v>
      </c>
      <c r="C196" s="6">
        <v>22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7">
        <f t="shared" si="3"/>
        <v>22</v>
      </c>
    </row>
    <row r="197" spans="1:29" x14ac:dyDescent="0.2">
      <c r="A197" s="4" t="s">
        <v>430</v>
      </c>
      <c r="B197" s="5" t="s">
        <v>431</v>
      </c>
      <c r="C197" s="6">
        <v>11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7">
        <f t="shared" si="3"/>
        <v>11</v>
      </c>
    </row>
    <row r="198" spans="1:29" x14ac:dyDescent="0.2">
      <c r="A198" s="4" t="s">
        <v>432</v>
      </c>
      <c r="B198" s="5" t="s">
        <v>433</v>
      </c>
      <c r="C198" s="6">
        <v>185</v>
      </c>
      <c r="D198" s="6">
        <v>1</v>
      </c>
      <c r="E198" s="6">
        <v>7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1</v>
      </c>
      <c r="R198" s="6">
        <v>0</v>
      </c>
      <c r="S198" s="6">
        <v>1</v>
      </c>
      <c r="T198" s="6">
        <v>0</v>
      </c>
      <c r="U198" s="6">
        <v>0</v>
      </c>
      <c r="V198" s="6">
        <v>1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7">
        <f t="shared" si="3"/>
        <v>206</v>
      </c>
    </row>
    <row r="199" spans="1:29" x14ac:dyDescent="0.2">
      <c r="A199" s="4" t="s">
        <v>434</v>
      </c>
      <c r="B199" s="5" t="s">
        <v>435</v>
      </c>
      <c r="C199" s="6">
        <v>4122</v>
      </c>
      <c r="D199" s="6">
        <v>22</v>
      </c>
      <c r="E199" s="6">
        <v>162</v>
      </c>
      <c r="F199" s="6">
        <v>0</v>
      </c>
      <c r="G199" s="6">
        <v>1</v>
      </c>
      <c r="H199" s="6">
        <v>0</v>
      </c>
      <c r="I199" s="6">
        <v>0</v>
      </c>
      <c r="J199" s="6">
        <v>1</v>
      </c>
      <c r="K199" s="6">
        <v>11</v>
      </c>
      <c r="L199" s="6">
        <v>4</v>
      </c>
      <c r="M199" s="6">
        <v>7</v>
      </c>
      <c r="N199" s="6">
        <v>0</v>
      </c>
      <c r="O199" s="6">
        <v>0</v>
      </c>
      <c r="P199" s="6">
        <v>0</v>
      </c>
      <c r="Q199" s="6">
        <v>6</v>
      </c>
      <c r="R199" s="6">
        <v>1</v>
      </c>
      <c r="S199" s="6">
        <v>4</v>
      </c>
      <c r="T199" s="6">
        <v>0</v>
      </c>
      <c r="U199" s="6">
        <v>0</v>
      </c>
      <c r="V199" s="6">
        <v>0</v>
      </c>
      <c r="W199" s="6">
        <v>3</v>
      </c>
      <c r="X199" s="6">
        <v>2</v>
      </c>
      <c r="Y199" s="6">
        <v>1</v>
      </c>
      <c r="Z199" s="6">
        <v>11</v>
      </c>
      <c r="AA199" s="6">
        <v>0</v>
      </c>
      <c r="AB199" s="6">
        <v>0</v>
      </c>
      <c r="AC199" s="7">
        <f t="shared" si="3"/>
        <v>4358</v>
      </c>
    </row>
    <row r="200" spans="1:29" x14ac:dyDescent="0.2">
      <c r="A200" s="4" t="s">
        <v>436</v>
      </c>
      <c r="B200" s="5" t="s">
        <v>437</v>
      </c>
      <c r="C200" s="6">
        <v>86</v>
      </c>
      <c r="D200" s="6">
        <v>0</v>
      </c>
      <c r="E200" s="6">
        <v>4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1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7">
        <f t="shared" si="3"/>
        <v>91</v>
      </c>
    </row>
    <row r="201" spans="1:29" x14ac:dyDescent="0.2">
      <c r="A201" s="4" t="s">
        <v>438</v>
      </c>
      <c r="B201" s="5" t="s">
        <v>439</v>
      </c>
      <c r="C201" s="6">
        <v>52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7">
        <f t="shared" si="3"/>
        <v>52</v>
      </c>
    </row>
    <row r="202" spans="1:29" x14ac:dyDescent="0.2">
      <c r="A202" s="4" t="s">
        <v>440</v>
      </c>
      <c r="B202" s="5" t="s">
        <v>441</v>
      </c>
      <c r="C202" s="6">
        <v>163</v>
      </c>
      <c r="D202" s="6">
        <v>1</v>
      </c>
      <c r="E202" s="6">
        <v>23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9</v>
      </c>
      <c r="L202" s="6">
        <v>0</v>
      </c>
      <c r="M202" s="6">
        <v>0</v>
      </c>
      <c r="N202" s="6">
        <v>0</v>
      </c>
      <c r="O202" s="6">
        <v>0</v>
      </c>
      <c r="P202" s="6">
        <v>1</v>
      </c>
      <c r="Q202" s="6">
        <v>0</v>
      </c>
      <c r="R202" s="6">
        <v>0</v>
      </c>
      <c r="S202" s="6">
        <v>1</v>
      </c>
      <c r="T202" s="6">
        <v>0</v>
      </c>
      <c r="U202" s="6">
        <v>0</v>
      </c>
      <c r="V202" s="6">
        <v>0</v>
      </c>
      <c r="W202" s="6">
        <v>2</v>
      </c>
      <c r="X202" s="6">
        <v>0</v>
      </c>
      <c r="Y202" s="6">
        <v>0</v>
      </c>
      <c r="Z202" s="6">
        <v>4</v>
      </c>
      <c r="AA202" s="6">
        <v>6</v>
      </c>
      <c r="AB202" s="6">
        <v>0</v>
      </c>
      <c r="AC202" s="7">
        <f t="shared" si="3"/>
        <v>210</v>
      </c>
    </row>
    <row r="203" spans="1:29" x14ac:dyDescent="0.2">
      <c r="A203" s="4" t="s">
        <v>443</v>
      </c>
      <c r="B203" s="5" t="s">
        <v>444</v>
      </c>
      <c r="C203" s="6">
        <v>1641</v>
      </c>
      <c r="D203" s="6">
        <v>34</v>
      </c>
      <c r="E203" s="6">
        <v>65</v>
      </c>
      <c r="F203" s="6">
        <v>1</v>
      </c>
      <c r="G203" s="6">
        <v>0</v>
      </c>
      <c r="H203" s="6">
        <v>0</v>
      </c>
      <c r="I203" s="6">
        <v>0</v>
      </c>
      <c r="J203" s="6">
        <v>3</v>
      </c>
      <c r="K203" s="6">
        <v>79</v>
      </c>
      <c r="L203" s="6">
        <v>0</v>
      </c>
      <c r="M203" s="6">
        <v>39</v>
      </c>
      <c r="N203" s="6">
        <v>1</v>
      </c>
      <c r="O203" s="6">
        <v>0</v>
      </c>
      <c r="P203" s="6">
        <v>1</v>
      </c>
      <c r="Q203" s="6">
        <v>9</v>
      </c>
      <c r="R203" s="6">
        <v>1</v>
      </c>
      <c r="S203" s="6">
        <v>4</v>
      </c>
      <c r="T203" s="6">
        <v>0</v>
      </c>
      <c r="U203" s="6">
        <v>1</v>
      </c>
      <c r="V203" s="6">
        <v>0</v>
      </c>
      <c r="W203" s="6">
        <v>9</v>
      </c>
      <c r="X203" s="6">
        <v>6</v>
      </c>
      <c r="Y203" s="6">
        <v>0</v>
      </c>
      <c r="Z203" s="6">
        <v>4</v>
      </c>
      <c r="AA203" s="6">
        <v>3</v>
      </c>
      <c r="AB203" s="6">
        <v>2</v>
      </c>
      <c r="AC203" s="7">
        <f t="shared" si="3"/>
        <v>1903</v>
      </c>
    </row>
    <row r="204" spans="1:29" x14ac:dyDescent="0.2">
      <c r="A204" s="4" t="s">
        <v>445</v>
      </c>
      <c r="B204" s="5" t="s">
        <v>446</v>
      </c>
      <c r="C204" s="6">
        <v>488</v>
      </c>
      <c r="D204" s="6">
        <v>5</v>
      </c>
      <c r="E204" s="6">
        <v>20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11</v>
      </c>
      <c r="L204" s="6">
        <v>0</v>
      </c>
      <c r="M204" s="6">
        <v>3</v>
      </c>
      <c r="N204" s="6">
        <v>0</v>
      </c>
      <c r="O204" s="6">
        <v>0</v>
      </c>
      <c r="P204" s="6">
        <v>0</v>
      </c>
      <c r="Q204" s="6">
        <v>3</v>
      </c>
      <c r="R204" s="6">
        <v>0</v>
      </c>
      <c r="S204" s="6">
        <v>1</v>
      </c>
      <c r="T204" s="6">
        <v>0</v>
      </c>
      <c r="U204" s="6">
        <v>3</v>
      </c>
      <c r="V204" s="6">
        <v>0</v>
      </c>
      <c r="W204" s="6">
        <v>1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7">
        <f t="shared" si="3"/>
        <v>535</v>
      </c>
    </row>
    <row r="205" spans="1:29" x14ac:dyDescent="0.2">
      <c r="A205" s="4" t="s">
        <v>447</v>
      </c>
      <c r="B205" s="5" t="s">
        <v>448</v>
      </c>
      <c r="C205" s="6">
        <v>284</v>
      </c>
      <c r="D205" s="6">
        <v>4</v>
      </c>
      <c r="E205" s="6">
        <v>10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1</v>
      </c>
      <c r="AA205" s="6">
        <v>0</v>
      </c>
      <c r="AB205" s="6">
        <v>0</v>
      </c>
      <c r="AC205" s="7">
        <f t="shared" si="3"/>
        <v>300</v>
      </c>
    </row>
    <row r="206" spans="1:29" x14ac:dyDescent="0.2">
      <c r="A206" s="4" t="s">
        <v>449</v>
      </c>
      <c r="B206" s="5" t="s">
        <v>450</v>
      </c>
      <c r="C206" s="6">
        <v>56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7">
        <f t="shared" si="3"/>
        <v>56</v>
      </c>
    </row>
    <row r="207" spans="1:29" x14ac:dyDescent="0.2">
      <c r="A207" s="4" t="s">
        <v>451</v>
      </c>
      <c r="B207" s="5" t="s">
        <v>452</v>
      </c>
      <c r="C207" s="6">
        <v>9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7">
        <f t="shared" si="3"/>
        <v>9</v>
      </c>
    </row>
    <row r="208" spans="1:29" x14ac:dyDescent="0.2">
      <c r="A208" s="4" t="s">
        <v>453</v>
      </c>
      <c r="B208" s="5" t="s">
        <v>454</v>
      </c>
      <c r="C208" s="6">
        <v>20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7">
        <f t="shared" si="3"/>
        <v>20</v>
      </c>
    </row>
    <row r="209" spans="1:29" x14ac:dyDescent="0.2">
      <c r="A209" s="4" t="s">
        <v>455</v>
      </c>
      <c r="B209" s="5" t="s">
        <v>456</v>
      </c>
      <c r="C209" s="6">
        <v>390</v>
      </c>
      <c r="D209" s="6">
        <v>3</v>
      </c>
      <c r="E209" s="6">
        <v>17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14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4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1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7">
        <f t="shared" si="3"/>
        <v>429</v>
      </c>
    </row>
    <row r="210" spans="1:29" x14ac:dyDescent="0.2">
      <c r="A210" s="4" t="s">
        <v>442</v>
      </c>
      <c r="B210" s="5" t="s">
        <v>457</v>
      </c>
      <c r="C210" s="6">
        <v>243</v>
      </c>
      <c r="D210" s="6">
        <v>1</v>
      </c>
      <c r="E210" s="6">
        <v>3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3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7">
        <f t="shared" si="3"/>
        <v>250</v>
      </c>
    </row>
    <row r="211" spans="1:29" x14ac:dyDescent="0.2">
      <c r="A211" s="4" t="s">
        <v>458</v>
      </c>
      <c r="B211" s="5" t="s">
        <v>459</v>
      </c>
      <c r="C211" s="6">
        <v>119</v>
      </c>
      <c r="D211" s="6">
        <v>5</v>
      </c>
      <c r="E211" s="6">
        <v>7</v>
      </c>
      <c r="F211" s="6">
        <v>0</v>
      </c>
      <c r="G211" s="6">
        <v>0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4</v>
      </c>
      <c r="R211" s="6">
        <v>0</v>
      </c>
      <c r="S211" s="6">
        <v>1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7">
        <f t="shared" si="3"/>
        <v>137</v>
      </c>
    </row>
    <row r="212" spans="1:29" x14ac:dyDescent="0.2">
      <c r="A212" s="4" t="s">
        <v>460</v>
      </c>
      <c r="B212" s="5" t="s">
        <v>461</v>
      </c>
      <c r="C212" s="6">
        <v>41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7">
        <f t="shared" si="3"/>
        <v>41</v>
      </c>
    </row>
    <row r="213" spans="1:29" x14ac:dyDescent="0.2">
      <c r="A213" s="4" t="s">
        <v>462</v>
      </c>
      <c r="B213" s="5" t="s">
        <v>463</v>
      </c>
      <c r="C213" s="6">
        <v>25</v>
      </c>
      <c r="D213" s="6">
        <v>0</v>
      </c>
      <c r="E213" s="6">
        <v>6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7">
        <f t="shared" si="3"/>
        <v>31</v>
      </c>
    </row>
    <row r="214" spans="1:29" x14ac:dyDescent="0.2">
      <c r="A214" s="4" t="s">
        <v>464</v>
      </c>
      <c r="B214" s="5" t="s">
        <v>465</v>
      </c>
      <c r="C214" s="6">
        <v>30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7">
        <f t="shared" si="3"/>
        <v>30</v>
      </c>
    </row>
    <row r="215" spans="1:29" x14ac:dyDescent="0.2">
      <c r="A215" s="4" t="s">
        <v>466</v>
      </c>
      <c r="B215" s="5" t="s">
        <v>467</v>
      </c>
      <c r="C215" s="6">
        <v>330</v>
      </c>
      <c r="D215" s="6">
        <v>8</v>
      </c>
      <c r="E215" s="6">
        <v>40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2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1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7">
        <f t="shared" si="3"/>
        <v>391</v>
      </c>
    </row>
    <row r="216" spans="1:29" x14ac:dyDescent="0.2">
      <c r="A216" s="4" t="s">
        <v>468</v>
      </c>
      <c r="B216" s="5" t="s">
        <v>469</v>
      </c>
      <c r="C216" s="6">
        <v>434</v>
      </c>
      <c r="D216" s="6">
        <v>2</v>
      </c>
      <c r="E216" s="6">
        <v>3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15</v>
      </c>
      <c r="R216" s="6">
        <v>0</v>
      </c>
      <c r="S216" s="6">
        <v>1</v>
      </c>
      <c r="T216" s="6">
        <v>0</v>
      </c>
      <c r="U216" s="6">
        <v>0</v>
      </c>
      <c r="V216" s="6">
        <v>0</v>
      </c>
      <c r="W216" s="6">
        <v>0</v>
      </c>
      <c r="X216" s="6">
        <v>1</v>
      </c>
      <c r="Y216" s="6">
        <v>0</v>
      </c>
      <c r="Z216" s="6">
        <v>0</v>
      </c>
      <c r="AA216" s="6">
        <v>0</v>
      </c>
      <c r="AB216" s="6">
        <v>0</v>
      </c>
      <c r="AC216" s="7">
        <f t="shared" si="3"/>
        <v>456</v>
      </c>
    </row>
    <row r="217" spans="1:29" x14ac:dyDescent="0.2">
      <c r="A217" s="4" t="s">
        <v>470</v>
      </c>
      <c r="B217" s="5" t="s">
        <v>471</v>
      </c>
      <c r="C217" s="6">
        <v>20</v>
      </c>
      <c r="D217" s="6">
        <v>2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7">
        <f t="shared" si="3"/>
        <v>22</v>
      </c>
    </row>
    <row r="218" spans="1:29" x14ac:dyDescent="0.2">
      <c r="A218" s="4" t="s">
        <v>472</v>
      </c>
      <c r="B218" s="5" t="s">
        <v>473</v>
      </c>
      <c r="C218" s="6">
        <v>180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3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2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7">
        <f t="shared" si="3"/>
        <v>185</v>
      </c>
    </row>
    <row r="219" spans="1:29" x14ac:dyDescent="0.2">
      <c r="A219" s="4" t="s">
        <v>474</v>
      </c>
      <c r="B219" s="5" t="s">
        <v>475</v>
      </c>
      <c r="C219" s="6">
        <v>3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2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7">
        <f t="shared" si="3"/>
        <v>5</v>
      </c>
    </row>
    <row r="220" spans="1:29" x14ac:dyDescent="0.2">
      <c r="A220" s="4" t="s">
        <v>476</v>
      </c>
      <c r="B220" s="5" t="s">
        <v>477</v>
      </c>
      <c r="C220" s="6">
        <v>27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7">
        <f t="shared" si="3"/>
        <v>27</v>
      </c>
    </row>
    <row r="221" spans="1:29" x14ac:dyDescent="0.2">
      <c r="A221" s="4" t="s">
        <v>478</v>
      </c>
      <c r="B221" s="5" t="s">
        <v>479</v>
      </c>
      <c r="C221" s="6">
        <v>33</v>
      </c>
      <c r="D221" s="6">
        <v>1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7">
        <f t="shared" si="3"/>
        <v>34</v>
      </c>
    </row>
    <row r="222" spans="1:29" x14ac:dyDescent="0.2">
      <c r="A222" s="4" t="s">
        <v>480</v>
      </c>
      <c r="B222" s="5" t="s">
        <v>481</v>
      </c>
      <c r="C222" s="6">
        <v>45</v>
      </c>
      <c r="D222" s="6">
        <v>0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4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7">
        <f t="shared" si="3"/>
        <v>50</v>
      </c>
    </row>
    <row r="223" spans="1:29" x14ac:dyDescent="0.2">
      <c r="A223" s="4" t="s">
        <v>482</v>
      </c>
      <c r="B223" s="5" t="s">
        <v>483</v>
      </c>
      <c r="C223" s="6">
        <v>1831</v>
      </c>
      <c r="D223" s="6">
        <v>65</v>
      </c>
      <c r="E223" s="6">
        <v>227</v>
      </c>
      <c r="F223" s="6">
        <v>4</v>
      </c>
      <c r="G223" s="6">
        <v>1</v>
      </c>
      <c r="H223" s="6">
        <v>0</v>
      </c>
      <c r="I223" s="6">
        <v>0</v>
      </c>
      <c r="J223" s="6">
        <v>3</v>
      </c>
      <c r="K223" s="6">
        <v>48</v>
      </c>
      <c r="L223" s="6">
        <v>0</v>
      </c>
      <c r="M223" s="6">
        <v>2</v>
      </c>
      <c r="N223" s="6">
        <v>0</v>
      </c>
      <c r="O223" s="6">
        <v>2</v>
      </c>
      <c r="P223" s="6">
        <v>0</v>
      </c>
      <c r="Q223" s="6">
        <v>21</v>
      </c>
      <c r="R223" s="6">
        <v>4</v>
      </c>
      <c r="S223" s="6">
        <v>4</v>
      </c>
      <c r="T223" s="6">
        <v>0</v>
      </c>
      <c r="U223" s="6">
        <v>2</v>
      </c>
      <c r="V223" s="6">
        <v>0</v>
      </c>
      <c r="W223" s="6">
        <v>0</v>
      </c>
      <c r="X223" s="6">
        <v>2</v>
      </c>
      <c r="Y223" s="6">
        <v>1</v>
      </c>
      <c r="Z223" s="6">
        <v>11</v>
      </c>
      <c r="AA223" s="6">
        <v>2</v>
      </c>
      <c r="AB223" s="6">
        <v>0</v>
      </c>
      <c r="AC223" s="7">
        <f t="shared" si="3"/>
        <v>2230</v>
      </c>
    </row>
    <row r="224" spans="1:29" x14ac:dyDescent="0.2">
      <c r="A224" s="4" t="s">
        <v>484</v>
      </c>
      <c r="B224" s="5" t="s">
        <v>485</v>
      </c>
      <c r="C224" s="6">
        <v>247</v>
      </c>
      <c r="D224" s="6">
        <v>2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1</v>
      </c>
      <c r="R224" s="6">
        <v>0</v>
      </c>
      <c r="S224" s="6">
        <v>0</v>
      </c>
      <c r="T224" s="6">
        <v>0</v>
      </c>
      <c r="U224" s="6">
        <v>1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7">
        <f t="shared" si="3"/>
        <v>251</v>
      </c>
    </row>
    <row r="225" spans="1:29" x14ac:dyDescent="0.2">
      <c r="A225" s="4" t="s">
        <v>486</v>
      </c>
      <c r="B225" s="5" t="s">
        <v>487</v>
      </c>
      <c r="C225" s="6">
        <v>1689</v>
      </c>
      <c r="D225" s="6">
        <v>2</v>
      </c>
      <c r="E225" s="6">
        <v>4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2</v>
      </c>
      <c r="L225" s="6">
        <v>0</v>
      </c>
      <c r="M225" s="6">
        <v>0</v>
      </c>
      <c r="N225" s="6">
        <v>0</v>
      </c>
      <c r="O225" s="6">
        <v>0</v>
      </c>
      <c r="P225" s="6">
        <v>3</v>
      </c>
      <c r="Q225" s="6">
        <v>12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1</v>
      </c>
      <c r="AA225" s="6">
        <v>0</v>
      </c>
      <c r="AB225" s="6">
        <v>0</v>
      </c>
      <c r="AC225" s="7">
        <f t="shared" si="3"/>
        <v>1713</v>
      </c>
    </row>
    <row r="226" spans="1:29" x14ac:dyDescent="0.2">
      <c r="A226" s="12" t="s">
        <v>488</v>
      </c>
      <c r="B226" s="9" t="s">
        <v>489</v>
      </c>
      <c r="C226" s="6">
        <v>57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0</v>
      </c>
      <c r="M226" s="6">
        <v>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1</v>
      </c>
      <c r="X226" s="6">
        <v>0</v>
      </c>
      <c r="Y226" s="6">
        <v>0</v>
      </c>
      <c r="Z226" s="6">
        <v>2</v>
      </c>
      <c r="AA226" s="6">
        <v>0</v>
      </c>
      <c r="AB226" s="6">
        <v>0</v>
      </c>
      <c r="AC226" s="7">
        <f t="shared" si="3"/>
        <v>62</v>
      </c>
    </row>
    <row r="227" spans="1:29" x14ac:dyDescent="0.2">
      <c r="A227" s="12" t="s">
        <v>490</v>
      </c>
      <c r="B227" s="9" t="s">
        <v>491</v>
      </c>
      <c r="C227" s="6">
        <v>304</v>
      </c>
      <c r="D227" s="6">
        <v>3</v>
      </c>
      <c r="E227" s="6">
        <v>3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1</v>
      </c>
      <c r="W227" s="6">
        <v>1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7">
        <f t="shared" si="3"/>
        <v>313</v>
      </c>
    </row>
    <row r="228" spans="1:29" x14ac:dyDescent="0.2">
      <c r="A228" s="12" t="s">
        <v>490</v>
      </c>
      <c r="B228" s="9" t="s">
        <v>492</v>
      </c>
      <c r="C228" s="6">
        <v>36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2</v>
      </c>
      <c r="AA228" s="6">
        <v>0</v>
      </c>
      <c r="AB228" s="6">
        <v>0</v>
      </c>
      <c r="AC228" s="7">
        <f t="shared" si="3"/>
        <v>38</v>
      </c>
    </row>
    <row r="229" spans="1:29" x14ac:dyDescent="0.2">
      <c r="A229" s="12" t="s">
        <v>493</v>
      </c>
      <c r="B229" s="9" t="s">
        <v>494</v>
      </c>
      <c r="C229" s="6">
        <v>15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1</v>
      </c>
      <c r="AA229" s="6">
        <v>0</v>
      </c>
      <c r="AB229" s="6">
        <v>0</v>
      </c>
      <c r="AC229" s="7">
        <f t="shared" si="3"/>
        <v>16</v>
      </c>
    </row>
    <row r="230" spans="1:29" x14ac:dyDescent="0.2">
      <c r="A230" s="12" t="s">
        <v>495</v>
      </c>
      <c r="B230" s="9" t="s">
        <v>496</v>
      </c>
      <c r="C230" s="6">
        <v>757</v>
      </c>
      <c r="D230" s="6">
        <v>13</v>
      </c>
      <c r="E230" s="6">
        <v>71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29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6</v>
      </c>
      <c r="X230" s="6">
        <v>0</v>
      </c>
      <c r="Y230" s="6">
        <v>0</v>
      </c>
      <c r="Z230" s="6">
        <v>27</v>
      </c>
      <c r="AA230" s="6">
        <v>0</v>
      </c>
      <c r="AB230" s="6">
        <v>0</v>
      </c>
      <c r="AC230" s="7">
        <f t="shared" si="3"/>
        <v>903</v>
      </c>
    </row>
    <row r="231" spans="1:29" x14ac:dyDescent="0.2">
      <c r="A231" s="12" t="s">
        <v>497</v>
      </c>
      <c r="B231" s="9" t="s">
        <v>498</v>
      </c>
      <c r="C231" s="6">
        <v>397</v>
      </c>
      <c r="D231" s="6">
        <v>26</v>
      </c>
      <c r="E231" s="6">
        <v>44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8</v>
      </c>
      <c r="L231" s="6">
        <v>2</v>
      </c>
      <c r="M231" s="6">
        <v>0</v>
      </c>
      <c r="N231" s="6">
        <v>0</v>
      </c>
      <c r="O231" s="6">
        <v>0</v>
      </c>
      <c r="P231" s="6">
        <v>0</v>
      </c>
      <c r="Q231" s="6">
        <v>2</v>
      </c>
      <c r="R231" s="6">
        <v>0</v>
      </c>
      <c r="S231" s="6">
        <v>1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6</v>
      </c>
      <c r="AA231" s="6">
        <v>0</v>
      </c>
      <c r="AB231" s="6">
        <v>0</v>
      </c>
      <c r="AC231" s="7">
        <f t="shared" si="3"/>
        <v>486</v>
      </c>
    </row>
    <row r="232" spans="1:29" x14ac:dyDescent="0.2">
      <c r="A232" s="12" t="s">
        <v>499</v>
      </c>
      <c r="B232" s="9" t="s">
        <v>500</v>
      </c>
      <c r="C232" s="6">
        <v>13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7">
        <f t="shared" si="3"/>
        <v>13</v>
      </c>
    </row>
    <row r="233" spans="1:29" x14ac:dyDescent="0.2">
      <c r="A233" s="12" t="s">
        <v>501</v>
      </c>
      <c r="B233" s="9" t="s">
        <v>502</v>
      </c>
      <c r="C233" s="6">
        <v>236</v>
      </c>
      <c r="D233" s="6">
        <v>3</v>
      </c>
      <c r="E233" s="6">
        <v>8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2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7">
        <f t="shared" si="3"/>
        <v>249</v>
      </c>
    </row>
    <row r="234" spans="1:29" x14ac:dyDescent="0.2">
      <c r="A234" s="12" t="s">
        <v>464</v>
      </c>
      <c r="B234" s="9" t="s">
        <v>503</v>
      </c>
      <c r="C234" s="6">
        <v>446</v>
      </c>
      <c r="D234" s="6">
        <v>6</v>
      </c>
      <c r="E234" s="6">
        <v>6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3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1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4</v>
      </c>
      <c r="AA234" s="6">
        <v>0</v>
      </c>
      <c r="AB234" s="6">
        <v>0</v>
      </c>
      <c r="AC234" s="7">
        <f t="shared" si="3"/>
        <v>466</v>
      </c>
    </row>
    <row r="235" spans="1:29" x14ac:dyDescent="0.2">
      <c r="A235" s="12" t="s">
        <v>504</v>
      </c>
      <c r="B235" s="9" t="s">
        <v>505</v>
      </c>
      <c r="C235" s="6">
        <v>19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7">
        <f t="shared" si="3"/>
        <v>19</v>
      </c>
    </row>
    <row r="236" spans="1:29" x14ac:dyDescent="0.2">
      <c r="A236" s="12" t="s">
        <v>506</v>
      </c>
      <c r="B236" s="9" t="s">
        <v>507</v>
      </c>
      <c r="C236" s="6">
        <v>22</v>
      </c>
      <c r="D236" s="6">
        <v>0</v>
      </c>
      <c r="E236" s="6">
        <v>3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1</v>
      </c>
      <c r="AA236" s="6">
        <v>0</v>
      </c>
      <c r="AB236" s="6">
        <v>0</v>
      </c>
      <c r="AC236" s="7">
        <f t="shared" si="3"/>
        <v>26</v>
      </c>
    </row>
    <row r="237" spans="1:29" x14ac:dyDescent="0.2">
      <c r="A237" s="12" t="s">
        <v>508</v>
      </c>
      <c r="B237" s="9" t="s">
        <v>509</v>
      </c>
      <c r="C237" s="6">
        <v>218</v>
      </c>
      <c r="D237" s="6">
        <v>4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7">
        <f t="shared" si="3"/>
        <v>222</v>
      </c>
    </row>
    <row r="238" spans="1:29" x14ac:dyDescent="0.2">
      <c r="A238" s="12" t="s">
        <v>510</v>
      </c>
      <c r="B238" s="9" t="s">
        <v>511</v>
      </c>
      <c r="C238" s="6">
        <v>1477</v>
      </c>
      <c r="D238" s="6">
        <v>11</v>
      </c>
      <c r="E238" s="6">
        <v>15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170</v>
      </c>
      <c r="L238" s="6">
        <v>0</v>
      </c>
      <c r="M238" s="6">
        <v>0</v>
      </c>
      <c r="N238" s="6">
        <v>0</v>
      </c>
      <c r="O238" s="6">
        <v>0</v>
      </c>
      <c r="P238" s="6">
        <v>2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16</v>
      </c>
      <c r="AA238" s="6">
        <v>0</v>
      </c>
      <c r="AB238" s="6">
        <v>0</v>
      </c>
      <c r="AC238" s="7">
        <f t="shared" si="3"/>
        <v>1691</v>
      </c>
    </row>
    <row r="239" spans="1:29" x14ac:dyDescent="0.2">
      <c r="A239" s="12" t="s">
        <v>512</v>
      </c>
      <c r="B239" s="9" t="s">
        <v>513</v>
      </c>
      <c r="C239" s="6">
        <v>38</v>
      </c>
      <c r="D239" s="6">
        <v>0</v>
      </c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4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1</v>
      </c>
      <c r="AA239" s="6">
        <v>0</v>
      </c>
      <c r="AB239" s="6">
        <v>0</v>
      </c>
      <c r="AC239" s="7">
        <f t="shared" si="3"/>
        <v>44</v>
      </c>
    </row>
    <row r="240" spans="1:29" x14ac:dyDescent="0.2">
      <c r="A240" s="12" t="s">
        <v>514</v>
      </c>
      <c r="B240" s="9" t="s">
        <v>515</v>
      </c>
      <c r="C240" s="6">
        <v>216</v>
      </c>
      <c r="D240" s="6">
        <v>7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17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2</v>
      </c>
      <c r="W240" s="6">
        <v>0</v>
      </c>
      <c r="X240" s="6">
        <v>0</v>
      </c>
      <c r="Y240" s="6">
        <v>0</v>
      </c>
      <c r="Z240" s="6">
        <v>8</v>
      </c>
      <c r="AA240" s="6">
        <v>0</v>
      </c>
      <c r="AB240" s="6">
        <v>0</v>
      </c>
      <c r="AC240" s="7">
        <f t="shared" si="3"/>
        <v>250</v>
      </c>
    </row>
    <row r="241" spans="1:29" x14ac:dyDescent="0.2">
      <c r="A241" s="12" t="s">
        <v>516</v>
      </c>
      <c r="B241" s="9" t="s">
        <v>517</v>
      </c>
      <c r="C241" s="6">
        <v>304</v>
      </c>
      <c r="D241" s="6">
        <v>21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263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28</v>
      </c>
      <c r="AA241" s="6">
        <v>0</v>
      </c>
      <c r="AB241" s="6">
        <v>0</v>
      </c>
      <c r="AC241" s="7">
        <f t="shared" si="3"/>
        <v>616</v>
      </c>
    </row>
    <row r="242" spans="1:29" x14ac:dyDescent="0.2">
      <c r="A242" s="12" t="s">
        <v>518</v>
      </c>
      <c r="B242" s="9" t="s">
        <v>519</v>
      </c>
      <c r="C242" s="6">
        <v>7306</v>
      </c>
      <c r="D242" s="6">
        <v>83</v>
      </c>
      <c r="E242" s="6">
        <v>82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441</v>
      </c>
      <c r="L242" s="6">
        <v>0</v>
      </c>
      <c r="M242" s="6">
        <v>0</v>
      </c>
      <c r="N242" s="6">
        <v>3</v>
      </c>
      <c r="O242" s="6">
        <v>1</v>
      </c>
      <c r="P242" s="6">
        <v>0</v>
      </c>
      <c r="Q242" s="6">
        <v>11</v>
      </c>
      <c r="R242" s="6">
        <v>0</v>
      </c>
      <c r="S242" s="6">
        <v>2</v>
      </c>
      <c r="T242" s="6">
        <v>0</v>
      </c>
      <c r="U242" s="6">
        <v>0</v>
      </c>
      <c r="V242" s="6">
        <v>0</v>
      </c>
      <c r="W242" s="6">
        <v>5</v>
      </c>
      <c r="X242" s="6">
        <v>0</v>
      </c>
      <c r="Y242" s="6">
        <v>0</v>
      </c>
      <c r="Z242" s="6">
        <v>394</v>
      </c>
      <c r="AA242" s="6">
        <v>12</v>
      </c>
      <c r="AB242" s="6">
        <v>54</v>
      </c>
      <c r="AC242" s="7">
        <f t="shared" si="3"/>
        <v>8394</v>
      </c>
    </row>
    <row r="243" spans="1:29" x14ac:dyDescent="0.2">
      <c r="A243" s="12" t="s">
        <v>520</v>
      </c>
      <c r="B243" s="9" t="s">
        <v>521</v>
      </c>
      <c r="C243" s="6">
        <v>146</v>
      </c>
      <c r="D243" s="6">
        <v>3</v>
      </c>
      <c r="E243" s="6">
        <v>3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8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6</v>
      </c>
      <c r="AA243" s="6">
        <v>0</v>
      </c>
      <c r="AB243" s="6">
        <v>0</v>
      </c>
      <c r="AC243" s="7">
        <f t="shared" si="3"/>
        <v>166</v>
      </c>
    </row>
    <row r="244" spans="1:29" x14ac:dyDescent="0.2">
      <c r="A244" s="12" t="s">
        <v>522</v>
      </c>
      <c r="B244" s="9" t="s">
        <v>523</v>
      </c>
      <c r="C244" s="6">
        <v>143</v>
      </c>
      <c r="D244" s="6">
        <v>2</v>
      </c>
      <c r="E244" s="6">
        <v>9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36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1</v>
      </c>
      <c r="R244" s="6">
        <v>0</v>
      </c>
      <c r="S244" s="6">
        <v>2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30</v>
      </c>
      <c r="AA244" s="6">
        <v>0</v>
      </c>
      <c r="AB244" s="6">
        <v>6</v>
      </c>
      <c r="AC244" s="7">
        <f t="shared" si="3"/>
        <v>229</v>
      </c>
    </row>
    <row r="245" spans="1:29" x14ac:dyDescent="0.2">
      <c r="A245" s="12" t="s">
        <v>524</v>
      </c>
      <c r="B245" s="9" t="s">
        <v>525</v>
      </c>
      <c r="C245" s="6">
        <v>13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7">
        <f t="shared" si="3"/>
        <v>13</v>
      </c>
    </row>
    <row r="246" spans="1:29" x14ac:dyDescent="0.2">
      <c r="A246" s="12" t="s">
        <v>526</v>
      </c>
      <c r="B246" s="9" t="s">
        <v>527</v>
      </c>
      <c r="C246" s="6">
        <v>84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1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7">
        <f t="shared" si="3"/>
        <v>86</v>
      </c>
    </row>
    <row r="247" spans="1:29" x14ac:dyDescent="0.2">
      <c r="A247" s="12" t="s">
        <v>528</v>
      </c>
      <c r="B247" s="9" t="s">
        <v>529</v>
      </c>
      <c r="C247" s="6">
        <v>9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7">
        <f t="shared" si="3"/>
        <v>9</v>
      </c>
    </row>
    <row r="248" spans="1:29" x14ac:dyDescent="0.2">
      <c r="A248" s="12" t="s">
        <v>530</v>
      </c>
      <c r="B248" s="9" t="s">
        <v>531</v>
      </c>
      <c r="C248" s="6">
        <v>5109</v>
      </c>
      <c r="D248" s="6">
        <v>88</v>
      </c>
      <c r="E248" s="6">
        <v>51</v>
      </c>
      <c r="F248" s="6">
        <v>1</v>
      </c>
      <c r="G248" s="6">
        <v>0</v>
      </c>
      <c r="H248" s="6">
        <v>1</v>
      </c>
      <c r="I248" s="6">
        <v>0</v>
      </c>
      <c r="J248" s="6">
        <v>0</v>
      </c>
      <c r="K248" s="6">
        <v>165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2</v>
      </c>
      <c r="R248" s="6">
        <v>1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144</v>
      </c>
      <c r="AA248" s="6">
        <v>0</v>
      </c>
      <c r="AB248" s="6">
        <v>48</v>
      </c>
      <c r="AC248" s="7">
        <f t="shared" si="3"/>
        <v>5610</v>
      </c>
    </row>
    <row r="249" spans="1:29" x14ac:dyDescent="0.2">
      <c r="A249" s="12" t="s">
        <v>532</v>
      </c>
      <c r="B249" s="9" t="s">
        <v>533</v>
      </c>
      <c r="C249" s="6">
        <v>12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7">
        <f t="shared" si="3"/>
        <v>12</v>
      </c>
    </row>
    <row r="250" spans="1:29" x14ac:dyDescent="0.2">
      <c r="A250" s="12" t="s">
        <v>534</v>
      </c>
      <c r="B250" s="9" t="s">
        <v>535</v>
      </c>
      <c r="C250" s="6">
        <v>976</v>
      </c>
      <c r="D250" s="6">
        <v>7</v>
      </c>
      <c r="E250" s="6">
        <v>6</v>
      </c>
      <c r="F250" s="6">
        <v>1</v>
      </c>
      <c r="G250" s="6">
        <v>0</v>
      </c>
      <c r="H250" s="6">
        <v>0</v>
      </c>
      <c r="I250" s="6">
        <v>0</v>
      </c>
      <c r="J250" s="6">
        <v>0</v>
      </c>
      <c r="K250" s="6">
        <v>7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6</v>
      </c>
      <c r="AA250" s="6">
        <v>0</v>
      </c>
      <c r="AB250" s="6">
        <v>2</v>
      </c>
      <c r="AC250" s="7">
        <f t="shared" si="3"/>
        <v>1005</v>
      </c>
    </row>
    <row r="251" spans="1:29" x14ac:dyDescent="0.2">
      <c r="A251" s="12" t="s">
        <v>536</v>
      </c>
      <c r="B251" s="9" t="s">
        <v>537</v>
      </c>
      <c r="C251" s="6">
        <v>330</v>
      </c>
      <c r="D251" s="6">
        <v>4</v>
      </c>
      <c r="E251" s="6">
        <v>11</v>
      </c>
      <c r="F251" s="6">
        <v>1</v>
      </c>
      <c r="G251" s="6">
        <v>0</v>
      </c>
      <c r="H251" s="6">
        <v>0</v>
      </c>
      <c r="I251" s="6">
        <v>0</v>
      </c>
      <c r="J251" s="6">
        <v>0</v>
      </c>
      <c r="K251" s="6">
        <v>13</v>
      </c>
      <c r="L251" s="6">
        <v>0</v>
      </c>
      <c r="M251" s="6">
        <v>0</v>
      </c>
      <c r="N251" s="6">
        <v>0</v>
      </c>
      <c r="O251" s="6">
        <v>0</v>
      </c>
      <c r="P251" s="6">
        <v>1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10</v>
      </c>
      <c r="AA251" s="6">
        <v>0</v>
      </c>
      <c r="AB251" s="6">
        <v>2</v>
      </c>
      <c r="AC251" s="7">
        <f t="shared" si="3"/>
        <v>372</v>
      </c>
    </row>
    <row r="252" spans="1:29" x14ac:dyDescent="0.2">
      <c r="A252" s="12" t="s">
        <v>538</v>
      </c>
      <c r="B252" s="9" t="s">
        <v>539</v>
      </c>
      <c r="C252" s="6">
        <v>328</v>
      </c>
      <c r="D252" s="6">
        <v>3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10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1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4</v>
      </c>
      <c r="AA252" s="6">
        <v>0</v>
      </c>
      <c r="AB252" s="6">
        <v>0</v>
      </c>
      <c r="AC252" s="7">
        <f t="shared" si="3"/>
        <v>346</v>
      </c>
    </row>
    <row r="253" spans="1:29" x14ac:dyDescent="0.2">
      <c r="A253" s="12" t="s">
        <v>540</v>
      </c>
      <c r="B253" s="9" t="s">
        <v>541</v>
      </c>
      <c r="C253" s="6">
        <v>214</v>
      </c>
      <c r="D253" s="6">
        <v>4</v>
      </c>
      <c r="E253" s="6">
        <v>3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10</v>
      </c>
      <c r="R253" s="6">
        <v>0</v>
      </c>
      <c r="S253" s="6">
        <v>4</v>
      </c>
      <c r="T253" s="6">
        <v>1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2</v>
      </c>
      <c r="AA253" s="6">
        <v>0</v>
      </c>
      <c r="AB253" s="6">
        <v>0</v>
      </c>
      <c r="AC253" s="7">
        <f t="shared" si="3"/>
        <v>238</v>
      </c>
    </row>
    <row r="254" spans="1:29" x14ac:dyDescent="0.2">
      <c r="A254" s="12" t="s">
        <v>542</v>
      </c>
      <c r="B254" s="9" t="s">
        <v>543</v>
      </c>
      <c r="C254" s="6">
        <v>16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7">
        <f t="shared" si="3"/>
        <v>16</v>
      </c>
    </row>
    <row r="255" spans="1:29" x14ac:dyDescent="0.2">
      <c r="A255" s="12" t="s">
        <v>544</v>
      </c>
      <c r="B255" s="9" t="s">
        <v>545</v>
      </c>
      <c r="C255" s="6">
        <v>6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1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7">
        <f t="shared" si="3"/>
        <v>7</v>
      </c>
    </row>
    <row r="256" spans="1:29" x14ac:dyDescent="0.2">
      <c r="A256" s="12" t="s">
        <v>546</v>
      </c>
      <c r="B256" s="9" t="s">
        <v>547</v>
      </c>
      <c r="C256" s="6">
        <v>8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7">
        <f t="shared" si="3"/>
        <v>8</v>
      </c>
    </row>
    <row r="257" spans="1:29" x14ac:dyDescent="0.2">
      <c r="A257" s="12" t="s">
        <v>548</v>
      </c>
      <c r="B257" s="9" t="s">
        <v>549</v>
      </c>
      <c r="C257" s="6">
        <v>1900</v>
      </c>
      <c r="D257" s="6">
        <v>67</v>
      </c>
      <c r="E257" s="6">
        <v>43</v>
      </c>
      <c r="F257" s="6">
        <v>1</v>
      </c>
      <c r="G257" s="6">
        <v>0</v>
      </c>
      <c r="H257" s="6">
        <v>0</v>
      </c>
      <c r="I257" s="6">
        <v>0</v>
      </c>
      <c r="J257" s="6">
        <v>0</v>
      </c>
      <c r="K257" s="6">
        <v>528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1</v>
      </c>
      <c r="T257" s="6">
        <v>0</v>
      </c>
      <c r="U257" s="6">
        <v>0</v>
      </c>
      <c r="V257" s="6">
        <v>0</v>
      </c>
      <c r="W257" s="6">
        <v>4</v>
      </c>
      <c r="X257" s="6">
        <v>0</v>
      </c>
      <c r="Y257" s="6">
        <v>1</v>
      </c>
      <c r="Z257" s="6">
        <v>146</v>
      </c>
      <c r="AA257" s="6">
        <v>0</v>
      </c>
      <c r="AB257" s="6">
        <v>63</v>
      </c>
      <c r="AC257" s="7">
        <f t="shared" si="3"/>
        <v>2754</v>
      </c>
    </row>
    <row r="258" spans="1:29" x14ac:dyDescent="0.2">
      <c r="A258" s="12" t="s">
        <v>550</v>
      </c>
      <c r="B258" s="9" t="s">
        <v>551</v>
      </c>
      <c r="C258" s="6">
        <v>1046</v>
      </c>
      <c r="D258" s="6">
        <v>17</v>
      </c>
      <c r="E258" s="6">
        <v>27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105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1</v>
      </c>
      <c r="Z258" s="6">
        <v>61</v>
      </c>
      <c r="AA258" s="6">
        <v>1</v>
      </c>
      <c r="AB258" s="6">
        <v>31</v>
      </c>
      <c r="AC258" s="7">
        <f t="shared" ref="AC258:AC267" si="4">SUM(C258:AB258)</f>
        <v>1289</v>
      </c>
    </row>
    <row r="259" spans="1:29" x14ac:dyDescent="0.2">
      <c r="A259" s="12" t="s">
        <v>552</v>
      </c>
      <c r="B259" s="9" t="s">
        <v>553</v>
      </c>
      <c r="C259" s="6">
        <v>100</v>
      </c>
      <c r="D259" s="6">
        <v>1</v>
      </c>
      <c r="E259" s="6">
        <v>1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9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7</v>
      </c>
      <c r="AA259" s="6">
        <v>0</v>
      </c>
      <c r="AB259" s="6">
        <v>6</v>
      </c>
      <c r="AC259" s="7">
        <f t="shared" si="4"/>
        <v>124</v>
      </c>
    </row>
    <row r="260" spans="1:29" x14ac:dyDescent="0.2">
      <c r="A260" s="12" t="s">
        <v>554</v>
      </c>
      <c r="B260" s="9" t="s">
        <v>555</v>
      </c>
      <c r="C260" s="6">
        <v>12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7">
        <f t="shared" si="4"/>
        <v>12</v>
      </c>
    </row>
    <row r="261" spans="1:29" x14ac:dyDescent="0.2">
      <c r="A261" s="12" t="s">
        <v>556</v>
      </c>
      <c r="B261" s="9" t="s">
        <v>557</v>
      </c>
      <c r="C261" s="6">
        <v>173</v>
      </c>
      <c r="D261" s="6">
        <v>3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7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4</v>
      </c>
      <c r="AA261" s="6">
        <v>0</v>
      </c>
      <c r="AB261" s="6">
        <v>0</v>
      </c>
      <c r="AC261" s="7">
        <f t="shared" si="4"/>
        <v>187</v>
      </c>
    </row>
    <row r="262" spans="1:29" x14ac:dyDescent="0.2">
      <c r="A262" s="12" t="s">
        <v>558</v>
      </c>
      <c r="B262" s="9" t="s">
        <v>559</v>
      </c>
      <c r="C262" s="6">
        <v>6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7">
        <f t="shared" si="4"/>
        <v>6</v>
      </c>
    </row>
    <row r="263" spans="1:29" x14ac:dyDescent="0.2">
      <c r="A263" s="12" t="s">
        <v>560</v>
      </c>
      <c r="B263" s="9" t="s">
        <v>561</v>
      </c>
      <c r="C263" s="6">
        <v>140</v>
      </c>
      <c r="D263" s="6">
        <v>0</v>
      </c>
      <c r="E263" s="6">
        <v>3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3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1</v>
      </c>
      <c r="AA263" s="6">
        <v>0</v>
      </c>
      <c r="AB263" s="6">
        <v>0</v>
      </c>
      <c r="AC263" s="7">
        <f t="shared" si="4"/>
        <v>147</v>
      </c>
    </row>
    <row r="264" spans="1:29" x14ac:dyDescent="0.2">
      <c r="A264" s="12" t="s">
        <v>562</v>
      </c>
      <c r="B264" s="9" t="s">
        <v>563</v>
      </c>
      <c r="C264" s="6">
        <v>857</v>
      </c>
      <c r="D264" s="6">
        <v>15</v>
      </c>
      <c r="E264" s="6">
        <v>7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103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15</v>
      </c>
      <c r="R264" s="6">
        <v>0</v>
      </c>
      <c r="S264" s="6">
        <v>10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127</v>
      </c>
      <c r="AA264" s="6">
        <v>10</v>
      </c>
      <c r="AB264" s="6">
        <v>13</v>
      </c>
      <c r="AC264" s="7">
        <f t="shared" si="4"/>
        <v>1157</v>
      </c>
    </row>
    <row r="265" spans="1:29" x14ac:dyDescent="0.2">
      <c r="A265" s="12" t="s">
        <v>564</v>
      </c>
      <c r="B265" s="9" t="s">
        <v>565</v>
      </c>
      <c r="C265" s="6">
        <v>59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7">
        <f t="shared" si="4"/>
        <v>59</v>
      </c>
    </row>
    <row r="266" spans="1:29" x14ac:dyDescent="0.2">
      <c r="A266" s="12" t="s">
        <v>566</v>
      </c>
      <c r="B266" s="9" t="s">
        <v>567</v>
      </c>
      <c r="C266" s="6">
        <v>290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1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5</v>
      </c>
      <c r="AA266" s="6">
        <v>0</v>
      </c>
      <c r="AB266" s="6">
        <v>0</v>
      </c>
      <c r="AC266" s="7">
        <f t="shared" si="4"/>
        <v>296</v>
      </c>
    </row>
    <row r="267" spans="1:29" x14ac:dyDescent="0.2">
      <c r="A267" s="12" t="s">
        <v>568</v>
      </c>
      <c r="B267" s="9" t="s">
        <v>569</v>
      </c>
      <c r="C267" s="6">
        <v>2133</v>
      </c>
      <c r="D267" s="6">
        <v>40</v>
      </c>
      <c r="E267" s="6">
        <v>59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90</v>
      </c>
      <c r="L267" s="6">
        <v>0</v>
      </c>
      <c r="M267" s="6">
        <v>0</v>
      </c>
      <c r="N267" s="6">
        <v>2</v>
      </c>
      <c r="O267" s="6">
        <v>0</v>
      </c>
      <c r="P267" s="6">
        <v>0</v>
      </c>
      <c r="Q267" s="6">
        <v>9</v>
      </c>
      <c r="R267" s="6">
        <v>0</v>
      </c>
      <c r="S267" s="6">
        <v>1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13</v>
      </c>
      <c r="Z267" s="6">
        <v>235</v>
      </c>
      <c r="AA267" s="6">
        <v>1</v>
      </c>
      <c r="AB267" s="6">
        <v>70</v>
      </c>
      <c r="AC267" s="7">
        <f t="shared" si="4"/>
        <v>2653</v>
      </c>
    </row>
    <row r="268" spans="1:29" x14ac:dyDescent="0.2">
      <c r="A268" s="4"/>
    </row>
    <row r="269" spans="1:29" x14ac:dyDescent="0.2">
      <c r="A269" s="4"/>
    </row>
    <row r="270" spans="1:29" x14ac:dyDescent="0.2">
      <c r="A270" s="4"/>
    </row>
    <row r="271" spans="1:29" x14ac:dyDescent="0.2">
      <c r="A271" s="4"/>
    </row>
    <row r="272" spans="1:29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</sheetData>
  <sortState xmlns:xlrd2="http://schemas.microsoft.com/office/spreadsheetml/2017/richdata2" ref="A2:AC505">
    <sortCondition ref="B2:B5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pane ySplit="1" topLeftCell="A2" activePane="bottomLeft" state="frozenSplit"/>
      <selection pane="bottomLeft" activeCell="D7" sqref="D7"/>
    </sheetView>
  </sheetViews>
  <sheetFormatPr baseColWidth="10" defaultColWidth="8.83203125" defaultRowHeight="15" x14ac:dyDescent="0.2"/>
  <cols>
    <col min="1" max="1" width="26.83203125" customWidth="1"/>
    <col min="2" max="2" width="16.33203125" style="6" customWidth="1"/>
    <col min="3" max="3" width="17.83203125" style="6" customWidth="1"/>
    <col min="4" max="4" width="22.1640625" style="6" customWidth="1"/>
  </cols>
  <sheetData>
    <row r="1" spans="1:4" s="17" customFormat="1" ht="22.5" customHeight="1" x14ac:dyDescent="0.2">
      <c r="A1" s="17" t="s">
        <v>572</v>
      </c>
      <c r="B1" s="18" t="s">
        <v>573</v>
      </c>
      <c r="C1" s="18" t="s">
        <v>574</v>
      </c>
      <c r="D1" s="18" t="s">
        <v>575</v>
      </c>
    </row>
    <row r="2" spans="1:4" x14ac:dyDescent="0.2">
      <c r="A2" s="16" t="s">
        <v>2</v>
      </c>
      <c r="B2" s="6" t="s">
        <v>576</v>
      </c>
      <c r="C2" s="6" t="s">
        <v>577</v>
      </c>
      <c r="D2" s="6" t="s">
        <v>578</v>
      </c>
    </row>
    <row r="3" spans="1:4" x14ac:dyDescent="0.2">
      <c r="A3" s="16" t="s">
        <v>3</v>
      </c>
      <c r="B3" s="6" t="s">
        <v>576</v>
      </c>
      <c r="C3" s="6" t="s">
        <v>579</v>
      </c>
      <c r="D3" s="6" t="s">
        <v>585</v>
      </c>
    </row>
    <row r="4" spans="1:4" x14ac:dyDescent="0.2">
      <c r="A4" s="16" t="s">
        <v>4</v>
      </c>
      <c r="B4" s="6" t="s">
        <v>576</v>
      </c>
      <c r="C4" s="6" t="s">
        <v>579</v>
      </c>
      <c r="D4" s="6" t="s">
        <v>580</v>
      </c>
    </row>
    <row r="5" spans="1:4" x14ac:dyDescent="0.2">
      <c r="A5" s="16" t="s">
        <v>5</v>
      </c>
      <c r="B5" s="6" t="s">
        <v>576</v>
      </c>
      <c r="C5" s="6" t="s">
        <v>579</v>
      </c>
      <c r="D5" s="6" t="s">
        <v>581</v>
      </c>
    </row>
    <row r="6" spans="1:4" x14ac:dyDescent="0.2">
      <c r="A6" s="16" t="s">
        <v>6</v>
      </c>
      <c r="B6" s="6" t="s">
        <v>582</v>
      </c>
      <c r="C6" s="6" t="s">
        <v>579</v>
      </c>
      <c r="D6" s="6" t="s">
        <v>583</v>
      </c>
    </row>
    <row r="7" spans="1:4" x14ac:dyDescent="0.2">
      <c r="A7" s="16" t="s">
        <v>7</v>
      </c>
    </row>
    <row r="8" spans="1:4" x14ac:dyDescent="0.2">
      <c r="A8" s="16" t="s">
        <v>8</v>
      </c>
    </row>
    <row r="9" spans="1:4" x14ac:dyDescent="0.2">
      <c r="A9" s="16" t="s">
        <v>9</v>
      </c>
    </row>
    <row r="10" spans="1:4" x14ac:dyDescent="0.2">
      <c r="A10" s="16" t="s">
        <v>10</v>
      </c>
    </row>
    <row r="11" spans="1:4" x14ac:dyDescent="0.2">
      <c r="A11" s="16" t="s">
        <v>11</v>
      </c>
      <c r="B11" s="6" t="s">
        <v>576</v>
      </c>
      <c r="C11" s="6" t="s">
        <v>577</v>
      </c>
      <c r="D11" s="6" t="s">
        <v>584</v>
      </c>
    </row>
    <row r="12" spans="1:4" x14ac:dyDescent="0.2">
      <c r="A12" s="16" t="s">
        <v>12</v>
      </c>
    </row>
    <row r="13" spans="1:4" x14ac:dyDescent="0.2">
      <c r="A13" s="16" t="s">
        <v>13</v>
      </c>
    </row>
    <row r="14" spans="1:4" x14ac:dyDescent="0.2">
      <c r="A14" s="16" t="s">
        <v>14</v>
      </c>
    </row>
    <row r="15" spans="1:4" x14ac:dyDescent="0.2">
      <c r="A15" s="16" t="s">
        <v>15</v>
      </c>
    </row>
    <row r="16" spans="1:4" x14ac:dyDescent="0.2">
      <c r="A16" s="16" t="s">
        <v>16</v>
      </c>
    </row>
    <row r="17" spans="1:2" x14ac:dyDescent="0.2">
      <c r="A17" s="16" t="s">
        <v>17</v>
      </c>
      <c r="B17" s="6" t="s">
        <v>576</v>
      </c>
    </row>
    <row r="18" spans="1:2" x14ac:dyDescent="0.2">
      <c r="A18" s="16" t="s">
        <v>18</v>
      </c>
    </row>
    <row r="19" spans="1:2" x14ac:dyDescent="0.2">
      <c r="A19" s="16" t="s">
        <v>19</v>
      </c>
    </row>
    <row r="20" spans="1:2" x14ac:dyDescent="0.2">
      <c r="A20" s="16" t="s">
        <v>20</v>
      </c>
    </row>
    <row r="21" spans="1:2" x14ac:dyDescent="0.2">
      <c r="A21" s="16" t="s">
        <v>21</v>
      </c>
    </row>
    <row r="22" spans="1:2" x14ac:dyDescent="0.2">
      <c r="A22" s="16" t="s">
        <v>22</v>
      </c>
    </row>
    <row r="23" spans="1:2" x14ac:dyDescent="0.2">
      <c r="A23" s="16" t="s">
        <v>23</v>
      </c>
    </row>
    <row r="24" spans="1:2" x14ac:dyDescent="0.2">
      <c r="A24" s="16" t="s">
        <v>24</v>
      </c>
    </row>
    <row r="25" spans="1:2" x14ac:dyDescent="0.2">
      <c r="A25" s="16" t="s">
        <v>25</v>
      </c>
    </row>
    <row r="26" spans="1:2" x14ac:dyDescent="0.2">
      <c r="A26" s="16" t="s">
        <v>26</v>
      </c>
    </row>
    <row r="27" spans="1:2" x14ac:dyDescent="0.2">
      <c r="A27" s="16" t="s">
        <v>27</v>
      </c>
    </row>
    <row r="28" spans="1:2" x14ac:dyDescent="0.2">
      <c r="A28" s="16" t="s">
        <v>28</v>
      </c>
    </row>
    <row r="29" spans="1:2" x14ac:dyDescent="0.2">
      <c r="A29" s="16" t="s">
        <v>29</v>
      </c>
    </row>
    <row r="30" spans="1:2" x14ac:dyDescent="0.2">
      <c r="A30" s="16" t="s">
        <v>30</v>
      </c>
    </row>
    <row r="31" spans="1:2" x14ac:dyDescent="0.2">
      <c r="A31" s="16" t="s">
        <v>31</v>
      </c>
    </row>
    <row r="32" spans="1:2" x14ac:dyDescent="0.2">
      <c r="A32" s="16" t="s">
        <v>32</v>
      </c>
    </row>
    <row r="33" spans="1:1" x14ac:dyDescent="0.2">
      <c r="A33" s="16" t="s">
        <v>33</v>
      </c>
    </row>
    <row r="34" spans="1:1" x14ac:dyDescent="0.2">
      <c r="A34" s="16" t="s">
        <v>34</v>
      </c>
    </row>
    <row r="35" spans="1:1" x14ac:dyDescent="0.2">
      <c r="A35" s="16" t="s">
        <v>35</v>
      </c>
    </row>
    <row r="36" spans="1:1" x14ac:dyDescent="0.2">
      <c r="A36" s="16" t="s">
        <v>36</v>
      </c>
    </row>
    <row r="37" spans="1:1" x14ac:dyDescent="0.2">
      <c r="A37" s="16" t="s">
        <v>570</v>
      </c>
    </row>
    <row r="38" spans="1:1" x14ac:dyDescent="0.2">
      <c r="A38" s="16" t="s">
        <v>571</v>
      </c>
    </row>
    <row r="39" spans="1:1" x14ac:dyDescent="0.2">
      <c r="A39" s="16" t="s">
        <v>37</v>
      </c>
    </row>
    <row r="40" spans="1:1" x14ac:dyDescent="0.2">
      <c r="A40" s="16" t="s">
        <v>38</v>
      </c>
    </row>
    <row r="41" spans="1:1" x14ac:dyDescent="0.2">
      <c r="A41" s="16" t="s">
        <v>39</v>
      </c>
    </row>
    <row r="42" spans="1:1" x14ac:dyDescent="0.2">
      <c r="A42" s="16" t="s">
        <v>40</v>
      </c>
    </row>
    <row r="43" spans="1:1" x14ac:dyDescent="0.2">
      <c r="A43" s="16" t="s">
        <v>41</v>
      </c>
    </row>
    <row r="44" spans="1:1" x14ac:dyDescent="0.2">
      <c r="A44" s="16" t="s">
        <v>42</v>
      </c>
    </row>
    <row r="45" spans="1:1" x14ac:dyDescent="0.2">
      <c r="A45" s="16" t="s">
        <v>43</v>
      </c>
    </row>
    <row r="46" spans="1:1" x14ac:dyDescent="0.2">
      <c r="A46" s="16" t="s">
        <v>44</v>
      </c>
    </row>
    <row r="47" spans="1:1" x14ac:dyDescent="0.2">
      <c r="A47" s="16" t="s">
        <v>45</v>
      </c>
    </row>
    <row r="48" spans="1:1" x14ac:dyDescent="0.2">
      <c r="A48" s="16" t="s">
        <v>46</v>
      </c>
    </row>
    <row r="49" spans="1:1" x14ac:dyDescent="0.2">
      <c r="A49" s="16" t="s">
        <v>47</v>
      </c>
    </row>
    <row r="50" spans="1:1" x14ac:dyDescent="0.2">
      <c r="A50" s="16" t="s">
        <v>48</v>
      </c>
    </row>
    <row r="51" spans="1:1" x14ac:dyDescent="0.2">
      <c r="A51" s="16" t="s">
        <v>49</v>
      </c>
    </row>
    <row r="52" spans="1:1" x14ac:dyDescent="0.2">
      <c r="A52" s="16" t="s">
        <v>50</v>
      </c>
    </row>
    <row r="53" spans="1:1" x14ac:dyDescent="0.2">
      <c r="A53" s="16" t="s">
        <v>51</v>
      </c>
    </row>
    <row r="54" spans="1:1" x14ac:dyDescent="0.2">
      <c r="A54" s="16" t="s">
        <v>52</v>
      </c>
    </row>
    <row r="55" spans="1:1" x14ac:dyDescent="0.2">
      <c r="A55" s="16" t="s">
        <v>53</v>
      </c>
    </row>
    <row r="56" spans="1:1" x14ac:dyDescent="0.2">
      <c r="A56" s="16" t="s">
        <v>54</v>
      </c>
    </row>
    <row r="57" spans="1:1" x14ac:dyDescent="0.2">
      <c r="A57" s="16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SherdData</vt:lpstr>
      <vt:lpstr>Sheet2</vt:lpstr>
      <vt:lpstr>Sheet3</vt:lpstr>
    </vt:vector>
  </TitlesOfParts>
  <Company>CSULB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Lipo</dc:creator>
  <cp:lastModifiedBy>Carl Lipo</cp:lastModifiedBy>
  <dcterms:created xsi:type="dcterms:W3CDTF">2007-02-27T20:23:34Z</dcterms:created>
  <dcterms:modified xsi:type="dcterms:W3CDTF">2026-06-09T12:28:56Z</dcterms:modified>
</cp:coreProperties>
</file>